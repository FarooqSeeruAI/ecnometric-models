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ive-my.sharepoint.com/personal/bob_scealy_qaive_com_au/Documents/Desktop/Qaive/Jobs/PWC001 - UAE/CGE/8.2 - OraniDubai split sam/Master version/database/"/>
    </mc:Choice>
  </mc:AlternateContent>
  <xr:revisionPtr revIDLastSave="1218" documentId="13_ncr:1_{308FB309-48DE-FB43-8F0B-8FA872AF5085}" xr6:coauthVersionLast="47" xr6:coauthVersionMax="47" xr10:uidLastSave="{AB5CE326-13CB-468D-BAAC-89098ED550F7}"/>
  <bookViews>
    <workbookView xWindow="-38510" yWindow="-15820" windowWidth="38620" windowHeight="21100" tabRatio="709" activeTab="9" xr2:uid="{EEF159A1-89C5-4F5C-BD4C-19A17F8DEAB1}"/>
  </bookViews>
  <sheets>
    <sheet name="HEADERS" sheetId="16" r:id="rId1"/>
    <sheet name="MAP" sheetId="15" r:id="rId2"/>
    <sheet name="Calculations 2" sheetId="14" r:id="rId3"/>
    <sheet name="Calculations" sheetId="3" r:id="rId4"/>
    <sheet name="Input data -&gt;" sheetId="1" r:id="rId5"/>
    <sheet name="2022 SAM" sheetId="6" r:id="rId6"/>
    <sheet name="Household characteristics" sheetId="2" r:id="rId7"/>
    <sheet name="Labour force absolute size" sheetId="4" r:id="rId8"/>
    <sheet name="Emirati workforce distribution" sheetId="5" r:id="rId9"/>
    <sheet name="Estimating non em split" sheetId="17" r:id="rId10"/>
    <sheet name="ILO occupation by income" sheetId="8" r:id="rId11"/>
    <sheet name="HES - 2014" sheetId="9" r:id="rId12"/>
    <sheet name="GTAP data" sheetId="10" r:id="rId13"/>
    <sheet name="HEIS - 2022, Table 1" sheetId="11" r:id="rId14"/>
    <sheet name="HEIS - 2022, Table 2" sheetId="12" r:id="rId15"/>
    <sheet name="HEIS to SAM concordance" sheetId="13" r:id="rId16"/>
    <sheet name="Employees by activity" sheetId="18" r:id="rId17"/>
  </sheets>
  <definedNames>
    <definedName name="_xlnm._FilterDatabase" localSheetId="12" hidden="1">'GTAP data'!$A$1:$D$769</definedName>
    <definedName name="_xlnm._FilterDatabase" localSheetId="11" hidden="1">'HES - 2014'!$A$1:$J$61</definedName>
    <definedName name="adjFactor">'Estimating non em split'!$Y$290</definedName>
    <definedName name="commuting">Calculations!$C$136</definedName>
    <definedName name="lowskillWage">'Estimating non em split'!$D$216</definedName>
    <definedName name="_xlnm.Print_Area" localSheetId="16">'Employees by activity'!$A$1:$S$34</definedName>
    <definedName name="_xlnm.Print_Area" localSheetId="13">'HEIS - 2022, Table 1'!$A$1:$H$33</definedName>
    <definedName name="_xlnm.Print_Area" localSheetId="14">'HEIS - 2022, Table 2'!$A$1:$H$35</definedName>
    <definedName name="توفير_البيانات___أولي" comment="شريف " localSheetId="14">#REF!</definedName>
    <definedName name="توفير_البيانات___أولي" comment="شريف 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6" i="17" l="1"/>
  <c r="F375" i="17"/>
  <c r="F372" i="17"/>
  <c r="E372" i="17"/>
  <c r="E366" i="17"/>
  <c r="F366" i="17"/>
  <c r="D366" i="17"/>
  <c r="E362" i="17"/>
  <c r="D362" i="17"/>
  <c r="F362" i="17"/>
  <c r="D360" i="17"/>
  <c r="E360" i="17"/>
  <c r="F360" i="17"/>
  <c r="CA89" i="14"/>
  <c r="CA88" i="14"/>
  <c r="CA87" i="14"/>
  <c r="CA86" i="14"/>
  <c r="CA85" i="14"/>
  <c r="CA84" i="14"/>
  <c r="CA83" i="14"/>
  <c r="CA82" i="14"/>
  <c r="CA81" i="14"/>
  <c r="CA80" i="14"/>
  <c r="CA79" i="14"/>
  <c r="CA78" i="14"/>
  <c r="CA44" i="14"/>
  <c r="CA43" i="14"/>
  <c r="CA42" i="14"/>
  <c r="CA41" i="14"/>
  <c r="CA40" i="14"/>
  <c r="CA39" i="14"/>
  <c r="CA38" i="14"/>
  <c r="CA37" i="14"/>
  <c r="CA36" i="14"/>
  <c r="CA35" i="14"/>
  <c r="CA34" i="14"/>
  <c r="CA33" i="14"/>
  <c r="CA32" i="14"/>
  <c r="CA31" i="14"/>
  <c r="CA30" i="14"/>
  <c r="CA29" i="14"/>
  <c r="CA28" i="14"/>
  <c r="CA27" i="14"/>
  <c r="CA26" i="14"/>
  <c r="CA25" i="14"/>
  <c r="CA24" i="14"/>
  <c r="CA23" i="14"/>
  <c r="CA22" i="14"/>
  <c r="CA21" i="14"/>
  <c r="CA20" i="14"/>
  <c r="CA19" i="14"/>
  <c r="CA18" i="14"/>
  <c r="CA17" i="14"/>
  <c r="CA16" i="14"/>
  <c r="CA15" i="14"/>
  <c r="CA14" i="14"/>
  <c r="CA13" i="14"/>
  <c r="CA12" i="14"/>
  <c r="R32" i="18" l="1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D274" i="17" l="1"/>
  <c r="D272" i="17"/>
  <c r="D282" i="17" s="1"/>
  <c r="D271" i="17"/>
  <c r="C206" i="17"/>
  <c r="F206" i="17"/>
  <c r="C207" i="17"/>
  <c r="F207" i="17"/>
  <c r="D220" i="17" s="1"/>
  <c r="C208" i="17"/>
  <c r="F208" i="17"/>
  <c r="D217" i="17" s="1"/>
  <c r="C209" i="17"/>
  <c r="F209" i="17"/>
  <c r="D219" i="17" s="1"/>
  <c r="C210" i="17"/>
  <c r="F210" i="17"/>
  <c r="C211" i="17"/>
  <c r="F211" i="17"/>
  <c r="C212" i="17"/>
  <c r="F212" i="17"/>
  <c r="C213" i="17"/>
  <c r="F213" i="17"/>
  <c r="C214" i="17"/>
  <c r="F214" i="17"/>
  <c r="F205" i="17"/>
  <c r="C205" i="17"/>
  <c r="J8" i="17"/>
  <c r="H230" i="17" s="1"/>
  <c r="J9" i="17"/>
  <c r="H231" i="17" s="1"/>
  <c r="J10" i="17"/>
  <c r="H232" i="17" s="1"/>
  <c r="J11" i="17"/>
  <c r="H233" i="17" s="1"/>
  <c r="J12" i="17"/>
  <c r="H234" i="17" s="1"/>
  <c r="J13" i="17"/>
  <c r="H235" i="17" s="1"/>
  <c r="J14" i="17"/>
  <c r="H236" i="17" s="1"/>
  <c r="J15" i="17"/>
  <c r="H237" i="17" s="1"/>
  <c r="J16" i="17"/>
  <c r="H238" i="17" s="1"/>
  <c r="J17" i="17"/>
  <c r="H239" i="17" s="1"/>
  <c r="J18" i="17"/>
  <c r="H240" i="17" s="1"/>
  <c r="J19" i="17"/>
  <c r="H241" i="17" s="1"/>
  <c r="J20" i="17"/>
  <c r="H242" i="17" s="1"/>
  <c r="J21" i="17"/>
  <c r="H243" i="17" s="1"/>
  <c r="J22" i="17"/>
  <c r="H244" i="17" s="1"/>
  <c r="J23" i="17"/>
  <c r="H245" i="17" s="1"/>
  <c r="J24" i="17"/>
  <c r="H246" i="17" s="1"/>
  <c r="J25" i="17"/>
  <c r="H247" i="17" s="1"/>
  <c r="J26" i="17"/>
  <c r="H248" i="17" s="1"/>
  <c r="J27" i="17"/>
  <c r="H249" i="17" s="1"/>
  <c r="J28" i="17"/>
  <c r="H250" i="17" s="1"/>
  <c r="J29" i="17"/>
  <c r="H251" i="17" s="1"/>
  <c r="J30" i="17"/>
  <c r="H252" i="17" s="1"/>
  <c r="J31" i="17"/>
  <c r="H253" i="17" s="1"/>
  <c r="J32" i="17"/>
  <c r="H254" i="17" s="1"/>
  <c r="J33" i="17"/>
  <c r="H255" i="17" s="1"/>
  <c r="J34" i="17"/>
  <c r="H256" i="17" s="1"/>
  <c r="J35" i="17"/>
  <c r="H257" i="17" s="1"/>
  <c r="J36" i="17"/>
  <c r="H258" i="17" s="1"/>
  <c r="J37" i="17"/>
  <c r="H259" i="17" s="1"/>
  <c r="J38" i="17"/>
  <c r="H260" i="17" s="1"/>
  <c r="J39" i="17"/>
  <c r="H261" i="17" s="1"/>
  <c r="J40" i="17"/>
  <c r="F229" i="17" s="1"/>
  <c r="J41" i="17"/>
  <c r="J42" i="17"/>
  <c r="F231" i="17" s="1"/>
  <c r="J43" i="17"/>
  <c r="J44" i="17"/>
  <c r="F233" i="17" s="1"/>
  <c r="J45" i="17"/>
  <c r="F234" i="17" s="1"/>
  <c r="J46" i="17"/>
  <c r="F235" i="17" s="1"/>
  <c r="J47" i="17"/>
  <c r="F236" i="17" s="1"/>
  <c r="J48" i="17"/>
  <c r="F237" i="17" s="1"/>
  <c r="J49" i="17"/>
  <c r="F238" i="17" s="1"/>
  <c r="J50" i="17"/>
  <c r="F239" i="17" s="1"/>
  <c r="J51" i="17"/>
  <c r="F240" i="17" s="1"/>
  <c r="J52" i="17"/>
  <c r="F241" i="17" s="1"/>
  <c r="J53" i="17"/>
  <c r="F242" i="17" s="1"/>
  <c r="J54" i="17"/>
  <c r="J55" i="17"/>
  <c r="J56" i="17"/>
  <c r="F245" i="17" s="1"/>
  <c r="J57" i="17"/>
  <c r="F246" i="17" s="1"/>
  <c r="J58" i="17"/>
  <c r="F247" i="17" s="1"/>
  <c r="J59" i="17"/>
  <c r="F248" i="17" s="1"/>
  <c r="J60" i="17"/>
  <c r="F249" i="17" s="1"/>
  <c r="J61" i="17"/>
  <c r="F250" i="17" s="1"/>
  <c r="J62" i="17"/>
  <c r="F251" i="17" s="1"/>
  <c r="J63" i="17"/>
  <c r="F252" i="17" s="1"/>
  <c r="J64" i="17"/>
  <c r="F253" i="17" s="1"/>
  <c r="J65" i="17"/>
  <c r="F254" i="17" s="1"/>
  <c r="J66" i="17"/>
  <c r="F255" i="17" s="1"/>
  <c r="J67" i="17"/>
  <c r="F256" i="17" s="1"/>
  <c r="J68" i="17"/>
  <c r="F257" i="17" s="1"/>
  <c r="J69" i="17"/>
  <c r="F258" i="17" s="1"/>
  <c r="J70" i="17"/>
  <c r="F259" i="17" s="1"/>
  <c r="J71" i="17"/>
  <c r="J72" i="17"/>
  <c r="F261" i="17" s="1"/>
  <c r="J73" i="17"/>
  <c r="D229" i="17" s="1"/>
  <c r="J74" i="17"/>
  <c r="D230" i="17" s="1"/>
  <c r="J75" i="17"/>
  <c r="D231" i="17" s="1"/>
  <c r="J76" i="17"/>
  <c r="D232" i="17" s="1"/>
  <c r="J77" i="17"/>
  <c r="D233" i="17" s="1"/>
  <c r="J78" i="17"/>
  <c r="D234" i="17" s="1"/>
  <c r="J79" i="17"/>
  <c r="D235" i="17" s="1"/>
  <c r="J80" i="17"/>
  <c r="D236" i="17" s="1"/>
  <c r="J81" i="17"/>
  <c r="D237" i="17" s="1"/>
  <c r="J82" i="17"/>
  <c r="D238" i="17" s="1"/>
  <c r="J83" i="17"/>
  <c r="D239" i="17" s="1"/>
  <c r="J84" i="17"/>
  <c r="D240" i="17" s="1"/>
  <c r="J85" i="17"/>
  <c r="D241" i="17" s="1"/>
  <c r="J86" i="17"/>
  <c r="D242" i="17" s="1"/>
  <c r="J87" i="17"/>
  <c r="D243" i="17" s="1"/>
  <c r="J88" i="17"/>
  <c r="D244" i="17" s="1"/>
  <c r="J89" i="17"/>
  <c r="D245" i="17" s="1"/>
  <c r="J90" i="17"/>
  <c r="D246" i="17" s="1"/>
  <c r="J91" i="17"/>
  <c r="D247" i="17" s="1"/>
  <c r="J92" i="17"/>
  <c r="D248" i="17" s="1"/>
  <c r="J93" i="17"/>
  <c r="D249" i="17" s="1"/>
  <c r="J94" i="17"/>
  <c r="D250" i="17" s="1"/>
  <c r="J95" i="17"/>
  <c r="D251" i="17" s="1"/>
  <c r="J96" i="17"/>
  <c r="D252" i="17" s="1"/>
  <c r="J97" i="17"/>
  <c r="D253" i="17" s="1"/>
  <c r="J98" i="17"/>
  <c r="D254" i="17" s="1"/>
  <c r="J99" i="17"/>
  <c r="D255" i="17" s="1"/>
  <c r="J100" i="17"/>
  <c r="D256" i="17" s="1"/>
  <c r="J101" i="17"/>
  <c r="D257" i="17" s="1"/>
  <c r="J102" i="17"/>
  <c r="J103" i="17"/>
  <c r="J104" i="17"/>
  <c r="D260" i="17" s="1"/>
  <c r="J105" i="17"/>
  <c r="D261" i="17" s="1"/>
  <c r="J106" i="17"/>
  <c r="G229" i="17" s="1"/>
  <c r="J107" i="17"/>
  <c r="G230" i="17" s="1"/>
  <c r="J108" i="17"/>
  <c r="G231" i="17" s="1"/>
  <c r="J109" i="17"/>
  <c r="G232" i="17" s="1"/>
  <c r="J110" i="17"/>
  <c r="G233" i="17" s="1"/>
  <c r="J111" i="17"/>
  <c r="G234" i="17" s="1"/>
  <c r="J112" i="17"/>
  <c r="G235" i="17" s="1"/>
  <c r="J113" i="17"/>
  <c r="G236" i="17" s="1"/>
  <c r="J114" i="17"/>
  <c r="G237" i="17" s="1"/>
  <c r="J115" i="17"/>
  <c r="G238" i="17" s="1"/>
  <c r="J116" i="17"/>
  <c r="G239" i="17" s="1"/>
  <c r="J117" i="17"/>
  <c r="G240" i="17" s="1"/>
  <c r="J118" i="17"/>
  <c r="G241" i="17" s="1"/>
  <c r="J119" i="17"/>
  <c r="G242" i="17" s="1"/>
  <c r="J120" i="17"/>
  <c r="G243" i="17" s="1"/>
  <c r="J121" i="17"/>
  <c r="G244" i="17" s="1"/>
  <c r="J122" i="17"/>
  <c r="G245" i="17" s="1"/>
  <c r="J123" i="17"/>
  <c r="J124" i="17"/>
  <c r="G247" i="17" s="1"/>
  <c r="J125" i="17"/>
  <c r="G248" i="17" s="1"/>
  <c r="J126" i="17"/>
  <c r="G249" i="17" s="1"/>
  <c r="J127" i="17"/>
  <c r="G250" i="17" s="1"/>
  <c r="J128" i="17"/>
  <c r="G251" i="17" s="1"/>
  <c r="J129" i="17"/>
  <c r="G252" i="17" s="1"/>
  <c r="J130" i="17"/>
  <c r="G253" i="17" s="1"/>
  <c r="J131" i="17"/>
  <c r="G254" i="17" s="1"/>
  <c r="J132" i="17"/>
  <c r="G255" i="17" s="1"/>
  <c r="J133" i="17"/>
  <c r="G256" i="17" s="1"/>
  <c r="J134" i="17"/>
  <c r="G257" i="17" s="1"/>
  <c r="J135" i="17"/>
  <c r="G258" i="17" s="1"/>
  <c r="J136" i="17"/>
  <c r="G259" i="17" s="1"/>
  <c r="J137" i="17"/>
  <c r="G260" i="17" s="1"/>
  <c r="J138" i="17"/>
  <c r="G261" i="17" s="1"/>
  <c r="J139" i="17"/>
  <c r="J140" i="17"/>
  <c r="E230" i="17" s="1"/>
  <c r="J141" i="17"/>
  <c r="E231" i="17" s="1"/>
  <c r="J142" i="17"/>
  <c r="E232" i="17" s="1"/>
  <c r="J143" i="17"/>
  <c r="E233" i="17" s="1"/>
  <c r="J144" i="17"/>
  <c r="E234" i="17" s="1"/>
  <c r="J145" i="17"/>
  <c r="E235" i="17" s="1"/>
  <c r="J146" i="17"/>
  <c r="E236" i="17" s="1"/>
  <c r="J147" i="17"/>
  <c r="E237" i="17" s="1"/>
  <c r="J148" i="17"/>
  <c r="E238" i="17" s="1"/>
  <c r="J149" i="17"/>
  <c r="E239" i="17" s="1"/>
  <c r="J150" i="17"/>
  <c r="J151" i="17"/>
  <c r="J152" i="17"/>
  <c r="E242" i="17" s="1"/>
  <c r="J153" i="17"/>
  <c r="E243" i="17" s="1"/>
  <c r="J154" i="17"/>
  <c r="E244" i="17" s="1"/>
  <c r="J155" i="17"/>
  <c r="E245" i="17" s="1"/>
  <c r="J156" i="17"/>
  <c r="E246" i="17" s="1"/>
  <c r="J157" i="17"/>
  <c r="E247" i="17" s="1"/>
  <c r="J158" i="17"/>
  <c r="E248" i="17" s="1"/>
  <c r="J159" i="17"/>
  <c r="E249" i="17" s="1"/>
  <c r="J160" i="17"/>
  <c r="E250" i="17" s="1"/>
  <c r="J161" i="17"/>
  <c r="E251" i="17" s="1"/>
  <c r="J162" i="17"/>
  <c r="E252" i="17" s="1"/>
  <c r="J163" i="17"/>
  <c r="E253" i="17" s="1"/>
  <c r="J164" i="17"/>
  <c r="E254" i="17" s="1"/>
  <c r="J165" i="17"/>
  <c r="E255" i="17" s="1"/>
  <c r="J166" i="17"/>
  <c r="J167" i="17"/>
  <c r="J168" i="17"/>
  <c r="E258" i="17" s="1"/>
  <c r="J169" i="17"/>
  <c r="J170" i="17"/>
  <c r="J171" i="17"/>
  <c r="J7" i="17"/>
  <c r="H229" i="17" s="1"/>
  <c r="H17" i="4"/>
  <c r="G330" i="17" s="1"/>
  <c r="K233" i="17" l="1"/>
  <c r="N250" i="17"/>
  <c r="N249" i="17"/>
  <c r="K234" i="17"/>
  <c r="O252" i="17"/>
  <c r="D218" i="17"/>
  <c r="O251" i="17"/>
  <c r="L238" i="17"/>
  <c r="N247" i="17"/>
  <c r="L237" i="17"/>
  <c r="K255" i="17"/>
  <c r="L236" i="17"/>
  <c r="N245" i="17"/>
  <c r="K254" i="17"/>
  <c r="G265" i="17"/>
  <c r="F265" i="17"/>
  <c r="E265" i="17"/>
  <c r="D275" i="17"/>
  <c r="D277" i="17" s="1"/>
  <c r="K235" i="17"/>
  <c r="O253" i="17"/>
  <c r="M239" i="17"/>
  <c r="O248" i="17"/>
  <c r="L231" i="17"/>
  <c r="M242" i="17"/>
  <c r="K231" i="17"/>
  <c r="O249" i="17"/>
  <c r="L235" i="17"/>
  <c r="K251" i="17"/>
  <c r="M235" i="17"/>
  <c r="M236" i="17"/>
  <c r="L255" i="17"/>
  <c r="L254" i="17"/>
  <c r="O242" i="17"/>
  <c r="L252" i="17"/>
  <c r="N237" i="17"/>
  <c r="M255" i="17"/>
  <c r="M231" i="17"/>
  <c r="L233" i="17"/>
  <c r="L253" i="17"/>
  <c r="N235" i="17"/>
  <c r="M253" i="17"/>
  <c r="O238" i="17"/>
  <c r="M254" i="17"/>
  <c r="L249" i="17"/>
  <c r="K242" i="17"/>
  <c r="M251" i="17"/>
  <c r="O236" i="17"/>
  <c r="L239" i="17"/>
  <c r="O247" i="17"/>
  <c r="O245" i="17"/>
  <c r="M233" i="17"/>
  <c r="L251" i="17"/>
  <c r="K245" i="17"/>
  <c r="N234" i="17"/>
  <c r="M252" i="17"/>
  <c r="N233" i="17"/>
  <c r="L247" i="17"/>
  <c r="M250" i="17"/>
  <c r="O235" i="17"/>
  <c r="L234" i="17"/>
  <c r="K250" i="17"/>
  <c r="K248" i="17"/>
  <c r="O315" i="17" s="1"/>
  <c r="K247" i="17"/>
  <c r="O314" i="17" s="1"/>
  <c r="N236" i="17"/>
  <c r="L250" i="17"/>
  <c r="O237" i="17"/>
  <c r="N255" i="17"/>
  <c r="N231" i="17"/>
  <c r="M249" i="17"/>
  <c r="O234" i="17"/>
  <c r="O250" i="17"/>
  <c r="K253" i="17"/>
  <c r="K252" i="17"/>
  <c r="N239" i="17"/>
  <c r="N238" i="17"/>
  <c r="O239" i="17"/>
  <c r="L248" i="17"/>
  <c r="L245" i="17"/>
  <c r="N254" i="17"/>
  <c r="K239" i="17"/>
  <c r="M248" i="17"/>
  <c r="O233" i="17"/>
  <c r="M237" i="17"/>
  <c r="K249" i="17"/>
  <c r="K238" i="17"/>
  <c r="M247" i="17"/>
  <c r="N242" i="17"/>
  <c r="N253" i="17"/>
  <c r="N248" i="17"/>
  <c r="M238" i="17"/>
  <c r="M234" i="17"/>
  <c r="N252" i="17"/>
  <c r="K237" i="17"/>
  <c r="O255" i="17"/>
  <c r="O231" i="17"/>
  <c r="L242" i="17"/>
  <c r="N251" i="17"/>
  <c r="K236" i="17"/>
  <c r="M245" i="17"/>
  <c r="O254" i="17"/>
  <c r="D258" i="17"/>
  <c r="K258" i="17" s="1"/>
  <c r="F243" i="17"/>
  <c r="M243" i="17" s="1"/>
  <c r="E229" i="17"/>
  <c r="K229" i="17" s="1"/>
  <c r="F232" i="17"/>
  <c r="M232" i="17" s="1"/>
  <c r="G246" i="17"/>
  <c r="N246" i="17" s="1"/>
  <c r="E240" i="17"/>
  <c r="L240" i="17" s="1"/>
  <c r="F230" i="17"/>
  <c r="M230" i="17" s="1"/>
  <c r="F244" i="17"/>
  <c r="M244" i="17" s="1"/>
  <c r="E257" i="17"/>
  <c r="L257" i="17" s="1"/>
  <c r="D259" i="17"/>
  <c r="E261" i="17"/>
  <c r="L261" i="17" s="1"/>
  <c r="E260" i="17"/>
  <c r="E259" i="17"/>
  <c r="E256" i="17"/>
  <c r="L256" i="17" s="1"/>
  <c r="F260" i="17"/>
  <c r="E241" i="17"/>
  <c r="L241" i="17" s="1"/>
  <c r="M5" i="17"/>
  <c r="V1096" i="16"/>
  <c r="X1095" i="16"/>
  <c r="W1095" i="16"/>
  <c r="W6" i="16"/>
  <c r="X6" i="16"/>
  <c r="V7" i="16"/>
  <c r="X7" i="16" s="1"/>
  <c r="D4" i="14"/>
  <c r="CB88" i="14"/>
  <c r="BZ88" i="14"/>
  <c r="CE92" i="14"/>
  <c r="CD92" i="14"/>
  <c r="CC92" i="14"/>
  <c r="BX92" i="14"/>
  <c r="BW92" i="14"/>
  <c r="BV92" i="14"/>
  <c r="CE91" i="14"/>
  <c r="CD91" i="14"/>
  <c r="CC91" i="14"/>
  <c r="BX91" i="14"/>
  <c r="BW91" i="14"/>
  <c r="BV91" i="14"/>
  <c r="CE90" i="14"/>
  <c r="CD90" i="14"/>
  <c r="CC90" i="14"/>
  <c r="BX90" i="14"/>
  <c r="BW90" i="14"/>
  <c r="BV90" i="14"/>
  <c r="CE89" i="14"/>
  <c r="CD89" i="14"/>
  <c r="CC89" i="14"/>
  <c r="CB89" i="14"/>
  <c r="BZ89" i="14"/>
  <c r="BY89" i="14"/>
  <c r="BX89" i="14"/>
  <c r="BW89" i="14"/>
  <c r="BV89" i="14"/>
  <c r="CE88" i="14"/>
  <c r="CD88" i="14"/>
  <c r="CC88" i="14"/>
  <c r="BY88" i="14"/>
  <c r="BX88" i="14"/>
  <c r="BW88" i="14"/>
  <c r="BV88" i="14"/>
  <c r="CE87" i="14"/>
  <c r="CD87" i="14"/>
  <c r="CC87" i="14"/>
  <c r="CB87" i="14"/>
  <c r="BZ87" i="14"/>
  <c r="BY87" i="14"/>
  <c r="BX87" i="14"/>
  <c r="BW87" i="14"/>
  <c r="BV87" i="14"/>
  <c r="CE86" i="14"/>
  <c r="CD86" i="14"/>
  <c r="CB86" i="14"/>
  <c r="BZ86" i="14"/>
  <c r="BY86" i="14"/>
  <c r="BX86" i="14"/>
  <c r="BW86" i="14"/>
  <c r="BV86" i="14"/>
  <c r="CE85" i="14"/>
  <c r="CD85" i="14"/>
  <c r="CC85" i="14"/>
  <c r="CB85" i="14"/>
  <c r="BZ85" i="14"/>
  <c r="BY85" i="14"/>
  <c r="BX85" i="14"/>
  <c r="BW85" i="14"/>
  <c r="BV85" i="14"/>
  <c r="CE84" i="14"/>
  <c r="CD84" i="14"/>
  <c r="CC84" i="14"/>
  <c r="CB84" i="14"/>
  <c r="BZ84" i="14"/>
  <c r="BY84" i="14"/>
  <c r="BX84" i="14"/>
  <c r="BW84" i="14"/>
  <c r="BV84" i="14"/>
  <c r="CE83" i="14"/>
  <c r="CD83" i="14"/>
  <c r="CC83" i="14"/>
  <c r="CB83" i="14"/>
  <c r="BZ83" i="14"/>
  <c r="BY83" i="14"/>
  <c r="BX83" i="14"/>
  <c r="BW83" i="14"/>
  <c r="BV83" i="14"/>
  <c r="CE82" i="14"/>
  <c r="CD82" i="14"/>
  <c r="CC82" i="14"/>
  <c r="CB82" i="14"/>
  <c r="BZ82" i="14"/>
  <c r="BY82" i="14"/>
  <c r="BX82" i="14"/>
  <c r="BW82" i="14"/>
  <c r="BV82" i="14"/>
  <c r="CE81" i="14"/>
  <c r="CD81" i="14"/>
  <c r="CC81" i="14"/>
  <c r="CB81" i="14"/>
  <c r="BZ81" i="14"/>
  <c r="BY81" i="14"/>
  <c r="BX81" i="14"/>
  <c r="BW81" i="14"/>
  <c r="BV81" i="14"/>
  <c r="CE79" i="14"/>
  <c r="CD79" i="14"/>
  <c r="CC79" i="14"/>
  <c r="CB79" i="14"/>
  <c r="BZ79" i="14"/>
  <c r="BY79" i="14"/>
  <c r="BX79" i="14"/>
  <c r="BW79" i="14"/>
  <c r="BV79" i="14"/>
  <c r="CE78" i="14"/>
  <c r="CD78" i="14"/>
  <c r="CC78" i="14"/>
  <c r="CB78" i="14"/>
  <c r="BZ78" i="14"/>
  <c r="BY78" i="14"/>
  <c r="BX78" i="14"/>
  <c r="BW78" i="14"/>
  <c r="BU92" i="14"/>
  <c r="BT92" i="14"/>
  <c r="BR92" i="14"/>
  <c r="BQ92" i="14"/>
  <c r="BP92" i="14"/>
  <c r="BO92" i="14"/>
  <c r="BN92" i="14"/>
  <c r="BM92" i="14"/>
  <c r="BL92" i="14"/>
  <c r="BK92" i="14"/>
  <c r="BJ92" i="14"/>
  <c r="BI92" i="14"/>
  <c r="BH92" i="14"/>
  <c r="BG92" i="14"/>
  <c r="BF92" i="14"/>
  <c r="BE92" i="14"/>
  <c r="BD92" i="14"/>
  <c r="BC92" i="14"/>
  <c r="BB92" i="14"/>
  <c r="BA92" i="14"/>
  <c r="AZ92" i="14"/>
  <c r="AY92" i="14"/>
  <c r="AX92" i="14"/>
  <c r="AW92" i="14"/>
  <c r="AV92" i="14"/>
  <c r="AU92" i="14"/>
  <c r="AT92" i="14"/>
  <c r="AS92" i="14"/>
  <c r="AR92" i="14"/>
  <c r="AQ92" i="14"/>
  <c r="AP92" i="14"/>
  <c r="AO92" i="14"/>
  <c r="AN92" i="14"/>
  <c r="AM92" i="14"/>
  <c r="AL92" i="14"/>
  <c r="AK92" i="14"/>
  <c r="AJ92" i="14"/>
  <c r="AI92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U91" i="14"/>
  <c r="BT91" i="14"/>
  <c r="BR91" i="14"/>
  <c r="BQ91" i="14"/>
  <c r="BP91" i="14"/>
  <c r="BO91" i="14"/>
  <c r="BN91" i="14"/>
  <c r="BM91" i="14"/>
  <c r="BL91" i="14"/>
  <c r="BK91" i="14"/>
  <c r="BJ91" i="14"/>
  <c r="BI91" i="14"/>
  <c r="BH91" i="14"/>
  <c r="BG91" i="14"/>
  <c r="BF91" i="14"/>
  <c r="BE91" i="14"/>
  <c r="BD91" i="14"/>
  <c r="BC91" i="14"/>
  <c r="BB91" i="14"/>
  <c r="BA91" i="14"/>
  <c r="AZ91" i="14"/>
  <c r="AY91" i="14"/>
  <c r="AX91" i="14"/>
  <c r="AW91" i="14"/>
  <c r="AV91" i="14"/>
  <c r="AU91" i="14"/>
  <c r="AT91" i="14"/>
  <c r="AS91" i="14"/>
  <c r="AR91" i="14"/>
  <c r="AQ91" i="14"/>
  <c r="AP91" i="14"/>
  <c r="AO91" i="14"/>
  <c r="AN91" i="14"/>
  <c r="AM91" i="14"/>
  <c r="AL91" i="14"/>
  <c r="AK91" i="14"/>
  <c r="AJ91" i="14"/>
  <c r="AI91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U90" i="14"/>
  <c r="BT90" i="14"/>
  <c r="BR90" i="14"/>
  <c r="BQ90" i="14"/>
  <c r="BP90" i="14"/>
  <c r="BO90" i="14"/>
  <c r="BN90" i="14"/>
  <c r="BM90" i="14"/>
  <c r="BL90" i="14"/>
  <c r="BK90" i="14"/>
  <c r="BJ90" i="14"/>
  <c r="BI90" i="14"/>
  <c r="BH90" i="14"/>
  <c r="BG90" i="14"/>
  <c r="BF90" i="14"/>
  <c r="BE90" i="14"/>
  <c r="BD90" i="14"/>
  <c r="BC90" i="14"/>
  <c r="BB90" i="14"/>
  <c r="BA90" i="14"/>
  <c r="AZ90" i="14"/>
  <c r="AY90" i="14"/>
  <c r="AX90" i="14"/>
  <c r="AW90" i="14"/>
  <c r="AV90" i="14"/>
  <c r="AU90" i="14"/>
  <c r="AT90" i="14"/>
  <c r="AS90" i="14"/>
  <c r="AR90" i="14"/>
  <c r="AQ90" i="14"/>
  <c r="AP90" i="14"/>
  <c r="AO90" i="14"/>
  <c r="AN90" i="14"/>
  <c r="AM90" i="14"/>
  <c r="AL90" i="14"/>
  <c r="AK90" i="14"/>
  <c r="AJ90" i="14"/>
  <c r="AI90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R89" i="14"/>
  <c r="BQ89" i="14"/>
  <c r="BP89" i="14"/>
  <c r="BO89" i="14"/>
  <c r="BN89" i="14"/>
  <c r="BM89" i="14"/>
  <c r="BL89" i="14"/>
  <c r="BK89" i="14"/>
  <c r="BJ89" i="14"/>
  <c r="BI89" i="14"/>
  <c r="BH89" i="14"/>
  <c r="BG89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T88" i="14"/>
  <c r="BQ88" i="14"/>
  <c r="BP88" i="14"/>
  <c r="BO88" i="14"/>
  <c r="BN88" i="14"/>
  <c r="BM88" i="14"/>
  <c r="BL88" i="14"/>
  <c r="BK88" i="14"/>
  <c r="BJ88" i="14"/>
  <c r="BI88" i="14"/>
  <c r="BH88" i="14"/>
  <c r="BG88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T87" i="14"/>
  <c r="BQ87" i="14"/>
  <c r="BP87" i="14"/>
  <c r="BO87" i="14"/>
  <c r="BN87" i="14"/>
  <c r="BM87" i="14"/>
  <c r="BL87" i="14"/>
  <c r="BK87" i="14"/>
  <c r="BJ87" i="14"/>
  <c r="BI87" i="14"/>
  <c r="BH87" i="14"/>
  <c r="BG87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T86" i="14"/>
  <c r="BR86" i="14"/>
  <c r="BP86" i="14"/>
  <c r="BO86" i="14"/>
  <c r="BN86" i="14"/>
  <c r="BM86" i="14"/>
  <c r="BL86" i="14"/>
  <c r="BK86" i="14"/>
  <c r="BJ86" i="14"/>
  <c r="BI86" i="14"/>
  <c r="BH86" i="14"/>
  <c r="BG86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U85" i="14"/>
  <c r="BT85" i="14"/>
  <c r="BR85" i="14"/>
  <c r="BQ85" i="14"/>
  <c r="BP85" i="14"/>
  <c r="BO85" i="14"/>
  <c r="BN85" i="14"/>
  <c r="BM85" i="14"/>
  <c r="BL85" i="14"/>
  <c r="BK85" i="14"/>
  <c r="BJ85" i="14"/>
  <c r="BI85" i="14"/>
  <c r="BH85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U84" i="14"/>
  <c r="BT84" i="14"/>
  <c r="BR84" i="14"/>
  <c r="BQ84" i="14"/>
  <c r="BP84" i="14"/>
  <c r="BO84" i="14"/>
  <c r="BN84" i="14"/>
  <c r="BM84" i="14"/>
  <c r="BL84" i="14"/>
  <c r="BK84" i="14"/>
  <c r="BJ84" i="14"/>
  <c r="BI84" i="14"/>
  <c r="BH84" i="14"/>
  <c r="BG84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U83" i="14"/>
  <c r="BT83" i="14"/>
  <c r="BR83" i="14"/>
  <c r="BQ83" i="14"/>
  <c r="BP83" i="14"/>
  <c r="BO83" i="14"/>
  <c r="BN83" i="14"/>
  <c r="BM83" i="14"/>
  <c r="BL83" i="14"/>
  <c r="BK83" i="14"/>
  <c r="BJ83" i="14"/>
  <c r="BI83" i="14"/>
  <c r="BH83" i="14"/>
  <c r="BG83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U82" i="14"/>
  <c r="BT82" i="14"/>
  <c r="BR82" i="14"/>
  <c r="BQ82" i="14"/>
  <c r="BP82" i="14"/>
  <c r="BO82" i="14"/>
  <c r="BN82" i="14"/>
  <c r="BM82" i="14"/>
  <c r="BL82" i="14"/>
  <c r="BK82" i="14"/>
  <c r="BJ82" i="14"/>
  <c r="BI82" i="14"/>
  <c r="BH82" i="14"/>
  <c r="BG82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U81" i="14"/>
  <c r="BT81" i="14"/>
  <c r="BR81" i="14"/>
  <c r="BQ81" i="14"/>
  <c r="BP81" i="14"/>
  <c r="BO81" i="14"/>
  <c r="BN81" i="14"/>
  <c r="BM81" i="14"/>
  <c r="BL81" i="14"/>
  <c r="BK81" i="14"/>
  <c r="BJ81" i="14"/>
  <c r="BI81" i="14"/>
  <c r="BH81" i="14"/>
  <c r="BG81" i="14"/>
  <c r="BF81" i="14"/>
  <c r="BE81" i="14"/>
  <c r="BD81" i="14"/>
  <c r="BC81" i="14"/>
  <c r="BB81" i="14"/>
  <c r="BA81" i="14"/>
  <c r="AZ81" i="14"/>
  <c r="AY81" i="14"/>
  <c r="AX81" i="14"/>
  <c r="AW81" i="14"/>
  <c r="AV81" i="14"/>
  <c r="AU81" i="14"/>
  <c r="AT81" i="14"/>
  <c r="AS81" i="14"/>
  <c r="AR81" i="14"/>
  <c r="AQ81" i="14"/>
  <c r="AP81" i="14"/>
  <c r="AO81" i="14"/>
  <c r="AN81" i="14"/>
  <c r="AM81" i="14"/>
  <c r="AL81" i="14"/>
  <c r="AK81" i="14"/>
  <c r="AJ81" i="14"/>
  <c r="BU79" i="14"/>
  <c r="BT79" i="14"/>
  <c r="BR79" i="14"/>
  <c r="BQ79" i="14"/>
  <c r="BP79" i="14"/>
  <c r="BO79" i="14"/>
  <c r="BN79" i="14"/>
  <c r="BM79" i="14"/>
  <c r="BL79" i="14"/>
  <c r="BK79" i="14"/>
  <c r="BJ79" i="14"/>
  <c r="BI79" i="14"/>
  <c r="BH79" i="14"/>
  <c r="BG79" i="14"/>
  <c r="BF79" i="14"/>
  <c r="BE79" i="14"/>
  <c r="BD79" i="14"/>
  <c r="BC79" i="14"/>
  <c r="BB79" i="14"/>
  <c r="BA79" i="14"/>
  <c r="AZ79" i="14"/>
  <c r="AY79" i="14"/>
  <c r="AX79" i="14"/>
  <c r="AW79" i="14"/>
  <c r="AV79" i="14"/>
  <c r="AU79" i="14"/>
  <c r="AT79" i="14"/>
  <c r="AS79" i="14"/>
  <c r="AR79" i="14"/>
  <c r="AQ79" i="14"/>
  <c r="AP79" i="14"/>
  <c r="AO79" i="14"/>
  <c r="AN79" i="14"/>
  <c r="AM79" i="14"/>
  <c r="AL79" i="14"/>
  <c r="AK79" i="14"/>
  <c r="AJ79" i="14"/>
  <c r="BV78" i="14"/>
  <c r="BU78" i="14"/>
  <c r="BT78" i="14"/>
  <c r="BR78" i="14"/>
  <c r="BQ78" i="14"/>
  <c r="BP78" i="14"/>
  <c r="BO78" i="14"/>
  <c r="BN78" i="14"/>
  <c r="BM78" i="14"/>
  <c r="BL78" i="14"/>
  <c r="BK78" i="14"/>
  <c r="BJ78" i="14"/>
  <c r="BI78" i="14"/>
  <c r="BH78" i="14"/>
  <c r="BG78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CE77" i="14"/>
  <c r="CD77" i="14"/>
  <c r="BX77" i="14"/>
  <c r="BW77" i="14"/>
  <c r="BV77" i="14"/>
  <c r="BU77" i="14"/>
  <c r="BT77" i="14"/>
  <c r="BR77" i="14"/>
  <c r="BQ77" i="14"/>
  <c r="BP77" i="14"/>
  <c r="BO77" i="14"/>
  <c r="BN77" i="14"/>
  <c r="BM77" i="14"/>
  <c r="BL77" i="14"/>
  <c r="BK77" i="14"/>
  <c r="BJ77" i="14"/>
  <c r="BI77" i="14"/>
  <c r="BH77" i="14"/>
  <c r="BG77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CE76" i="14"/>
  <c r="CD76" i="14"/>
  <c r="BX76" i="14"/>
  <c r="BW76" i="14"/>
  <c r="BV76" i="14"/>
  <c r="BU76" i="14"/>
  <c r="BT76" i="14"/>
  <c r="BR76" i="14"/>
  <c r="BQ76" i="14"/>
  <c r="BP76" i="14"/>
  <c r="BO76" i="14"/>
  <c r="BN76" i="14"/>
  <c r="BM76" i="14"/>
  <c r="BL76" i="14"/>
  <c r="BK76" i="14"/>
  <c r="BJ76" i="14"/>
  <c r="BI76" i="14"/>
  <c r="BH76" i="14"/>
  <c r="BG76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CE75" i="14"/>
  <c r="CD75" i="14"/>
  <c r="BX75" i="14"/>
  <c r="BW75" i="14"/>
  <c r="BV75" i="14"/>
  <c r="BU75" i="14"/>
  <c r="BT75" i="14"/>
  <c r="BR75" i="14"/>
  <c r="BQ75" i="14"/>
  <c r="BP75" i="14"/>
  <c r="BO75" i="14"/>
  <c r="BN75" i="14"/>
  <c r="BM75" i="14"/>
  <c r="BL75" i="14"/>
  <c r="BK75" i="14"/>
  <c r="BJ75" i="14"/>
  <c r="BI75" i="14"/>
  <c r="BH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CE74" i="14"/>
  <c r="CD74" i="14"/>
  <c r="BX74" i="14"/>
  <c r="BW74" i="14"/>
  <c r="BV74" i="14"/>
  <c r="BU74" i="14"/>
  <c r="BT74" i="14"/>
  <c r="BR74" i="14"/>
  <c r="BQ74" i="14"/>
  <c r="BP74" i="14"/>
  <c r="BO74" i="14"/>
  <c r="BN74" i="14"/>
  <c r="BM74" i="14"/>
  <c r="BL74" i="14"/>
  <c r="BK74" i="14"/>
  <c r="BJ74" i="14"/>
  <c r="BI74" i="14"/>
  <c r="BH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CE73" i="14"/>
  <c r="CD73" i="14"/>
  <c r="BX73" i="14"/>
  <c r="BW73" i="14"/>
  <c r="BV73" i="14"/>
  <c r="BU73" i="14"/>
  <c r="BT73" i="14"/>
  <c r="BR73" i="14"/>
  <c r="BQ73" i="14"/>
  <c r="BP73" i="14"/>
  <c r="BO73" i="14"/>
  <c r="BN73" i="14"/>
  <c r="BM73" i="14"/>
  <c r="BL73" i="14"/>
  <c r="BK73" i="14"/>
  <c r="BJ73" i="14"/>
  <c r="BI73" i="14"/>
  <c r="BH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CE72" i="14"/>
  <c r="CD72" i="14"/>
  <c r="BX72" i="14"/>
  <c r="BW72" i="14"/>
  <c r="BV72" i="14"/>
  <c r="BU72" i="14"/>
  <c r="BT72" i="14"/>
  <c r="BR72" i="14"/>
  <c r="BQ72" i="14"/>
  <c r="BP72" i="14"/>
  <c r="BO72" i="14"/>
  <c r="BN72" i="14"/>
  <c r="BM72" i="14"/>
  <c r="BL72" i="14"/>
  <c r="BK72" i="14"/>
  <c r="BJ72" i="14"/>
  <c r="BI72" i="14"/>
  <c r="BH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CE71" i="14"/>
  <c r="CD71" i="14"/>
  <c r="BX71" i="14"/>
  <c r="BW71" i="14"/>
  <c r="BV71" i="14"/>
  <c r="BU71" i="14"/>
  <c r="BT71" i="14"/>
  <c r="BR71" i="14"/>
  <c r="BQ71" i="14"/>
  <c r="BP71" i="14"/>
  <c r="BO71" i="14"/>
  <c r="BN71" i="14"/>
  <c r="BM71" i="14"/>
  <c r="BL71" i="14"/>
  <c r="BK71" i="14"/>
  <c r="BJ71" i="14"/>
  <c r="BI71" i="14"/>
  <c r="BH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CE70" i="14"/>
  <c r="CD70" i="14"/>
  <c r="BX70" i="14"/>
  <c r="BW70" i="14"/>
  <c r="BV70" i="14"/>
  <c r="BU70" i="14"/>
  <c r="BT70" i="14"/>
  <c r="BR70" i="14"/>
  <c r="BQ70" i="14"/>
  <c r="BP70" i="14"/>
  <c r="BO70" i="14"/>
  <c r="BN70" i="14"/>
  <c r="BM70" i="14"/>
  <c r="BL70" i="14"/>
  <c r="BK70" i="14"/>
  <c r="BJ70" i="14"/>
  <c r="BI70" i="14"/>
  <c r="BH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CE69" i="14"/>
  <c r="CD69" i="14"/>
  <c r="BX69" i="14"/>
  <c r="BW69" i="14"/>
  <c r="BV69" i="14"/>
  <c r="BU69" i="14"/>
  <c r="BT69" i="14"/>
  <c r="BR69" i="14"/>
  <c r="BQ69" i="14"/>
  <c r="BP69" i="14"/>
  <c r="BO69" i="14"/>
  <c r="BN69" i="14"/>
  <c r="BM69" i="14"/>
  <c r="BL69" i="14"/>
  <c r="BK69" i="14"/>
  <c r="BJ69" i="14"/>
  <c r="BI69" i="14"/>
  <c r="BH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CE68" i="14"/>
  <c r="CD68" i="14"/>
  <c r="BX68" i="14"/>
  <c r="BW68" i="14"/>
  <c r="BV68" i="14"/>
  <c r="BU68" i="14"/>
  <c r="BT68" i="14"/>
  <c r="BR68" i="14"/>
  <c r="BQ68" i="14"/>
  <c r="BP68" i="14"/>
  <c r="BO68" i="14"/>
  <c r="BN68" i="14"/>
  <c r="BM68" i="14"/>
  <c r="BL68" i="14"/>
  <c r="BK68" i="14"/>
  <c r="BJ68" i="14"/>
  <c r="BI68" i="14"/>
  <c r="BH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R68" i="14"/>
  <c r="AQ68" i="14"/>
  <c r="AP68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CE67" i="14"/>
  <c r="CD67" i="14"/>
  <c r="BX67" i="14"/>
  <c r="BW67" i="14"/>
  <c r="BV67" i="14"/>
  <c r="BU67" i="14"/>
  <c r="BT67" i="14"/>
  <c r="BR67" i="14"/>
  <c r="BQ67" i="14"/>
  <c r="BP67" i="14"/>
  <c r="BO67" i="14"/>
  <c r="BN67" i="14"/>
  <c r="BM67" i="14"/>
  <c r="BL67" i="14"/>
  <c r="BK67" i="14"/>
  <c r="BJ67" i="14"/>
  <c r="BI67" i="14"/>
  <c r="BH67" i="14"/>
  <c r="BG67" i="14"/>
  <c r="BF67" i="14"/>
  <c r="BE67" i="14"/>
  <c r="BD67" i="14"/>
  <c r="BC67" i="14"/>
  <c r="BB67" i="14"/>
  <c r="BA67" i="14"/>
  <c r="AZ67" i="14"/>
  <c r="AY67" i="14"/>
  <c r="AX67" i="14"/>
  <c r="AW67" i="14"/>
  <c r="AV67" i="14"/>
  <c r="AU67" i="14"/>
  <c r="AT67" i="14"/>
  <c r="AS67" i="14"/>
  <c r="AR67" i="14"/>
  <c r="AQ67" i="14"/>
  <c r="AP67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CE66" i="14"/>
  <c r="CD66" i="14"/>
  <c r="BX66" i="14"/>
  <c r="BW66" i="14"/>
  <c r="BV66" i="14"/>
  <c r="BU66" i="14"/>
  <c r="BT66" i="14"/>
  <c r="BR66" i="14"/>
  <c r="BQ66" i="14"/>
  <c r="BP66" i="14"/>
  <c r="BO66" i="14"/>
  <c r="BN66" i="14"/>
  <c r="BM66" i="14"/>
  <c r="BL66" i="14"/>
  <c r="BK66" i="14"/>
  <c r="BJ66" i="14"/>
  <c r="BI66" i="14"/>
  <c r="BH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AT66" i="14"/>
  <c r="AS66" i="14"/>
  <c r="AR66" i="14"/>
  <c r="AQ66" i="14"/>
  <c r="AP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CE65" i="14"/>
  <c r="CD65" i="14"/>
  <c r="BX65" i="14"/>
  <c r="BW65" i="14"/>
  <c r="BV65" i="14"/>
  <c r="BU65" i="14"/>
  <c r="BT65" i="14"/>
  <c r="BR65" i="14"/>
  <c r="BQ65" i="14"/>
  <c r="BP65" i="14"/>
  <c r="BO65" i="14"/>
  <c r="BN65" i="14"/>
  <c r="BM65" i="14"/>
  <c r="BL65" i="14"/>
  <c r="BK65" i="14"/>
  <c r="BJ65" i="14"/>
  <c r="BI65" i="14"/>
  <c r="BH65" i="14"/>
  <c r="BG65" i="14"/>
  <c r="BF65" i="14"/>
  <c r="BE65" i="14"/>
  <c r="BD65" i="14"/>
  <c r="BC65" i="14"/>
  <c r="BB65" i="14"/>
  <c r="BA65" i="14"/>
  <c r="AZ65" i="14"/>
  <c r="AY65" i="14"/>
  <c r="AX65" i="14"/>
  <c r="AW65" i="14"/>
  <c r="AV65" i="14"/>
  <c r="AU65" i="14"/>
  <c r="AT65" i="14"/>
  <c r="AS65" i="14"/>
  <c r="AR65" i="14"/>
  <c r="AQ65" i="14"/>
  <c r="AP65" i="14"/>
  <c r="AO65" i="14"/>
  <c r="AN65" i="14"/>
  <c r="AM65" i="14"/>
  <c r="AL65" i="14"/>
  <c r="AK65" i="14"/>
  <c r="AJ65" i="14"/>
  <c r="AI65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CE64" i="14"/>
  <c r="CD64" i="14"/>
  <c r="BX64" i="14"/>
  <c r="BW64" i="14"/>
  <c r="BV64" i="14"/>
  <c r="BU64" i="14"/>
  <c r="BT64" i="14"/>
  <c r="BR64" i="14"/>
  <c r="BQ64" i="14"/>
  <c r="BP64" i="14"/>
  <c r="BO64" i="14"/>
  <c r="BN64" i="14"/>
  <c r="BM64" i="14"/>
  <c r="BL64" i="14"/>
  <c r="BK64" i="14"/>
  <c r="BJ64" i="14"/>
  <c r="BI64" i="14"/>
  <c r="BH64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P64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CE63" i="14"/>
  <c r="CD63" i="14"/>
  <c r="BX63" i="14"/>
  <c r="BW63" i="14"/>
  <c r="BV63" i="14"/>
  <c r="BU63" i="14"/>
  <c r="BT63" i="14"/>
  <c r="BR63" i="14"/>
  <c r="BQ63" i="14"/>
  <c r="BP63" i="14"/>
  <c r="BO63" i="14"/>
  <c r="BN63" i="14"/>
  <c r="BM63" i="14"/>
  <c r="BL63" i="14"/>
  <c r="BK63" i="14"/>
  <c r="BJ63" i="14"/>
  <c r="BI63" i="14"/>
  <c r="BH63" i="14"/>
  <c r="BG63" i="14"/>
  <c r="BF63" i="14"/>
  <c r="BE63" i="14"/>
  <c r="BD63" i="14"/>
  <c r="BC63" i="14"/>
  <c r="BB63" i="14"/>
  <c r="BA63" i="14"/>
  <c r="AZ63" i="14"/>
  <c r="AY63" i="14"/>
  <c r="AX63" i="14"/>
  <c r="AW63" i="14"/>
  <c r="AV63" i="14"/>
  <c r="AU63" i="14"/>
  <c r="AT63" i="14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CE62" i="14"/>
  <c r="CD62" i="14"/>
  <c r="BX62" i="14"/>
  <c r="BW62" i="14"/>
  <c r="BV62" i="14"/>
  <c r="BU62" i="14"/>
  <c r="BT62" i="14"/>
  <c r="BR62" i="14"/>
  <c r="BQ62" i="14"/>
  <c r="BP62" i="14"/>
  <c r="BO62" i="14"/>
  <c r="BN62" i="14"/>
  <c r="BM62" i="14"/>
  <c r="BL62" i="14"/>
  <c r="BK62" i="14"/>
  <c r="BJ62" i="14"/>
  <c r="BI62" i="14"/>
  <c r="BH62" i="14"/>
  <c r="BG62" i="14"/>
  <c r="BF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CE61" i="14"/>
  <c r="CD61" i="14"/>
  <c r="BX61" i="14"/>
  <c r="BW61" i="14"/>
  <c r="BV61" i="14"/>
  <c r="BU61" i="14"/>
  <c r="BT61" i="14"/>
  <c r="BR61" i="14"/>
  <c r="BQ61" i="14"/>
  <c r="BP61" i="14"/>
  <c r="BO61" i="14"/>
  <c r="BN61" i="14"/>
  <c r="BM61" i="14"/>
  <c r="BL61" i="14"/>
  <c r="BK61" i="14"/>
  <c r="BJ61" i="14"/>
  <c r="BI61" i="14"/>
  <c r="BH61" i="14"/>
  <c r="BG61" i="14"/>
  <c r="BF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P61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CE60" i="14"/>
  <c r="CD60" i="14"/>
  <c r="BX60" i="14"/>
  <c r="BW60" i="14"/>
  <c r="BV60" i="14"/>
  <c r="BU60" i="14"/>
  <c r="BT60" i="14"/>
  <c r="BR60" i="14"/>
  <c r="BQ60" i="14"/>
  <c r="BP60" i="14"/>
  <c r="BO60" i="14"/>
  <c r="BN60" i="14"/>
  <c r="BM60" i="14"/>
  <c r="BL60" i="14"/>
  <c r="BK60" i="14"/>
  <c r="BJ60" i="14"/>
  <c r="BI60" i="14"/>
  <c r="BH60" i="14"/>
  <c r="BG60" i="14"/>
  <c r="BF60" i="14"/>
  <c r="BE60" i="14"/>
  <c r="BD60" i="14"/>
  <c r="BC60" i="14"/>
  <c r="BB60" i="14"/>
  <c r="BA60" i="14"/>
  <c r="AZ60" i="14"/>
  <c r="AY60" i="14"/>
  <c r="AX60" i="14"/>
  <c r="AW60" i="14"/>
  <c r="AV60" i="14"/>
  <c r="AU60" i="14"/>
  <c r="AT60" i="14"/>
  <c r="AS60" i="14"/>
  <c r="AR60" i="14"/>
  <c r="AQ60" i="14"/>
  <c r="AP60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CE59" i="14"/>
  <c r="CD59" i="14"/>
  <c r="BX59" i="14"/>
  <c r="BW59" i="14"/>
  <c r="BV59" i="14"/>
  <c r="BU59" i="14"/>
  <c r="BT59" i="14"/>
  <c r="BR59" i="14"/>
  <c r="BQ59" i="14"/>
  <c r="BP59" i="14"/>
  <c r="BO59" i="14"/>
  <c r="BN59" i="14"/>
  <c r="BM59" i="14"/>
  <c r="BL59" i="14"/>
  <c r="BK59" i="14"/>
  <c r="BJ59" i="14"/>
  <c r="BI59" i="14"/>
  <c r="BH59" i="14"/>
  <c r="BG59" i="14"/>
  <c r="BF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CE58" i="14"/>
  <c r="CD58" i="14"/>
  <c r="BX58" i="14"/>
  <c r="BW58" i="14"/>
  <c r="BV58" i="14"/>
  <c r="BU58" i="14"/>
  <c r="BT58" i="14"/>
  <c r="BR58" i="14"/>
  <c r="BQ58" i="14"/>
  <c r="BP58" i="14"/>
  <c r="BO58" i="14"/>
  <c r="BN58" i="14"/>
  <c r="BM58" i="14"/>
  <c r="BL58" i="14"/>
  <c r="BK58" i="14"/>
  <c r="BJ58" i="14"/>
  <c r="BI58" i="14"/>
  <c r="BH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CE57" i="14"/>
  <c r="CD57" i="14"/>
  <c r="BX57" i="14"/>
  <c r="BW57" i="14"/>
  <c r="BV57" i="14"/>
  <c r="BU57" i="14"/>
  <c r="BT57" i="14"/>
  <c r="BR57" i="14"/>
  <c r="BQ57" i="14"/>
  <c r="BP57" i="14"/>
  <c r="BO57" i="14"/>
  <c r="BN57" i="14"/>
  <c r="BM57" i="14"/>
  <c r="BL57" i="14"/>
  <c r="BK57" i="14"/>
  <c r="BJ57" i="14"/>
  <c r="BI57" i="14"/>
  <c r="BH57" i="14"/>
  <c r="BG57" i="14"/>
  <c r="BF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P57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CE56" i="14"/>
  <c r="CD56" i="14"/>
  <c r="BX56" i="14"/>
  <c r="BW56" i="14"/>
  <c r="BV56" i="14"/>
  <c r="BU56" i="14"/>
  <c r="BT56" i="14"/>
  <c r="BR56" i="14"/>
  <c r="BQ56" i="14"/>
  <c r="BP56" i="14"/>
  <c r="BO56" i="14"/>
  <c r="BN56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CE55" i="14"/>
  <c r="CD55" i="14"/>
  <c r="BX55" i="14"/>
  <c r="BW55" i="14"/>
  <c r="BV55" i="14"/>
  <c r="BU55" i="14"/>
  <c r="BT55" i="14"/>
  <c r="BR55" i="14"/>
  <c r="BQ55" i="14"/>
  <c r="BP55" i="14"/>
  <c r="BO55" i="14"/>
  <c r="BN55" i="14"/>
  <c r="BM55" i="14"/>
  <c r="BL55" i="14"/>
  <c r="BK55" i="14"/>
  <c r="BJ55" i="14"/>
  <c r="BI55" i="14"/>
  <c r="BH55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CE54" i="14"/>
  <c r="CD54" i="14"/>
  <c r="BX54" i="14"/>
  <c r="BW54" i="14"/>
  <c r="BV54" i="14"/>
  <c r="BU54" i="14"/>
  <c r="BT54" i="14"/>
  <c r="BR54" i="14"/>
  <c r="BQ54" i="14"/>
  <c r="BP54" i="14"/>
  <c r="BO54" i="14"/>
  <c r="BN54" i="14"/>
  <c r="BM54" i="14"/>
  <c r="BL54" i="14"/>
  <c r="BK54" i="14"/>
  <c r="BJ54" i="14"/>
  <c r="BI54" i="14"/>
  <c r="BH54" i="14"/>
  <c r="BG54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CE53" i="14"/>
  <c r="CD53" i="14"/>
  <c r="BX53" i="14"/>
  <c r="BW53" i="14"/>
  <c r="BV53" i="14"/>
  <c r="BU53" i="14"/>
  <c r="BT53" i="14"/>
  <c r="BR53" i="14"/>
  <c r="BQ53" i="14"/>
  <c r="BP53" i="14"/>
  <c r="BO53" i="14"/>
  <c r="BN53" i="14"/>
  <c r="BM53" i="14"/>
  <c r="BL53" i="14"/>
  <c r="BK53" i="14"/>
  <c r="BJ53" i="14"/>
  <c r="BI53" i="14"/>
  <c r="BH53" i="14"/>
  <c r="BG53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CE52" i="14"/>
  <c r="CD52" i="14"/>
  <c r="BX52" i="14"/>
  <c r="BW52" i="14"/>
  <c r="BV52" i="14"/>
  <c r="BU52" i="14"/>
  <c r="BT52" i="14"/>
  <c r="BR52" i="14"/>
  <c r="BQ52" i="14"/>
  <c r="BP52" i="14"/>
  <c r="BO52" i="14"/>
  <c r="BN52" i="14"/>
  <c r="BM52" i="14"/>
  <c r="BL52" i="14"/>
  <c r="BK52" i="14"/>
  <c r="BJ52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CE51" i="14"/>
  <c r="CD51" i="14"/>
  <c r="BX51" i="14"/>
  <c r="BW51" i="14"/>
  <c r="BV51" i="14"/>
  <c r="BU51" i="14"/>
  <c r="BT51" i="14"/>
  <c r="BR51" i="14"/>
  <c r="BQ51" i="14"/>
  <c r="BP51" i="14"/>
  <c r="BO51" i="14"/>
  <c r="BN51" i="14"/>
  <c r="BM51" i="14"/>
  <c r="BL51" i="14"/>
  <c r="BK51" i="14"/>
  <c r="BJ51" i="14"/>
  <c r="BI51" i="14"/>
  <c r="BH51" i="14"/>
  <c r="BG51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CE50" i="14"/>
  <c r="CD50" i="14"/>
  <c r="BX50" i="14"/>
  <c r="BW50" i="14"/>
  <c r="BV50" i="14"/>
  <c r="BU50" i="14"/>
  <c r="BT50" i="14"/>
  <c r="BR50" i="14"/>
  <c r="BQ50" i="14"/>
  <c r="BP50" i="14"/>
  <c r="BO50" i="14"/>
  <c r="BN50" i="14"/>
  <c r="BM50" i="14"/>
  <c r="BL50" i="14"/>
  <c r="BK50" i="14"/>
  <c r="BJ50" i="14"/>
  <c r="BI50" i="14"/>
  <c r="BH50" i="14"/>
  <c r="BG50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CE49" i="14"/>
  <c r="CD49" i="14"/>
  <c r="BX49" i="14"/>
  <c r="BW49" i="14"/>
  <c r="BV49" i="14"/>
  <c r="BU49" i="14"/>
  <c r="BT49" i="14"/>
  <c r="BR49" i="14"/>
  <c r="BQ49" i="14"/>
  <c r="BP49" i="14"/>
  <c r="BO49" i="14"/>
  <c r="BN49" i="14"/>
  <c r="BM49" i="14"/>
  <c r="BL49" i="14"/>
  <c r="BK49" i="14"/>
  <c r="BJ49" i="14"/>
  <c r="BI49" i="14"/>
  <c r="BH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CE48" i="14"/>
  <c r="CD48" i="14"/>
  <c r="BX48" i="14"/>
  <c r="BW48" i="14"/>
  <c r="BV48" i="14"/>
  <c r="BU48" i="14"/>
  <c r="BT48" i="14"/>
  <c r="BR48" i="14"/>
  <c r="BQ48" i="14"/>
  <c r="BP48" i="14"/>
  <c r="BO48" i="14"/>
  <c r="BN48" i="14"/>
  <c r="BM48" i="14"/>
  <c r="BL48" i="14"/>
  <c r="BK48" i="14"/>
  <c r="BJ48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CE47" i="14"/>
  <c r="CD47" i="14"/>
  <c r="BX47" i="14"/>
  <c r="BW47" i="14"/>
  <c r="BV47" i="14"/>
  <c r="BU47" i="14"/>
  <c r="BT47" i="14"/>
  <c r="BR47" i="14"/>
  <c r="BQ47" i="14"/>
  <c r="BP47" i="14"/>
  <c r="BO47" i="14"/>
  <c r="BN47" i="14"/>
  <c r="BM47" i="14"/>
  <c r="BL47" i="14"/>
  <c r="BK47" i="14"/>
  <c r="BJ47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CE46" i="14"/>
  <c r="CD46" i="14"/>
  <c r="BX46" i="14"/>
  <c r="BW46" i="14"/>
  <c r="BV46" i="14"/>
  <c r="BU46" i="14"/>
  <c r="BT46" i="14"/>
  <c r="BR46" i="14"/>
  <c r="BQ46" i="14"/>
  <c r="BP46" i="14"/>
  <c r="BO46" i="14"/>
  <c r="BN46" i="14"/>
  <c r="BM46" i="14"/>
  <c r="BL46" i="14"/>
  <c r="BK46" i="14"/>
  <c r="BJ46" i="14"/>
  <c r="BI46" i="14"/>
  <c r="BH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CE45" i="14"/>
  <c r="CD45" i="14"/>
  <c r="BX45" i="14"/>
  <c r="BW45" i="14"/>
  <c r="BV45" i="14"/>
  <c r="BU45" i="14"/>
  <c r="BT45" i="14"/>
  <c r="BR45" i="14"/>
  <c r="BQ45" i="14"/>
  <c r="BP45" i="14"/>
  <c r="BO45" i="14"/>
  <c r="BN45" i="14"/>
  <c r="BM45" i="14"/>
  <c r="BL45" i="14"/>
  <c r="BK45" i="14"/>
  <c r="BJ45" i="14"/>
  <c r="BI45" i="14"/>
  <c r="BH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CE44" i="14"/>
  <c r="CD44" i="14"/>
  <c r="CC44" i="14"/>
  <c r="CB44" i="14"/>
  <c r="BZ44" i="14"/>
  <c r="BY44" i="14"/>
  <c r="BX44" i="14"/>
  <c r="BW44" i="14"/>
  <c r="BV44" i="14"/>
  <c r="BU44" i="14"/>
  <c r="BT44" i="14"/>
  <c r="BR44" i="14"/>
  <c r="BQ44" i="14"/>
  <c r="BP44" i="14"/>
  <c r="BO44" i="14"/>
  <c r="BN44" i="14"/>
  <c r="BM44" i="14"/>
  <c r="BL44" i="14"/>
  <c r="BK44" i="14"/>
  <c r="BJ44" i="14"/>
  <c r="BI44" i="14"/>
  <c r="BH44" i="14"/>
  <c r="BG44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CE43" i="14"/>
  <c r="CD43" i="14"/>
  <c r="CC43" i="14"/>
  <c r="CB43" i="14"/>
  <c r="BZ43" i="14"/>
  <c r="BY43" i="14"/>
  <c r="BX43" i="14"/>
  <c r="BW43" i="14"/>
  <c r="BV43" i="14"/>
  <c r="BU43" i="14"/>
  <c r="BT43" i="14"/>
  <c r="BR43" i="14"/>
  <c r="BQ43" i="14"/>
  <c r="BP43" i="14"/>
  <c r="BO43" i="14"/>
  <c r="BN43" i="14"/>
  <c r="BM43" i="14"/>
  <c r="BL43" i="14"/>
  <c r="BK43" i="14"/>
  <c r="BJ43" i="14"/>
  <c r="BI43" i="14"/>
  <c r="BH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CE42" i="14"/>
  <c r="CD42" i="14"/>
  <c r="CC42" i="14"/>
  <c r="CB42" i="14"/>
  <c r="BZ42" i="14"/>
  <c r="BY42" i="14"/>
  <c r="BX42" i="14"/>
  <c r="BW42" i="14"/>
  <c r="BV42" i="14"/>
  <c r="BU42" i="14"/>
  <c r="BT42" i="14"/>
  <c r="BR42" i="14"/>
  <c r="BQ42" i="14"/>
  <c r="BP42" i="14"/>
  <c r="BO42" i="14"/>
  <c r="BN42" i="14"/>
  <c r="BM42" i="14"/>
  <c r="BL42" i="14"/>
  <c r="BK42" i="14"/>
  <c r="BJ42" i="14"/>
  <c r="BI42" i="14"/>
  <c r="BH42" i="14"/>
  <c r="BG42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CE41" i="14"/>
  <c r="CD41" i="14"/>
  <c r="CC41" i="14"/>
  <c r="CB41" i="14"/>
  <c r="BZ41" i="14"/>
  <c r="BY41" i="14"/>
  <c r="BX41" i="14"/>
  <c r="BW41" i="14"/>
  <c r="BV41" i="14"/>
  <c r="BU41" i="14"/>
  <c r="BT41" i="14"/>
  <c r="BR41" i="14"/>
  <c r="BQ41" i="14"/>
  <c r="BP41" i="14"/>
  <c r="BO41" i="14"/>
  <c r="BN41" i="14"/>
  <c r="BM41" i="14"/>
  <c r="BL41" i="14"/>
  <c r="BK41" i="14"/>
  <c r="BJ41" i="14"/>
  <c r="BI41" i="14"/>
  <c r="BH41" i="14"/>
  <c r="BG41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CE40" i="14"/>
  <c r="CD40" i="14"/>
  <c r="CC40" i="14"/>
  <c r="CB40" i="14"/>
  <c r="BZ40" i="14"/>
  <c r="BY40" i="14"/>
  <c r="BX40" i="14"/>
  <c r="BW40" i="14"/>
  <c r="BV40" i="14"/>
  <c r="BU40" i="14"/>
  <c r="BT40" i="14"/>
  <c r="BR40" i="14"/>
  <c r="BQ40" i="14"/>
  <c r="BP40" i="14"/>
  <c r="BO40" i="14"/>
  <c r="BN40" i="14"/>
  <c r="BM40" i="14"/>
  <c r="BL40" i="14"/>
  <c r="BK40" i="14"/>
  <c r="BJ40" i="14"/>
  <c r="BI40" i="14"/>
  <c r="BH40" i="14"/>
  <c r="BG40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CE39" i="14"/>
  <c r="CD39" i="14"/>
  <c r="CC39" i="14"/>
  <c r="CB39" i="14"/>
  <c r="BZ39" i="14"/>
  <c r="BY39" i="14"/>
  <c r="BX39" i="14"/>
  <c r="BW39" i="14"/>
  <c r="BV39" i="14"/>
  <c r="BU39" i="14"/>
  <c r="BT39" i="14"/>
  <c r="BR39" i="14"/>
  <c r="BQ39" i="14"/>
  <c r="BP39" i="14"/>
  <c r="BO39" i="14"/>
  <c r="BN39" i="14"/>
  <c r="BM39" i="14"/>
  <c r="BL39" i="14"/>
  <c r="BK39" i="14"/>
  <c r="BJ39" i="14"/>
  <c r="BI39" i="14"/>
  <c r="BH39" i="14"/>
  <c r="BG39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CE38" i="14"/>
  <c r="CD38" i="14"/>
  <c r="CC38" i="14"/>
  <c r="CB38" i="14"/>
  <c r="BZ38" i="14"/>
  <c r="BY38" i="14"/>
  <c r="BX38" i="14"/>
  <c r="BW38" i="14"/>
  <c r="BV38" i="14"/>
  <c r="BU38" i="14"/>
  <c r="BT38" i="14"/>
  <c r="BR38" i="14"/>
  <c r="BQ38" i="14"/>
  <c r="BP38" i="14"/>
  <c r="BO38" i="14"/>
  <c r="BN38" i="14"/>
  <c r="BM38" i="14"/>
  <c r="BL38" i="14"/>
  <c r="BK38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CE37" i="14"/>
  <c r="CD37" i="14"/>
  <c r="CC37" i="14"/>
  <c r="CB37" i="14"/>
  <c r="BZ37" i="14"/>
  <c r="BY37" i="14"/>
  <c r="BX37" i="14"/>
  <c r="BW37" i="14"/>
  <c r="BV37" i="14"/>
  <c r="BU37" i="14"/>
  <c r="BT37" i="14"/>
  <c r="BR37" i="14"/>
  <c r="BQ37" i="14"/>
  <c r="BP37" i="14"/>
  <c r="BO37" i="14"/>
  <c r="BN37" i="14"/>
  <c r="BM37" i="14"/>
  <c r="BL37" i="14"/>
  <c r="BK37" i="14"/>
  <c r="BJ37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CE36" i="14"/>
  <c r="CD36" i="14"/>
  <c r="CC36" i="14"/>
  <c r="CB36" i="14"/>
  <c r="BZ36" i="14"/>
  <c r="BY36" i="14"/>
  <c r="BX36" i="14"/>
  <c r="BW36" i="14"/>
  <c r="BV36" i="14"/>
  <c r="BU36" i="14"/>
  <c r="BT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CE35" i="14"/>
  <c r="CD35" i="14"/>
  <c r="CC35" i="14"/>
  <c r="CB35" i="14"/>
  <c r="BZ35" i="14"/>
  <c r="BY35" i="14"/>
  <c r="BX35" i="14"/>
  <c r="BW35" i="14"/>
  <c r="BV35" i="14"/>
  <c r="BU35" i="14"/>
  <c r="BT35" i="14"/>
  <c r="BR35" i="14"/>
  <c r="BQ35" i="14"/>
  <c r="BP35" i="14"/>
  <c r="BO35" i="14"/>
  <c r="BN35" i="14"/>
  <c r="BM35" i="14"/>
  <c r="BL35" i="14"/>
  <c r="BK35" i="14"/>
  <c r="BJ35" i="14"/>
  <c r="BI35" i="14"/>
  <c r="BH35" i="14"/>
  <c r="BG35" i="14"/>
  <c r="BF35" i="14"/>
  <c r="BE35" i="14"/>
  <c r="BD35" i="14"/>
  <c r="BC35" i="14"/>
  <c r="BB35" i="14"/>
  <c r="BA35" i="14"/>
  <c r="AZ35" i="14"/>
  <c r="AY35" i="14"/>
  <c r="AX35" i="14"/>
  <c r="AW35" i="14"/>
  <c r="AV35" i="14"/>
  <c r="AU35" i="14"/>
  <c r="AT35" i="14"/>
  <c r="AS35" i="14"/>
  <c r="AR35" i="14"/>
  <c r="AQ35" i="14"/>
  <c r="AP35" i="14"/>
  <c r="AO35" i="14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CE34" i="14"/>
  <c r="CD34" i="14"/>
  <c r="CC34" i="14"/>
  <c r="CB34" i="14"/>
  <c r="BZ34" i="14"/>
  <c r="BY34" i="14"/>
  <c r="BX34" i="14"/>
  <c r="BW34" i="14"/>
  <c r="BV34" i="14"/>
  <c r="BU34" i="14"/>
  <c r="BT34" i="14"/>
  <c r="BR34" i="14"/>
  <c r="BQ34" i="14"/>
  <c r="BP34" i="14"/>
  <c r="BO34" i="14"/>
  <c r="BN34" i="14"/>
  <c r="BM34" i="14"/>
  <c r="BL34" i="14"/>
  <c r="BK34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CE33" i="14"/>
  <c r="CD33" i="14"/>
  <c r="CC33" i="14"/>
  <c r="CB33" i="14"/>
  <c r="BZ33" i="14"/>
  <c r="BY33" i="14"/>
  <c r="BX33" i="14"/>
  <c r="BW33" i="14"/>
  <c r="BV33" i="14"/>
  <c r="BU33" i="14"/>
  <c r="BT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CE32" i="14"/>
  <c r="CD32" i="14"/>
  <c r="CC32" i="14"/>
  <c r="CB32" i="14"/>
  <c r="BZ32" i="14"/>
  <c r="BY32" i="14"/>
  <c r="BX32" i="14"/>
  <c r="BW32" i="14"/>
  <c r="BV32" i="14"/>
  <c r="BU32" i="14"/>
  <c r="BT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CE31" i="14"/>
  <c r="CD31" i="14"/>
  <c r="CC31" i="14"/>
  <c r="CB31" i="14"/>
  <c r="BZ31" i="14"/>
  <c r="BY31" i="14"/>
  <c r="BX31" i="14"/>
  <c r="BW31" i="14"/>
  <c r="BV31" i="14"/>
  <c r="BU31" i="14"/>
  <c r="BT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CE30" i="14"/>
  <c r="CD30" i="14"/>
  <c r="CC30" i="14"/>
  <c r="CB30" i="14"/>
  <c r="BZ30" i="14"/>
  <c r="BY30" i="14"/>
  <c r="BX30" i="14"/>
  <c r="BW30" i="14"/>
  <c r="BV30" i="14"/>
  <c r="BU30" i="14"/>
  <c r="BT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CE29" i="14"/>
  <c r="CD29" i="14"/>
  <c r="CC29" i="14"/>
  <c r="CB29" i="14"/>
  <c r="BZ29" i="14"/>
  <c r="BY29" i="14"/>
  <c r="BX29" i="14"/>
  <c r="BW29" i="14"/>
  <c r="BV29" i="14"/>
  <c r="BU29" i="14"/>
  <c r="BT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CE28" i="14"/>
  <c r="CD28" i="14"/>
  <c r="CC28" i="14"/>
  <c r="CB28" i="14"/>
  <c r="BZ28" i="14"/>
  <c r="BY28" i="14"/>
  <c r="BX28" i="14"/>
  <c r="BW28" i="14"/>
  <c r="BV28" i="14"/>
  <c r="BU28" i="14"/>
  <c r="BT28" i="14"/>
  <c r="BR28" i="14"/>
  <c r="BQ28" i="14"/>
  <c r="BP28" i="14"/>
  <c r="BO28" i="14"/>
  <c r="BN28" i="14"/>
  <c r="BM28" i="14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CE27" i="14"/>
  <c r="CD27" i="14"/>
  <c r="CC27" i="14"/>
  <c r="CB27" i="14"/>
  <c r="BZ27" i="14"/>
  <c r="BY27" i="14"/>
  <c r="BX27" i="14"/>
  <c r="BW27" i="14"/>
  <c r="BV27" i="14"/>
  <c r="BU27" i="14"/>
  <c r="BT27" i="14"/>
  <c r="BR27" i="14"/>
  <c r="BQ27" i="14"/>
  <c r="BP27" i="14"/>
  <c r="BO27" i="14"/>
  <c r="BN27" i="14"/>
  <c r="BM27" i="14"/>
  <c r="BL27" i="14"/>
  <c r="BK27" i="14"/>
  <c r="BJ27" i="14"/>
  <c r="BI27" i="14"/>
  <c r="BH27" i="14"/>
  <c r="BG27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CE26" i="14"/>
  <c r="CD26" i="14"/>
  <c r="CC26" i="14"/>
  <c r="CB26" i="14"/>
  <c r="BZ26" i="14"/>
  <c r="BY26" i="14"/>
  <c r="BX26" i="14"/>
  <c r="BW26" i="14"/>
  <c r="BV26" i="14"/>
  <c r="BU26" i="14"/>
  <c r="BT26" i="14"/>
  <c r="BR26" i="14"/>
  <c r="BQ26" i="14"/>
  <c r="BP26" i="14"/>
  <c r="BO26" i="14"/>
  <c r="BN26" i="14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CE25" i="14"/>
  <c r="CD25" i="14"/>
  <c r="CC25" i="14"/>
  <c r="CB25" i="14"/>
  <c r="BZ25" i="14"/>
  <c r="BY25" i="14"/>
  <c r="BX25" i="14"/>
  <c r="BW25" i="14"/>
  <c r="BV25" i="14"/>
  <c r="BU25" i="14"/>
  <c r="BT25" i="14"/>
  <c r="BR25" i="14"/>
  <c r="BQ25" i="14"/>
  <c r="BP25" i="14"/>
  <c r="BO25" i="14"/>
  <c r="BN25" i="14"/>
  <c r="BM25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CE24" i="14"/>
  <c r="CD24" i="14"/>
  <c r="CC24" i="14"/>
  <c r="CB24" i="14"/>
  <c r="BZ24" i="14"/>
  <c r="BY24" i="14"/>
  <c r="BX24" i="14"/>
  <c r="BW24" i="14"/>
  <c r="BV24" i="14"/>
  <c r="BU24" i="14"/>
  <c r="BT24" i="14"/>
  <c r="BR24" i="14"/>
  <c r="BQ24" i="14"/>
  <c r="BP24" i="14"/>
  <c r="BO24" i="14"/>
  <c r="BN24" i="14"/>
  <c r="BM24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CE23" i="14"/>
  <c r="CD23" i="14"/>
  <c r="CC23" i="14"/>
  <c r="CB23" i="14"/>
  <c r="BZ23" i="14"/>
  <c r="BY23" i="14"/>
  <c r="BX23" i="14"/>
  <c r="BW23" i="14"/>
  <c r="BV23" i="14"/>
  <c r="BU23" i="14"/>
  <c r="BT23" i="14"/>
  <c r="BR23" i="14"/>
  <c r="BQ23" i="14"/>
  <c r="BP23" i="14"/>
  <c r="BO23" i="14"/>
  <c r="BN23" i="14"/>
  <c r="BM23" i="14"/>
  <c r="BL23" i="14"/>
  <c r="BK23" i="14"/>
  <c r="BJ23" i="14"/>
  <c r="BI23" i="14"/>
  <c r="BH23" i="14"/>
  <c r="BG23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CE22" i="14"/>
  <c r="CD22" i="14"/>
  <c r="CC22" i="14"/>
  <c r="CB22" i="14"/>
  <c r="BZ22" i="14"/>
  <c r="BY22" i="14"/>
  <c r="BX22" i="14"/>
  <c r="BW22" i="14"/>
  <c r="BV22" i="14"/>
  <c r="BU22" i="14"/>
  <c r="BT22" i="14"/>
  <c r="BR22" i="14"/>
  <c r="BQ22" i="14"/>
  <c r="BP22" i="14"/>
  <c r="BO22" i="14"/>
  <c r="BN22" i="14"/>
  <c r="BM22" i="14"/>
  <c r="BL22" i="14"/>
  <c r="BK22" i="14"/>
  <c r="BJ22" i="14"/>
  <c r="BI22" i="14"/>
  <c r="BH22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CE21" i="14"/>
  <c r="CD21" i="14"/>
  <c r="CC21" i="14"/>
  <c r="CB21" i="14"/>
  <c r="BZ21" i="14"/>
  <c r="BY21" i="14"/>
  <c r="BX21" i="14"/>
  <c r="BW21" i="14"/>
  <c r="BV21" i="14"/>
  <c r="BU21" i="14"/>
  <c r="BT21" i="14"/>
  <c r="BR21" i="14"/>
  <c r="BQ21" i="14"/>
  <c r="BP21" i="14"/>
  <c r="BO21" i="14"/>
  <c r="BN21" i="14"/>
  <c r="BM21" i="14"/>
  <c r="BL21" i="14"/>
  <c r="BK21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CE20" i="14"/>
  <c r="CD20" i="14"/>
  <c r="CC20" i="14"/>
  <c r="CB20" i="14"/>
  <c r="BZ20" i="14"/>
  <c r="BY20" i="14"/>
  <c r="BX20" i="14"/>
  <c r="BW20" i="14"/>
  <c r="BV20" i="14"/>
  <c r="BU20" i="14"/>
  <c r="BT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CE19" i="14"/>
  <c r="CD19" i="14"/>
  <c r="CC19" i="14"/>
  <c r="CB19" i="14"/>
  <c r="BZ19" i="14"/>
  <c r="BY19" i="14"/>
  <c r="BX19" i="14"/>
  <c r="BW19" i="14"/>
  <c r="BV19" i="14"/>
  <c r="BU19" i="14"/>
  <c r="BT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CE18" i="14"/>
  <c r="CD18" i="14"/>
  <c r="CC18" i="14"/>
  <c r="CB18" i="14"/>
  <c r="BZ18" i="14"/>
  <c r="BY18" i="14"/>
  <c r="BX18" i="14"/>
  <c r="BW18" i="14"/>
  <c r="BV18" i="14"/>
  <c r="BU18" i="14"/>
  <c r="BT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CE17" i="14"/>
  <c r="CD17" i="14"/>
  <c r="CC17" i="14"/>
  <c r="CB17" i="14"/>
  <c r="BZ17" i="14"/>
  <c r="BY17" i="14"/>
  <c r="BX17" i="14"/>
  <c r="BW17" i="14"/>
  <c r="BV17" i="14"/>
  <c r="BU17" i="14"/>
  <c r="BT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CE16" i="14"/>
  <c r="CD16" i="14"/>
  <c r="CC16" i="14"/>
  <c r="CB16" i="14"/>
  <c r="BZ16" i="14"/>
  <c r="BY16" i="14"/>
  <c r="BX16" i="14"/>
  <c r="BW16" i="14"/>
  <c r="BV16" i="14"/>
  <c r="BU16" i="14"/>
  <c r="BT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CE15" i="14"/>
  <c r="CD15" i="14"/>
  <c r="CC15" i="14"/>
  <c r="CB15" i="14"/>
  <c r="BZ15" i="14"/>
  <c r="BY15" i="14"/>
  <c r="BX15" i="14"/>
  <c r="BW15" i="14"/>
  <c r="BV15" i="14"/>
  <c r="BU15" i="14"/>
  <c r="BT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CE14" i="14"/>
  <c r="CD14" i="14"/>
  <c r="CC14" i="14"/>
  <c r="CB14" i="14"/>
  <c r="BZ14" i="14"/>
  <c r="BY14" i="14"/>
  <c r="BX14" i="14"/>
  <c r="BW14" i="14"/>
  <c r="BV14" i="14"/>
  <c r="BU14" i="14"/>
  <c r="BT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CE13" i="14"/>
  <c r="CD13" i="14"/>
  <c r="CC13" i="14"/>
  <c r="CB13" i="14"/>
  <c r="BZ13" i="14"/>
  <c r="BY13" i="14"/>
  <c r="BX13" i="14"/>
  <c r="BW13" i="14"/>
  <c r="BV13" i="14"/>
  <c r="BU13" i="14"/>
  <c r="BT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CE12" i="14"/>
  <c r="CD12" i="14"/>
  <c r="CC12" i="14"/>
  <c r="CB12" i="14"/>
  <c r="BZ12" i="14"/>
  <c r="BY12" i="14"/>
  <c r="BX12" i="14"/>
  <c r="BW12" i="14"/>
  <c r="BV12" i="14"/>
  <c r="BU12" i="14"/>
  <c r="BT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O304" i="17" l="1"/>
  <c r="O317" i="17"/>
  <c r="O321" i="17"/>
  <c r="O318" i="17"/>
  <c r="O309" i="17"/>
  <c r="O322" i="17"/>
  <c r="P322" i="17" s="1"/>
  <c r="O319" i="17"/>
  <c r="P319" i="17" s="1"/>
  <c r="O298" i="17"/>
  <c r="O320" i="17"/>
  <c r="P320" i="17" s="1"/>
  <c r="O306" i="17"/>
  <c r="O305" i="17"/>
  <c r="P305" i="17" s="1"/>
  <c r="O312" i="17"/>
  <c r="P312" i="17" s="1"/>
  <c r="O316" i="17"/>
  <c r="P316" i="17" s="1"/>
  <c r="O301" i="17"/>
  <c r="P301" i="17" s="1"/>
  <c r="O302" i="17"/>
  <c r="O303" i="17"/>
  <c r="P303" i="17" s="1"/>
  <c r="O300" i="17"/>
  <c r="P314" i="17"/>
  <c r="P315" i="17"/>
  <c r="P318" i="17"/>
  <c r="P309" i="17"/>
  <c r="P321" i="17"/>
  <c r="P298" i="17"/>
  <c r="P306" i="17"/>
  <c r="P302" i="17"/>
  <c r="CV6" i="16"/>
  <c r="P300" i="17"/>
  <c r="P304" i="17"/>
  <c r="P317" i="17"/>
  <c r="H265" i="17"/>
  <c r="D265" i="17"/>
  <c r="Q237" i="17"/>
  <c r="O259" i="17"/>
  <c r="K244" i="17"/>
  <c r="N241" i="17"/>
  <c r="N258" i="17"/>
  <c r="N259" i="17"/>
  <c r="L243" i="17"/>
  <c r="O243" i="17"/>
  <c r="M258" i="17"/>
  <c r="K256" i="17"/>
  <c r="L258" i="17"/>
  <c r="O261" i="17"/>
  <c r="N261" i="17"/>
  <c r="K261" i="17"/>
  <c r="M260" i="17"/>
  <c r="K243" i="17"/>
  <c r="M261" i="17"/>
  <c r="L259" i="17"/>
  <c r="L244" i="17"/>
  <c r="L246" i="17"/>
  <c r="O244" i="17"/>
  <c r="O257" i="17"/>
  <c r="N257" i="17"/>
  <c r="O229" i="17"/>
  <c r="O240" i="17"/>
  <c r="D263" i="17"/>
  <c r="L229" i="17"/>
  <c r="K230" i="17"/>
  <c r="M256" i="17"/>
  <c r="M246" i="17"/>
  <c r="N260" i="17"/>
  <c r="N244" i="17"/>
  <c r="K232" i="17"/>
  <c r="N240" i="17"/>
  <c r="O260" i="17"/>
  <c r="L260" i="17"/>
  <c r="O230" i="17"/>
  <c r="M241" i="17"/>
  <c r="K257" i="17"/>
  <c r="O324" i="17" s="1"/>
  <c r="K259" i="17"/>
  <c r="K260" i="17"/>
  <c r="O327" i="17" s="1"/>
  <c r="K241" i="17"/>
  <c r="M259" i="17"/>
  <c r="N230" i="17"/>
  <c r="O256" i="17"/>
  <c r="N243" i="17"/>
  <c r="N229" i="17"/>
  <c r="N232" i="17"/>
  <c r="M229" i="17"/>
  <c r="K246" i="17"/>
  <c r="O246" i="17"/>
  <c r="O241" i="17"/>
  <c r="O232" i="17"/>
  <c r="M257" i="17"/>
  <c r="O258" i="17"/>
  <c r="N256" i="17"/>
  <c r="L230" i="17"/>
  <c r="L232" i="17"/>
  <c r="K240" i="17"/>
  <c r="M240" i="17"/>
  <c r="CF19" i="14"/>
  <c r="CB6" i="16" a="1"/>
  <c r="CB6" i="16" s="1"/>
  <c r="CF85" i="14"/>
  <c r="CD93" i="14"/>
  <c r="AY93" i="14"/>
  <c r="CE93" i="14"/>
  <c r="BN93" i="14"/>
  <c r="AW93" i="14"/>
  <c r="BM93" i="14"/>
  <c r="AV93" i="14"/>
  <c r="BL93" i="14"/>
  <c r="AU93" i="14"/>
  <c r="BK93" i="14"/>
  <c r="AT93" i="14"/>
  <c r="BJ93" i="14"/>
  <c r="CF18" i="14"/>
  <c r="AS93" i="14"/>
  <c r="BI93" i="14"/>
  <c r="AR93" i="14"/>
  <c r="BH93" i="14"/>
  <c r="CF20" i="14"/>
  <c r="AQ93" i="14"/>
  <c r="BG93" i="14"/>
  <c r="CF21" i="14"/>
  <c r="AP93" i="14"/>
  <c r="BF93" i="14"/>
  <c r="CF22" i="14"/>
  <c r="CF23" i="14"/>
  <c r="CF24" i="14"/>
  <c r="CF25" i="14"/>
  <c r="CF26" i="14"/>
  <c r="CF27" i="14"/>
  <c r="CF28" i="14"/>
  <c r="CF34" i="14"/>
  <c r="CF35" i="14"/>
  <c r="CF36" i="14"/>
  <c r="CF37" i="14"/>
  <c r="CF38" i="14"/>
  <c r="CF39" i="14"/>
  <c r="CF40" i="14"/>
  <c r="CF41" i="14"/>
  <c r="CF42" i="14"/>
  <c r="CF43" i="14"/>
  <c r="CF44" i="14"/>
  <c r="BO93" i="14"/>
  <c r="AX93" i="14"/>
  <c r="AZ93" i="14"/>
  <c r="BP93" i="14"/>
  <c r="CF13" i="14"/>
  <c r="CF29" i="14"/>
  <c r="CF83" i="14"/>
  <c r="AL93" i="14"/>
  <c r="CF15" i="14"/>
  <c r="CF32" i="14"/>
  <c r="BD93" i="14"/>
  <c r="CF17" i="14"/>
  <c r="CF33" i="14"/>
  <c r="BA93" i="14"/>
  <c r="CF30" i="14"/>
  <c r="BB93" i="14"/>
  <c r="BC93" i="14"/>
  <c r="BV93" i="14"/>
  <c r="BW93" i="14"/>
  <c r="BX93" i="14"/>
  <c r="CF84" i="14"/>
  <c r="AK93" i="14"/>
  <c r="J6" i="16" a="1"/>
  <c r="AN93" i="14"/>
  <c r="AO93" i="14"/>
  <c r="CF14" i="14"/>
  <c r="CF31" i="14"/>
  <c r="BY6" i="16" a="1"/>
  <c r="BY6" i="16" s="1"/>
  <c r="AM93" i="14"/>
  <c r="CF16" i="14"/>
  <c r="BE93" i="14"/>
  <c r="AO6" i="16" a="1"/>
  <c r="AO6" i="16" s="1"/>
  <c r="CF82" i="14"/>
  <c r="AA6" i="16" a="1"/>
  <c r="AA6" i="16" s="1"/>
  <c r="AJ93" i="14"/>
  <c r="V8" i="16"/>
  <c r="V9" i="16" s="1"/>
  <c r="W7" i="16"/>
  <c r="CV7" i="16" s="1"/>
  <c r="V1097" i="16"/>
  <c r="W1096" i="16"/>
  <c r="X1096" i="16"/>
  <c r="H89" i="6"/>
  <c r="I89" i="6" s="1"/>
  <c r="O325" i="17" l="1"/>
  <c r="O326" i="17"/>
  <c r="O311" i="17"/>
  <c r="O296" i="17"/>
  <c r="O313" i="17"/>
  <c r="O299" i="17"/>
  <c r="O310" i="17"/>
  <c r="P310" i="17" s="1"/>
  <c r="O328" i="17"/>
  <c r="P328" i="17" s="1"/>
  <c r="O297" i="17"/>
  <c r="P297" i="17" s="1"/>
  <c r="O307" i="17"/>
  <c r="P307" i="17" s="1"/>
  <c r="O308" i="17"/>
  <c r="P308" i="17" s="1"/>
  <c r="O323" i="17"/>
  <c r="P323" i="17" s="1"/>
  <c r="Q249" i="17"/>
  <c r="S245" i="17" a="1"/>
  <c r="S245" i="17" s="1"/>
  <c r="U235" i="17" a="1"/>
  <c r="U235" i="17" s="1"/>
  <c r="Q250" i="17"/>
  <c r="V242" i="17" a="1"/>
  <c r="V242" i="17" s="1"/>
  <c r="Q238" i="17"/>
  <c r="Q248" i="17"/>
  <c r="P296" i="17"/>
  <c r="P327" i="17"/>
  <c r="P326" i="17"/>
  <c r="W252" i="17" a="1"/>
  <c r="W252" i="17" s="1"/>
  <c r="P324" i="17"/>
  <c r="T248" i="17" a="1"/>
  <c r="T248" i="17" s="1"/>
  <c r="T254" i="17" a="1"/>
  <c r="T254" i="17" s="1"/>
  <c r="P311" i="17"/>
  <c r="V235" i="17" a="1"/>
  <c r="V235" i="17" s="1"/>
  <c r="P299" i="17"/>
  <c r="P313" i="17"/>
  <c r="V236" i="17" a="1"/>
  <c r="V236" i="17" s="1"/>
  <c r="Q231" i="17"/>
  <c r="V253" i="17" a="1"/>
  <c r="V253" i="17" s="1"/>
  <c r="T246" i="17" a="1"/>
  <c r="T246" i="17" s="1"/>
  <c r="Q233" i="17"/>
  <c r="S241" i="17" a="1"/>
  <c r="S241" i="17" s="1"/>
  <c r="S235" i="17" a="1"/>
  <c r="S235" i="17" s="1"/>
  <c r="W256" i="17" a="1"/>
  <c r="W256" i="17" s="1"/>
  <c r="V231" i="17" a="1"/>
  <c r="V231" i="17" s="1"/>
  <c r="V230" i="17" a="1"/>
  <c r="V230" i="17" s="1"/>
  <c r="S237" i="17" a="1"/>
  <c r="S237" i="17" s="1"/>
  <c r="S260" i="17" a="1"/>
  <c r="S260" i="17" s="1"/>
  <c r="W234" i="17" a="1"/>
  <c r="W234" i="17" s="1"/>
  <c r="W244" i="17" a="1"/>
  <c r="W244" i="17" s="1"/>
  <c r="U232" i="17" a="1"/>
  <c r="U232" i="17" s="1"/>
  <c r="T258" i="17" a="1"/>
  <c r="T258" i="17" s="1"/>
  <c r="P325" i="17"/>
  <c r="T247" i="17" a="1"/>
  <c r="T247" i="17" s="1"/>
  <c r="U255" i="17" a="1"/>
  <c r="U255" i="17" s="1"/>
  <c r="U248" i="17" a="1"/>
  <c r="U248" i="17" s="1"/>
  <c r="S238" i="17" a="1"/>
  <c r="S238" i="17" s="1"/>
  <c r="V237" i="17" a="1"/>
  <c r="V237" i="17" s="1"/>
  <c r="W253" i="17" a="1"/>
  <c r="W253" i="17" s="1"/>
  <c r="T232" i="17" a="1"/>
  <c r="T232" i="17" s="1"/>
  <c r="W255" i="17" a="1"/>
  <c r="W255" i="17" s="1"/>
  <c r="U240" i="17" a="1"/>
  <c r="U240" i="17" s="1"/>
  <c r="T240" i="17" a="1"/>
  <c r="T240" i="17" s="1"/>
  <c r="W249" i="17" a="1"/>
  <c r="W249" i="17" s="1"/>
  <c r="Q245" i="17"/>
  <c r="W239" i="17" a="1"/>
  <c r="W239" i="17" s="1"/>
  <c r="U247" i="17" a="1"/>
  <c r="U247" i="17" s="1"/>
  <c r="U261" i="17" a="1"/>
  <c r="U261" i="17" s="1"/>
  <c r="S257" i="17" a="1"/>
  <c r="S257" i="17" s="1"/>
  <c r="W235" i="17" a="1"/>
  <c r="W235" i="17" s="1"/>
  <c r="V247" i="17" a="1"/>
  <c r="V247" i="17" s="1"/>
  <c r="V239" i="17" a="1"/>
  <c r="V239" i="17" s="1"/>
  <c r="S236" i="17" a="1"/>
  <c r="S236" i="17" s="1"/>
  <c r="V255" i="17" a="1"/>
  <c r="V255" i="17" s="1"/>
  <c r="S242" i="17" a="1"/>
  <c r="S242" i="17" s="1"/>
  <c r="Q239" i="17"/>
  <c r="W254" i="17" a="1"/>
  <c r="W254" i="17" s="1"/>
  <c r="T253" i="17" a="1"/>
  <c r="T253" i="17" s="1"/>
  <c r="U259" i="17" a="1"/>
  <c r="U259" i="17" s="1"/>
  <c r="S243" i="17" a="1"/>
  <c r="S243" i="17" s="1"/>
  <c r="V233" i="17" a="1"/>
  <c r="V233" i="17" s="1"/>
  <c r="S239" i="17" a="1"/>
  <c r="S239" i="17" s="1"/>
  <c r="V250" i="17" a="1"/>
  <c r="V250" i="17" s="1"/>
  <c r="W245" i="17" a="1"/>
  <c r="W245" i="17" s="1"/>
  <c r="W242" i="17" a="1"/>
  <c r="W242" i="17" s="1"/>
  <c r="S254" i="17" a="1"/>
  <c r="S254" i="17" s="1"/>
  <c r="V252" i="17" a="1"/>
  <c r="V252" i="17" s="1"/>
  <c r="T233" i="17" a="1"/>
  <c r="T233" i="17" s="1"/>
  <c r="S248" i="17" a="1"/>
  <c r="S248" i="17" s="1"/>
  <c r="Q253" i="17"/>
  <c r="U231" i="17" a="1"/>
  <c r="U231" i="17" s="1"/>
  <c r="S247" i="17" a="1"/>
  <c r="S247" i="17" s="1"/>
  <c r="W259" i="17" a="1"/>
  <c r="W259" i="17" s="1"/>
  <c r="T259" i="17" a="1"/>
  <c r="T259" i="17" s="1"/>
  <c r="S259" i="17" a="1"/>
  <c r="S259" i="17" s="1"/>
  <c r="U260" i="17" a="1"/>
  <c r="U260" i="17" s="1"/>
  <c r="W237" i="17" a="1"/>
  <c r="W237" i="17" s="1"/>
  <c r="V256" i="17" a="1"/>
  <c r="V256" i="17" s="1"/>
  <c r="S233" i="17" a="1"/>
  <c r="S233" i="17" s="1"/>
  <c r="V238" i="17" a="1"/>
  <c r="V238" i="17" s="1"/>
  <c r="T252" i="17" a="1"/>
  <c r="T252" i="17" s="1"/>
  <c r="U243" i="17" a="1"/>
  <c r="U243" i="17" s="1"/>
  <c r="W241" i="17" a="1"/>
  <c r="W241" i="17" s="1"/>
  <c r="S230" i="17" a="1"/>
  <c r="S230" i="17" s="1"/>
  <c r="V241" i="17" a="1"/>
  <c r="V241" i="17" s="1"/>
  <c r="V251" i="17" a="1"/>
  <c r="V251" i="17" s="1"/>
  <c r="S249" i="17" a="1"/>
  <c r="S249" i="17" s="1"/>
  <c r="W251" i="17" a="1"/>
  <c r="W251" i="17" s="1"/>
  <c r="W233" i="17" a="1"/>
  <c r="W233" i="17" s="1"/>
  <c r="W236" i="17" a="1"/>
  <c r="W236" i="17" s="1"/>
  <c r="T244" i="17" a="1"/>
  <c r="T244" i="17" s="1"/>
  <c r="U241" i="17" a="1"/>
  <c r="U241" i="17" s="1"/>
  <c r="W261" i="17" a="1"/>
  <c r="W261" i="17" s="1"/>
  <c r="V249" i="17" a="1"/>
  <c r="V249" i="17" s="1"/>
  <c r="T250" i="17" a="1"/>
  <c r="T250" i="17" s="1"/>
  <c r="U233" i="17" a="1"/>
  <c r="U233" i="17" s="1"/>
  <c r="T237" i="17" a="1"/>
  <c r="T237" i="17" s="1"/>
  <c r="U245" i="17" a="1"/>
  <c r="U245" i="17" s="1"/>
  <c r="U237" i="17" a="1"/>
  <c r="U237" i="17" s="1"/>
  <c r="W246" i="17" a="1"/>
  <c r="W246" i="17" s="1"/>
  <c r="Q252" i="17"/>
  <c r="T257" i="17" a="1"/>
  <c r="T257" i="17" s="1"/>
  <c r="T255" i="17" a="1"/>
  <c r="T255" i="17" s="1"/>
  <c r="W250" i="17" a="1"/>
  <c r="W250" i="17" s="1"/>
  <c r="V261" i="17" a="1"/>
  <c r="V261" i="17" s="1"/>
  <c r="S256" i="17" a="1"/>
  <c r="S256" i="17" s="1"/>
  <c r="T230" i="17" a="1"/>
  <c r="T230" i="17" s="1"/>
  <c r="T235" i="17" a="1"/>
  <c r="T235" i="17" s="1"/>
  <c r="V244" i="17" a="1"/>
  <c r="V244" i="17" s="1"/>
  <c r="V260" i="17" a="1"/>
  <c r="V260" i="17" s="1"/>
  <c r="U239" i="17" a="1"/>
  <c r="U239" i="17" s="1"/>
  <c r="W247" i="17" a="1"/>
  <c r="W247" i="17" s="1"/>
  <c r="V258" i="17" a="1"/>
  <c r="V258" i="17" s="1"/>
  <c r="U250" i="17" a="1"/>
  <c r="U250" i="17" s="1"/>
  <c r="Q255" i="17"/>
  <c r="V245" i="17" a="1"/>
  <c r="V245" i="17" s="1"/>
  <c r="W238" i="17" a="1"/>
  <c r="W238" i="17" s="1"/>
  <c r="U252" i="17" a="1"/>
  <c r="U252" i="17" s="1"/>
  <c r="S255" i="17" a="1"/>
  <c r="S255" i="17" s="1"/>
  <c r="W231" i="17" a="1"/>
  <c r="W231" i="17" s="1"/>
  <c r="W230" i="17" a="1"/>
  <c r="W230" i="17" s="1"/>
  <c r="V246" i="17" a="1"/>
  <c r="V246" i="17" s="1"/>
  <c r="U258" i="17" a="1"/>
  <c r="U258" i="17" s="1"/>
  <c r="U253" i="17" a="1"/>
  <c r="U253" i="17" s="1"/>
  <c r="W243" i="17" a="1"/>
  <c r="W243" i="17" s="1"/>
  <c r="W248" i="17" a="1"/>
  <c r="W248" i="17" s="1"/>
  <c r="V234" i="17" a="1"/>
  <c r="V234" i="17" s="1"/>
  <c r="U257" i="17" a="1"/>
  <c r="U257" i="17" s="1"/>
  <c r="T245" i="17" a="1"/>
  <c r="T245" i="17" s="1"/>
  <c r="W232" i="17" a="1"/>
  <c r="W232" i="17" s="1"/>
  <c r="S252" i="17" a="1"/>
  <c r="S252" i="17" s="1"/>
  <c r="T231" i="17" a="1"/>
  <c r="T231" i="17" s="1"/>
  <c r="T229" i="17" a="1"/>
  <c r="T229" i="17" s="1"/>
  <c r="T236" i="17" a="1"/>
  <c r="T236" i="17" s="1"/>
  <c r="U229" i="17" a="1"/>
  <c r="U229" i="17" s="1"/>
  <c r="W240" i="17" a="1"/>
  <c r="W240" i="17" s="1"/>
  <c r="S244" i="17" a="1"/>
  <c r="S244" i="17" s="1"/>
  <c r="V248" i="17" a="1"/>
  <c r="V248" i="17" s="1"/>
  <c r="U234" i="17" a="1"/>
  <c r="U234" i="17" s="1"/>
  <c r="V254" i="17" a="1"/>
  <c r="V254" i="17" s="1"/>
  <c r="T234" i="17" a="1"/>
  <c r="T234" i="17" s="1"/>
  <c r="U242" i="17" a="1"/>
  <c r="U242" i="17" s="1"/>
  <c r="U244" i="17" a="1"/>
  <c r="U244" i="17" s="1"/>
  <c r="T249" i="17" a="1"/>
  <c r="T249" i="17" s="1"/>
  <c r="W258" i="17" a="1"/>
  <c r="W258" i="17" s="1"/>
  <c r="S231" i="17" a="1"/>
  <c r="S231" i="17" s="1"/>
  <c r="V259" i="17" a="1"/>
  <c r="V259" i="17" s="1"/>
  <c r="U256" i="17" a="1"/>
  <c r="U256" i="17" s="1"/>
  <c r="S246" i="17" a="1"/>
  <c r="S246" i="17" s="1"/>
  <c r="V232" i="17" a="1"/>
  <c r="V232" i="17" s="1"/>
  <c r="W229" i="17" a="1"/>
  <c r="W229" i="17" s="1"/>
  <c r="Q236" i="17"/>
  <c r="T256" i="17" a="1"/>
  <c r="T256" i="17" s="1"/>
  <c r="S234" i="17" a="1"/>
  <c r="S234" i="17" s="1"/>
  <c r="S229" i="17" a="1"/>
  <c r="S229" i="17" s="1"/>
  <c r="S250" i="17" a="1"/>
  <c r="S250" i="17" s="1"/>
  <c r="T239" i="17" a="1"/>
  <c r="T239" i="17" s="1"/>
  <c r="T261" i="17" a="1"/>
  <c r="T261" i="17" s="1"/>
  <c r="W260" i="17" a="1"/>
  <c r="W260" i="17" s="1"/>
  <c r="S261" i="17" a="1"/>
  <c r="S261" i="17" s="1"/>
  <c r="R328" i="17" s="1"/>
  <c r="T260" i="17" a="1"/>
  <c r="T260" i="17" s="1"/>
  <c r="S240" i="17" a="1"/>
  <c r="S240" i="17" s="1"/>
  <c r="V240" i="17" a="1"/>
  <c r="V240" i="17" s="1"/>
  <c r="S258" i="17" a="1"/>
  <c r="S258" i="17" s="1"/>
  <c r="S232" i="17" a="1"/>
  <c r="S232" i="17" s="1"/>
  <c r="U254" i="17" a="1"/>
  <c r="U254" i="17" s="1"/>
  <c r="U236" i="17" a="1"/>
  <c r="U236" i="17" s="1"/>
  <c r="T243" i="17" a="1"/>
  <c r="T243" i="17" s="1"/>
  <c r="U246" i="17" a="1"/>
  <c r="U246" i="17" s="1"/>
  <c r="U251" i="17" a="1"/>
  <c r="U251" i="17" s="1"/>
  <c r="V229" i="17" a="1"/>
  <c r="V229" i="17" s="1"/>
  <c r="V257" i="17" a="1"/>
  <c r="V257" i="17" s="1"/>
  <c r="Q251" i="17"/>
  <c r="S251" i="17" a="1"/>
  <c r="S251" i="17" s="1"/>
  <c r="U230" i="17" a="1"/>
  <c r="U230" i="17" s="1"/>
  <c r="U238" i="17" a="1"/>
  <c r="U238" i="17" s="1"/>
  <c r="S253" i="17" a="1"/>
  <c r="S253" i="17" s="1"/>
  <c r="V243" i="17" a="1"/>
  <c r="V243" i="17" s="1"/>
  <c r="W257" i="17" a="1"/>
  <c r="W257" i="17" s="1"/>
  <c r="Q247" i="17"/>
  <c r="U249" i="17" a="1"/>
  <c r="U249" i="17" s="1"/>
  <c r="T251" i="17" a="1"/>
  <c r="T251" i="17" s="1"/>
  <c r="T238" i="17" a="1"/>
  <c r="T238" i="17" s="1"/>
  <c r="T241" i="17" a="1"/>
  <c r="T241" i="17" s="1"/>
  <c r="T242" i="17" a="1"/>
  <c r="T242" i="17" s="1"/>
  <c r="Q229" i="17"/>
  <c r="Q234" i="17"/>
  <c r="Q242" i="17"/>
  <c r="Q235" i="17"/>
  <c r="Q254" i="17"/>
  <c r="Q241" i="17"/>
  <c r="Q243" i="17"/>
  <c r="Q246" i="17"/>
  <c r="Q259" i="17"/>
  <c r="Q240" i="17"/>
  <c r="Q232" i="17"/>
  <c r="Q258" i="17"/>
  <c r="Q260" i="17"/>
  <c r="Q256" i="17"/>
  <c r="Q244" i="17"/>
  <c r="Q257" i="17"/>
  <c r="Q230" i="17"/>
  <c r="Q261" i="17"/>
  <c r="J6" i="16"/>
  <c r="K6" i="16" a="1"/>
  <c r="N10" i="16" s="1"/>
  <c r="W8" i="16"/>
  <c r="X8" i="16"/>
  <c r="V1098" i="16"/>
  <c r="X1097" i="16"/>
  <c r="W1097" i="16"/>
  <c r="W9" i="16"/>
  <c r="V10" i="16"/>
  <c r="X9" i="16"/>
  <c r="R302" i="17" l="1"/>
  <c r="R322" i="17"/>
  <c r="R309" i="17"/>
  <c r="R325" i="17"/>
  <c r="S325" i="17" s="1"/>
  <c r="R313" i="17"/>
  <c r="R297" i="17"/>
  <c r="S297" i="17" s="1"/>
  <c r="R314" i="17"/>
  <c r="S314" i="17" s="1"/>
  <c r="R316" i="17"/>
  <c r="R315" i="17"/>
  <c r="S315" i="17" s="1"/>
  <c r="R308" i="17"/>
  <c r="S308" i="17" s="1"/>
  <c r="R319" i="17"/>
  <c r="S319" i="17" s="1"/>
  <c r="R300" i="17"/>
  <c r="S300" i="17" s="1"/>
  <c r="R303" i="17"/>
  <c r="S303" i="17" s="1"/>
  <c r="R320" i="17"/>
  <c r="S320" i="17" s="1"/>
  <c r="R324" i="17"/>
  <c r="S324" i="17" s="1"/>
  <c r="R318" i="17"/>
  <c r="S318" i="17" s="1"/>
  <c r="R306" i="17"/>
  <c r="S306" i="17" s="1"/>
  <c r="R305" i="17"/>
  <c r="S305" i="17" s="1"/>
  <c r="R307" i="17"/>
  <c r="R310" i="17"/>
  <c r="S310" i="17" s="1"/>
  <c r="R327" i="17"/>
  <c r="S327" i="17" s="1"/>
  <c r="R299" i="17"/>
  <c r="S299" i="17" s="1"/>
  <c r="R298" i="17"/>
  <c r="S298" i="17" s="1"/>
  <c r="R317" i="17"/>
  <c r="S317" i="17" s="1"/>
  <c r="R296" i="17"/>
  <c r="S296" i="17" s="1"/>
  <c r="R326" i="17"/>
  <c r="S326" i="17" s="1"/>
  <c r="R304" i="17"/>
  <c r="S304" i="17" s="1"/>
  <c r="R301" i="17"/>
  <c r="S301" i="17" s="1"/>
  <c r="R323" i="17"/>
  <c r="S323" i="17" s="1"/>
  <c r="R312" i="17"/>
  <c r="S312" i="17" s="1"/>
  <c r="R321" i="17"/>
  <c r="S321" i="17" s="1"/>
  <c r="R311" i="17"/>
  <c r="S311" i="17" s="1"/>
  <c r="S328" i="17"/>
  <c r="S307" i="17"/>
  <c r="S302" i="17"/>
  <c r="S322" i="17"/>
  <c r="S316" i="17"/>
  <c r="S313" i="17"/>
  <c r="S309" i="17"/>
  <c r="X253" i="17"/>
  <c r="X233" i="17"/>
  <c r="X247" i="17"/>
  <c r="X236" i="17"/>
  <c r="X252" i="17"/>
  <c r="X229" i="17"/>
  <c r="X251" i="17"/>
  <c r="X259" i="17"/>
  <c r="X255" i="17"/>
  <c r="X248" i="17"/>
  <c r="X231" i="17"/>
  <c r="X260" i="17"/>
  <c r="X238" i="17"/>
  <c r="X232" i="17"/>
  <c r="X249" i="17"/>
  <c r="X239" i="17"/>
  <c r="X245" i="17"/>
  <c r="X250" i="17"/>
  <c r="X237" i="17"/>
  <c r="X256" i="17"/>
  <c r="N15" i="16"/>
  <c r="N28" i="16"/>
  <c r="N34" i="16"/>
  <c r="N32" i="16"/>
  <c r="N22" i="16"/>
  <c r="N31" i="16"/>
  <c r="N7" i="16"/>
  <c r="N24" i="16"/>
  <c r="N30" i="16"/>
  <c r="K6" i="16"/>
  <c r="N6" i="16" s="1"/>
  <c r="N14" i="16"/>
  <c r="N20" i="16"/>
  <c r="N12" i="16"/>
  <c r="N37" i="16"/>
  <c r="N13" i="16"/>
  <c r="N26" i="16"/>
  <c r="N27" i="16"/>
  <c r="N16" i="16"/>
  <c r="N17" i="16"/>
  <c r="N36" i="16"/>
  <c r="N29" i="16"/>
  <c r="N25" i="16"/>
  <c r="N9" i="16"/>
  <c r="N19" i="16"/>
  <c r="N35" i="16"/>
  <c r="N11" i="16"/>
  <c r="N38" i="16"/>
  <c r="N23" i="16"/>
  <c r="N21" i="16"/>
  <c r="N18" i="16"/>
  <c r="N33" i="16"/>
  <c r="N8" i="16"/>
  <c r="AF1097" i="16" s="1"/>
  <c r="CV9" i="16"/>
  <c r="CV8" i="16"/>
  <c r="W1098" i="16"/>
  <c r="V1099" i="16"/>
  <c r="X1098" i="16"/>
  <c r="V11" i="16"/>
  <c r="W10" i="16"/>
  <c r="X10" i="16"/>
  <c r="F251" i="3" a="1"/>
  <c r="F251" i="3" s="1"/>
  <c r="F260" i="3" s="1"/>
  <c r="BT348" i="3" a="1"/>
  <c r="D240" i="3"/>
  <c r="D242" i="3"/>
  <c r="D213" i="3"/>
  <c r="R8" i="13"/>
  <c r="D214" i="3" s="1"/>
  <c r="R9" i="13"/>
  <c r="D215" i="3" s="1"/>
  <c r="R10" i="13"/>
  <c r="D216" i="3" s="1"/>
  <c r="R11" i="13"/>
  <c r="D217" i="3" s="1"/>
  <c r="R12" i="13"/>
  <c r="D218" i="3" s="1"/>
  <c r="R13" i="13"/>
  <c r="D219" i="3" s="1"/>
  <c r="R14" i="13"/>
  <c r="D220" i="3" s="1"/>
  <c r="R15" i="13"/>
  <c r="D221" i="3" s="1"/>
  <c r="R16" i="13"/>
  <c r="D222" i="3" s="1"/>
  <c r="R17" i="13"/>
  <c r="D223" i="3" s="1"/>
  <c r="R18" i="13"/>
  <c r="D224" i="3" s="1"/>
  <c r="R19" i="13"/>
  <c r="D225" i="3" s="1"/>
  <c r="R20" i="13"/>
  <c r="D226" i="3" s="1"/>
  <c r="R21" i="13"/>
  <c r="D227" i="3" s="1"/>
  <c r="R22" i="13"/>
  <c r="D228" i="3" s="1"/>
  <c r="R23" i="13"/>
  <c r="D229" i="3" s="1"/>
  <c r="R24" i="13"/>
  <c r="D230" i="3" s="1"/>
  <c r="R25" i="13"/>
  <c r="D231" i="3" s="1"/>
  <c r="R26" i="13"/>
  <c r="D232" i="3" s="1"/>
  <c r="R27" i="13"/>
  <c r="D233" i="3" s="1"/>
  <c r="R28" i="13"/>
  <c r="D234" i="3" s="1"/>
  <c r="R29" i="13"/>
  <c r="D235" i="3" s="1"/>
  <c r="R30" i="13"/>
  <c r="D236" i="3" s="1"/>
  <c r="R31" i="13"/>
  <c r="D237" i="3" s="1"/>
  <c r="R32" i="13"/>
  <c r="D238" i="3" s="1"/>
  <c r="R33" i="13"/>
  <c r="D239" i="3" s="1"/>
  <c r="R34" i="13"/>
  <c r="R35" i="13"/>
  <c r="D241" i="3" s="1"/>
  <c r="R36" i="13"/>
  <c r="R37" i="13"/>
  <c r="D243" i="3" s="1"/>
  <c r="R38" i="13"/>
  <c r="D244" i="3" s="1"/>
  <c r="R39" i="13"/>
  <c r="D245" i="3" s="1"/>
  <c r="R40" i="13"/>
  <c r="R7" i="13"/>
  <c r="S8" i="13"/>
  <c r="E214" i="3" s="1"/>
  <c r="S9" i="13"/>
  <c r="E215" i="3" s="1"/>
  <c r="S10" i="13"/>
  <c r="E216" i="3" s="1"/>
  <c r="S11" i="13"/>
  <c r="E217" i="3" s="1"/>
  <c r="S12" i="13"/>
  <c r="E218" i="3" s="1"/>
  <c r="S13" i="13"/>
  <c r="E219" i="3" s="1"/>
  <c r="S14" i="13"/>
  <c r="E220" i="3" s="1"/>
  <c r="S15" i="13"/>
  <c r="E221" i="3" s="1"/>
  <c r="S16" i="13"/>
  <c r="E222" i="3" s="1"/>
  <c r="S17" i="13"/>
  <c r="E223" i="3" s="1"/>
  <c r="S18" i="13"/>
  <c r="E224" i="3" s="1"/>
  <c r="S19" i="13"/>
  <c r="E225" i="3" s="1"/>
  <c r="S20" i="13"/>
  <c r="E226" i="3" s="1"/>
  <c r="S21" i="13"/>
  <c r="E227" i="3" s="1"/>
  <c r="S22" i="13"/>
  <c r="E228" i="3" s="1"/>
  <c r="S23" i="13"/>
  <c r="E229" i="3" s="1"/>
  <c r="S24" i="13"/>
  <c r="E230" i="3" s="1"/>
  <c r="S25" i="13"/>
  <c r="E231" i="3" s="1"/>
  <c r="S26" i="13"/>
  <c r="E232" i="3" s="1"/>
  <c r="S27" i="13"/>
  <c r="E233" i="3" s="1"/>
  <c r="S28" i="13"/>
  <c r="E234" i="3" s="1"/>
  <c r="S29" i="13"/>
  <c r="E235" i="3" s="1"/>
  <c r="S30" i="13"/>
  <c r="E236" i="3" s="1"/>
  <c r="S31" i="13"/>
  <c r="E237" i="3" s="1"/>
  <c r="S32" i="13"/>
  <c r="E238" i="3" s="1"/>
  <c r="S33" i="13"/>
  <c r="E239" i="3" s="1"/>
  <c r="S34" i="13"/>
  <c r="E240" i="3" s="1"/>
  <c r="S35" i="13"/>
  <c r="E241" i="3" s="1"/>
  <c r="S36" i="13"/>
  <c r="E242" i="3" s="1"/>
  <c r="S37" i="13"/>
  <c r="E243" i="3" s="1"/>
  <c r="S38" i="13"/>
  <c r="E244" i="3" s="1"/>
  <c r="S39" i="13"/>
  <c r="E245" i="3" s="1"/>
  <c r="S40" i="13"/>
  <c r="S7" i="13"/>
  <c r="E213" i="3" s="1"/>
  <c r="E71" i="12"/>
  <c r="G159" i="3" s="1"/>
  <c r="D71" i="12"/>
  <c r="F159" i="3" s="1"/>
  <c r="C71" i="12"/>
  <c r="E159" i="3" s="1"/>
  <c r="B71" i="12"/>
  <c r="D159" i="3" s="1"/>
  <c r="K189" i="3"/>
  <c r="C160" i="3"/>
  <c r="C176" i="3" s="1"/>
  <c r="C161" i="3"/>
  <c r="C177" i="3" s="1"/>
  <c r="C162" i="3"/>
  <c r="C178" i="3" s="1"/>
  <c r="C163" i="3"/>
  <c r="C179" i="3" s="1"/>
  <c r="C164" i="3"/>
  <c r="C180" i="3" s="1"/>
  <c r="G164" i="3"/>
  <c r="C165" i="3"/>
  <c r="C181" i="3" s="1"/>
  <c r="G165" i="3"/>
  <c r="C166" i="3"/>
  <c r="C182" i="3" s="1"/>
  <c r="G166" i="3"/>
  <c r="C167" i="3"/>
  <c r="C183" i="3" s="1"/>
  <c r="C168" i="3"/>
  <c r="C184" i="3" s="1"/>
  <c r="C169" i="3"/>
  <c r="C185" i="3" s="1"/>
  <c r="C170" i="3"/>
  <c r="C187" i="3" s="1"/>
  <c r="C171" i="3"/>
  <c r="C189" i="3" s="1"/>
  <c r="C159" i="3"/>
  <c r="C175" i="3" s="1"/>
  <c r="G155" i="3"/>
  <c r="E150" i="3"/>
  <c r="F155" i="3" s="1"/>
  <c r="E149" i="3"/>
  <c r="E144" i="3"/>
  <c r="E143" i="3"/>
  <c r="B83" i="12"/>
  <c r="D171" i="3" s="1"/>
  <c r="B82" i="12"/>
  <c r="B81" i="12"/>
  <c r="D169" i="3" s="1"/>
  <c r="B80" i="12"/>
  <c r="D168" i="3" s="1"/>
  <c r="B79" i="12"/>
  <c r="D167" i="3" s="1"/>
  <c r="B78" i="12"/>
  <c r="D166" i="3" s="1"/>
  <c r="B77" i="12"/>
  <c r="D165" i="3" s="1"/>
  <c r="B76" i="12"/>
  <c r="D164" i="3" s="1"/>
  <c r="B75" i="12"/>
  <c r="D163" i="3" s="1"/>
  <c r="B74" i="12"/>
  <c r="D162" i="3" s="1"/>
  <c r="B73" i="12"/>
  <c r="B72" i="12"/>
  <c r="C83" i="12"/>
  <c r="E171" i="3" s="1"/>
  <c r="C82" i="12"/>
  <c r="C81" i="12"/>
  <c r="E169" i="3" s="1"/>
  <c r="C80" i="12"/>
  <c r="C79" i="12"/>
  <c r="E167" i="3" s="1"/>
  <c r="C78" i="12"/>
  <c r="E166" i="3" s="1"/>
  <c r="C77" i="12"/>
  <c r="E165" i="3" s="1"/>
  <c r="C76" i="12"/>
  <c r="E164" i="3" s="1"/>
  <c r="C75" i="12"/>
  <c r="E163" i="3" s="1"/>
  <c r="C74" i="12"/>
  <c r="E162" i="3" s="1"/>
  <c r="C73" i="12"/>
  <c r="E161" i="3" s="1"/>
  <c r="C72" i="12"/>
  <c r="E160" i="3" s="1"/>
  <c r="D83" i="12"/>
  <c r="D82" i="12"/>
  <c r="F170" i="3" s="1"/>
  <c r="D81" i="12"/>
  <c r="F169" i="3" s="1"/>
  <c r="D80" i="12"/>
  <c r="F168" i="3" s="1"/>
  <c r="D79" i="12"/>
  <c r="F167" i="3" s="1"/>
  <c r="D78" i="12"/>
  <c r="F166" i="3" s="1"/>
  <c r="D77" i="12"/>
  <c r="F165" i="3" s="1"/>
  <c r="D76" i="12"/>
  <c r="D75" i="12"/>
  <c r="F163" i="3" s="1"/>
  <c r="D74" i="12"/>
  <c r="F162" i="3" s="1"/>
  <c r="D73" i="12"/>
  <c r="F161" i="3" s="1"/>
  <c r="D72" i="12"/>
  <c r="E72" i="12"/>
  <c r="E73" i="12"/>
  <c r="E74" i="12"/>
  <c r="G162" i="3" s="1"/>
  <c r="E75" i="12"/>
  <c r="E76" i="12"/>
  <c r="E77" i="12"/>
  <c r="E78" i="12"/>
  <c r="E79" i="12"/>
  <c r="G167" i="3" s="1"/>
  <c r="E80" i="12"/>
  <c r="G168" i="3" s="1"/>
  <c r="E81" i="12"/>
  <c r="G169" i="3" s="1"/>
  <c r="E82" i="12"/>
  <c r="E83" i="12"/>
  <c r="G171" i="3" s="1"/>
  <c r="O30" i="12"/>
  <c r="N30" i="12"/>
  <c r="O27" i="12"/>
  <c r="N27" i="12"/>
  <c r="O25" i="12"/>
  <c r="N25" i="12"/>
  <c r="O24" i="12"/>
  <c r="N24" i="12"/>
  <c r="O23" i="12"/>
  <c r="N23" i="12"/>
  <c r="O22" i="12"/>
  <c r="N22" i="12"/>
  <c r="O21" i="12"/>
  <c r="N21" i="12"/>
  <c r="O20" i="12"/>
  <c r="N20" i="12"/>
  <c r="O19" i="12"/>
  <c r="N19" i="12"/>
  <c r="O18" i="12"/>
  <c r="N18" i="12"/>
  <c r="O17" i="12"/>
  <c r="N17" i="12"/>
  <c r="O16" i="12"/>
  <c r="N16" i="12"/>
  <c r="O13" i="12"/>
  <c r="N13" i="12"/>
  <c r="O12" i="12"/>
  <c r="N12" i="12"/>
  <c r="O11" i="12"/>
  <c r="N11" i="12"/>
  <c r="L11" i="12"/>
  <c r="L12" i="12"/>
  <c r="L13" i="12"/>
  <c r="L16" i="12"/>
  <c r="L17" i="12"/>
  <c r="L18" i="12"/>
  <c r="L19" i="12"/>
  <c r="L20" i="12"/>
  <c r="L21" i="12"/>
  <c r="L22" i="12"/>
  <c r="L23" i="12"/>
  <c r="L24" i="12"/>
  <c r="L25" i="12"/>
  <c r="L27" i="12"/>
  <c r="L30" i="12"/>
  <c r="K12" i="12"/>
  <c r="K13" i="12"/>
  <c r="K16" i="12"/>
  <c r="K17" i="12"/>
  <c r="K18" i="12"/>
  <c r="K19" i="12"/>
  <c r="K20" i="12"/>
  <c r="K21" i="12"/>
  <c r="K22" i="12"/>
  <c r="K23" i="12"/>
  <c r="K24" i="12"/>
  <c r="K25" i="12"/>
  <c r="K27" i="12"/>
  <c r="K30" i="12"/>
  <c r="K11" i="12"/>
  <c r="G26" i="12"/>
  <c r="F26" i="12"/>
  <c r="O26" i="12" s="1"/>
  <c r="E26" i="12"/>
  <c r="N26" i="12" s="1"/>
  <c r="D26" i="12"/>
  <c r="C26" i="12"/>
  <c r="L26" i="12" s="1"/>
  <c r="B26" i="12"/>
  <c r="K26" i="12" s="1"/>
  <c r="G15" i="12"/>
  <c r="F15" i="12"/>
  <c r="E15" i="12"/>
  <c r="D15" i="12"/>
  <c r="C15" i="12"/>
  <c r="B15" i="12"/>
  <c r="G14" i="12"/>
  <c r="F14" i="12"/>
  <c r="E14" i="12"/>
  <c r="D14" i="12"/>
  <c r="C14" i="12"/>
  <c r="L14" i="12" s="1"/>
  <c r="B14" i="12"/>
  <c r="C30" i="11"/>
  <c r="C34" i="11" s="1"/>
  <c r="B30" i="11"/>
  <c r="B34" i="11" s="1"/>
  <c r="C26" i="11"/>
  <c r="C27" i="11" s="1"/>
  <c r="C29" i="11" s="1"/>
  <c r="G24" i="11"/>
  <c r="F24" i="11"/>
  <c r="E24" i="11"/>
  <c r="D24" i="11"/>
  <c r="C24" i="11"/>
  <c r="B24" i="11"/>
  <c r="G13" i="11"/>
  <c r="G26" i="11" s="1"/>
  <c r="F13" i="11"/>
  <c r="F26" i="11" s="1"/>
  <c r="E13" i="11"/>
  <c r="E26" i="11" s="1"/>
  <c r="D13" i="11"/>
  <c r="D26" i="11" s="1"/>
  <c r="C13" i="11"/>
  <c r="B13" i="11"/>
  <c r="B26" i="11" s="1"/>
  <c r="B27" i="11" s="1"/>
  <c r="B29" i="11" s="1"/>
  <c r="G12" i="11"/>
  <c r="F12" i="11"/>
  <c r="E12" i="11"/>
  <c r="D12" i="11"/>
  <c r="C12" i="11"/>
  <c r="B12" i="11"/>
  <c r="C275" i="3"/>
  <c r="C12" i="14" s="1"/>
  <c r="CF12" i="14" s="1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C110" i="3"/>
  <c r="C111" i="3"/>
  <c r="C112" i="3"/>
  <c r="C113" i="3"/>
  <c r="C109" i="3"/>
  <c r="E44" i="3"/>
  <c r="E45" i="3"/>
  <c r="E56" i="3" s="1"/>
  <c r="E46" i="3"/>
  <c r="E57" i="3" s="1"/>
  <c r="E47" i="3"/>
  <c r="E58" i="3" s="1"/>
  <c r="E48" i="3"/>
  <c r="E49" i="3"/>
  <c r="E50" i="3"/>
  <c r="E51" i="3"/>
  <c r="E43" i="3"/>
  <c r="D44" i="3"/>
  <c r="D45" i="3"/>
  <c r="D46" i="3"/>
  <c r="D47" i="3"/>
  <c r="D48" i="3"/>
  <c r="D49" i="3"/>
  <c r="D50" i="3"/>
  <c r="D51" i="3"/>
  <c r="D43" i="3"/>
  <c r="C11" i="3" a="1"/>
  <c r="C11" i="3" s="1"/>
  <c r="C6" i="3" a="1"/>
  <c r="C6" i="3" s="1"/>
  <c r="C1" i="3" a="1"/>
  <c r="C1" i="3" s="1"/>
  <c r="J2" i="10"/>
  <c r="K2" i="10"/>
  <c r="L2" i="10"/>
  <c r="M2" i="10"/>
  <c r="J3" i="10"/>
  <c r="K3" i="10"/>
  <c r="L3" i="10"/>
  <c r="M3" i="10"/>
  <c r="J4" i="10"/>
  <c r="K4" i="10"/>
  <c r="L4" i="10"/>
  <c r="M4" i="10"/>
  <c r="J5" i="10"/>
  <c r="K5" i="10"/>
  <c r="L5" i="10"/>
  <c r="S5" i="10" s="1"/>
  <c r="M5" i="10"/>
  <c r="T5" i="10" s="1"/>
  <c r="J6" i="10"/>
  <c r="K6" i="10"/>
  <c r="R6" i="10" s="1"/>
  <c r="L6" i="10"/>
  <c r="S6" i="10" s="1"/>
  <c r="M6" i="10"/>
  <c r="T6" i="10" s="1"/>
  <c r="J7" i="10"/>
  <c r="K7" i="10"/>
  <c r="L7" i="10"/>
  <c r="M7" i="10"/>
  <c r="J8" i="10"/>
  <c r="K8" i="10"/>
  <c r="L8" i="10"/>
  <c r="M8" i="10"/>
  <c r="J9" i="10"/>
  <c r="K9" i="10"/>
  <c r="L9" i="10"/>
  <c r="M9" i="10"/>
  <c r="J10" i="10"/>
  <c r="K10" i="10"/>
  <c r="L10" i="10"/>
  <c r="M10" i="10"/>
  <c r="J11" i="10"/>
  <c r="K11" i="10"/>
  <c r="L11" i="10"/>
  <c r="M11" i="10"/>
  <c r="J12" i="10"/>
  <c r="K12" i="10"/>
  <c r="L12" i="10"/>
  <c r="M12" i="10"/>
  <c r="T12" i="10" s="1"/>
  <c r="J13" i="10"/>
  <c r="K13" i="10"/>
  <c r="L13" i="10"/>
  <c r="M13" i="10"/>
  <c r="J14" i="10"/>
  <c r="K14" i="10"/>
  <c r="R14" i="10" s="1"/>
  <c r="L14" i="10"/>
  <c r="M14" i="10"/>
  <c r="J15" i="10"/>
  <c r="K15" i="10"/>
  <c r="L15" i="10"/>
  <c r="M15" i="10"/>
  <c r="T15" i="10" s="1"/>
  <c r="J16" i="10"/>
  <c r="K16" i="10"/>
  <c r="L16" i="10"/>
  <c r="M16" i="10"/>
  <c r="J17" i="10"/>
  <c r="K17" i="10"/>
  <c r="R17" i="10" s="1"/>
  <c r="L17" i="10"/>
  <c r="S17" i="10" s="1"/>
  <c r="M17" i="10"/>
  <c r="J18" i="10"/>
  <c r="K18" i="10"/>
  <c r="L18" i="10"/>
  <c r="S18" i="10" s="1"/>
  <c r="M18" i="10"/>
  <c r="T18" i="10" s="1"/>
  <c r="J19" i="10"/>
  <c r="K19" i="10"/>
  <c r="L19" i="10"/>
  <c r="M19" i="10"/>
  <c r="T19" i="10" s="1"/>
  <c r="J20" i="10"/>
  <c r="K20" i="10"/>
  <c r="L20" i="10"/>
  <c r="S20" i="10" s="1"/>
  <c r="M20" i="10"/>
  <c r="J21" i="10"/>
  <c r="K21" i="10"/>
  <c r="L21" i="10"/>
  <c r="M21" i="10"/>
  <c r="J22" i="10"/>
  <c r="K22" i="10"/>
  <c r="L22" i="10"/>
  <c r="M22" i="10"/>
  <c r="J23" i="10"/>
  <c r="K23" i="10"/>
  <c r="R23" i="10" s="1"/>
  <c r="L23" i="10"/>
  <c r="S23" i="10" s="1"/>
  <c r="M23" i="10"/>
  <c r="T23" i="10" s="1"/>
  <c r="J24" i="10"/>
  <c r="K24" i="10"/>
  <c r="L24" i="10"/>
  <c r="Q24" i="10" s="1"/>
  <c r="M24" i="10"/>
  <c r="J25" i="10"/>
  <c r="K25" i="10"/>
  <c r="L25" i="10"/>
  <c r="M25" i="10"/>
  <c r="J26" i="10"/>
  <c r="K26" i="10"/>
  <c r="R26" i="10" s="1"/>
  <c r="L26" i="10"/>
  <c r="M26" i="10"/>
  <c r="J27" i="10"/>
  <c r="K27" i="10"/>
  <c r="L27" i="10"/>
  <c r="M27" i="10"/>
  <c r="T27" i="10" s="1"/>
  <c r="J28" i="10"/>
  <c r="K28" i="10"/>
  <c r="L28" i="10"/>
  <c r="M28" i="10"/>
  <c r="J29" i="10"/>
  <c r="K29" i="10"/>
  <c r="R29" i="10" s="1"/>
  <c r="L29" i="10"/>
  <c r="S29" i="10" s="1"/>
  <c r="M29" i="10"/>
  <c r="T29" i="10" s="1"/>
  <c r="J30" i="10"/>
  <c r="K30" i="10"/>
  <c r="L30" i="10"/>
  <c r="S30" i="10" s="1"/>
  <c r="M30" i="10"/>
  <c r="J31" i="10"/>
  <c r="K31" i="10"/>
  <c r="L31" i="10"/>
  <c r="M31" i="10"/>
  <c r="T31" i="10" s="1"/>
  <c r="J32" i="10"/>
  <c r="K32" i="10"/>
  <c r="L32" i="10"/>
  <c r="S32" i="10" s="1"/>
  <c r="M32" i="10"/>
  <c r="J33" i="10"/>
  <c r="K33" i="10"/>
  <c r="L33" i="10"/>
  <c r="M33" i="10"/>
  <c r="J34" i="10"/>
  <c r="K34" i="10"/>
  <c r="L34" i="10"/>
  <c r="M34" i="10"/>
  <c r="I3" i="10"/>
  <c r="I4" i="10"/>
  <c r="S4" i="10" s="1"/>
  <c r="I5" i="10"/>
  <c r="P5" i="10" s="1"/>
  <c r="I6" i="10"/>
  <c r="P6" i="10" s="1"/>
  <c r="I7" i="10"/>
  <c r="P7" i="10" s="1"/>
  <c r="I8" i="10"/>
  <c r="Q8" i="10" s="1"/>
  <c r="I9" i="10"/>
  <c r="P9" i="10" s="1"/>
  <c r="I10" i="10"/>
  <c r="I11" i="10"/>
  <c r="I12" i="10"/>
  <c r="P12" i="10" s="1"/>
  <c r="I13" i="10"/>
  <c r="P13" i="10" s="1"/>
  <c r="I14" i="10"/>
  <c r="I15" i="10"/>
  <c r="I16" i="10"/>
  <c r="I17" i="10"/>
  <c r="P17" i="10" s="1"/>
  <c r="I18" i="10"/>
  <c r="I19" i="10"/>
  <c r="I20" i="10"/>
  <c r="I21" i="10"/>
  <c r="P21" i="10" s="1"/>
  <c r="I22" i="10"/>
  <c r="I23" i="10"/>
  <c r="P23" i="10" s="1"/>
  <c r="I24" i="10"/>
  <c r="I25" i="10"/>
  <c r="I26" i="10"/>
  <c r="P26" i="10" s="1"/>
  <c r="I27" i="10"/>
  <c r="P27" i="10" s="1"/>
  <c r="I28" i="10"/>
  <c r="I29" i="10"/>
  <c r="P29" i="10" s="1"/>
  <c r="I30" i="10"/>
  <c r="I31" i="10"/>
  <c r="I32" i="10"/>
  <c r="P32" i="10" s="1"/>
  <c r="I33" i="10"/>
  <c r="P33" i="10" s="1"/>
  <c r="I34" i="10"/>
  <c r="P34" i="10" s="1"/>
  <c r="I2" i="10"/>
  <c r="Q2" i="10" s="1"/>
  <c r="E82" i="5" a="1"/>
  <c r="E82" i="5" s="1"/>
  <c r="F82" i="5" s="1"/>
  <c r="E7" i="5"/>
  <c r="E8" i="5"/>
  <c r="E9" i="5"/>
  <c r="E10" i="5"/>
  <c r="E11" i="5"/>
  <c r="E12" i="5"/>
  <c r="E13" i="5"/>
  <c r="E14" i="5"/>
  <c r="E16" i="5"/>
  <c r="E17" i="5"/>
  <c r="E18" i="5"/>
  <c r="E19" i="5"/>
  <c r="E20" i="5"/>
  <c r="E21" i="5"/>
  <c r="E22" i="5"/>
  <c r="E23" i="5"/>
  <c r="E24" i="5"/>
  <c r="E25" i="5"/>
  <c r="E6" i="5"/>
  <c r="H18" i="4"/>
  <c r="F21" i="2"/>
  <c r="G21" i="2"/>
  <c r="H21" i="2"/>
  <c r="I21" i="2"/>
  <c r="F22" i="2"/>
  <c r="G22" i="2"/>
  <c r="H22" i="2"/>
  <c r="I22" i="2"/>
  <c r="E22" i="2"/>
  <c r="E21" i="2"/>
  <c r="E27" i="11" l="1"/>
  <c r="E29" i="11" s="1"/>
  <c r="E28" i="12"/>
  <c r="P15" i="10"/>
  <c r="Q26" i="10"/>
  <c r="Q22" i="10"/>
  <c r="Q14" i="10"/>
  <c r="Q10" i="10"/>
  <c r="F27" i="11"/>
  <c r="F29" i="11" s="1"/>
  <c r="F28" i="12"/>
  <c r="O28" i="12" s="1"/>
  <c r="P16" i="10"/>
  <c r="Q34" i="10"/>
  <c r="Q30" i="10"/>
  <c r="P14" i="10"/>
  <c r="T33" i="10"/>
  <c r="Q29" i="10"/>
  <c r="T25" i="10"/>
  <c r="T21" i="10"/>
  <c r="Q17" i="10"/>
  <c r="T13" i="10"/>
  <c r="T9" i="10"/>
  <c r="G27" i="11"/>
  <c r="G29" i="11" s="1"/>
  <c r="S33" i="10"/>
  <c r="S25" i="10"/>
  <c r="S21" i="10"/>
  <c r="S13" i="10"/>
  <c r="S9" i="10"/>
  <c r="R33" i="10"/>
  <c r="R25" i="10"/>
  <c r="R21" i="10"/>
  <c r="R13" i="10"/>
  <c r="R9" i="10"/>
  <c r="S28" i="10"/>
  <c r="R11" i="10"/>
  <c r="Q33" i="10"/>
  <c r="P25" i="10"/>
  <c r="Q21" i="10"/>
  <c r="Q9" i="10"/>
  <c r="Q5" i="10"/>
  <c r="S10" i="10"/>
  <c r="T32" i="10"/>
  <c r="S24" i="10"/>
  <c r="T20" i="10"/>
  <c r="T8" i="10"/>
  <c r="T4" i="10"/>
  <c r="P28" i="10"/>
  <c r="S8" i="10"/>
  <c r="R32" i="10"/>
  <c r="R20" i="10"/>
  <c r="T17" i="10"/>
  <c r="Q32" i="10"/>
  <c r="T28" i="10"/>
  <c r="P24" i="10"/>
  <c r="Q20" i="10"/>
  <c r="S16" i="10"/>
  <c r="Q4" i="10"/>
  <c r="P11" i="10"/>
  <c r="T7" i="10"/>
  <c r="T3" i="10"/>
  <c r="P10" i="10"/>
  <c r="Q23" i="10"/>
  <c r="S31" i="10"/>
  <c r="S27" i="10"/>
  <c r="S19" i="10"/>
  <c r="S15" i="10"/>
  <c r="S7" i="10"/>
  <c r="S3" i="10"/>
  <c r="P20" i="10"/>
  <c r="R31" i="10"/>
  <c r="R27" i="10"/>
  <c r="R19" i="10"/>
  <c r="R15" i="10"/>
  <c r="R7" i="10"/>
  <c r="R3" i="10"/>
  <c r="P8" i="10"/>
  <c r="BT348" i="3"/>
  <c r="BU86" i="14" s="1"/>
  <c r="BU93" i="14" s="1"/>
  <c r="BU89" i="14"/>
  <c r="BU88" i="14"/>
  <c r="BU87" i="14"/>
  <c r="H330" i="17"/>
  <c r="D278" i="17"/>
  <c r="D283" i="17" s="1"/>
  <c r="F283" i="17" s="1"/>
  <c r="P19" i="10"/>
  <c r="P31" i="10"/>
  <c r="Q27" i="10"/>
  <c r="Q15" i="10"/>
  <c r="Q3" i="10"/>
  <c r="K15" i="12"/>
  <c r="P22" i="10"/>
  <c r="S34" i="10"/>
  <c r="P18" i="10"/>
  <c r="R30" i="10"/>
  <c r="T26" i="10"/>
  <c r="Q18" i="10"/>
  <c r="T14" i="10"/>
  <c r="T2" i="10"/>
  <c r="T30" i="10"/>
  <c r="C28" i="12"/>
  <c r="L28" i="12" s="1"/>
  <c r="S26" i="10"/>
  <c r="S14" i="10"/>
  <c r="S2" i="10"/>
  <c r="D27" i="11"/>
  <c r="D29" i="11" s="1"/>
  <c r="D28" i="12"/>
  <c r="CV10" i="16"/>
  <c r="X246" i="17"/>
  <c r="X230" i="17"/>
  <c r="X234" i="17"/>
  <c r="X244" i="17"/>
  <c r="X257" i="17"/>
  <c r="X242" i="17"/>
  <c r="X235" i="17"/>
  <c r="X254" i="17"/>
  <c r="X258" i="17"/>
  <c r="X240" i="17"/>
  <c r="X261" i="17"/>
  <c r="X241" i="17"/>
  <c r="X243" i="17"/>
  <c r="AF1095" i="16"/>
  <c r="T1095" i="16"/>
  <c r="T1097" i="16"/>
  <c r="AF1096" i="16"/>
  <c r="T1096" i="16"/>
  <c r="H21" i="4"/>
  <c r="I330" i="17" s="1"/>
  <c r="M17" i="4"/>
  <c r="AF1098" i="16"/>
  <c r="T1098" i="16"/>
  <c r="W1099" i="16"/>
  <c r="V1100" i="16"/>
  <c r="X1099" i="16"/>
  <c r="X11" i="16"/>
  <c r="W11" i="16"/>
  <c r="V12" i="16"/>
  <c r="M18" i="4"/>
  <c r="H260" i="3"/>
  <c r="G260" i="3"/>
  <c r="J260" i="3"/>
  <c r="I260" i="3"/>
  <c r="E98" i="12"/>
  <c r="E92" i="12"/>
  <c r="G28" i="12"/>
  <c r="F184" i="3"/>
  <c r="G175" i="3"/>
  <c r="F187" i="3"/>
  <c r="G180" i="3"/>
  <c r="G185" i="3"/>
  <c r="G178" i="3"/>
  <c r="F183" i="3"/>
  <c r="F185" i="3"/>
  <c r="G182" i="3"/>
  <c r="F182" i="3"/>
  <c r="G189" i="3"/>
  <c r="I249" i="3" s="1"/>
  <c r="I261" i="3" s="1"/>
  <c r="G183" i="3"/>
  <c r="F181" i="3"/>
  <c r="F178" i="3"/>
  <c r="F179" i="3"/>
  <c r="F175" i="3"/>
  <c r="G184" i="3"/>
  <c r="G181" i="3"/>
  <c r="F177" i="3"/>
  <c r="B100" i="12"/>
  <c r="E99" i="12"/>
  <c r="G170" i="3"/>
  <c r="G187" i="3" s="1"/>
  <c r="E96" i="12"/>
  <c r="B102" i="12"/>
  <c r="D91" i="12"/>
  <c r="D103" i="12"/>
  <c r="B101" i="12"/>
  <c r="E97" i="12"/>
  <c r="B103" i="12"/>
  <c r="E95" i="12"/>
  <c r="B93" i="12"/>
  <c r="D102" i="12"/>
  <c r="F171" i="3"/>
  <c r="F189" i="3" s="1"/>
  <c r="H249" i="3" s="1"/>
  <c r="H261" i="3" s="1"/>
  <c r="B94" i="12"/>
  <c r="F32" i="12"/>
  <c r="F58" i="12" s="1"/>
  <c r="D98" i="12"/>
  <c r="D170" i="3"/>
  <c r="E93" i="12"/>
  <c r="E32" i="12"/>
  <c r="E49" i="12" s="1"/>
  <c r="G32" i="12"/>
  <c r="D96" i="12"/>
  <c r="D94" i="12"/>
  <c r="C99" i="12"/>
  <c r="C101" i="12"/>
  <c r="C98" i="12"/>
  <c r="C102" i="12"/>
  <c r="B99" i="12"/>
  <c r="D93" i="12"/>
  <c r="B96" i="12"/>
  <c r="B95" i="12"/>
  <c r="D161" i="3"/>
  <c r="D100" i="12"/>
  <c r="D101" i="12"/>
  <c r="D160" i="3"/>
  <c r="B98" i="12"/>
  <c r="E102" i="12"/>
  <c r="B97" i="12"/>
  <c r="E103" i="12"/>
  <c r="G161" i="3"/>
  <c r="G177" i="3" s="1"/>
  <c r="D95" i="12"/>
  <c r="B92" i="12"/>
  <c r="E170" i="3"/>
  <c r="C92" i="12"/>
  <c r="C93" i="12"/>
  <c r="F164" i="3"/>
  <c r="F180" i="3" s="1"/>
  <c r="C97" i="12"/>
  <c r="E94" i="12"/>
  <c r="E168" i="3"/>
  <c r="C103" i="12"/>
  <c r="E100" i="12"/>
  <c r="E101" i="12"/>
  <c r="D92" i="12"/>
  <c r="D99" i="12"/>
  <c r="F160" i="3"/>
  <c r="F176" i="3" s="1"/>
  <c r="C91" i="12"/>
  <c r="E91" i="12"/>
  <c r="C96" i="12"/>
  <c r="G163" i="3"/>
  <c r="G179" i="3" s="1"/>
  <c r="D97" i="12"/>
  <c r="G160" i="3"/>
  <c r="G176" i="3" s="1"/>
  <c r="C94" i="12"/>
  <c r="C95" i="12"/>
  <c r="B91" i="12"/>
  <c r="C100" i="12"/>
  <c r="E155" i="3"/>
  <c r="E177" i="3" s="1"/>
  <c r="D155" i="3"/>
  <c r="D175" i="3" s="1"/>
  <c r="B32" i="12"/>
  <c r="B53" i="12" s="1"/>
  <c r="D32" i="12"/>
  <c r="N14" i="12"/>
  <c r="O14" i="12"/>
  <c r="N15" i="12"/>
  <c r="O15" i="12"/>
  <c r="N28" i="12"/>
  <c r="B28" i="12"/>
  <c r="L15" i="12"/>
  <c r="D29" i="12"/>
  <c r="D31" i="12" s="1"/>
  <c r="E29" i="12"/>
  <c r="G29" i="12"/>
  <c r="G31" i="12" s="1"/>
  <c r="K14" i="12"/>
  <c r="C32" i="12"/>
  <c r="C85" i="12" s="1"/>
  <c r="D30" i="11"/>
  <c r="D34" i="11" s="1"/>
  <c r="E30" i="11"/>
  <c r="E34" i="11" s="1"/>
  <c r="F30" i="11"/>
  <c r="F34" i="11" s="1"/>
  <c r="G30" i="11"/>
  <c r="G34" i="11" s="1"/>
  <c r="E55" i="3"/>
  <c r="F56" i="3" s="1"/>
  <c r="G56" i="3" s="1"/>
  <c r="E59" i="3"/>
  <c r="C12" i="3"/>
  <c r="R34" i="10"/>
  <c r="R28" i="10"/>
  <c r="R22" i="10"/>
  <c r="R16" i="10"/>
  <c r="R10" i="10"/>
  <c r="R4" i="10"/>
  <c r="T24" i="10"/>
  <c r="Q28" i="10"/>
  <c r="Q16" i="10"/>
  <c r="P30" i="10"/>
  <c r="P4" i="10"/>
  <c r="T34" i="10"/>
  <c r="T22" i="10"/>
  <c r="T16" i="10"/>
  <c r="S22" i="10"/>
  <c r="P2" i="10"/>
  <c r="Q31" i="10"/>
  <c r="Q25" i="10"/>
  <c r="Q19" i="10"/>
  <c r="Q13" i="10"/>
  <c r="Q7" i="10"/>
  <c r="S12" i="10"/>
  <c r="T11" i="10"/>
  <c r="R5" i="10"/>
  <c r="P3" i="10"/>
  <c r="Q11" i="10"/>
  <c r="T10" i="10"/>
  <c r="R12" i="10"/>
  <c r="R8" i="10"/>
  <c r="R2" i="10"/>
  <c r="R24" i="10"/>
  <c r="R18" i="10"/>
  <c r="Q12" i="10"/>
  <c r="Q6" i="10"/>
  <c r="S11" i="10"/>
  <c r="F91" i="5"/>
  <c r="F114" i="5"/>
  <c r="F90" i="5"/>
  <c r="F104" i="5"/>
  <c r="F99" i="5"/>
  <c r="F98" i="5"/>
  <c r="F97" i="5"/>
  <c r="F96" i="5"/>
  <c r="F95" i="5"/>
  <c r="F94" i="5"/>
  <c r="F93" i="5"/>
  <c r="F113" i="5"/>
  <c r="F112" i="5"/>
  <c r="F111" i="5"/>
  <c r="F110" i="5"/>
  <c r="F86" i="5"/>
  <c r="F105" i="5"/>
  <c r="D40" i="5"/>
  <c r="D63" i="5" s="1"/>
  <c r="F109" i="5"/>
  <c r="F85" i="5"/>
  <c r="F106" i="5"/>
  <c r="F103" i="5"/>
  <c r="F102" i="5"/>
  <c r="F101" i="5"/>
  <c r="F100" i="5"/>
  <c r="F92" i="5"/>
  <c r="F89" i="5"/>
  <c r="F87" i="5"/>
  <c r="F108" i="5"/>
  <c r="F84" i="5"/>
  <c r="F88" i="5"/>
  <c r="F107" i="5"/>
  <c r="F83" i="5"/>
  <c r="C39" i="5"/>
  <c r="C49" i="5"/>
  <c r="B35" i="5"/>
  <c r="C46" i="5"/>
  <c r="B34" i="5"/>
  <c r="D37" i="5"/>
  <c r="D60" i="5" s="1"/>
  <c r="C37" i="5"/>
  <c r="D39" i="5"/>
  <c r="D62" i="5" s="1"/>
  <c r="B32" i="5"/>
  <c r="C48" i="5"/>
  <c r="C36" i="5"/>
  <c r="B50" i="5"/>
  <c r="D47" i="5"/>
  <c r="D70" i="5" s="1"/>
  <c r="D35" i="5"/>
  <c r="D58" i="5" s="1"/>
  <c r="B49" i="5"/>
  <c r="C47" i="5"/>
  <c r="C35" i="5"/>
  <c r="C50" i="5"/>
  <c r="D34" i="5"/>
  <c r="D57" i="5" s="1"/>
  <c r="C32" i="5"/>
  <c r="B42" i="5"/>
  <c r="D43" i="5"/>
  <c r="D66" i="5" s="1"/>
  <c r="C40" i="5"/>
  <c r="B33" i="5"/>
  <c r="D38" i="5"/>
  <c r="D61" i="5" s="1"/>
  <c r="D49" i="5"/>
  <c r="D72" i="5" s="1"/>
  <c r="D48" i="5"/>
  <c r="D71" i="5" s="1"/>
  <c r="B48" i="5"/>
  <c r="D33" i="5"/>
  <c r="D56" i="5" s="1"/>
  <c r="D32" i="5"/>
  <c r="D55" i="5" s="1"/>
  <c r="C43" i="5"/>
  <c r="B40" i="5"/>
  <c r="D42" i="5"/>
  <c r="D65" i="5" s="1"/>
  <c r="C34" i="5"/>
  <c r="D44" i="5"/>
  <c r="D67" i="5" s="1"/>
  <c r="B39" i="5"/>
  <c r="C42" i="5"/>
  <c r="D46" i="5"/>
  <c r="D69" i="5" s="1"/>
  <c r="B45" i="5"/>
  <c r="B41" i="5"/>
  <c r="B38" i="5"/>
  <c r="D41" i="5"/>
  <c r="D64" i="5" s="1"/>
  <c r="D50" i="5"/>
  <c r="D73" i="5" s="1"/>
  <c r="D36" i="5"/>
  <c r="D59" i="5" s="1"/>
  <c r="B47" i="5"/>
  <c r="D45" i="5"/>
  <c r="D68" i="5" s="1"/>
  <c r="C33" i="5"/>
  <c r="C44" i="5"/>
  <c r="B37" i="5"/>
  <c r="C41" i="5"/>
  <c r="C38" i="5"/>
  <c r="B46" i="5"/>
  <c r="C45" i="5"/>
  <c r="B44" i="5"/>
  <c r="B43" i="5"/>
  <c r="B36" i="5"/>
  <c r="F29" i="12" l="1"/>
  <c r="F61" i="12" s="1"/>
  <c r="C29" i="12"/>
  <c r="C25" i="3" a="1"/>
  <c r="C25" i="3" s="1"/>
  <c r="E105" i="12"/>
  <c r="CV11" i="16"/>
  <c r="AF1099" i="16"/>
  <c r="T1099" i="16"/>
  <c r="V1101" i="16"/>
  <c r="X1100" i="16"/>
  <c r="W1100" i="16"/>
  <c r="W12" i="16"/>
  <c r="X12" i="16"/>
  <c r="V13" i="16"/>
  <c r="J21" i="4"/>
  <c r="H23" i="4"/>
  <c r="H25" i="4" s="1"/>
  <c r="C136" i="3" s="1"/>
  <c r="E145" i="3"/>
  <c r="H155" i="3" s="1"/>
  <c r="C105" i="12"/>
  <c r="D105" i="12"/>
  <c r="E58" i="12"/>
  <c r="B105" i="12"/>
  <c r="B51" i="12"/>
  <c r="B52" i="12"/>
  <c r="E51" i="12"/>
  <c r="E175" i="3"/>
  <c r="G194" i="3" s="1"/>
  <c r="I215" i="3" s="1"/>
  <c r="E185" i="3"/>
  <c r="D181" i="3"/>
  <c r="E182" i="3"/>
  <c r="E179" i="3"/>
  <c r="E180" i="3"/>
  <c r="E184" i="3"/>
  <c r="E203" i="3" s="1"/>
  <c r="G232" i="3" s="1"/>
  <c r="F194" i="3"/>
  <c r="H215" i="3" s="1"/>
  <c r="D194" i="3"/>
  <c r="F215" i="3" s="1"/>
  <c r="D182" i="3"/>
  <c r="E178" i="3"/>
  <c r="D179" i="3"/>
  <c r="D189" i="3"/>
  <c r="F249" i="3" s="1"/>
  <c r="F261" i="3" s="1"/>
  <c r="E183" i="3"/>
  <c r="E187" i="3"/>
  <c r="D183" i="3"/>
  <c r="D176" i="3"/>
  <c r="E189" i="3"/>
  <c r="G249" i="3" s="1"/>
  <c r="G261" i="3" s="1"/>
  <c r="D185" i="3"/>
  <c r="E176" i="3"/>
  <c r="D184" i="3"/>
  <c r="D178" i="3"/>
  <c r="E181" i="3"/>
  <c r="D187" i="3"/>
  <c r="D180" i="3"/>
  <c r="D177" i="3"/>
  <c r="G196" i="3" s="1"/>
  <c r="E45" i="12"/>
  <c r="E56" i="12"/>
  <c r="E43" i="12"/>
  <c r="F52" i="12"/>
  <c r="F54" i="12"/>
  <c r="D85" i="12"/>
  <c r="F43" i="12"/>
  <c r="B57" i="12"/>
  <c r="F59" i="12"/>
  <c r="E50" i="12"/>
  <c r="E59" i="12"/>
  <c r="F56" i="12"/>
  <c r="F53" i="12"/>
  <c r="E48" i="12"/>
  <c r="B47" i="12"/>
  <c r="F45" i="12"/>
  <c r="E55" i="12"/>
  <c r="E52" i="12"/>
  <c r="E44" i="12"/>
  <c r="F48" i="12"/>
  <c r="F49" i="12"/>
  <c r="F55" i="12"/>
  <c r="F47" i="12"/>
  <c r="F50" i="12"/>
  <c r="E46" i="12"/>
  <c r="E57" i="12"/>
  <c r="E53" i="12"/>
  <c r="F44" i="12"/>
  <c r="B56" i="12"/>
  <c r="F57" i="12"/>
  <c r="F60" i="12"/>
  <c r="E47" i="12"/>
  <c r="E85" i="12"/>
  <c r="F46" i="12"/>
  <c r="F51" i="12"/>
  <c r="E54" i="12"/>
  <c r="E60" i="12"/>
  <c r="E62" i="12"/>
  <c r="B59" i="12"/>
  <c r="F62" i="12"/>
  <c r="B55" i="12"/>
  <c r="B45" i="12"/>
  <c r="B46" i="12"/>
  <c r="B44" i="12"/>
  <c r="B43" i="12"/>
  <c r="B50" i="12"/>
  <c r="B58" i="12"/>
  <c r="B48" i="12"/>
  <c r="B49" i="12"/>
  <c r="B85" i="12"/>
  <c r="B54" i="12"/>
  <c r="B62" i="12"/>
  <c r="C31" i="12"/>
  <c r="C63" i="12" s="1"/>
  <c r="L29" i="12"/>
  <c r="C58" i="12"/>
  <c r="E31" i="12"/>
  <c r="E61" i="12"/>
  <c r="N29" i="12"/>
  <c r="C49" i="12"/>
  <c r="C51" i="12"/>
  <c r="C54" i="12"/>
  <c r="C43" i="12"/>
  <c r="C45" i="12"/>
  <c r="C47" i="12"/>
  <c r="C52" i="12"/>
  <c r="C53" i="12"/>
  <c r="C55" i="12"/>
  <c r="C56" i="12"/>
  <c r="C62" i="12"/>
  <c r="C57" i="12"/>
  <c r="C59" i="12"/>
  <c r="C44" i="12"/>
  <c r="C46" i="12"/>
  <c r="C48" i="12"/>
  <c r="C50" i="12"/>
  <c r="C61" i="12"/>
  <c r="B29" i="12"/>
  <c r="B60" i="12"/>
  <c r="K28" i="12"/>
  <c r="F31" i="12"/>
  <c r="C60" i="12"/>
  <c r="F59" i="3"/>
  <c r="G59" i="3" s="1"/>
  <c r="F55" i="3"/>
  <c r="G55" i="3" s="1"/>
  <c r="F58" i="3"/>
  <c r="G58" i="3" s="1"/>
  <c r="F57" i="3"/>
  <c r="G57" i="3" s="1"/>
  <c r="C70" i="5"/>
  <c r="G111" i="5" s="1"/>
  <c r="B70" i="5"/>
  <c r="C66" i="5"/>
  <c r="G108" i="5" s="1"/>
  <c r="B61" i="5"/>
  <c r="B71" i="5"/>
  <c r="C64" i="5"/>
  <c r="G106" i="5" s="1"/>
  <c r="B69" i="5"/>
  <c r="C69" i="5"/>
  <c r="G110" i="5" s="1"/>
  <c r="B60" i="5"/>
  <c r="B55" i="5"/>
  <c r="C71" i="5"/>
  <c r="G112" i="5" s="1"/>
  <c r="C73" i="5"/>
  <c r="G114" i="5" s="1"/>
  <c r="B73" i="5"/>
  <c r="B67" i="5"/>
  <c r="B57" i="5"/>
  <c r="C58" i="5"/>
  <c r="C55" i="5"/>
  <c r="B56" i="5"/>
  <c r="B62" i="5"/>
  <c r="C65" i="5"/>
  <c r="G107" i="5" s="1"/>
  <c r="C62" i="5"/>
  <c r="B59" i="5"/>
  <c r="C56" i="5"/>
  <c r="G83" i="5" s="1"/>
  <c r="B64" i="5"/>
  <c r="C67" i="5"/>
  <c r="B72" i="5"/>
  <c r="B63" i="5"/>
  <c r="C63" i="5"/>
  <c r="G101" i="5" s="1"/>
  <c r="C60" i="5"/>
  <c r="G99" i="5" s="1"/>
  <c r="C57" i="5"/>
  <c r="C68" i="5"/>
  <c r="B65" i="5"/>
  <c r="C59" i="5"/>
  <c r="B66" i="5"/>
  <c r="B68" i="5"/>
  <c r="C72" i="5"/>
  <c r="G113" i="5" s="1"/>
  <c r="C61" i="5"/>
  <c r="G100" i="5" s="1"/>
  <c r="B58" i="5"/>
  <c r="O29" i="12" l="1"/>
  <c r="CV12" i="16"/>
  <c r="AF1100" i="16"/>
  <c r="T1100" i="16"/>
  <c r="V1102" i="16"/>
  <c r="X1101" i="16"/>
  <c r="W1101" i="16"/>
  <c r="W13" i="16"/>
  <c r="X13" i="16"/>
  <c r="V14" i="16"/>
  <c r="E204" i="3"/>
  <c r="G224" i="3" s="1"/>
  <c r="G203" i="3"/>
  <c r="I232" i="3" s="1"/>
  <c r="D203" i="3"/>
  <c r="F232" i="3" s="1"/>
  <c r="F199" i="3"/>
  <c r="H227" i="3" s="1"/>
  <c r="E200" i="3"/>
  <c r="G219" i="3" s="1"/>
  <c r="E194" i="3"/>
  <c r="G215" i="3" s="1"/>
  <c r="BX310" i="3" s="1" a="1"/>
  <c r="CA47" i="14" s="1"/>
  <c r="D198" i="3"/>
  <c r="F243" i="3" s="1"/>
  <c r="E201" i="3"/>
  <c r="G244" i="3" s="1"/>
  <c r="G239" i="3"/>
  <c r="I214" i="3"/>
  <c r="I229" i="3"/>
  <c r="I220" i="3"/>
  <c r="D200" i="3"/>
  <c r="J189" i="3"/>
  <c r="D205" i="3"/>
  <c r="F200" i="3"/>
  <c r="D208" i="3"/>
  <c r="G200" i="3"/>
  <c r="E197" i="3"/>
  <c r="F196" i="3"/>
  <c r="E196" i="3"/>
  <c r="E202" i="3"/>
  <c r="G242" i="3" s="1"/>
  <c r="D196" i="3"/>
  <c r="F203" i="3"/>
  <c r="H232" i="3" s="1"/>
  <c r="G199" i="3"/>
  <c r="F208" i="3"/>
  <c r="J191" i="3"/>
  <c r="E199" i="3"/>
  <c r="F195" i="3"/>
  <c r="G205" i="3"/>
  <c r="D202" i="3"/>
  <c r="F242" i="3" s="1"/>
  <c r="G202" i="3"/>
  <c r="I242" i="3" s="1"/>
  <c r="E198" i="3"/>
  <c r="G243" i="3" s="1"/>
  <c r="D199" i="3"/>
  <c r="E208" i="3"/>
  <c r="F202" i="3"/>
  <c r="H242" i="3" s="1"/>
  <c r="D195" i="3"/>
  <c r="E195" i="3"/>
  <c r="F198" i="3"/>
  <c r="H243" i="3" s="1"/>
  <c r="F205" i="3"/>
  <c r="G208" i="3"/>
  <c r="G195" i="3"/>
  <c r="D197" i="3"/>
  <c r="F197" i="3"/>
  <c r="G197" i="3"/>
  <c r="E205" i="3"/>
  <c r="G198" i="3"/>
  <c r="I243" i="3" s="1"/>
  <c r="D201" i="3"/>
  <c r="F244" i="3" s="1"/>
  <c r="F201" i="3"/>
  <c r="H244" i="3" s="1"/>
  <c r="G201" i="3"/>
  <c r="I244" i="3" s="1"/>
  <c r="J190" i="3"/>
  <c r="G204" i="3"/>
  <c r="D204" i="3"/>
  <c r="F204" i="3"/>
  <c r="L31" i="12"/>
  <c r="B31" i="12"/>
  <c r="B61" i="12"/>
  <c r="K29" i="12"/>
  <c r="F63" i="12"/>
  <c r="O31" i="12"/>
  <c r="E63" i="12"/>
  <c r="N31" i="12"/>
  <c r="G109" i="5"/>
  <c r="G98" i="5"/>
  <c r="G82" i="5"/>
  <c r="C75" i="5"/>
  <c r="B75" i="5"/>
  <c r="G102" i="5"/>
  <c r="G103" i="5"/>
  <c r="G104" i="5"/>
  <c r="G105" i="5"/>
  <c r="G84" i="5"/>
  <c r="G85" i="5"/>
  <c r="G86" i="5"/>
  <c r="G89" i="5"/>
  <c r="G90" i="5"/>
  <c r="G91" i="5"/>
  <c r="G92" i="5"/>
  <c r="G94" i="5"/>
  <c r="G95" i="5"/>
  <c r="G96" i="5"/>
  <c r="G97" i="5"/>
  <c r="G87" i="5"/>
  <c r="G88" i="5"/>
  <c r="G93" i="5"/>
  <c r="G237" i="3" l="1"/>
  <c r="G240" i="3"/>
  <c r="G222" i="3"/>
  <c r="G225" i="3"/>
  <c r="H236" i="3"/>
  <c r="G221" i="3"/>
  <c r="G241" i="3"/>
  <c r="G223" i="3"/>
  <c r="H235" i="3"/>
  <c r="CV13" i="16"/>
  <c r="AF1101" i="16"/>
  <c r="T1101" i="16"/>
  <c r="X1102" i="16"/>
  <c r="W1102" i="16"/>
  <c r="V1103" i="16"/>
  <c r="X14" i="16"/>
  <c r="V15" i="16"/>
  <c r="W14" i="16"/>
  <c r="CB47" i="14"/>
  <c r="BX310" i="3"/>
  <c r="H234" i="3"/>
  <c r="H233" i="3"/>
  <c r="G213" i="3"/>
  <c r="G238" i="3"/>
  <c r="BX338" i="3" a="1"/>
  <c r="CA75" i="14" s="1"/>
  <c r="BX327" i="3" a="1"/>
  <c r="CA64" i="14" s="1"/>
  <c r="BX339" i="3" a="1"/>
  <c r="CA76" i="14" s="1"/>
  <c r="BX337" i="3" a="1"/>
  <c r="CA74" i="14" s="1"/>
  <c r="F217" i="3"/>
  <c r="F216" i="3"/>
  <c r="G218" i="3"/>
  <c r="G228" i="3"/>
  <c r="G231" i="3"/>
  <c r="G226" i="3"/>
  <c r="G245" i="3"/>
  <c r="G230" i="3"/>
  <c r="F245" i="3"/>
  <c r="F226" i="3"/>
  <c r="F231" i="3"/>
  <c r="F228" i="3"/>
  <c r="F218" i="3"/>
  <c r="F230" i="3"/>
  <c r="G216" i="3"/>
  <c r="G217" i="3"/>
  <c r="G229" i="3"/>
  <c r="G214" i="3"/>
  <c r="G220" i="3"/>
  <c r="I219" i="3"/>
  <c r="I237" i="3"/>
  <c r="F237" i="3"/>
  <c r="F219" i="3"/>
  <c r="G233" i="3"/>
  <c r="G234" i="3"/>
  <c r="G227" i="3"/>
  <c r="G236" i="3"/>
  <c r="G235" i="3"/>
  <c r="I216" i="3"/>
  <c r="I217" i="3"/>
  <c r="F229" i="3"/>
  <c r="F214" i="3"/>
  <c r="F220" i="3"/>
  <c r="H239" i="3"/>
  <c r="H223" i="3"/>
  <c r="H224" i="3"/>
  <c r="H225" i="3"/>
  <c r="H240" i="3"/>
  <c r="H213" i="3"/>
  <c r="H222" i="3"/>
  <c r="H238" i="3"/>
  <c r="H221" i="3"/>
  <c r="H241" i="3"/>
  <c r="F222" i="3"/>
  <c r="F221" i="3"/>
  <c r="F225" i="3"/>
  <c r="F241" i="3"/>
  <c r="F239" i="3"/>
  <c r="F238" i="3"/>
  <c r="F240" i="3"/>
  <c r="F224" i="3"/>
  <c r="F213" i="3"/>
  <c r="F223" i="3"/>
  <c r="I238" i="3"/>
  <c r="I222" i="3"/>
  <c r="I223" i="3"/>
  <c r="I213" i="3"/>
  <c r="I239" i="3"/>
  <c r="I225" i="3"/>
  <c r="I224" i="3"/>
  <c r="I241" i="3"/>
  <c r="I221" i="3"/>
  <c r="I240" i="3"/>
  <c r="H229" i="3"/>
  <c r="H220" i="3"/>
  <c r="H214" i="3"/>
  <c r="F227" i="3"/>
  <c r="F235" i="3"/>
  <c r="F236" i="3"/>
  <c r="F233" i="3"/>
  <c r="F234" i="3"/>
  <c r="H237" i="3"/>
  <c r="H219" i="3"/>
  <c r="I226" i="3"/>
  <c r="I228" i="3"/>
  <c r="I231" i="3"/>
  <c r="I230" i="3"/>
  <c r="I245" i="3"/>
  <c r="I218" i="3"/>
  <c r="H217" i="3"/>
  <c r="H216" i="3"/>
  <c r="H228" i="3"/>
  <c r="H231" i="3"/>
  <c r="H226" i="3"/>
  <c r="H218" i="3"/>
  <c r="H230" i="3"/>
  <c r="H245" i="3"/>
  <c r="I233" i="3"/>
  <c r="I227" i="3"/>
  <c r="I235" i="3"/>
  <c r="I234" i="3"/>
  <c r="I236" i="3"/>
  <c r="B63" i="12"/>
  <c r="K31" i="12"/>
  <c r="C16" i="3" a="1"/>
  <c r="AE17" i="3" s="1"/>
  <c r="CV14" i="16" l="1"/>
  <c r="AF1102" i="16"/>
  <c r="T1102" i="16"/>
  <c r="W1103" i="16"/>
  <c r="V1104" i="16"/>
  <c r="X1103" i="16"/>
  <c r="W15" i="16"/>
  <c r="X15" i="16"/>
  <c r="V16" i="16"/>
  <c r="CB74" i="14"/>
  <c r="CB76" i="14"/>
  <c r="CB64" i="14"/>
  <c r="CB75" i="14"/>
  <c r="BX337" i="3"/>
  <c r="BX327" i="3"/>
  <c r="BX338" i="3"/>
  <c r="BX339" i="3"/>
  <c r="BX323" i="3" a="1"/>
  <c r="CA60" i="14" s="1"/>
  <c r="BX317" i="3" a="1"/>
  <c r="CA54" i="14" s="1"/>
  <c r="BX312" i="3" a="1"/>
  <c r="CA49" i="14" s="1"/>
  <c r="BX340" i="3" a="1"/>
  <c r="CA77" i="14" s="1"/>
  <c r="BX334" i="3" a="1"/>
  <c r="CA71" i="14" s="1"/>
  <c r="BX311" i="3" a="1"/>
  <c r="CA48" i="14" s="1"/>
  <c r="BX308" i="3" a="1"/>
  <c r="CA45" i="14" s="1"/>
  <c r="BX326" i="3" a="1"/>
  <c r="CA63" i="14" s="1"/>
  <c r="BX321" i="3" a="1"/>
  <c r="CA58" i="14" s="1"/>
  <c r="BX329" i="3" a="1"/>
  <c r="CA66" i="14" s="1"/>
  <c r="BX314" i="3" a="1"/>
  <c r="CA51" i="14" s="1"/>
  <c r="BX328" i="3" a="1"/>
  <c r="CA65" i="14" s="1"/>
  <c r="BX332" i="3" a="1"/>
  <c r="CA69" i="14" s="1"/>
  <c r="BX331" i="3" a="1"/>
  <c r="CA68" i="14" s="1"/>
  <c r="BX318" i="3" a="1"/>
  <c r="CA55" i="14" s="1"/>
  <c r="BX330" i="3" a="1"/>
  <c r="CA67" i="14" s="1"/>
  <c r="BX322" i="3" a="1"/>
  <c r="CA59" i="14" s="1"/>
  <c r="BX319" i="3" a="1"/>
  <c r="CA56" i="14" s="1"/>
  <c r="BX335" i="3" a="1"/>
  <c r="CA72" i="14" s="1"/>
  <c r="BX333" i="3" a="1"/>
  <c r="CA70" i="14" s="1"/>
  <c r="BX315" i="3" a="1"/>
  <c r="CA52" i="14" s="1"/>
  <c r="BX309" i="3" a="1"/>
  <c r="CA46" i="14" s="1"/>
  <c r="BX336" i="3" a="1"/>
  <c r="CA73" i="14" s="1"/>
  <c r="BX324" i="3" a="1"/>
  <c r="CA61" i="14" s="1"/>
  <c r="BX320" i="3" a="1"/>
  <c r="CA57" i="14" s="1"/>
  <c r="BX325" i="3" a="1"/>
  <c r="CA62" i="14" s="1"/>
  <c r="BX316" i="3" a="1"/>
  <c r="CA53" i="14" s="1"/>
  <c r="BX313" i="3" a="1"/>
  <c r="CA50" i="14" s="1"/>
  <c r="C16" i="3"/>
  <c r="C17" i="3" s="1"/>
  <c r="D17" i="3"/>
  <c r="AB17" i="3"/>
  <c r="I17" i="3"/>
  <c r="K17" i="3"/>
  <c r="T17" i="3"/>
  <c r="V17" i="3"/>
  <c r="Z17" i="3"/>
  <c r="E17" i="3"/>
  <c r="AC17" i="3"/>
  <c r="AF17" i="3"/>
  <c r="AG17" i="3"/>
  <c r="N17" i="3"/>
  <c r="Q17" i="3"/>
  <c r="S17" i="3"/>
  <c r="W17" i="3"/>
  <c r="X17" i="3"/>
  <c r="AA17" i="3"/>
  <c r="F17" i="3"/>
  <c r="AD17" i="3"/>
  <c r="AH17" i="3"/>
  <c r="M17" i="3"/>
  <c r="P17" i="3"/>
  <c r="U17" i="3"/>
  <c r="Y17" i="3"/>
  <c r="G17" i="3"/>
  <c r="H17" i="3"/>
  <c r="J17" i="3"/>
  <c r="AI17" i="3"/>
  <c r="AI343" i="3" s="1"/>
  <c r="L17" i="3"/>
  <c r="O17" i="3"/>
  <c r="R17" i="3"/>
  <c r="CV15" i="16" l="1"/>
  <c r="AF1103" i="16"/>
  <c r="T1103" i="16"/>
  <c r="W1104" i="16"/>
  <c r="V1105" i="16"/>
  <c r="X1104" i="16"/>
  <c r="W16" i="16"/>
  <c r="V17" i="16"/>
  <c r="X16" i="16"/>
  <c r="CB45" i="14"/>
  <c r="CB68" i="14"/>
  <c r="CB62" i="14"/>
  <c r="CB56" i="14"/>
  <c r="CB66" i="14"/>
  <c r="CB54" i="14"/>
  <c r="CB57" i="14"/>
  <c r="CB59" i="14"/>
  <c r="CB67" i="14"/>
  <c r="CB60" i="14"/>
  <c r="CB61" i="14"/>
  <c r="CB63" i="14"/>
  <c r="CB55" i="14"/>
  <c r="CB46" i="14"/>
  <c r="CB48" i="14"/>
  <c r="CB52" i="14"/>
  <c r="CB69" i="14"/>
  <c r="CB71" i="14"/>
  <c r="CB58" i="14"/>
  <c r="CB73" i="14"/>
  <c r="CB50" i="14"/>
  <c r="CB70" i="14"/>
  <c r="CB65" i="14"/>
  <c r="CB77" i="14"/>
  <c r="CB53" i="14"/>
  <c r="CB72" i="14"/>
  <c r="CB51" i="14"/>
  <c r="CB49" i="14"/>
  <c r="BX319" i="3"/>
  <c r="BX321" i="3"/>
  <c r="BX330" i="3"/>
  <c r="BX313" i="3"/>
  <c r="BX333" i="3"/>
  <c r="BX328" i="3"/>
  <c r="BX340" i="3"/>
  <c r="BX329" i="3"/>
  <c r="BX316" i="3"/>
  <c r="BX314" i="3"/>
  <c r="BX312" i="3"/>
  <c r="BX325" i="3"/>
  <c r="BX320" i="3"/>
  <c r="BX323" i="3"/>
  <c r="BX324" i="3"/>
  <c r="BX318" i="3"/>
  <c r="BX335" i="3"/>
  <c r="BX317" i="3"/>
  <c r="BX322" i="3"/>
  <c r="BX336" i="3"/>
  <c r="BX309" i="3"/>
  <c r="BX331" i="3"/>
  <c r="BX311" i="3"/>
  <c r="BX326" i="3"/>
  <c r="BX315" i="3"/>
  <c r="BX332" i="3"/>
  <c r="BX334" i="3"/>
  <c r="G259" i="3"/>
  <c r="H259" i="3"/>
  <c r="I259" i="3"/>
  <c r="J259" i="3"/>
  <c r="BX308" i="3"/>
  <c r="P343" i="3"/>
  <c r="P341" i="3"/>
  <c r="P342" i="3"/>
  <c r="AH341" i="3"/>
  <c r="AH342" i="3"/>
  <c r="AH343" i="3"/>
  <c r="AG342" i="3"/>
  <c r="AG341" i="3"/>
  <c r="AG343" i="3"/>
  <c r="K341" i="3"/>
  <c r="K342" i="3"/>
  <c r="K343" i="3"/>
  <c r="AD341" i="3"/>
  <c r="AD342" i="3"/>
  <c r="AD343" i="3"/>
  <c r="X342" i="3"/>
  <c r="X343" i="3"/>
  <c r="X341" i="3"/>
  <c r="Q341" i="3"/>
  <c r="Q342" i="3"/>
  <c r="Q343" i="3"/>
  <c r="AC343" i="3"/>
  <c r="AC341" i="3"/>
  <c r="AC342" i="3"/>
  <c r="O341" i="3"/>
  <c r="O342" i="3"/>
  <c r="O343" i="3"/>
  <c r="V342" i="3"/>
  <c r="V341" i="3"/>
  <c r="V343" i="3"/>
  <c r="H342" i="3"/>
  <c r="H341" i="3"/>
  <c r="H343" i="3"/>
  <c r="AE341" i="3"/>
  <c r="AE342" i="3"/>
  <c r="AE343" i="3"/>
  <c r="AB341" i="3"/>
  <c r="AB342" i="3"/>
  <c r="AB343" i="3"/>
  <c r="M342" i="3"/>
  <c r="M341" i="3"/>
  <c r="M343" i="3"/>
  <c r="W342" i="3"/>
  <c r="W343" i="3"/>
  <c r="W341" i="3"/>
  <c r="N341" i="3"/>
  <c r="N342" i="3"/>
  <c r="N343" i="3"/>
  <c r="E342" i="3"/>
  <c r="E343" i="3"/>
  <c r="E341" i="3"/>
  <c r="T342" i="3"/>
  <c r="T343" i="3"/>
  <c r="T341" i="3"/>
  <c r="J341" i="3"/>
  <c r="J342" i="3"/>
  <c r="J343" i="3"/>
  <c r="G343" i="3"/>
  <c r="G341" i="3"/>
  <c r="G342" i="3"/>
  <c r="U343" i="3"/>
  <c r="U341" i="3"/>
  <c r="U342" i="3"/>
  <c r="F341" i="3"/>
  <c r="F342" i="3"/>
  <c r="F343" i="3"/>
  <c r="AA343" i="3"/>
  <c r="AA342" i="3"/>
  <c r="AA341" i="3"/>
  <c r="S342" i="3"/>
  <c r="S343" i="3"/>
  <c r="S341" i="3"/>
  <c r="AF343" i="3"/>
  <c r="AF341" i="3"/>
  <c r="AF342" i="3"/>
  <c r="R342" i="3"/>
  <c r="R343" i="3"/>
  <c r="R341" i="3"/>
  <c r="Z342" i="3"/>
  <c r="Z341" i="3"/>
  <c r="Z343" i="3"/>
  <c r="L341" i="3"/>
  <c r="L342" i="3"/>
  <c r="L343" i="3"/>
  <c r="AI341" i="3"/>
  <c r="AI342" i="3"/>
  <c r="I342" i="3"/>
  <c r="I343" i="3"/>
  <c r="I341" i="3"/>
  <c r="Y343" i="3"/>
  <c r="Y341" i="3"/>
  <c r="Y342" i="3"/>
  <c r="D341" i="3"/>
  <c r="D342" i="3"/>
  <c r="D343" i="3"/>
  <c r="C342" i="3"/>
  <c r="C343" i="3"/>
  <c r="C341" i="3"/>
  <c r="M69" i="3"/>
  <c r="M67" i="3"/>
  <c r="M70" i="3"/>
  <c r="M68" i="3"/>
  <c r="M71" i="3"/>
  <c r="AD70" i="3"/>
  <c r="AD69" i="3"/>
  <c r="AD67" i="3"/>
  <c r="AD68" i="3"/>
  <c r="AD71" i="3"/>
  <c r="AA68" i="3"/>
  <c r="AA71" i="3"/>
  <c r="AA67" i="3"/>
  <c r="AA70" i="3"/>
  <c r="AA69" i="3"/>
  <c r="W68" i="3"/>
  <c r="W71" i="3"/>
  <c r="W67" i="3"/>
  <c r="W69" i="3"/>
  <c r="W70" i="3"/>
  <c r="T68" i="3"/>
  <c r="T71" i="3"/>
  <c r="T69" i="3"/>
  <c r="T70" i="3"/>
  <c r="T67" i="3"/>
  <c r="U68" i="3"/>
  <c r="U71" i="3"/>
  <c r="U69" i="3"/>
  <c r="U67" i="3"/>
  <c r="U70" i="3"/>
  <c r="P68" i="3"/>
  <c r="P69" i="3"/>
  <c r="P67" i="3"/>
  <c r="P70" i="3"/>
  <c r="P71" i="3"/>
  <c r="AH67" i="3"/>
  <c r="AH70" i="3"/>
  <c r="AH71" i="3"/>
  <c r="AH68" i="3"/>
  <c r="AH69" i="3"/>
  <c r="F70" i="3"/>
  <c r="F67" i="3"/>
  <c r="F68" i="3"/>
  <c r="F71" i="3"/>
  <c r="F69" i="3"/>
  <c r="X68" i="3"/>
  <c r="X71" i="3"/>
  <c r="X69" i="3"/>
  <c r="X67" i="3"/>
  <c r="X70" i="3"/>
  <c r="S71" i="3"/>
  <c r="S69" i="3"/>
  <c r="S68" i="3"/>
  <c r="S67" i="3"/>
  <c r="S70" i="3"/>
  <c r="Q69" i="3"/>
  <c r="Q70" i="3"/>
  <c r="Q68" i="3"/>
  <c r="Q67" i="3"/>
  <c r="Q71" i="3"/>
  <c r="N69" i="3"/>
  <c r="N67" i="3"/>
  <c r="N70" i="3"/>
  <c r="N68" i="3"/>
  <c r="N71" i="3"/>
  <c r="AG67" i="3"/>
  <c r="AG70" i="3"/>
  <c r="AG68" i="3"/>
  <c r="AG71" i="3"/>
  <c r="AG69" i="3"/>
  <c r="AF70" i="3"/>
  <c r="AF69" i="3"/>
  <c r="AF67" i="3"/>
  <c r="AF68" i="3"/>
  <c r="AF71" i="3"/>
  <c r="AC67" i="3"/>
  <c r="AC70" i="3"/>
  <c r="AC68" i="3"/>
  <c r="AC71" i="3"/>
  <c r="AC69" i="3"/>
  <c r="R69" i="3"/>
  <c r="R71" i="3"/>
  <c r="R68" i="3"/>
  <c r="R67" i="3"/>
  <c r="R70" i="3"/>
  <c r="E70" i="3"/>
  <c r="E67" i="3"/>
  <c r="E68" i="3"/>
  <c r="E71" i="3"/>
  <c r="E69" i="3"/>
  <c r="O69" i="3"/>
  <c r="O68" i="3"/>
  <c r="O67" i="3"/>
  <c r="O70" i="3"/>
  <c r="O71" i="3"/>
  <c r="Z68" i="3"/>
  <c r="Z71" i="3"/>
  <c r="Z69" i="3"/>
  <c r="Z67" i="3"/>
  <c r="Z70" i="3"/>
  <c r="L69" i="3"/>
  <c r="L67" i="3"/>
  <c r="L70" i="3"/>
  <c r="L68" i="3"/>
  <c r="L71" i="3"/>
  <c r="V68" i="3"/>
  <c r="V71" i="3"/>
  <c r="V67" i="3"/>
  <c r="V69" i="3"/>
  <c r="V70" i="3"/>
  <c r="AI70" i="3"/>
  <c r="AI67" i="3"/>
  <c r="AI69" i="3"/>
  <c r="AI68" i="3"/>
  <c r="AI71" i="3"/>
  <c r="J67" i="3"/>
  <c r="J70" i="3"/>
  <c r="J68" i="3"/>
  <c r="J71" i="3"/>
  <c r="J69" i="3"/>
  <c r="K67" i="3"/>
  <c r="K70" i="3"/>
  <c r="K68" i="3"/>
  <c r="K71" i="3"/>
  <c r="K69" i="3"/>
  <c r="H67" i="3"/>
  <c r="H70" i="3"/>
  <c r="H71" i="3"/>
  <c r="H69" i="3"/>
  <c r="H68" i="3"/>
  <c r="I67" i="3"/>
  <c r="I70" i="3"/>
  <c r="I68" i="3"/>
  <c r="I71" i="3"/>
  <c r="I69" i="3"/>
  <c r="AE70" i="3"/>
  <c r="AE69" i="3"/>
  <c r="AE67" i="3"/>
  <c r="AE68" i="3"/>
  <c r="AE71" i="3"/>
  <c r="AB67" i="3"/>
  <c r="AB70" i="3"/>
  <c r="AB68" i="3"/>
  <c r="AB71" i="3"/>
  <c r="AB69" i="3"/>
  <c r="G69" i="3"/>
  <c r="G67" i="3"/>
  <c r="G70" i="3"/>
  <c r="G68" i="3"/>
  <c r="G71" i="3"/>
  <c r="D67" i="3"/>
  <c r="D70" i="3"/>
  <c r="D68" i="3"/>
  <c r="D71" i="3"/>
  <c r="D69" i="3"/>
  <c r="Y68" i="3"/>
  <c r="Y71" i="3"/>
  <c r="Y70" i="3"/>
  <c r="Y69" i="3"/>
  <c r="Y67" i="3"/>
  <c r="C68" i="3"/>
  <c r="C71" i="3"/>
  <c r="C69" i="3"/>
  <c r="C70" i="3"/>
  <c r="C67" i="3"/>
  <c r="AC35" i="3"/>
  <c r="AC33" i="3"/>
  <c r="AC36" i="3"/>
  <c r="AC34" i="3"/>
  <c r="AC37" i="3"/>
  <c r="F33" i="3"/>
  <c r="F36" i="3"/>
  <c r="F34" i="3"/>
  <c r="F37" i="3"/>
  <c r="F35" i="3"/>
  <c r="O35" i="3"/>
  <c r="O33" i="3"/>
  <c r="O36" i="3"/>
  <c r="O34" i="3"/>
  <c r="O37" i="3"/>
  <c r="AH37" i="3"/>
  <c r="AH35" i="3"/>
  <c r="AH33" i="3"/>
  <c r="AH36" i="3"/>
  <c r="AH34" i="3"/>
  <c r="X34" i="3"/>
  <c r="X37" i="3"/>
  <c r="X33" i="3"/>
  <c r="X36" i="3"/>
  <c r="X35" i="3"/>
  <c r="AG34" i="3"/>
  <c r="AG33" i="3"/>
  <c r="AG36" i="3"/>
  <c r="AG37" i="3"/>
  <c r="AG35" i="3"/>
  <c r="R35" i="3"/>
  <c r="R33" i="3"/>
  <c r="R36" i="3"/>
  <c r="R34" i="3"/>
  <c r="R37" i="3"/>
  <c r="V34" i="3"/>
  <c r="V37" i="3"/>
  <c r="V35" i="3"/>
  <c r="V33" i="3"/>
  <c r="V36" i="3"/>
  <c r="AI37" i="3"/>
  <c r="AI33" i="3"/>
  <c r="AI36" i="3"/>
  <c r="AI35" i="3"/>
  <c r="AI34" i="3"/>
  <c r="J35" i="3"/>
  <c r="J34" i="3"/>
  <c r="J37" i="3"/>
  <c r="J33" i="3"/>
  <c r="J36" i="3"/>
  <c r="AE35" i="3"/>
  <c r="AE33" i="3"/>
  <c r="AE36" i="3"/>
  <c r="AE34" i="3"/>
  <c r="AE37" i="3"/>
  <c r="AB33" i="3"/>
  <c r="AB36" i="3"/>
  <c r="AB35" i="3"/>
  <c r="AB34" i="3"/>
  <c r="AB37" i="3"/>
  <c r="U34" i="3"/>
  <c r="U37" i="3"/>
  <c r="U35" i="3"/>
  <c r="U33" i="3"/>
  <c r="U36" i="3"/>
  <c r="M35" i="3"/>
  <c r="M34" i="3"/>
  <c r="M37" i="3"/>
  <c r="M33" i="3"/>
  <c r="M36" i="3"/>
  <c r="AA33" i="3"/>
  <c r="AA34" i="3"/>
  <c r="AA37" i="3"/>
  <c r="AA35" i="3"/>
  <c r="AA36" i="3"/>
  <c r="S35" i="3"/>
  <c r="S37" i="3"/>
  <c r="S33" i="3"/>
  <c r="S34" i="3"/>
  <c r="S36" i="3"/>
  <c r="N35" i="3"/>
  <c r="N36" i="3"/>
  <c r="N34" i="3"/>
  <c r="N37" i="3"/>
  <c r="N33" i="3"/>
  <c r="AF33" i="3"/>
  <c r="AF36" i="3"/>
  <c r="AF35" i="3"/>
  <c r="AF37" i="3"/>
  <c r="AF34" i="3"/>
  <c r="Z35" i="3"/>
  <c r="Z34" i="3"/>
  <c r="Z37" i="3"/>
  <c r="Z33" i="3"/>
  <c r="Z36" i="3"/>
  <c r="K34" i="3"/>
  <c r="K37" i="3"/>
  <c r="K33" i="3"/>
  <c r="K36" i="3"/>
  <c r="K35" i="3"/>
  <c r="G33" i="3"/>
  <c r="G36" i="3"/>
  <c r="G34" i="3"/>
  <c r="G37" i="3"/>
  <c r="G35" i="3"/>
  <c r="D33" i="3"/>
  <c r="D36" i="3"/>
  <c r="D37" i="3"/>
  <c r="D34" i="3"/>
  <c r="D35" i="3"/>
  <c r="P35" i="3"/>
  <c r="P33" i="3"/>
  <c r="P36" i="3"/>
  <c r="P34" i="3"/>
  <c r="P37" i="3"/>
  <c r="AD33" i="3"/>
  <c r="AD36" i="3"/>
  <c r="AD35" i="3"/>
  <c r="AD34" i="3"/>
  <c r="AD37" i="3"/>
  <c r="W34" i="3"/>
  <c r="W37" i="3"/>
  <c r="W33" i="3"/>
  <c r="W36" i="3"/>
  <c r="W35" i="3"/>
  <c r="Q37" i="3"/>
  <c r="Q35" i="3"/>
  <c r="Q33" i="3"/>
  <c r="Q36" i="3"/>
  <c r="Q34" i="3"/>
  <c r="E33" i="3"/>
  <c r="E36" i="3"/>
  <c r="E34" i="3"/>
  <c r="E37" i="3"/>
  <c r="E35" i="3"/>
  <c r="L35" i="3"/>
  <c r="L33" i="3"/>
  <c r="L34" i="3"/>
  <c r="L36" i="3"/>
  <c r="L37" i="3"/>
  <c r="T34" i="3"/>
  <c r="T37" i="3"/>
  <c r="T35" i="3"/>
  <c r="T33" i="3"/>
  <c r="T36" i="3"/>
  <c r="H36" i="3"/>
  <c r="H33" i="3"/>
  <c r="H34" i="3"/>
  <c r="H37" i="3"/>
  <c r="H35" i="3"/>
  <c r="I34" i="3"/>
  <c r="I37" i="3"/>
  <c r="I35" i="3"/>
  <c r="I33" i="3"/>
  <c r="I36" i="3"/>
  <c r="Y35" i="3"/>
  <c r="Y34" i="3"/>
  <c r="Y37" i="3"/>
  <c r="Y36" i="3"/>
  <c r="Y33" i="3"/>
  <c r="C33" i="3"/>
  <c r="C34" i="3"/>
  <c r="C37" i="3"/>
  <c r="C35" i="3"/>
  <c r="C36" i="3"/>
  <c r="P19" i="3"/>
  <c r="AA19" i="3"/>
  <c r="Q19" i="3"/>
  <c r="AC19" i="3"/>
  <c r="O19" i="3"/>
  <c r="K19" i="3"/>
  <c r="AD19" i="3"/>
  <c r="W19" i="3"/>
  <c r="AG19" i="3"/>
  <c r="R19" i="3"/>
  <c r="V19" i="3"/>
  <c r="I19" i="3"/>
  <c r="M19" i="3"/>
  <c r="F19" i="3"/>
  <c r="X19" i="3"/>
  <c r="N19" i="3"/>
  <c r="E19" i="3"/>
  <c r="T19" i="3"/>
  <c r="J19" i="3"/>
  <c r="AE19" i="3"/>
  <c r="G19" i="3"/>
  <c r="D19" i="3"/>
  <c r="U19" i="3"/>
  <c r="AH19" i="3"/>
  <c r="S19" i="3"/>
  <c r="AF19" i="3"/>
  <c r="Z19" i="3"/>
  <c r="L19" i="3"/>
  <c r="AI19" i="3"/>
  <c r="H19" i="3"/>
  <c r="AB19" i="3"/>
  <c r="Y19" i="3"/>
  <c r="C19" i="3"/>
  <c r="G296" i="17" l="1" a="1"/>
  <c r="CV16" i="16"/>
  <c r="AF1104" i="16"/>
  <c r="T1104" i="16"/>
  <c r="W1105" i="16"/>
  <c r="V1106" i="16"/>
  <c r="X1105" i="16"/>
  <c r="X17" i="16"/>
  <c r="W17" i="16"/>
  <c r="CV17" i="16" s="1"/>
  <c r="V18" i="16"/>
  <c r="F259" i="3"/>
  <c r="BQ348" i="3"/>
  <c r="BQ86" i="14" s="1"/>
  <c r="CF343" i="3"/>
  <c r="CF342" i="3"/>
  <c r="CF341" i="3"/>
  <c r="Y128" i="3"/>
  <c r="W128" i="3"/>
  <c r="H128" i="3"/>
  <c r="AG128" i="3"/>
  <c r="F79" i="3"/>
  <c r="N128" i="3"/>
  <c r="D128" i="3"/>
  <c r="L128" i="3"/>
  <c r="Z128" i="3"/>
  <c r="AD128" i="3"/>
  <c r="C128" i="3"/>
  <c r="AC128" i="3"/>
  <c r="J128" i="3"/>
  <c r="T128" i="3"/>
  <c r="E128" i="3"/>
  <c r="O81" i="3"/>
  <c r="M128" i="3"/>
  <c r="AH128" i="3"/>
  <c r="P128" i="3"/>
  <c r="I128" i="3"/>
  <c r="Q128" i="3"/>
  <c r="AB128" i="3"/>
  <c r="S115" i="3"/>
  <c r="S128" i="3"/>
  <c r="F128" i="3"/>
  <c r="K128" i="3"/>
  <c r="X128" i="3"/>
  <c r="AI128" i="3"/>
  <c r="V128" i="3"/>
  <c r="O128" i="3"/>
  <c r="G128" i="3"/>
  <c r="AA128" i="3"/>
  <c r="U128" i="3"/>
  <c r="AF128" i="3"/>
  <c r="R128" i="3"/>
  <c r="AE128" i="3"/>
  <c r="H102" i="3"/>
  <c r="H115" i="3"/>
  <c r="AI115" i="3"/>
  <c r="W102" i="3"/>
  <c r="W115" i="3"/>
  <c r="K115" i="3"/>
  <c r="X115" i="3"/>
  <c r="Y102" i="3"/>
  <c r="Y115" i="3"/>
  <c r="AF115" i="3"/>
  <c r="N102" i="3"/>
  <c r="N115" i="3"/>
  <c r="AG102" i="3"/>
  <c r="AG115" i="3"/>
  <c r="AC115" i="3"/>
  <c r="V115" i="3"/>
  <c r="Q115" i="3"/>
  <c r="AB115" i="3"/>
  <c r="R115" i="3"/>
  <c r="AD115" i="3"/>
  <c r="C115" i="3"/>
  <c r="U115" i="3"/>
  <c r="AH115" i="3"/>
  <c r="O115" i="3"/>
  <c r="D115" i="3"/>
  <c r="F115" i="3"/>
  <c r="T115" i="3"/>
  <c r="AA115" i="3"/>
  <c r="M115" i="3"/>
  <c r="E115" i="3"/>
  <c r="G115" i="3"/>
  <c r="J115" i="3"/>
  <c r="Z115" i="3"/>
  <c r="L115" i="3"/>
  <c r="P115" i="3"/>
  <c r="I115" i="3"/>
  <c r="AE115" i="3"/>
  <c r="AA102" i="3"/>
  <c r="AI102" i="3"/>
  <c r="J102" i="3"/>
  <c r="AF102" i="3"/>
  <c r="O102" i="3"/>
  <c r="D102" i="3"/>
  <c r="R102" i="3"/>
  <c r="M102" i="3"/>
  <c r="Q102" i="3"/>
  <c r="AB102" i="3"/>
  <c r="AC102" i="3"/>
  <c r="L102" i="3"/>
  <c r="U102" i="3"/>
  <c r="V102" i="3"/>
  <c r="F102" i="3"/>
  <c r="AD102" i="3"/>
  <c r="AH102" i="3"/>
  <c r="P102" i="3"/>
  <c r="E102" i="3"/>
  <c r="S102" i="3"/>
  <c r="G102" i="3"/>
  <c r="K102" i="3"/>
  <c r="T102" i="3"/>
  <c r="X102" i="3"/>
  <c r="Z102" i="3"/>
  <c r="I102" i="3"/>
  <c r="AE102" i="3"/>
  <c r="C102" i="3"/>
  <c r="AE81" i="3"/>
  <c r="C130" i="3"/>
  <c r="BR349" i="3" s="1"/>
  <c r="C117" i="3"/>
  <c r="C104" i="3"/>
  <c r="AF79" i="3"/>
  <c r="Z78" i="3"/>
  <c r="W80" i="3"/>
  <c r="N81" i="3"/>
  <c r="X79" i="3"/>
  <c r="Y77" i="3"/>
  <c r="Q81" i="3"/>
  <c r="AI81" i="3"/>
  <c r="T80" i="3"/>
  <c r="V80" i="3"/>
  <c r="S80" i="3"/>
  <c r="L81" i="3"/>
  <c r="J79" i="3"/>
  <c r="K79" i="3"/>
  <c r="M81" i="3"/>
  <c r="E79" i="3"/>
  <c r="H78" i="3"/>
  <c r="AC79" i="3"/>
  <c r="R80" i="3"/>
  <c r="D81" i="3"/>
  <c r="G78" i="3"/>
  <c r="AA80" i="3"/>
  <c r="P80" i="3"/>
  <c r="AG81" i="3"/>
  <c r="AD81" i="3"/>
  <c r="AH79" i="3"/>
  <c r="G81" i="3"/>
  <c r="U80" i="3"/>
  <c r="G80" i="3"/>
  <c r="K81" i="3"/>
  <c r="M78" i="3"/>
  <c r="G77" i="3"/>
  <c r="K78" i="3"/>
  <c r="M80" i="3"/>
  <c r="G79" i="3"/>
  <c r="K80" i="3"/>
  <c r="M77" i="3"/>
  <c r="AB81" i="3"/>
  <c r="C77" i="3"/>
  <c r="C73" i="3"/>
  <c r="I81" i="3"/>
  <c r="M79" i="3"/>
  <c r="T79" i="3"/>
  <c r="AB80" i="3"/>
  <c r="J78" i="3"/>
  <c r="O80" i="3"/>
  <c r="AG79" i="3"/>
  <c r="X78" i="3"/>
  <c r="T81" i="3"/>
  <c r="F78" i="3"/>
  <c r="Y79" i="3"/>
  <c r="I79" i="3"/>
  <c r="AI80" i="3"/>
  <c r="E77" i="3"/>
  <c r="N80" i="3"/>
  <c r="AH78" i="3"/>
  <c r="AA79" i="3"/>
  <c r="O78" i="3"/>
  <c r="AE77" i="3"/>
  <c r="F80" i="3"/>
  <c r="Y81" i="3"/>
  <c r="AA81" i="3"/>
  <c r="D79" i="3"/>
  <c r="I77" i="3"/>
  <c r="V81" i="3"/>
  <c r="R78" i="3"/>
  <c r="Q77" i="3"/>
  <c r="P81" i="3"/>
  <c r="AA78" i="3"/>
  <c r="J77" i="3"/>
  <c r="H79" i="3"/>
  <c r="Q80" i="3"/>
  <c r="P77" i="3"/>
  <c r="AD78" i="3"/>
  <c r="W77" i="3"/>
  <c r="Q79" i="3"/>
  <c r="AD77" i="3"/>
  <c r="J80" i="3"/>
  <c r="F77" i="3"/>
  <c r="W78" i="3"/>
  <c r="N77" i="3"/>
  <c r="I78" i="3"/>
  <c r="I80" i="3"/>
  <c r="AC81" i="3"/>
  <c r="H77" i="3"/>
  <c r="L77" i="3"/>
  <c r="AC78" i="3"/>
  <c r="S77" i="3"/>
  <c r="AD80" i="3"/>
  <c r="AB78" i="3"/>
  <c r="T78" i="3"/>
  <c r="W79" i="3"/>
  <c r="AI79" i="3"/>
  <c r="AE80" i="3"/>
  <c r="AH81" i="3"/>
  <c r="V79" i="3"/>
  <c r="AH77" i="3"/>
  <c r="R79" i="3"/>
  <c r="AD79" i="3"/>
  <c r="L79" i="3"/>
  <c r="AC80" i="3"/>
  <c r="S78" i="3"/>
  <c r="U77" i="3"/>
  <c r="J81" i="3"/>
  <c r="AG80" i="3"/>
  <c r="E81" i="3"/>
  <c r="AI77" i="3"/>
  <c r="AH80" i="3"/>
  <c r="V77" i="3"/>
  <c r="V78" i="3"/>
  <c r="D78" i="3"/>
  <c r="D80" i="3"/>
  <c r="P78" i="3"/>
  <c r="Z80" i="3"/>
  <c r="AC77" i="3"/>
  <c r="S79" i="3"/>
  <c r="U79" i="3"/>
  <c r="AF80" i="3"/>
  <c r="AB77" i="3"/>
  <c r="F81" i="3"/>
  <c r="AI78" i="3"/>
  <c r="AE79" i="3"/>
  <c r="N78" i="3"/>
  <c r="N79" i="3"/>
  <c r="Y78" i="3"/>
  <c r="L78" i="3"/>
  <c r="D77" i="3"/>
  <c r="H80" i="3"/>
  <c r="Z77" i="3"/>
  <c r="AF81" i="3"/>
  <c r="S81" i="3"/>
  <c r="U81" i="3"/>
  <c r="X81" i="3"/>
  <c r="O79" i="3"/>
  <c r="AG77" i="3"/>
  <c r="E78" i="3"/>
  <c r="E80" i="3"/>
  <c r="R81" i="3"/>
  <c r="H81" i="3"/>
  <c r="Z79" i="3"/>
  <c r="AF78" i="3"/>
  <c r="X80" i="3"/>
  <c r="U78" i="3"/>
  <c r="O77" i="3"/>
  <c r="AG78" i="3"/>
  <c r="AE78" i="3"/>
  <c r="W81" i="3"/>
  <c r="Y80" i="3"/>
  <c r="AA77" i="3"/>
  <c r="R77" i="3"/>
  <c r="Q78" i="3"/>
  <c r="P79" i="3"/>
  <c r="L80" i="3"/>
  <c r="AB79" i="3"/>
  <c r="K77" i="3"/>
  <c r="Z81" i="3"/>
  <c r="AF77" i="3"/>
  <c r="X77" i="3"/>
  <c r="T77" i="3"/>
  <c r="C81" i="3"/>
  <c r="C80" i="3"/>
  <c r="C78" i="3"/>
  <c r="C79" i="3"/>
  <c r="AD296" i="17" l="1"/>
  <c r="AA297" i="17"/>
  <c r="AA303" i="17"/>
  <c r="AA309" i="17"/>
  <c r="AA315" i="17"/>
  <c r="AA321" i="17"/>
  <c r="AA327" i="17"/>
  <c r="AD297" i="17"/>
  <c r="AD303" i="17"/>
  <c r="AD309" i="17"/>
  <c r="AD315" i="17"/>
  <c r="AD321" i="17"/>
  <c r="AD327" i="17"/>
  <c r="AA298" i="17"/>
  <c r="AA304" i="17"/>
  <c r="AA310" i="17"/>
  <c r="AA316" i="17"/>
  <c r="AA322" i="17"/>
  <c r="AA328" i="17"/>
  <c r="AD298" i="17"/>
  <c r="AD304" i="17"/>
  <c r="AD310" i="17"/>
  <c r="AD316" i="17"/>
  <c r="AD322" i="17"/>
  <c r="AD328" i="17"/>
  <c r="AA299" i="17"/>
  <c r="AA305" i="17"/>
  <c r="AA311" i="17"/>
  <c r="AA317" i="17"/>
  <c r="AA323" i="17"/>
  <c r="AD299" i="17"/>
  <c r="AD305" i="17"/>
  <c r="AD311" i="17"/>
  <c r="AD317" i="17"/>
  <c r="AD323" i="17"/>
  <c r="AA300" i="17"/>
  <c r="AA306" i="17"/>
  <c r="AA312" i="17"/>
  <c r="AA318" i="17"/>
  <c r="AA324" i="17"/>
  <c r="AD300" i="17"/>
  <c r="AD306" i="17"/>
  <c r="AA301" i="17"/>
  <c r="AD314" i="17"/>
  <c r="AD318" i="17"/>
  <c r="AA319" i="17"/>
  <c r="AD301" i="17"/>
  <c r="AA302" i="17"/>
  <c r="AD319" i="17"/>
  <c r="AA320" i="17"/>
  <c r="AD302" i="17"/>
  <c r="AA307" i="17"/>
  <c r="AD320" i="17"/>
  <c r="AD324" i="17"/>
  <c r="AD307" i="17"/>
  <c r="AA325" i="17"/>
  <c r="AA308" i="17"/>
  <c r="AD325" i="17"/>
  <c r="AD308" i="17"/>
  <c r="AA326" i="17"/>
  <c r="AD312" i="17"/>
  <c r="AA313" i="17"/>
  <c r="AD326" i="17"/>
  <c r="AD313" i="17"/>
  <c r="AA314" i="17"/>
  <c r="U296" i="17"/>
  <c r="U297" i="17"/>
  <c r="U321" i="17"/>
  <c r="U298" i="17"/>
  <c r="U322" i="17"/>
  <c r="U299" i="17"/>
  <c r="U323" i="17"/>
  <c r="U324" i="17"/>
  <c r="U301" i="17"/>
  <c r="U325" i="17"/>
  <c r="U302" i="17"/>
  <c r="U326" i="17"/>
  <c r="U303" i="17"/>
  <c r="U327" i="17"/>
  <c r="U304" i="17"/>
  <c r="U328" i="17"/>
  <c r="U305" i="17"/>
  <c r="U306" i="17"/>
  <c r="U307" i="17"/>
  <c r="U308" i="17"/>
  <c r="U309" i="17"/>
  <c r="U310" i="17"/>
  <c r="U311" i="17"/>
  <c r="U312" i="17"/>
  <c r="U313" i="17"/>
  <c r="U314" i="17"/>
  <c r="U315" i="17"/>
  <c r="U316" i="17"/>
  <c r="U317" i="17"/>
  <c r="U318" i="17"/>
  <c r="U319" i="17"/>
  <c r="U320" i="17"/>
  <c r="U300" i="17"/>
  <c r="L296" i="17" a="1"/>
  <c r="L296" i="17" s="1"/>
  <c r="X296" i="17" s="1"/>
  <c r="AG296" i="17" s="1"/>
  <c r="L302" i="17" a="1"/>
  <c r="L302" i="17" s="1"/>
  <c r="X302" i="17" s="1"/>
  <c r="AG302" i="17" s="1"/>
  <c r="L308" i="17" a="1"/>
  <c r="L308" i="17" s="1"/>
  <c r="X308" i="17" s="1"/>
  <c r="AG308" i="17" s="1"/>
  <c r="L314" i="17" a="1"/>
  <c r="L314" i="17" s="1"/>
  <c r="X314" i="17" s="1"/>
  <c r="AG314" i="17" s="1"/>
  <c r="L320" i="17" a="1"/>
  <c r="L320" i="17" s="1"/>
  <c r="X320" i="17" s="1"/>
  <c r="AG320" i="17" s="1"/>
  <c r="L326" i="17" a="1"/>
  <c r="L326" i="17" s="1"/>
  <c r="X326" i="17" s="1"/>
  <c r="AG326" i="17" s="1"/>
  <c r="M303" i="17" a="1"/>
  <c r="M303" i="17" s="1"/>
  <c r="AI303" i="17" s="1"/>
  <c r="L304" i="17" a="1"/>
  <c r="L304" i="17" s="1"/>
  <c r="X304" i="17" s="1"/>
  <c r="AG304" i="17" s="1"/>
  <c r="M304" i="17" a="1"/>
  <c r="M304" i="17" s="1"/>
  <c r="AI304" i="17" s="1"/>
  <c r="M328" i="17" a="1"/>
  <c r="M328" i="17" s="1"/>
  <c r="AI328" i="17" s="1"/>
  <c r="L311" i="17" a="1"/>
  <c r="L311" i="17" s="1"/>
  <c r="X311" i="17" s="1"/>
  <c r="AG311" i="17" s="1"/>
  <c r="M299" i="17" a="1"/>
  <c r="M299" i="17" s="1"/>
  <c r="AI299" i="17" s="1"/>
  <c r="L306" i="17" a="1"/>
  <c r="L306" i="17" s="1"/>
  <c r="X306" i="17" s="1"/>
  <c r="AG306" i="17" s="1"/>
  <c r="L324" i="17" a="1"/>
  <c r="L324" i="17" s="1"/>
  <c r="X324" i="17" s="1"/>
  <c r="AG324" i="17" s="1"/>
  <c r="M312" i="17" a="1"/>
  <c r="M312" i="17" s="1"/>
  <c r="AI312" i="17" s="1"/>
  <c r="L313" i="17" a="1"/>
  <c r="L313" i="17" s="1"/>
  <c r="X313" i="17" s="1"/>
  <c r="AG313" i="17" s="1"/>
  <c r="M313" i="17" a="1"/>
  <c r="M313" i="17" s="1"/>
  <c r="AI313" i="17" s="1"/>
  <c r="L315" i="17" a="1"/>
  <c r="L315" i="17" s="1"/>
  <c r="X315" i="17" s="1"/>
  <c r="AG315" i="17" s="1"/>
  <c r="L316" i="17" a="1"/>
  <c r="L316" i="17" s="1"/>
  <c r="X316" i="17" s="1"/>
  <c r="AG316" i="17" s="1"/>
  <c r="M310" i="17" a="1"/>
  <c r="M310" i="17" s="1"/>
  <c r="AI310" i="17" s="1"/>
  <c r="L299" i="17" a="1"/>
  <c r="L299" i="17" s="1"/>
  <c r="X299" i="17" s="1"/>
  <c r="AG299" i="17" s="1"/>
  <c r="M318" i="17" a="1"/>
  <c r="M318" i="17" s="1"/>
  <c r="AI318" i="17" s="1"/>
  <c r="L307" i="17" a="1"/>
  <c r="L307" i="17" s="1"/>
  <c r="X307" i="17" s="1"/>
  <c r="AG307" i="17" s="1"/>
  <c r="M296" i="17" a="1"/>
  <c r="M296" i="17" s="1"/>
  <c r="M302" i="17" a="1"/>
  <c r="M302" i="17" s="1"/>
  <c r="AI302" i="17" s="1"/>
  <c r="M308" i="17" a="1"/>
  <c r="M308" i="17" s="1"/>
  <c r="AI308" i="17" s="1"/>
  <c r="M314" i="17" a="1"/>
  <c r="M314" i="17" s="1"/>
  <c r="AI314" i="17" s="1"/>
  <c r="M320" i="17" a="1"/>
  <c r="M320" i="17" s="1"/>
  <c r="AI320" i="17" s="1"/>
  <c r="M326" i="17" a="1"/>
  <c r="M326" i="17" s="1"/>
  <c r="AI326" i="17" s="1"/>
  <c r="L327" i="17" a="1"/>
  <c r="L327" i="17" s="1"/>
  <c r="X327" i="17" s="1"/>
  <c r="AG327" i="17" s="1"/>
  <c r="M297" i="17" a="1"/>
  <c r="M297" i="17" s="1"/>
  <c r="AI297" i="17" s="1"/>
  <c r="M327" i="17" a="1"/>
  <c r="M327" i="17" s="1"/>
  <c r="AI327" i="17" s="1"/>
  <c r="L298" i="17" a="1"/>
  <c r="L298" i="17" s="1"/>
  <c r="X298" i="17" s="1"/>
  <c r="AG298" i="17" s="1"/>
  <c r="L322" i="17" a="1"/>
  <c r="L322" i="17" s="1"/>
  <c r="X322" i="17" s="1"/>
  <c r="AG322" i="17" s="1"/>
  <c r="M316" i="17" a="1"/>
  <c r="M316" i="17" s="1"/>
  <c r="AI316" i="17" s="1"/>
  <c r="L305" i="17" a="1"/>
  <c r="L305" i="17" s="1"/>
  <c r="X305" i="17" s="1"/>
  <c r="AG305" i="17" s="1"/>
  <c r="M305" i="17" a="1"/>
  <c r="M305" i="17" s="1"/>
  <c r="AI305" i="17" s="1"/>
  <c r="M323" i="17" a="1"/>
  <c r="M323" i="17" s="1"/>
  <c r="AI323" i="17" s="1"/>
  <c r="L318" i="17" a="1"/>
  <c r="L318" i="17" s="1"/>
  <c r="X318" i="17" s="1"/>
  <c r="AG318" i="17" s="1"/>
  <c r="M306" i="17" a="1"/>
  <c r="M306" i="17" s="1"/>
  <c r="AI306" i="17" s="1"/>
  <c r="L319" i="17" a="1"/>
  <c r="L319" i="17" s="1"/>
  <c r="X319" i="17" s="1"/>
  <c r="AG319" i="17" s="1"/>
  <c r="M307" i="17" a="1"/>
  <c r="M307" i="17" s="1"/>
  <c r="AI307" i="17" s="1"/>
  <c r="M325" i="17" a="1"/>
  <c r="M325" i="17" s="1"/>
  <c r="AI325" i="17" s="1"/>
  <c r="M315" i="17" a="1"/>
  <c r="M315" i="17" s="1"/>
  <c r="AI315" i="17" s="1"/>
  <c r="M317" i="17" a="1"/>
  <c r="M317" i="17" s="1"/>
  <c r="AI317" i="17" s="1"/>
  <c r="L300" i="17" a="1"/>
  <c r="L300" i="17" s="1"/>
  <c r="X300" i="17" s="1"/>
  <c r="AG300" i="17" s="1"/>
  <c r="M319" i="17" a="1"/>
  <c r="M319" i="17" s="1"/>
  <c r="AI319" i="17" s="1"/>
  <c r="L297" i="17" a="1"/>
  <c r="L297" i="17" s="1"/>
  <c r="X297" i="17" s="1"/>
  <c r="AG297" i="17" s="1"/>
  <c r="L303" i="17" a="1"/>
  <c r="L303" i="17" s="1"/>
  <c r="X303" i="17" s="1"/>
  <c r="AG303" i="17" s="1"/>
  <c r="L309" i="17" a="1"/>
  <c r="L309" i="17" s="1"/>
  <c r="X309" i="17" s="1"/>
  <c r="AG309" i="17" s="1"/>
  <c r="L321" i="17" a="1"/>
  <c r="L321" i="17" s="1"/>
  <c r="X321" i="17" s="1"/>
  <c r="AG321" i="17" s="1"/>
  <c r="M309" i="17" a="1"/>
  <c r="M309" i="17" s="1"/>
  <c r="AI309" i="17" s="1"/>
  <c r="M321" i="17" a="1"/>
  <c r="M321" i="17" s="1"/>
  <c r="AI321" i="17" s="1"/>
  <c r="L310" i="17" a="1"/>
  <c r="L310" i="17" s="1"/>
  <c r="X310" i="17" s="1"/>
  <c r="AG310" i="17" s="1"/>
  <c r="L328" i="17" a="1"/>
  <c r="L328" i="17" s="1"/>
  <c r="X328" i="17" s="1"/>
  <c r="AG328" i="17" s="1"/>
  <c r="M298" i="17" a="1"/>
  <c r="M298" i="17" s="1"/>
  <c r="AI298" i="17" s="1"/>
  <c r="M322" i="17" a="1"/>
  <c r="M322" i="17" s="1"/>
  <c r="AI322" i="17" s="1"/>
  <c r="L317" i="17" a="1"/>
  <c r="L317" i="17" s="1"/>
  <c r="X317" i="17" s="1"/>
  <c r="AG317" i="17" s="1"/>
  <c r="L323" i="17" a="1"/>
  <c r="L323" i="17" s="1"/>
  <c r="X323" i="17" s="1"/>
  <c r="AG323" i="17" s="1"/>
  <c r="M311" i="17" a="1"/>
  <c r="M311" i="17" s="1"/>
  <c r="AI311" i="17" s="1"/>
  <c r="L312" i="17" a="1"/>
  <c r="L312" i="17" s="1"/>
  <c r="X312" i="17" s="1"/>
  <c r="AG312" i="17" s="1"/>
  <c r="M300" i="17" a="1"/>
  <c r="M300" i="17" s="1"/>
  <c r="AI300" i="17" s="1"/>
  <c r="M324" i="17" a="1"/>
  <c r="M324" i="17" s="1"/>
  <c r="AI324" i="17" s="1"/>
  <c r="L301" i="17" a="1"/>
  <c r="L301" i="17" s="1"/>
  <c r="X301" i="17" s="1"/>
  <c r="AG301" i="17" s="1"/>
  <c r="L325" i="17" a="1"/>
  <c r="L325" i="17" s="1"/>
  <c r="X325" i="17" s="1"/>
  <c r="AG325" i="17" s="1"/>
  <c r="M301" i="17" a="1"/>
  <c r="M301" i="17" s="1"/>
  <c r="AI301" i="17" s="1"/>
  <c r="G296" i="17"/>
  <c r="AA296" i="17" s="1"/>
  <c r="I332" i="17"/>
  <c r="H332" i="17"/>
  <c r="AF1105" i="16"/>
  <c r="T1105" i="16"/>
  <c r="X1106" i="16"/>
  <c r="V1107" i="16"/>
  <c r="W1106" i="16"/>
  <c r="X18" i="16"/>
  <c r="V19" i="16"/>
  <c r="W18" i="16"/>
  <c r="CV18" i="16" s="1"/>
  <c r="BQ93" i="14"/>
  <c r="BS352" i="3"/>
  <c r="BT89" i="14" s="1"/>
  <c r="C87" i="3" a="1"/>
  <c r="C87" i="3" s="1"/>
  <c r="BQ356" i="3"/>
  <c r="CF348" i="3"/>
  <c r="BR351" i="3"/>
  <c r="BR350" i="3"/>
  <c r="C106" i="3"/>
  <c r="C132" i="3"/>
  <c r="C119" i="3"/>
  <c r="C83" i="3"/>
  <c r="AQ316" i="17" l="1"/>
  <c r="AQ318" i="17"/>
  <c r="AQ325" i="17"/>
  <c r="AB316" i="17"/>
  <c r="AB298" i="17"/>
  <c r="AQ315" i="17"/>
  <c r="AQ310" i="17"/>
  <c r="AB317" i="17"/>
  <c r="AB322" i="17"/>
  <c r="AQ301" i="17"/>
  <c r="AQ307" i="17"/>
  <c r="AB315" i="17"/>
  <c r="AB321" i="17"/>
  <c r="AQ324" i="17"/>
  <c r="AQ312" i="17"/>
  <c r="AQ300" i="17"/>
  <c r="AQ323" i="17"/>
  <c r="AQ313" i="17"/>
  <c r="AB314" i="17"/>
  <c r="AB297" i="17"/>
  <c r="AQ306" i="17"/>
  <c r="AQ305" i="17"/>
  <c r="AB318" i="17"/>
  <c r="AQ328" i="17"/>
  <c r="AQ321" i="17"/>
  <c r="AQ309" i="17"/>
  <c r="AQ320" i="17"/>
  <c r="AQ297" i="17"/>
  <c r="AQ303" i="17"/>
  <c r="AQ326" i="17"/>
  <c r="AQ314" i="17"/>
  <c r="AQ299" i="17"/>
  <c r="AQ298" i="17"/>
  <c r="AQ327" i="17"/>
  <c r="AQ308" i="17"/>
  <c r="AQ302" i="17"/>
  <c r="AQ317" i="17"/>
  <c r="AQ311" i="17"/>
  <c r="AQ322" i="17"/>
  <c r="AQ304" i="17"/>
  <c r="AQ319" i="17"/>
  <c r="AQ296" i="17"/>
  <c r="AI296" i="17"/>
  <c r="V321" i="17"/>
  <c r="V318" i="17"/>
  <c r="V319" i="17"/>
  <c r="AB319" i="17"/>
  <c r="V323" i="17"/>
  <c r="AB323" i="17"/>
  <c r="V299" i="17"/>
  <c r="AB299" i="17"/>
  <c r="V312" i="17"/>
  <c r="AB312" i="17"/>
  <c r="V311" i="17"/>
  <c r="AB311" i="17"/>
  <c r="V310" i="17"/>
  <c r="AB310" i="17"/>
  <c r="V309" i="17"/>
  <c r="AB309" i="17"/>
  <c r="V306" i="17"/>
  <c r="AB306" i="17"/>
  <c r="V317" i="17"/>
  <c r="V322" i="17"/>
  <c r="V304" i="17"/>
  <c r="AB304" i="17"/>
  <c r="V313" i="17"/>
  <c r="AB313" i="17"/>
  <c r="V305" i="17"/>
  <c r="AB305" i="17"/>
  <c r="V328" i="17"/>
  <c r="AB328" i="17"/>
  <c r="V298" i="17"/>
  <c r="V327" i="17"/>
  <c r="AB327" i="17"/>
  <c r="V297" i="17"/>
  <c r="V303" i="17"/>
  <c r="AB303" i="17"/>
  <c r="V316" i="17"/>
  <c r="V326" i="17"/>
  <c r="AB326" i="17"/>
  <c r="V308" i="17"/>
  <c r="AB308" i="17"/>
  <c r="V302" i="17"/>
  <c r="AB302" i="17"/>
  <c r="V315" i="17"/>
  <c r="V314" i="17"/>
  <c r="V325" i="17"/>
  <c r="AB325" i="17"/>
  <c r="V301" i="17"/>
  <c r="AB301" i="17"/>
  <c r="V307" i="17"/>
  <c r="AB307" i="17"/>
  <c r="V300" i="17"/>
  <c r="AB300" i="17"/>
  <c r="V320" i="17"/>
  <c r="AB320" i="17"/>
  <c r="V324" i="17"/>
  <c r="AB324" i="17"/>
  <c r="V296" i="17"/>
  <c r="AB296" i="17"/>
  <c r="AO298" i="17"/>
  <c r="K296" i="17" a="1"/>
  <c r="K296" i="17" s="1"/>
  <c r="AO310" i="17"/>
  <c r="AO327" i="17"/>
  <c r="AO326" i="17"/>
  <c r="AO320" i="17"/>
  <c r="Y296" i="17"/>
  <c r="AH296" i="17" s="1"/>
  <c r="AO308" i="17"/>
  <c r="AO307" i="17"/>
  <c r="AO300" i="17"/>
  <c r="AO299" i="17"/>
  <c r="AO297" i="17"/>
  <c r="AO315" i="17"/>
  <c r="AO314" i="17"/>
  <c r="AO309" i="17"/>
  <c r="AO302" i="17"/>
  <c r="AO323" i="17"/>
  <c r="AO311" i="17"/>
  <c r="AO316" i="17"/>
  <c r="AO325" i="17"/>
  <c r="AO319" i="17"/>
  <c r="AO301" i="17"/>
  <c r="AO318" i="17"/>
  <c r="AO317" i="17"/>
  <c r="AO322" i="17"/>
  <c r="AO313" i="17"/>
  <c r="AO324" i="17"/>
  <c r="AO306" i="17"/>
  <c r="AO303" i="17"/>
  <c r="AO312" i="17"/>
  <c r="AO304" i="17"/>
  <c r="AO321" i="17"/>
  <c r="AO305" i="17"/>
  <c r="AO328" i="17"/>
  <c r="K318" i="17" a="1"/>
  <c r="K318" i="17" s="1"/>
  <c r="AF318" i="17" s="1"/>
  <c r="K314" i="17" a="1"/>
  <c r="K314" i="17" s="1"/>
  <c r="AF314" i="17" s="1"/>
  <c r="K310" i="17" a="1"/>
  <c r="K310" i="17" s="1"/>
  <c r="AF310" i="17" s="1"/>
  <c r="K308" i="17" a="1"/>
  <c r="K308" i="17" s="1"/>
  <c r="AF308" i="17" s="1"/>
  <c r="K306" i="17" a="1"/>
  <c r="K306" i="17" s="1"/>
  <c r="AF306" i="17" s="1"/>
  <c r="K302" i="17" a="1"/>
  <c r="K302" i="17" s="1"/>
  <c r="AF302" i="17" s="1"/>
  <c r="K304" i="17" a="1"/>
  <c r="K304" i="17" s="1"/>
  <c r="AF304" i="17" s="1"/>
  <c r="K309" i="17" a="1"/>
  <c r="K309" i="17" s="1"/>
  <c r="AF309" i="17" s="1"/>
  <c r="K327" i="17" a="1"/>
  <c r="K327" i="17" s="1"/>
  <c r="AF327" i="17" s="1"/>
  <c r="K325" i="17" a="1"/>
  <c r="K325" i="17" s="1"/>
  <c r="AF325" i="17" s="1"/>
  <c r="K319" i="17" a="1"/>
  <c r="K319" i="17" s="1"/>
  <c r="AF319" i="17" s="1"/>
  <c r="K324" i="17" a="1"/>
  <c r="K324" i="17" s="1"/>
  <c r="AF324" i="17" s="1"/>
  <c r="K317" i="17" a="1"/>
  <c r="K317" i="17" s="1"/>
  <c r="AF317" i="17" s="1"/>
  <c r="K301" i="17" a="1"/>
  <c r="K301" i="17" s="1"/>
  <c r="AF301" i="17" s="1"/>
  <c r="K328" i="17" a="1"/>
  <c r="K328" i="17" s="1"/>
  <c r="AF328" i="17" s="1"/>
  <c r="K303" i="17" a="1"/>
  <c r="K303" i="17" s="1"/>
  <c r="AF303" i="17" s="1"/>
  <c r="K320" i="17" a="1"/>
  <c r="K320" i="17" s="1"/>
  <c r="AF320" i="17" s="1"/>
  <c r="K316" i="17" a="1"/>
  <c r="K316" i="17" s="1"/>
  <c r="AF316" i="17" s="1"/>
  <c r="K300" i="17" a="1"/>
  <c r="K300" i="17" s="1"/>
  <c r="AF300" i="17" s="1"/>
  <c r="K313" i="17" a="1"/>
  <c r="K313" i="17" s="1"/>
  <c r="AF313" i="17" s="1"/>
  <c r="K311" i="17" a="1"/>
  <c r="K311" i="17" s="1"/>
  <c r="AF311" i="17" s="1"/>
  <c r="K315" i="17" a="1"/>
  <c r="K315" i="17" s="1"/>
  <c r="AF315" i="17" s="1"/>
  <c r="K298" i="17" a="1"/>
  <c r="K298" i="17" s="1"/>
  <c r="AF298" i="17" s="1"/>
  <c r="K312" i="17" a="1"/>
  <c r="K312" i="17" s="1"/>
  <c r="AF312" i="17" s="1"/>
  <c r="K323" i="17" a="1"/>
  <c r="K323" i="17" s="1"/>
  <c r="AF323" i="17" s="1"/>
  <c r="K326" i="17" a="1"/>
  <c r="K326" i="17" s="1"/>
  <c r="AF326" i="17" s="1"/>
  <c r="K305" i="17" a="1"/>
  <c r="K305" i="17" s="1"/>
  <c r="AF305" i="17" s="1"/>
  <c r="K307" i="17" a="1"/>
  <c r="K307" i="17" s="1"/>
  <c r="AF307" i="17" s="1"/>
  <c r="K299" i="17" a="1"/>
  <c r="K299" i="17" s="1"/>
  <c r="AF299" i="17" s="1"/>
  <c r="K322" i="17" a="1"/>
  <c r="K322" i="17" s="1"/>
  <c r="AF322" i="17" s="1"/>
  <c r="K321" i="17" a="1"/>
  <c r="K321" i="17" s="1"/>
  <c r="AF321" i="17" s="1"/>
  <c r="K297" i="17" a="1"/>
  <c r="K297" i="17" s="1"/>
  <c r="AF297" i="17" s="1"/>
  <c r="G332" i="17"/>
  <c r="AF1106" i="16"/>
  <c r="T1106" i="16"/>
  <c r="W1107" i="16"/>
  <c r="V1108" i="16"/>
  <c r="X1107" i="16"/>
  <c r="X19" i="16"/>
  <c r="V20" i="16"/>
  <c r="W19" i="16"/>
  <c r="CV19" i="16" s="1"/>
  <c r="BT93" i="14"/>
  <c r="CF89" i="14"/>
  <c r="CF350" i="3"/>
  <c r="CF351" i="3"/>
  <c r="BR356" i="3"/>
  <c r="CF349" i="3"/>
  <c r="C129" i="3"/>
  <c r="C131" i="3" s="1"/>
  <c r="AK88" i="3"/>
  <c r="AK89" i="3"/>
  <c r="AK90" i="3"/>
  <c r="AK91" i="3"/>
  <c r="AC311" i="17" l="1"/>
  <c r="AN319" i="17"/>
  <c r="AN325" i="17"/>
  <c r="AC298" i="17"/>
  <c r="AN304" i="17"/>
  <c r="AC321" i="17"/>
  <c r="AN307" i="17"/>
  <c r="AC313" i="17"/>
  <c r="AN314" i="17"/>
  <c r="AC304" i="17"/>
  <c r="AC325" i="17"/>
  <c r="AC317" i="17"/>
  <c r="AN298" i="17"/>
  <c r="AC315" i="17"/>
  <c r="AN303" i="17"/>
  <c r="AN301" i="17"/>
  <c r="AC312" i="17"/>
  <c r="AN322" i="17"/>
  <c r="AN299" i="17"/>
  <c r="AC307" i="17"/>
  <c r="AN310" i="17"/>
  <c r="AC301" i="17"/>
  <c r="AN312" i="17"/>
  <c r="AC314" i="17"/>
  <c r="AN315" i="17"/>
  <c r="AC306" i="17"/>
  <c r="AN328" i="17"/>
  <c r="AC324" i="17"/>
  <c r="AC327" i="17"/>
  <c r="AC323" i="17"/>
  <c r="AN309" i="17"/>
  <c r="AN306" i="17"/>
  <c r="AN318" i="17"/>
  <c r="AN311" i="17"/>
  <c r="AC302" i="17"/>
  <c r="AN324" i="17"/>
  <c r="AC299" i="17"/>
  <c r="AC320" i="17"/>
  <c r="AC328" i="17"/>
  <c r="AN302" i="17"/>
  <c r="AC305" i="17"/>
  <c r="AN305" i="17"/>
  <c r="AN313" i="17"/>
  <c r="AC309" i="17"/>
  <c r="AC316" i="17"/>
  <c r="AN317" i="17"/>
  <c r="AC297" i="17"/>
  <c r="AN327" i="17"/>
  <c r="AN321" i="17"/>
  <c r="AC318" i="17"/>
  <c r="AN308" i="17"/>
  <c r="AN326" i="17"/>
  <c r="AN323" i="17"/>
  <c r="AC322" i="17"/>
  <c r="AN300" i="17"/>
  <c r="AC308" i="17"/>
  <c r="AN320" i="17"/>
  <c r="AC326" i="17"/>
  <c r="AC303" i="17"/>
  <c r="AN297" i="17"/>
  <c r="AC319" i="17"/>
  <c r="AC300" i="17"/>
  <c r="AN316" i="17"/>
  <c r="AC310" i="17"/>
  <c r="AC296" i="17"/>
  <c r="AN296" i="17"/>
  <c r="AF296" i="17"/>
  <c r="Y325" i="17"/>
  <c r="Y309" i="17"/>
  <c r="Y311" i="17"/>
  <c r="Y315" i="17"/>
  <c r="Y297" i="17"/>
  <c r="Y298" i="17"/>
  <c r="Y303" i="17"/>
  <c r="Y322" i="17"/>
  <c r="Y317" i="17"/>
  <c r="Y323" i="17"/>
  <c r="Y308" i="17"/>
  <c r="Y302" i="17"/>
  <c r="Y318" i="17"/>
  <c r="Y312" i="17"/>
  <c r="Y310" i="17"/>
  <c r="Y328" i="17"/>
  <c r="Y299" i="17"/>
  <c r="Y306" i="17"/>
  <c r="Y324" i="17"/>
  <c r="Y314" i="17"/>
  <c r="Y305" i="17"/>
  <c r="Y304" i="17"/>
  <c r="Y300" i="17"/>
  <c r="Y307" i="17"/>
  <c r="Y313" i="17"/>
  <c r="Y320" i="17"/>
  <c r="Y316" i="17"/>
  <c r="Y321" i="17"/>
  <c r="Y301" i="17"/>
  <c r="Y326" i="17"/>
  <c r="Y319" i="17"/>
  <c r="Y327" i="17"/>
  <c r="AP296" i="17"/>
  <c r="AO296" i="17"/>
  <c r="AO330" i="17" s="1"/>
  <c r="X330" i="17"/>
  <c r="X331" i="17" s="1"/>
  <c r="M330" i="17"/>
  <c r="M339" i="17" s="1"/>
  <c r="L330" i="17"/>
  <c r="L339" i="17" s="1"/>
  <c r="AF1107" i="16"/>
  <c r="T1107" i="16"/>
  <c r="V1109" i="16"/>
  <c r="W1108" i="16"/>
  <c r="X1108" i="16"/>
  <c r="V21" i="16"/>
  <c r="W20" i="16"/>
  <c r="X20" i="16"/>
  <c r="C103" i="3"/>
  <c r="C105" i="3" s="1"/>
  <c r="C116" i="3"/>
  <c r="AK87" i="3"/>
  <c r="C78" i="14" l="1" a="1"/>
  <c r="AP311" i="17"/>
  <c r="AH311" i="17"/>
  <c r="AP320" i="17"/>
  <c r="AH320" i="17"/>
  <c r="AP325" i="17"/>
  <c r="AH325" i="17"/>
  <c r="AP305" i="17"/>
  <c r="AH305" i="17"/>
  <c r="AP314" i="17"/>
  <c r="AH314" i="17"/>
  <c r="AP324" i="17"/>
  <c r="AH324" i="17"/>
  <c r="AP306" i="17"/>
  <c r="AH306" i="17"/>
  <c r="AP299" i="17"/>
  <c r="AH299" i="17"/>
  <c r="AP310" i="17"/>
  <c r="AH310" i="17"/>
  <c r="AP315" i="17"/>
  <c r="AH315" i="17"/>
  <c r="AP316" i="17"/>
  <c r="AH316" i="17"/>
  <c r="AP328" i="17"/>
  <c r="AH328" i="17"/>
  <c r="AP321" i="17"/>
  <c r="AH321" i="17"/>
  <c r="AP307" i="17"/>
  <c r="AH307" i="17"/>
  <c r="AP300" i="17"/>
  <c r="AH300" i="17"/>
  <c r="AP318" i="17"/>
  <c r="AH318" i="17"/>
  <c r="AP322" i="17"/>
  <c r="AH322" i="17"/>
  <c r="AP313" i="17"/>
  <c r="AH313" i="17"/>
  <c r="AP312" i="17"/>
  <c r="AH312" i="17"/>
  <c r="AP308" i="17"/>
  <c r="AH308" i="17"/>
  <c r="AP323" i="17"/>
  <c r="AH323" i="17"/>
  <c r="AP317" i="17"/>
  <c r="AH317" i="17"/>
  <c r="AP303" i="17"/>
  <c r="AH303" i="17"/>
  <c r="AP301" i="17"/>
  <c r="AH301" i="17"/>
  <c r="AP297" i="17"/>
  <c r="AH297" i="17"/>
  <c r="AP309" i="17"/>
  <c r="AH309" i="17"/>
  <c r="AP304" i="17"/>
  <c r="AH304" i="17"/>
  <c r="AP302" i="17"/>
  <c r="AH302" i="17"/>
  <c r="AP327" i="17"/>
  <c r="AH327" i="17"/>
  <c r="AP319" i="17"/>
  <c r="AH319" i="17"/>
  <c r="AP326" i="17"/>
  <c r="AH326" i="17"/>
  <c r="AP298" i="17"/>
  <c r="AH298" i="17"/>
  <c r="AA331" i="17"/>
  <c r="Y330" i="17"/>
  <c r="Y331" i="17" s="1"/>
  <c r="K330" i="17"/>
  <c r="K339" i="17" s="1"/>
  <c r="CV20" i="16"/>
  <c r="AF1108" i="16"/>
  <c r="T1108" i="16"/>
  <c r="V1110" i="16"/>
  <c r="W1109" i="16"/>
  <c r="X1109" i="16"/>
  <c r="X21" i="16"/>
  <c r="W21" i="16"/>
  <c r="V22" i="16"/>
  <c r="C118" i="3"/>
  <c r="AP330" i="17" l="1"/>
  <c r="F376" i="17" s="1"/>
  <c r="CF105" i="16" a="1"/>
  <c r="CF105" i="16" s="1"/>
  <c r="CF72" i="16" a="1"/>
  <c r="CF72" i="16" s="1"/>
  <c r="C78" i="14"/>
  <c r="C93" i="14" s="1"/>
  <c r="C96" i="14" a="1"/>
  <c r="C96" i="14" s="1"/>
  <c r="E93" i="14"/>
  <c r="Q93" i="14"/>
  <c r="P93" i="14"/>
  <c r="CF80" i="14"/>
  <c r="BS88" i="14" s="1"/>
  <c r="Z93" i="14"/>
  <c r="W93" i="14"/>
  <c r="R93" i="14"/>
  <c r="I93" i="14"/>
  <c r="M93" i="14"/>
  <c r="AH93" i="14"/>
  <c r="D93" i="14"/>
  <c r="AA93" i="14"/>
  <c r="F93" i="14"/>
  <c r="AI93" i="14"/>
  <c r="T93" i="14"/>
  <c r="AG93" i="14"/>
  <c r="K93" i="14"/>
  <c r="X93" i="14"/>
  <c r="S93" i="14"/>
  <c r="CF79" i="14"/>
  <c r="G93" i="14"/>
  <c r="J93" i="14"/>
  <c r="N93" i="14"/>
  <c r="Y93" i="14"/>
  <c r="AF93" i="14"/>
  <c r="L93" i="14"/>
  <c r="O93" i="14"/>
  <c r="H93" i="14"/>
  <c r="AB93" i="14"/>
  <c r="CF81" i="14"/>
  <c r="CF39" i="16" a="1"/>
  <c r="CF39" i="16" s="1"/>
  <c r="AD93" i="14"/>
  <c r="U93" i="14"/>
  <c r="V93" i="14"/>
  <c r="AC93" i="14"/>
  <c r="AE93" i="14"/>
  <c r="AF331" i="17"/>
  <c r="CV21" i="16"/>
  <c r="AF1109" i="16"/>
  <c r="T1109" i="16"/>
  <c r="V1111" i="16"/>
  <c r="X1110" i="16"/>
  <c r="W1110" i="16"/>
  <c r="W22" i="16"/>
  <c r="X22" i="16"/>
  <c r="V23" i="16"/>
  <c r="BS356" i="3"/>
  <c r="BQ360" i="3" s="1" a="1"/>
  <c r="BQ360" i="3" s="1"/>
  <c r="CF352" i="3"/>
  <c r="U101" i="14" l="1"/>
  <c r="P102" i="14"/>
  <c r="Y101" i="14"/>
  <c r="G103" i="14"/>
  <c r="F101" i="14"/>
  <c r="W102" i="14"/>
  <c r="H101" i="14"/>
  <c r="AD103" i="14"/>
  <c r="H104" i="14"/>
  <c r="D102" i="14"/>
  <c r="Q104" i="14"/>
  <c r="R104" i="14"/>
  <c r="M102" i="14"/>
  <c r="AC103" i="14"/>
  <c r="X101" i="14"/>
  <c r="AF104" i="14"/>
  <c r="AB102" i="14"/>
  <c r="AB103" i="14"/>
  <c r="N101" i="14"/>
  <c r="S103" i="14"/>
  <c r="AI103" i="14"/>
  <c r="L103" i="14"/>
  <c r="N103" i="14"/>
  <c r="N102" i="14"/>
  <c r="CF6" i="16" a="1"/>
  <c r="CF6" i="16" s="1"/>
  <c r="L104" i="14"/>
  <c r="J104" i="14"/>
  <c r="C103" i="14"/>
  <c r="T104" i="14"/>
  <c r="F103" i="14"/>
  <c r="L101" i="14"/>
  <c r="CF78" i="14"/>
  <c r="AE102" i="14"/>
  <c r="AH104" i="14"/>
  <c r="AC101" i="14"/>
  <c r="AB104" i="14"/>
  <c r="Q103" i="14"/>
  <c r="N104" i="14"/>
  <c r="U103" i="14"/>
  <c r="T101" i="14"/>
  <c r="R101" i="14"/>
  <c r="AF102" i="14"/>
  <c r="O104" i="14"/>
  <c r="AD104" i="14"/>
  <c r="Z103" i="14"/>
  <c r="Y103" i="14"/>
  <c r="AG103" i="14"/>
  <c r="O102" i="14"/>
  <c r="L102" i="14"/>
  <c r="T102" i="14"/>
  <c r="R103" i="14"/>
  <c r="V103" i="14"/>
  <c r="W103" i="14"/>
  <c r="AE101" i="14"/>
  <c r="U104" i="14"/>
  <c r="G102" i="14"/>
  <c r="AC104" i="14"/>
  <c r="M101" i="14"/>
  <c r="P103" i="14"/>
  <c r="H103" i="14"/>
  <c r="C101" i="14"/>
  <c r="AB101" i="14"/>
  <c r="S104" i="14"/>
  <c r="U102" i="14"/>
  <c r="O101" i="14"/>
  <c r="V101" i="14"/>
  <c r="C104" i="14"/>
  <c r="O103" i="14"/>
  <c r="I102" i="14"/>
  <c r="E104" i="14"/>
  <c r="AE103" i="14"/>
  <c r="M104" i="14"/>
  <c r="AF101" i="14"/>
  <c r="E102" i="14"/>
  <c r="AA102" i="14"/>
  <c r="E101" i="14"/>
  <c r="Z104" i="14"/>
  <c r="I104" i="14"/>
  <c r="G101" i="14"/>
  <c r="E103" i="14"/>
  <c r="AD101" i="14"/>
  <c r="P101" i="14"/>
  <c r="AD102" i="14"/>
  <c r="X103" i="14"/>
  <c r="AE104" i="14"/>
  <c r="AF103" i="14"/>
  <c r="H102" i="14"/>
  <c r="X102" i="14"/>
  <c r="AC102" i="14"/>
  <c r="I101" i="14"/>
  <c r="S101" i="14"/>
  <c r="X104" i="14"/>
  <c r="J103" i="14"/>
  <c r="K103" i="14"/>
  <c r="J102" i="14"/>
  <c r="J101" i="14"/>
  <c r="I103" i="14"/>
  <c r="Q101" i="14"/>
  <c r="F104" i="14"/>
  <c r="T103" i="14"/>
  <c r="V104" i="14"/>
  <c r="W104" i="14"/>
  <c r="Q102" i="14"/>
  <c r="D103" i="14"/>
  <c r="K101" i="14"/>
  <c r="S102" i="14"/>
  <c r="Y104" i="14"/>
  <c r="AA103" i="14"/>
  <c r="F102" i="14"/>
  <c r="V102" i="14"/>
  <c r="W101" i="14"/>
  <c r="Y102" i="14"/>
  <c r="P104" i="14"/>
  <c r="AH101" i="14"/>
  <c r="AA101" i="14"/>
  <c r="AG102" i="14"/>
  <c r="AG101" i="14"/>
  <c r="K104" i="14"/>
  <c r="R102" i="14"/>
  <c r="Z101" i="14"/>
  <c r="AI102" i="14"/>
  <c r="C102" i="14"/>
  <c r="AH103" i="14"/>
  <c r="AA104" i="14"/>
  <c r="AG104" i="14"/>
  <c r="M103" i="14"/>
  <c r="D104" i="14"/>
  <c r="K102" i="14"/>
  <c r="Z102" i="14"/>
  <c r="D101" i="14"/>
  <c r="AH102" i="14"/>
  <c r="G104" i="14"/>
  <c r="AI104" i="14"/>
  <c r="AI101" i="14"/>
  <c r="BR87" i="14"/>
  <c r="CF87" i="14" s="1"/>
  <c r="I6" i="16" a="1"/>
  <c r="M32" i="16" s="1"/>
  <c r="BS93" i="14"/>
  <c r="CF88" i="14"/>
  <c r="CV22" i="16"/>
  <c r="T1110" i="16"/>
  <c r="AF1110" i="16"/>
  <c r="W1111" i="16"/>
  <c r="V1112" i="16"/>
  <c r="X1111" i="16"/>
  <c r="X23" i="16"/>
  <c r="W23" i="16"/>
  <c r="V24" i="16"/>
  <c r="F258" i="3" a="1"/>
  <c r="F258" i="3" s="1"/>
  <c r="F262" i="3" s="1"/>
  <c r="F264" i="3" s="1"/>
  <c r="BX354" i="3" s="1"/>
  <c r="CM347" i="3"/>
  <c r="J249" i="3"/>
  <c r="J261" i="3" s="1"/>
  <c r="CH349" i="3"/>
  <c r="CH348" i="3"/>
  <c r="CH352" i="3"/>
  <c r="CH351" i="3"/>
  <c r="CH350" i="3"/>
  <c r="BX356" i="3" a="1"/>
  <c r="CV23" i="16" l="1"/>
  <c r="BR93" i="14"/>
  <c r="M7" i="16"/>
  <c r="T7" i="16" s="1"/>
  <c r="M9" i="16"/>
  <c r="AF9" i="16" s="1"/>
  <c r="M11" i="16"/>
  <c r="T11" i="16" s="1"/>
  <c r="M23" i="16"/>
  <c r="T23" i="16" s="1"/>
  <c r="M21" i="16"/>
  <c r="AF21" i="16" s="1"/>
  <c r="M18" i="16"/>
  <c r="T18" i="16" s="1"/>
  <c r="M30" i="16"/>
  <c r="M10" i="16"/>
  <c r="T10" i="16" s="1"/>
  <c r="M17" i="16"/>
  <c r="AF17" i="16" s="1"/>
  <c r="M34" i="16"/>
  <c r="M26" i="16"/>
  <c r="M24" i="16"/>
  <c r="M37" i="16"/>
  <c r="M29" i="16"/>
  <c r="M36" i="16"/>
  <c r="M33" i="16"/>
  <c r="M38" i="16"/>
  <c r="M14" i="16"/>
  <c r="T14" i="16" s="1"/>
  <c r="M35" i="16"/>
  <c r="M22" i="16"/>
  <c r="I6" i="16"/>
  <c r="M6" i="16" s="1"/>
  <c r="T6" i="16" s="1"/>
  <c r="M16" i="16"/>
  <c r="AF16" i="16" s="1"/>
  <c r="M19" i="16"/>
  <c r="M20" i="16"/>
  <c r="M13" i="16"/>
  <c r="M27" i="16"/>
  <c r="M12" i="16"/>
  <c r="M25" i="16"/>
  <c r="M28" i="16"/>
  <c r="M15" i="16"/>
  <c r="M31" i="16"/>
  <c r="M8" i="16"/>
  <c r="T1111" i="16"/>
  <c r="AF1111" i="16"/>
  <c r="V1113" i="16"/>
  <c r="X1112" i="16"/>
  <c r="W1112" i="16"/>
  <c r="X24" i="16"/>
  <c r="W24" i="16"/>
  <c r="V25" i="16"/>
  <c r="H262" i="3"/>
  <c r="H264" i="3" s="1"/>
  <c r="J262" i="3"/>
  <c r="J264" i="3" s="1"/>
  <c r="G262" i="3"/>
  <c r="G264" i="3" s="1"/>
  <c r="I262" i="3"/>
  <c r="I264" i="3" s="1"/>
  <c r="BX356" i="3"/>
  <c r="F254" i="3"/>
  <c r="CB354" i="3"/>
  <c r="CB91" i="14" s="1"/>
  <c r="L250" i="3"/>
  <c r="AF7" i="16" l="1"/>
  <c r="AF11" i="16"/>
  <c r="T9" i="16"/>
  <c r="CV24" i="16"/>
  <c r="AF23" i="16"/>
  <c r="T21" i="16"/>
  <c r="T17" i="16"/>
  <c r="AF10" i="16"/>
  <c r="AF18" i="16"/>
  <c r="AF14" i="16"/>
  <c r="AF6" i="16"/>
  <c r="AF22" i="16"/>
  <c r="T22" i="16"/>
  <c r="T16" i="16"/>
  <c r="T8" i="16"/>
  <c r="AF8" i="16"/>
  <c r="T15" i="16"/>
  <c r="AF15" i="16"/>
  <c r="T20" i="16"/>
  <c r="AF20" i="16"/>
  <c r="AF12" i="16"/>
  <c r="T12" i="16"/>
  <c r="T13" i="16"/>
  <c r="AF13" i="16"/>
  <c r="AF19" i="16"/>
  <c r="T19" i="16"/>
  <c r="AF24" i="16"/>
  <c r="T24" i="16"/>
  <c r="T1112" i="16"/>
  <c r="AF1112" i="16"/>
  <c r="V1114" i="16"/>
  <c r="X1113" i="16"/>
  <c r="W1113" i="16"/>
  <c r="X25" i="16"/>
  <c r="V26" i="16"/>
  <c r="W25" i="16"/>
  <c r="BX359" i="3" a="1"/>
  <c r="BX359" i="3" s="1"/>
  <c r="G3" i="14"/>
  <c r="CC86" i="14" s="1"/>
  <c r="CB355" i="3"/>
  <c r="CB92" i="14" s="1"/>
  <c r="BZ354" i="3"/>
  <c r="BY354" i="3"/>
  <c r="CA354" i="3"/>
  <c r="BX355" i="3"/>
  <c r="BY92" i="14" s="1"/>
  <c r="CV25" i="16" l="1"/>
  <c r="T1113" i="16"/>
  <c r="AF1113" i="16"/>
  <c r="AF25" i="16"/>
  <c r="T25" i="16"/>
  <c r="V1115" i="16"/>
  <c r="X1114" i="16"/>
  <c r="W1114" i="16"/>
  <c r="V27" i="16"/>
  <c r="W26" i="16"/>
  <c r="X26" i="16"/>
  <c r="D8" i="14"/>
  <c r="CF86" i="14"/>
  <c r="D7" i="14"/>
  <c r="D6" i="14"/>
  <c r="F6" i="14" s="1"/>
  <c r="D5" i="14"/>
  <c r="F5" i="14" s="1"/>
  <c r="CA355" i="3"/>
  <c r="BY355" i="3"/>
  <c r="BZ92" i="14" s="1"/>
  <c r="BZ355" i="3"/>
  <c r="CV26" i="16" l="1"/>
  <c r="F7" i="14"/>
  <c r="BY90" i="14" s="1" a="1"/>
  <c r="BY90" i="14" s="1"/>
  <c r="CA92" i="14"/>
  <c r="AF26" i="16"/>
  <c r="T26" i="16"/>
  <c r="T1114" i="16"/>
  <c r="AF1114" i="16"/>
  <c r="V1116" i="16"/>
  <c r="W1115" i="16"/>
  <c r="X1115" i="16"/>
  <c r="V28" i="16"/>
  <c r="X27" i="16"/>
  <c r="W27" i="16"/>
  <c r="CV27" i="16" s="1"/>
  <c r="CH356" i="3"/>
  <c r="CA91" i="14" l="1"/>
  <c r="CF92" i="14"/>
  <c r="T27" i="16"/>
  <c r="AF27" i="16"/>
  <c r="T1115" i="16"/>
  <c r="AF1115" i="16"/>
  <c r="V1117" i="16"/>
  <c r="W1116" i="16"/>
  <c r="X1116" i="16"/>
  <c r="W28" i="16"/>
  <c r="X28" i="16"/>
  <c r="V29" i="16"/>
  <c r="CC75" i="14"/>
  <c r="CC70" i="14"/>
  <c r="CC72" i="14"/>
  <c r="CC74" i="14"/>
  <c r="CC77" i="14"/>
  <c r="CC71" i="14"/>
  <c r="CC73" i="14"/>
  <c r="CC76" i="14"/>
  <c r="BY47" i="14" l="1"/>
  <c r="CV28" i="16"/>
  <c r="T28" i="16"/>
  <c r="AF28" i="16"/>
  <c r="T1116" i="16"/>
  <c r="AF1116" i="16"/>
  <c r="V1118" i="16"/>
  <c r="X1117" i="16"/>
  <c r="W1117" i="16"/>
  <c r="W29" i="16"/>
  <c r="V30" i="16"/>
  <c r="X29" i="16"/>
  <c r="BZ65" i="14"/>
  <c r="BZ67" i="14"/>
  <c r="BZ72" i="14"/>
  <c r="BY74" i="14"/>
  <c r="BY69" i="14"/>
  <c r="BZ63" i="14"/>
  <c r="BY64" i="14"/>
  <c r="BY51" i="14"/>
  <c r="BY54" i="14"/>
  <c r="BZ57" i="14"/>
  <c r="BY61" i="14"/>
  <c r="BZ53" i="14"/>
  <c r="BZ56" i="14"/>
  <c r="BZ66" i="14"/>
  <c r="BY58" i="14"/>
  <c r="BZ48" i="14"/>
  <c r="BY60" i="14"/>
  <c r="BY46" i="14"/>
  <c r="BZ71" i="14"/>
  <c r="BZ52" i="14"/>
  <c r="BZ73" i="14"/>
  <c r="BY50" i="14"/>
  <c r="BY68" i="14"/>
  <c r="BY49" i="14"/>
  <c r="BY45" i="14"/>
  <c r="BZ70" i="14"/>
  <c r="CC60" i="14"/>
  <c r="CC63" i="14"/>
  <c r="BY62" i="14"/>
  <c r="CC45" i="14"/>
  <c r="BY59" i="14"/>
  <c r="CC57" i="14"/>
  <c r="CC59" i="14"/>
  <c r="CC54" i="14"/>
  <c r="CC52" i="14"/>
  <c r="CC65" i="14"/>
  <c r="CC51" i="14"/>
  <c r="BZ76" i="14"/>
  <c r="CC48" i="14"/>
  <c r="CC58" i="14"/>
  <c r="CC64" i="14"/>
  <c r="CC47" i="14"/>
  <c r="BZ77" i="14"/>
  <c r="CC46" i="14"/>
  <c r="CC61" i="14"/>
  <c r="CC50" i="14"/>
  <c r="CC62" i="14"/>
  <c r="CC53" i="14"/>
  <c r="CC67" i="14"/>
  <c r="BZ75" i="14"/>
  <c r="CC49" i="14"/>
  <c r="CC56" i="14"/>
  <c r="CC69" i="14"/>
  <c r="CC55" i="14"/>
  <c r="BY55" i="14"/>
  <c r="CC68" i="14"/>
  <c r="CC66" i="14"/>
  <c r="BZ47" i="14" l="1"/>
  <c r="AK8" i="16" s="1"/>
  <c r="BZ74" i="14"/>
  <c r="CF74" i="14" s="1"/>
  <c r="CV29" i="16"/>
  <c r="AS39" i="16" a="1"/>
  <c r="AS39" i="16" s="1"/>
  <c r="AS6" i="16" a="1"/>
  <c r="AS6" i="16" s="1"/>
  <c r="T29" i="16"/>
  <c r="AF29" i="16"/>
  <c r="T1117" i="16"/>
  <c r="AF1117" i="16"/>
  <c r="BY63" i="14"/>
  <c r="BY56" i="14"/>
  <c r="AK50" i="16" s="1"/>
  <c r="BZ69" i="14"/>
  <c r="CF69" i="14" s="1"/>
  <c r="V1119" i="16"/>
  <c r="X1118" i="16"/>
  <c r="W1118" i="16"/>
  <c r="BY72" i="14"/>
  <c r="AK66" i="16" s="1"/>
  <c r="W30" i="16"/>
  <c r="X30" i="16"/>
  <c r="V31" i="16"/>
  <c r="BZ64" i="14"/>
  <c r="CF64" i="14" s="1"/>
  <c r="BZ54" i="14"/>
  <c r="CF54" i="14" s="1"/>
  <c r="BY67" i="14"/>
  <c r="AK61" i="16" s="1"/>
  <c r="BY70" i="14"/>
  <c r="AK64" i="16" s="1"/>
  <c r="BZ61" i="14"/>
  <c r="CF61" i="14" s="1"/>
  <c r="BZ58" i="14"/>
  <c r="CF58" i="14" s="1"/>
  <c r="BY66" i="14"/>
  <c r="AK60" i="16" s="1"/>
  <c r="BZ51" i="14"/>
  <c r="CF51" i="14" s="1"/>
  <c r="BY57" i="14"/>
  <c r="AK51" i="16" s="1"/>
  <c r="BZ60" i="14"/>
  <c r="CF60" i="14" s="1"/>
  <c r="BZ46" i="14"/>
  <c r="CF46" i="14" s="1"/>
  <c r="BY48" i="14"/>
  <c r="AK42" i="16" s="1"/>
  <c r="BY65" i="14"/>
  <c r="AK59" i="16" s="1"/>
  <c r="BY53" i="14"/>
  <c r="AK47" i="16" s="1"/>
  <c r="BY73" i="14"/>
  <c r="AK67" i="16" s="1"/>
  <c r="BZ50" i="14"/>
  <c r="CF50" i="14" s="1"/>
  <c r="BY52" i="14"/>
  <c r="AK46" i="16" s="1"/>
  <c r="BZ49" i="14"/>
  <c r="CF49" i="14" s="1"/>
  <c r="BZ68" i="14"/>
  <c r="CF68" i="14" s="1"/>
  <c r="BY71" i="14"/>
  <c r="AK65" i="16" s="1"/>
  <c r="BZ45" i="14"/>
  <c r="CC93" i="14"/>
  <c r="BZ59" i="14"/>
  <c r="AK20" i="16" s="1"/>
  <c r="BY75" i="14"/>
  <c r="AK69" i="16" s="1"/>
  <c r="BY76" i="14"/>
  <c r="AK70" i="16" s="1"/>
  <c r="BZ55" i="14"/>
  <c r="CF55" i="14" s="1"/>
  <c r="BY77" i="14"/>
  <c r="AK71" i="16" s="1"/>
  <c r="BZ62" i="14"/>
  <c r="CF62" i="14" s="1"/>
  <c r="BZ91" i="14" l="1"/>
  <c r="BZ93" i="14" s="1"/>
  <c r="CF45" i="14"/>
  <c r="BY91" i="14"/>
  <c r="BY93" i="14" s="1"/>
  <c r="CF47" i="14"/>
  <c r="AK41" i="16"/>
  <c r="AK68" i="16"/>
  <c r="AK35" i="16"/>
  <c r="CV30" i="16"/>
  <c r="AK49" i="16"/>
  <c r="AK48" i="16"/>
  <c r="AK54" i="16"/>
  <c r="AK58" i="16"/>
  <c r="AK53" i="16"/>
  <c r="AK24" i="16"/>
  <c r="AK57" i="16"/>
  <c r="AK52" i="16"/>
  <c r="AK44" i="16"/>
  <c r="AK43" i="16"/>
  <c r="AK45" i="16"/>
  <c r="AK55" i="16"/>
  <c r="AK62" i="16"/>
  <c r="AK40" i="16"/>
  <c r="AK56" i="16"/>
  <c r="AK63" i="16"/>
  <c r="AK12" i="16"/>
  <c r="AK25" i="16"/>
  <c r="AK22" i="16"/>
  <c r="AK39" i="16"/>
  <c r="AK21" i="16"/>
  <c r="AK23" i="16"/>
  <c r="CF76" i="14"/>
  <c r="AK37" i="16"/>
  <c r="AK16" i="16"/>
  <c r="AK10" i="16"/>
  <c r="CF77" i="14"/>
  <c r="AK38" i="16"/>
  <c r="AK15" i="16"/>
  <c r="CF48" i="14"/>
  <c r="AK9" i="16"/>
  <c r="AK11" i="16"/>
  <c r="CF65" i="14"/>
  <c r="AK26" i="16"/>
  <c r="AK29" i="16"/>
  <c r="CF56" i="14"/>
  <c r="AK17" i="16"/>
  <c r="CF73" i="14"/>
  <c r="AK34" i="16"/>
  <c r="CF53" i="14"/>
  <c r="AK14" i="16"/>
  <c r="AK30" i="16"/>
  <c r="AK7" i="16"/>
  <c r="CF75" i="14"/>
  <c r="AK36" i="16"/>
  <c r="CF70" i="14"/>
  <c r="AK31" i="16"/>
  <c r="CF67" i="14"/>
  <c r="AK28" i="16"/>
  <c r="CF63" i="14"/>
  <c r="CF72" i="14"/>
  <c r="AK33" i="16"/>
  <c r="CF52" i="14"/>
  <c r="AK13" i="16"/>
  <c r="CF57" i="14"/>
  <c r="AK18" i="16"/>
  <c r="CF66" i="14"/>
  <c r="AK27" i="16"/>
  <c r="CF71" i="14"/>
  <c r="AK32" i="16"/>
  <c r="AK19" i="16"/>
  <c r="AK6" i="16"/>
  <c r="T30" i="16"/>
  <c r="AF30" i="16"/>
  <c r="T1118" i="16"/>
  <c r="AF1118" i="16"/>
  <c r="V1120" i="16"/>
  <c r="X1119" i="16"/>
  <c r="W1119" i="16"/>
  <c r="X31" i="16"/>
  <c r="V32" i="16"/>
  <c r="W31" i="16"/>
  <c r="CV31" i="16" s="1"/>
  <c r="CB90" i="14"/>
  <c r="CF59" i="14"/>
  <c r="CB93" i="14" l="1"/>
  <c r="AK1" i="16"/>
  <c r="AF31" i="16"/>
  <c r="T31" i="16"/>
  <c r="AF1119" i="16"/>
  <c r="T1119" i="16"/>
  <c r="V1121" i="16"/>
  <c r="X1120" i="16"/>
  <c r="W1120" i="16"/>
  <c r="V33" i="16"/>
  <c r="W32" i="16"/>
  <c r="X32" i="16"/>
  <c r="CF90" i="14"/>
  <c r="CV32" i="16" l="1"/>
  <c r="AF1120" i="16"/>
  <c r="T1120" i="16"/>
  <c r="T32" i="16"/>
  <c r="AF32" i="16"/>
  <c r="X1121" i="16"/>
  <c r="V1122" i="16"/>
  <c r="W1121" i="16"/>
  <c r="W33" i="16"/>
  <c r="X33" i="16"/>
  <c r="V34" i="16"/>
  <c r="CV33" i="16" l="1"/>
  <c r="T33" i="16"/>
  <c r="AF33" i="16"/>
  <c r="AF1121" i="16"/>
  <c r="T1121" i="16"/>
  <c r="V1123" i="16"/>
  <c r="X1122" i="16"/>
  <c r="W1122" i="16"/>
  <c r="V35" i="16"/>
  <c r="X34" i="16"/>
  <c r="W34" i="16"/>
  <c r="CV34" i="16" s="1"/>
  <c r="AF34" i="16" l="1"/>
  <c r="T34" i="16"/>
  <c r="AF1122" i="16"/>
  <c r="T1122" i="16"/>
  <c r="V1124" i="16"/>
  <c r="X1123" i="16"/>
  <c r="W1123" i="16"/>
  <c r="X35" i="16"/>
  <c r="V36" i="16"/>
  <c r="W35" i="16"/>
  <c r="CV35" i="16" l="1"/>
  <c r="T35" i="16"/>
  <c r="AF35" i="16"/>
  <c r="AF1123" i="16"/>
  <c r="T1123" i="16"/>
  <c r="V1125" i="16"/>
  <c r="W1124" i="16"/>
  <c r="X1124" i="16"/>
  <c r="W36" i="16"/>
  <c r="V37" i="16"/>
  <c r="X36" i="16"/>
  <c r="CV36" i="16" l="1"/>
  <c r="T36" i="16"/>
  <c r="AF36" i="16"/>
  <c r="AF1124" i="16"/>
  <c r="T1124" i="16"/>
  <c r="W1125" i="16"/>
  <c r="X1125" i="16"/>
  <c r="V1126" i="16"/>
  <c r="W37" i="16"/>
  <c r="X37" i="16"/>
  <c r="V38" i="16"/>
  <c r="CV37" i="16" l="1"/>
  <c r="T37" i="16"/>
  <c r="AF37" i="16"/>
  <c r="AF1125" i="16"/>
  <c r="T1125" i="16"/>
  <c r="V1127" i="16"/>
  <c r="W1126" i="16"/>
  <c r="X1126" i="16"/>
  <c r="V39" i="16"/>
  <c r="W38" i="16"/>
  <c r="X38" i="16"/>
  <c r="CV38" i="16" l="1"/>
  <c r="AF1126" i="16"/>
  <c r="T1126" i="16"/>
  <c r="T38" i="16"/>
  <c r="AF38" i="16"/>
  <c r="V1128" i="16"/>
  <c r="X1127" i="16"/>
  <c r="W1127" i="16"/>
  <c r="W39" i="16"/>
  <c r="X39" i="16"/>
  <c r="V40" i="16"/>
  <c r="CV39" i="16" l="1"/>
  <c r="AF1127" i="16"/>
  <c r="T1127" i="16"/>
  <c r="AF39" i="16"/>
  <c r="T39" i="16"/>
  <c r="X1128" i="16"/>
  <c r="W1128" i="16"/>
  <c r="V1129" i="16"/>
  <c r="W40" i="16"/>
  <c r="V41" i="16"/>
  <c r="X40" i="16"/>
  <c r="CV40" i="16" l="1"/>
  <c r="AF1128" i="16"/>
  <c r="T1128" i="16"/>
  <c r="AF40" i="16"/>
  <c r="T40" i="16"/>
  <c r="V1130" i="16"/>
  <c r="X1129" i="16"/>
  <c r="W1129" i="16"/>
  <c r="X41" i="16"/>
  <c r="W41" i="16"/>
  <c r="CV41" i="16" s="1"/>
  <c r="V42" i="16"/>
  <c r="AF1129" i="16" l="1"/>
  <c r="T1129" i="16"/>
  <c r="AF41" i="16"/>
  <c r="T41" i="16"/>
  <c r="V1131" i="16"/>
  <c r="X1130" i="16"/>
  <c r="W1130" i="16"/>
  <c r="W42" i="16"/>
  <c r="CV42" i="16" s="1"/>
  <c r="X42" i="16"/>
  <c r="V43" i="16"/>
  <c r="T1130" i="16" l="1"/>
  <c r="AF1130" i="16"/>
  <c r="AF42" i="16"/>
  <c r="T42" i="16"/>
  <c r="V1132" i="16"/>
  <c r="X1131" i="16"/>
  <c r="W1131" i="16"/>
  <c r="W43" i="16"/>
  <c r="X43" i="16"/>
  <c r="V44" i="16"/>
  <c r="CV43" i="16" l="1"/>
  <c r="T1131" i="16"/>
  <c r="AF1131" i="16"/>
  <c r="AF43" i="16"/>
  <c r="T43" i="16"/>
  <c r="V1133" i="16"/>
  <c r="W1132" i="16"/>
  <c r="X1132" i="16"/>
  <c r="V45" i="16"/>
  <c r="X44" i="16"/>
  <c r="W44" i="16"/>
  <c r="CV44" i="16" l="1"/>
  <c r="AF44" i="16"/>
  <c r="T44" i="16"/>
  <c r="T1132" i="16"/>
  <c r="AF1132" i="16"/>
  <c r="V1134" i="16"/>
  <c r="X1133" i="16"/>
  <c r="W1133" i="16"/>
  <c r="V46" i="16"/>
  <c r="W45" i="16"/>
  <c r="X45" i="16"/>
  <c r="CV45" i="16" l="1"/>
  <c r="AF1133" i="16"/>
  <c r="T1133" i="16"/>
  <c r="AF45" i="16"/>
  <c r="T45" i="16"/>
  <c r="V1135" i="16"/>
  <c r="X1134" i="16"/>
  <c r="W1134" i="16"/>
  <c r="W46" i="16"/>
  <c r="X46" i="16"/>
  <c r="V47" i="16"/>
  <c r="CV46" i="16" l="1"/>
  <c r="AF46" i="16"/>
  <c r="T46" i="16"/>
  <c r="T1134" i="16"/>
  <c r="AF1134" i="16"/>
  <c r="V1136" i="16"/>
  <c r="X1135" i="16"/>
  <c r="W1135" i="16"/>
  <c r="X47" i="16"/>
  <c r="W47" i="16"/>
  <c r="V48" i="16"/>
  <c r="CV47" i="16" l="1"/>
  <c r="AF47" i="16"/>
  <c r="T47" i="16"/>
  <c r="T1135" i="16"/>
  <c r="AF1135" i="16"/>
  <c r="V1137" i="16"/>
  <c r="X1136" i="16"/>
  <c r="W1136" i="16"/>
  <c r="V49" i="16"/>
  <c r="W48" i="16"/>
  <c r="X48" i="16"/>
  <c r="CV48" i="16" l="1"/>
  <c r="T48" i="16"/>
  <c r="AF48" i="16"/>
  <c r="T1136" i="16"/>
  <c r="AF1136" i="16"/>
  <c r="W1137" i="16"/>
  <c r="V1138" i="16"/>
  <c r="X1137" i="16"/>
  <c r="X49" i="16"/>
  <c r="V50" i="16"/>
  <c r="W49" i="16"/>
  <c r="CV49" i="16" s="1"/>
  <c r="T1137" i="16" l="1"/>
  <c r="AF1137" i="16"/>
  <c r="T49" i="16"/>
  <c r="AF49" i="16"/>
  <c r="W1138" i="16"/>
  <c r="V1139" i="16"/>
  <c r="X1138" i="16"/>
  <c r="V51" i="16"/>
  <c r="W50" i="16"/>
  <c r="X50" i="16"/>
  <c r="CV50" i="16" l="1"/>
  <c r="T1138" i="16"/>
  <c r="AF1138" i="16"/>
  <c r="T50" i="16"/>
  <c r="AF50" i="16"/>
  <c r="V1140" i="16"/>
  <c r="X1139" i="16"/>
  <c r="W1139" i="16"/>
  <c r="W51" i="16"/>
  <c r="V52" i="16"/>
  <c r="X51" i="16"/>
  <c r="CV51" i="16" l="1"/>
  <c r="AF51" i="16"/>
  <c r="T51" i="16"/>
  <c r="T1139" i="16"/>
  <c r="AF1139" i="16"/>
  <c r="V1141" i="16"/>
  <c r="W1140" i="16"/>
  <c r="X1140" i="16"/>
  <c r="W52" i="16"/>
  <c r="X52" i="16"/>
  <c r="V53" i="16"/>
  <c r="CV52" i="16" l="1"/>
  <c r="T1140" i="16"/>
  <c r="AF1140" i="16"/>
  <c r="T52" i="16"/>
  <c r="AF52" i="16"/>
  <c r="W1141" i="16"/>
  <c r="V1142" i="16"/>
  <c r="X1141" i="16"/>
  <c r="V54" i="16"/>
  <c r="W53" i="16"/>
  <c r="X53" i="16"/>
  <c r="CV53" i="16" l="1"/>
  <c r="T53" i="16"/>
  <c r="AF53" i="16"/>
  <c r="T1141" i="16"/>
  <c r="AF1141" i="16"/>
  <c r="X1142" i="16"/>
  <c r="V1143" i="16"/>
  <c r="W1142" i="16"/>
  <c r="W54" i="16"/>
  <c r="V55" i="16"/>
  <c r="X54" i="16"/>
  <c r="CV54" i="16" l="1"/>
  <c r="T1142" i="16"/>
  <c r="AF1142" i="16"/>
  <c r="AF54" i="16"/>
  <c r="T54" i="16"/>
  <c r="V1144" i="16"/>
  <c r="X1143" i="16"/>
  <c r="W1143" i="16"/>
  <c r="X55" i="16"/>
  <c r="W55" i="16"/>
  <c r="CV55" i="16" s="1"/>
  <c r="V56" i="16"/>
  <c r="AF55" i="16" l="1"/>
  <c r="T55" i="16"/>
  <c r="AF1143" i="16"/>
  <c r="T1143" i="16"/>
  <c r="V1145" i="16"/>
  <c r="X1144" i="16"/>
  <c r="W1144" i="16"/>
  <c r="V57" i="16"/>
  <c r="W56" i="16"/>
  <c r="X56" i="16"/>
  <c r="CV56" i="16" l="1"/>
  <c r="AF56" i="16"/>
  <c r="T56" i="16"/>
  <c r="AF1144" i="16"/>
  <c r="T1144" i="16"/>
  <c r="V1146" i="16"/>
  <c r="X1145" i="16"/>
  <c r="W1145" i="16"/>
  <c r="V58" i="16"/>
  <c r="W57" i="16"/>
  <c r="X57" i="16"/>
  <c r="CV57" i="16" l="1"/>
  <c r="T57" i="16"/>
  <c r="AF57" i="16"/>
  <c r="AF1145" i="16"/>
  <c r="T1145" i="16"/>
  <c r="V1147" i="16"/>
  <c r="X1146" i="16"/>
  <c r="W1146" i="16"/>
  <c r="V59" i="16"/>
  <c r="W58" i="16"/>
  <c r="X58" i="16"/>
  <c r="CV58" i="16" l="1"/>
  <c r="AF58" i="16"/>
  <c r="T58" i="16"/>
  <c r="AF1146" i="16"/>
  <c r="T1146" i="16"/>
  <c r="V1148" i="16"/>
  <c r="X1147" i="16"/>
  <c r="W1147" i="16"/>
  <c r="X59" i="16"/>
  <c r="W59" i="16"/>
  <c r="CV59" i="16" s="1"/>
  <c r="V60" i="16"/>
  <c r="T59" i="16" l="1"/>
  <c r="AF59" i="16"/>
  <c r="AF1147" i="16"/>
  <c r="T1147" i="16"/>
  <c r="V1149" i="16"/>
  <c r="W1148" i="16"/>
  <c r="X1148" i="16"/>
  <c r="W60" i="16"/>
  <c r="V61" i="16"/>
  <c r="X60" i="16"/>
  <c r="CV60" i="16" l="1"/>
  <c r="AF1148" i="16"/>
  <c r="T1148" i="16"/>
  <c r="T60" i="16"/>
  <c r="AF60" i="16"/>
  <c r="W1149" i="16"/>
  <c r="X1149" i="16"/>
  <c r="V1150" i="16"/>
  <c r="X61" i="16"/>
  <c r="W61" i="16"/>
  <c r="V62" i="16"/>
  <c r="CV61" i="16" l="1"/>
  <c r="AF61" i="16"/>
  <c r="T61" i="16"/>
  <c r="AF1149" i="16"/>
  <c r="T1149" i="16"/>
  <c r="V1151" i="16"/>
  <c r="X1150" i="16"/>
  <c r="W1150" i="16"/>
  <c r="V63" i="16"/>
  <c r="X62" i="16"/>
  <c r="W62" i="16"/>
  <c r="CV62" i="16" s="1"/>
  <c r="AF62" i="16" l="1"/>
  <c r="T62" i="16"/>
  <c r="AF1150" i="16"/>
  <c r="T1150" i="16"/>
  <c r="W1151" i="16"/>
  <c r="V1152" i="16"/>
  <c r="X1151" i="16"/>
  <c r="W63" i="16"/>
  <c r="X63" i="16"/>
  <c r="V64" i="16"/>
  <c r="CV63" i="16" l="1"/>
  <c r="AF63" i="16"/>
  <c r="T63" i="16"/>
  <c r="AF1151" i="16"/>
  <c r="T1151" i="16"/>
  <c r="V1153" i="16"/>
  <c r="X1152" i="16"/>
  <c r="W1152" i="16"/>
  <c r="W64" i="16"/>
  <c r="V65" i="16"/>
  <c r="X64" i="16"/>
  <c r="CV64" i="16" l="1"/>
  <c r="AF1152" i="16"/>
  <c r="T1152" i="16"/>
  <c r="T64" i="16"/>
  <c r="AF64" i="16"/>
  <c r="V1154" i="16"/>
  <c r="X1153" i="16"/>
  <c r="W1153" i="16"/>
  <c r="X65" i="16"/>
  <c r="V66" i="16"/>
  <c r="W65" i="16"/>
  <c r="CV65" i="16" s="1"/>
  <c r="AF65" i="16" l="1"/>
  <c r="T65" i="16"/>
  <c r="AF1153" i="16"/>
  <c r="T1153" i="16"/>
  <c r="X1154" i="16"/>
  <c r="W1154" i="16"/>
  <c r="V1155" i="16"/>
  <c r="V67" i="16"/>
  <c r="W66" i="16"/>
  <c r="X66" i="16"/>
  <c r="CV66" i="16" l="1"/>
  <c r="AF1154" i="16"/>
  <c r="T1154" i="16"/>
  <c r="AF66" i="16"/>
  <c r="T66" i="16"/>
  <c r="X1155" i="16"/>
  <c r="V1156" i="16"/>
  <c r="W1155" i="16"/>
  <c r="X67" i="16"/>
  <c r="W67" i="16"/>
  <c r="CV67" i="16" s="1"/>
  <c r="V68" i="16"/>
  <c r="T67" i="16" l="1"/>
  <c r="AF67" i="16"/>
  <c r="T1155" i="16"/>
  <c r="AF1155" i="16"/>
  <c r="V1157" i="16"/>
  <c r="W1156" i="16"/>
  <c r="X1156" i="16"/>
  <c r="V69" i="16"/>
  <c r="W68" i="16"/>
  <c r="X68" i="16"/>
  <c r="CV68" i="16" l="1"/>
  <c r="T68" i="16"/>
  <c r="AF68" i="16"/>
  <c r="T1156" i="16"/>
  <c r="AF1156" i="16"/>
  <c r="V1158" i="16"/>
  <c r="X1157" i="16"/>
  <c r="W1157" i="16"/>
  <c r="W69" i="16"/>
  <c r="V70" i="16"/>
  <c r="X69" i="16"/>
  <c r="CV69" i="16" l="1"/>
  <c r="T1157" i="16"/>
  <c r="AF1157" i="16"/>
  <c r="T69" i="16"/>
  <c r="AF69" i="16"/>
  <c r="V1159" i="16"/>
  <c r="X1158" i="16"/>
  <c r="W1158" i="16"/>
  <c r="W70" i="16"/>
  <c r="X70" i="16"/>
  <c r="V71" i="16"/>
  <c r="CV70" i="16" l="1"/>
  <c r="T70" i="16"/>
  <c r="AF70" i="16"/>
  <c r="T1158" i="16"/>
  <c r="AF1158" i="16"/>
  <c r="V1160" i="16"/>
  <c r="X1159" i="16"/>
  <c r="W1159" i="16"/>
  <c r="X71" i="16"/>
  <c r="V72" i="16"/>
  <c r="W71" i="16"/>
  <c r="CV71" i="16" s="1"/>
  <c r="AF71" i="16" l="1"/>
  <c r="T71" i="16"/>
  <c r="T1159" i="16"/>
  <c r="AF1159" i="16"/>
  <c r="W1160" i="16"/>
  <c r="V1161" i="16"/>
  <c r="X1160" i="16"/>
  <c r="W72" i="16"/>
  <c r="CV72" i="16" s="1"/>
  <c r="X72" i="16"/>
  <c r="V73" i="16"/>
  <c r="T1160" i="16" l="1"/>
  <c r="AF1160" i="16"/>
  <c r="T72" i="16"/>
  <c r="AF72" i="16"/>
  <c r="V1162" i="16"/>
  <c r="X1161" i="16"/>
  <c r="W1161" i="16"/>
  <c r="X73" i="16"/>
  <c r="W73" i="16"/>
  <c r="CV73" i="16" s="1"/>
  <c r="V74" i="16"/>
  <c r="T73" i="16" l="1"/>
  <c r="AF73" i="16"/>
  <c r="T1161" i="16"/>
  <c r="AF1161" i="16"/>
  <c r="V1163" i="16"/>
  <c r="X1162" i="16"/>
  <c r="W1162" i="16"/>
  <c r="V75" i="16"/>
  <c r="X74" i="16"/>
  <c r="W74" i="16"/>
  <c r="CV74" i="16" s="1"/>
  <c r="AF74" i="16" l="1"/>
  <c r="T74" i="16"/>
  <c r="T1162" i="16"/>
  <c r="AF1162" i="16"/>
  <c r="W1163" i="16"/>
  <c r="V1164" i="16"/>
  <c r="X1163" i="16"/>
  <c r="W75" i="16"/>
  <c r="X75" i="16"/>
  <c r="V76" i="16"/>
  <c r="CV75" i="16" l="1"/>
  <c r="AF75" i="16"/>
  <c r="T75" i="16"/>
  <c r="T1163" i="16"/>
  <c r="AF1163" i="16"/>
  <c r="V1165" i="16"/>
  <c r="W1164" i="16"/>
  <c r="X1164" i="16"/>
  <c r="W76" i="16"/>
  <c r="X76" i="16"/>
  <c r="V77" i="16"/>
  <c r="CV76" i="16" l="1"/>
  <c r="AF76" i="16"/>
  <c r="T76" i="16"/>
  <c r="T1164" i="16"/>
  <c r="AF1164" i="16"/>
  <c r="W1165" i="16"/>
  <c r="V1166" i="16"/>
  <c r="X1165" i="16"/>
  <c r="W77" i="16"/>
  <c r="X77" i="16"/>
  <c r="V78" i="16"/>
  <c r="CV77" i="16" l="1"/>
  <c r="AF77" i="16"/>
  <c r="T77" i="16"/>
  <c r="T1165" i="16"/>
  <c r="AF1165" i="16"/>
  <c r="V1167" i="16"/>
  <c r="X1166" i="16"/>
  <c r="W1166" i="16"/>
  <c r="W78" i="16"/>
  <c r="V79" i="16"/>
  <c r="X78" i="16"/>
  <c r="CV78" i="16" l="1"/>
  <c r="T1166" i="16"/>
  <c r="AF1166" i="16"/>
  <c r="AF78" i="16"/>
  <c r="T78" i="16"/>
  <c r="X1167" i="16"/>
  <c r="W1167" i="16"/>
  <c r="V1168" i="16"/>
  <c r="X79" i="16"/>
  <c r="W79" i="16"/>
  <c r="CV79" i="16" s="1"/>
  <c r="V80" i="16"/>
  <c r="AF79" i="16" l="1"/>
  <c r="T79" i="16"/>
  <c r="T1167" i="16"/>
  <c r="AF1167" i="16"/>
  <c r="X1168" i="16"/>
  <c r="W1168" i="16"/>
  <c r="V1169" i="16"/>
  <c r="V81" i="16"/>
  <c r="W80" i="16"/>
  <c r="X80" i="16"/>
  <c r="CV80" i="16" l="1"/>
  <c r="AF80" i="16"/>
  <c r="T80" i="16"/>
  <c r="AF1168" i="16"/>
  <c r="T1168" i="16"/>
  <c r="V1170" i="16"/>
  <c r="X1169" i="16"/>
  <c r="W1169" i="16"/>
  <c r="W81" i="16"/>
  <c r="CV81" i="16" s="1"/>
  <c r="X81" i="16"/>
  <c r="V82" i="16"/>
  <c r="AF81" i="16" l="1"/>
  <c r="T81" i="16"/>
  <c r="AF1169" i="16"/>
  <c r="T1169" i="16"/>
  <c r="V1171" i="16"/>
  <c r="X1170" i="16"/>
  <c r="W1170" i="16"/>
  <c r="V83" i="16"/>
  <c r="W82" i="16"/>
  <c r="X82" i="16"/>
  <c r="CV82" i="16" l="1"/>
  <c r="T82" i="16"/>
  <c r="AF82" i="16"/>
  <c r="AF1170" i="16"/>
  <c r="T1170" i="16"/>
  <c r="V1172" i="16"/>
  <c r="X1171" i="16"/>
  <c r="W1171" i="16"/>
  <c r="X83" i="16"/>
  <c r="V84" i="16"/>
  <c r="W83" i="16"/>
  <c r="CV83" i="16" l="1"/>
  <c r="AF83" i="16"/>
  <c r="T83" i="16"/>
  <c r="AF1171" i="16"/>
  <c r="T1171" i="16"/>
  <c r="V1173" i="16"/>
  <c r="W1172" i="16"/>
  <c r="X1172" i="16"/>
  <c r="W84" i="16"/>
  <c r="X84" i="16"/>
  <c r="V85" i="16"/>
  <c r="CV84" i="16" l="1"/>
  <c r="AF1172" i="16"/>
  <c r="T1172" i="16"/>
  <c r="T84" i="16"/>
  <c r="AF84" i="16"/>
  <c r="W1173" i="16"/>
  <c r="V1174" i="16"/>
  <c r="X1173" i="16"/>
  <c r="W85" i="16"/>
  <c r="X85" i="16"/>
  <c r="V86" i="16"/>
  <c r="CV85" i="16" l="1"/>
  <c r="AF1173" i="16"/>
  <c r="T1173" i="16"/>
  <c r="T85" i="16"/>
  <c r="AF85" i="16"/>
  <c r="X1174" i="16"/>
  <c r="V1175" i="16"/>
  <c r="W1174" i="16"/>
  <c r="W86" i="16"/>
  <c r="X86" i="16"/>
  <c r="V87" i="16"/>
  <c r="CV86" i="16" l="1"/>
  <c r="AF86" i="16"/>
  <c r="T86" i="16"/>
  <c r="AF1174" i="16"/>
  <c r="T1174" i="16"/>
  <c r="X1175" i="16"/>
  <c r="V1176" i="16"/>
  <c r="W1175" i="16"/>
  <c r="X87" i="16"/>
  <c r="W87" i="16"/>
  <c r="CV87" i="16" s="1"/>
  <c r="V88" i="16"/>
  <c r="AF87" i="16" l="1"/>
  <c r="T87" i="16"/>
  <c r="AF1175" i="16"/>
  <c r="T1175" i="16"/>
  <c r="W1176" i="16"/>
  <c r="V1177" i="16"/>
  <c r="X1176" i="16"/>
  <c r="W88" i="16"/>
  <c r="V89" i="16"/>
  <c r="X88" i="16"/>
  <c r="CV88" i="16" l="1"/>
  <c r="AF1176" i="16"/>
  <c r="T1176" i="16"/>
  <c r="T88" i="16"/>
  <c r="AF88" i="16"/>
  <c r="W1177" i="16"/>
  <c r="V1178" i="16"/>
  <c r="X1177" i="16"/>
  <c r="X89" i="16"/>
  <c r="W89" i="16"/>
  <c r="CV89" i="16" s="1"/>
  <c r="V90" i="16"/>
  <c r="AF1177" i="16" l="1"/>
  <c r="T1177" i="16"/>
  <c r="T89" i="16"/>
  <c r="AF89" i="16"/>
  <c r="X1178" i="16"/>
  <c r="V1179" i="16"/>
  <c r="W1178" i="16"/>
  <c r="V91" i="16"/>
  <c r="X90" i="16"/>
  <c r="W90" i="16"/>
  <c r="CV90" i="16" s="1"/>
  <c r="T90" i="16" l="1"/>
  <c r="AF90" i="16"/>
  <c r="T1178" i="16"/>
  <c r="AF1178" i="16"/>
  <c r="V1180" i="16"/>
  <c r="X1179" i="16"/>
  <c r="W1179" i="16"/>
  <c r="W91" i="16"/>
  <c r="V92" i="16"/>
  <c r="X91" i="16"/>
  <c r="CV91" i="16" l="1"/>
  <c r="T1179" i="16"/>
  <c r="AF1179" i="16"/>
  <c r="T91" i="16"/>
  <c r="AF91" i="16"/>
  <c r="V1181" i="16"/>
  <c r="W1180" i="16"/>
  <c r="X1180" i="16"/>
  <c r="V93" i="16"/>
  <c r="W92" i="16"/>
  <c r="X92" i="16"/>
  <c r="CV92" i="16" l="1"/>
  <c r="T1180" i="16"/>
  <c r="AF1180" i="16"/>
  <c r="AF92" i="16"/>
  <c r="T92" i="16"/>
  <c r="X1181" i="16"/>
  <c r="W1181" i="16"/>
  <c r="V1182" i="16"/>
  <c r="X93" i="16"/>
  <c r="V94" i="16"/>
  <c r="W93" i="16"/>
  <c r="CV93" i="16" s="1"/>
  <c r="T93" i="16" l="1"/>
  <c r="AF93" i="16"/>
  <c r="T1181" i="16"/>
  <c r="AF1181" i="16"/>
  <c r="V1183" i="16"/>
  <c r="X1182" i="16"/>
  <c r="W1182" i="16"/>
  <c r="W94" i="16"/>
  <c r="CV94" i="16" s="1"/>
  <c r="X94" i="16"/>
  <c r="V95" i="16"/>
  <c r="T1182" i="16" l="1"/>
  <c r="AF1182" i="16"/>
  <c r="AF94" i="16"/>
  <c r="T94" i="16"/>
  <c r="V1184" i="16"/>
  <c r="X1183" i="16"/>
  <c r="W1183" i="16"/>
  <c r="X95" i="16"/>
  <c r="W95" i="16"/>
  <c r="CV95" i="16" s="1"/>
  <c r="V96" i="16"/>
  <c r="AF95" i="16" l="1"/>
  <c r="T95" i="16"/>
  <c r="T1183" i="16"/>
  <c r="AF1183" i="16"/>
  <c r="W1184" i="16"/>
  <c r="V1185" i="16"/>
  <c r="X1184" i="16"/>
  <c r="X96" i="16"/>
  <c r="V97" i="16"/>
  <c r="W96" i="16"/>
  <c r="CV96" i="16" s="1"/>
  <c r="T1184" i="16" l="1"/>
  <c r="AF1184" i="16"/>
  <c r="T96" i="16"/>
  <c r="AF96" i="16"/>
  <c r="X1185" i="16"/>
  <c r="W1185" i="16"/>
  <c r="V1186" i="16"/>
  <c r="X97" i="16"/>
  <c r="W97" i="16"/>
  <c r="CV97" i="16" s="1"/>
  <c r="V98" i="16"/>
  <c r="AF97" i="16" l="1"/>
  <c r="T97" i="16"/>
  <c r="T1185" i="16"/>
  <c r="AF1185" i="16"/>
  <c r="W1186" i="16"/>
  <c r="V1187" i="16"/>
  <c r="X1186" i="16"/>
  <c r="X98" i="16"/>
  <c r="V99" i="16"/>
  <c r="W98" i="16"/>
  <c r="CV98" i="16" s="1"/>
  <c r="T98" i="16" l="1"/>
  <c r="AF98" i="16"/>
  <c r="T1186" i="16"/>
  <c r="AF1186" i="16"/>
  <c r="V1188" i="16"/>
  <c r="W1187" i="16"/>
  <c r="X1187" i="16"/>
  <c r="W99" i="16"/>
  <c r="X99" i="16"/>
  <c r="V100" i="16"/>
  <c r="CV99" i="16" l="1"/>
  <c r="T99" i="16"/>
  <c r="AF99" i="16"/>
  <c r="T1187" i="16"/>
  <c r="AF1187" i="16"/>
  <c r="V1189" i="16"/>
  <c r="W1188" i="16"/>
  <c r="X1188" i="16"/>
  <c r="W100" i="16"/>
  <c r="X100" i="16"/>
  <c r="V101" i="16"/>
  <c r="CV100" i="16" l="1"/>
  <c r="T100" i="16"/>
  <c r="AF100" i="16"/>
  <c r="T1188" i="16"/>
  <c r="AF1188" i="16"/>
  <c r="V1190" i="16"/>
  <c r="X1189" i="16"/>
  <c r="W1189" i="16"/>
  <c r="W101" i="16"/>
  <c r="X101" i="16"/>
  <c r="V102" i="16"/>
  <c r="CV101" i="16" l="1"/>
  <c r="T1189" i="16"/>
  <c r="AF1189" i="16"/>
  <c r="AF101" i="16"/>
  <c r="T101" i="16"/>
  <c r="X1190" i="16"/>
  <c r="W1190" i="16"/>
  <c r="V1191" i="16"/>
  <c r="W102" i="16"/>
  <c r="V103" i="16"/>
  <c r="X102" i="16"/>
  <c r="CV102" i="16" l="1"/>
  <c r="T1190" i="16"/>
  <c r="AF1190" i="16"/>
  <c r="AF102" i="16"/>
  <c r="T102" i="16"/>
  <c r="V1192" i="16"/>
  <c r="X1191" i="16"/>
  <c r="W1191" i="16"/>
  <c r="X103" i="16"/>
  <c r="W103" i="16"/>
  <c r="CV103" i="16" s="1"/>
  <c r="V104" i="16"/>
  <c r="T103" i="16" l="1"/>
  <c r="AF103" i="16"/>
  <c r="AF1191" i="16"/>
  <c r="T1191" i="16"/>
  <c r="W1192" i="16"/>
  <c r="X1192" i="16"/>
  <c r="V1193" i="16"/>
  <c r="V105" i="16"/>
  <c r="X104" i="16"/>
  <c r="W104" i="16"/>
  <c r="CV104" i="16" s="1"/>
  <c r="AF1192" i="16" l="1"/>
  <c r="T1192" i="16"/>
  <c r="AF104" i="16"/>
  <c r="T104" i="16"/>
  <c r="V1194" i="16"/>
  <c r="X1193" i="16"/>
  <c r="W1193" i="16"/>
  <c r="W105" i="16"/>
  <c r="X105" i="16"/>
  <c r="V106" i="16"/>
  <c r="CV105" i="16" l="1"/>
  <c r="AF105" i="16"/>
  <c r="T105" i="16"/>
  <c r="AF1193" i="16"/>
  <c r="T1193" i="16"/>
  <c r="V1195" i="16"/>
  <c r="X1194" i="16"/>
  <c r="W1194" i="16"/>
  <c r="V107" i="16"/>
  <c r="X106" i="16"/>
  <c r="W106" i="16"/>
  <c r="CV106" i="16" s="1"/>
  <c r="AF1194" i="16" l="1"/>
  <c r="T1194" i="16"/>
  <c r="T106" i="16"/>
  <c r="AF106" i="16"/>
  <c r="V1196" i="16"/>
  <c r="W1195" i="16"/>
  <c r="X1195" i="16"/>
  <c r="X107" i="16"/>
  <c r="W107" i="16"/>
  <c r="CV107" i="16" s="1"/>
  <c r="V108" i="16"/>
  <c r="T107" i="16" l="1"/>
  <c r="AF107" i="16"/>
  <c r="AF1195" i="16"/>
  <c r="T1195" i="16"/>
  <c r="V1197" i="16"/>
  <c r="W1196" i="16"/>
  <c r="X1196" i="16"/>
  <c r="W108" i="16"/>
  <c r="V109" i="16"/>
  <c r="X108" i="16"/>
  <c r="CV108" i="16" l="1"/>
  <c r="T108" i="16"/>
  <c r="AF108" i="16"/>
  <c r="AF1196" i="16"/>
  <c r="T1196" i="16"/>
  <c r="V1198" i="16"/>
  <c r="X1197" i="16"/>
  <c r="W1197" i="16"/>
  <c r="W109" i="16"/>
  <c r="X109" i="16"/>
  <c r="V110" i="16"/>
  <c r="CV109" i="16" l="1"/>
  <c r="T109" i="16"/>
  <c r="AF109" i="16"/>
  <c r="AF1197" i="16"/>
  <c r="T1197" i="16"/>
  <c r="V1199" i="16"/>
  <c r="X1198" i="16"/>
  <c r="W1198" i="16"/>
  <c r="V111" i="16"/>
  <c r="W110" i="16"/>
  <c r="CV110" i="16" s="1"/>
  <c r="X110" i="16"/>
  <c r="AF1198" i="16" l="1"/>
  <c r="T1198" i="16"/>
  <c r="AF110" i="16"/>
  <c r="T110" i="16"/>
  <c r="X1199" i="16"/>
  <c r="W1199" i="16"/>
  <c r="V1200" i="16"/>
  <c r="W111" i="16"/>
  <c r="X111" i="16"/>
  <c r="V112" i="16"/>
  <c r="CV111" i="16" l="1"/>
  <c r="T111" i="16"/>
  <c r="AF111" i="16"/>
  <c r="AF1199" i="16"/>
  <c r="T1199" i="16"/>
  <c r="V1201" i="16"/>
  <c r="W1200" i="16"/>
  <c r="X1200" i="16"/>
  <c r="W112" i="16"/>
  <c r="V113" i="16"/>
  <c r="X112" i="16"/>
  <c r="CV112" i="16" l="1"/>
  <c r="AF1200" i="16"/>
  <c r="T1200" i="16"/>
  <c r="AF112" i="16"/>
  <c r="T112" i="16"/>
  <c r="V1202" i="16"/>
  <c r="X1201" i="16"/>
  <c r="W1201" i="16"/>
  <c r="X113" i="16"/>
  <c r="W113" i="16"/>
  <c r="CV113" i="16" s="1"/>
  <c r="V114" i="16"/>
  <c r="AF1201" i="16" l="1"/>
  <c r="T1201" i="16"/>
  <c r="T113" i="16"/>
  <c r="AF113" i="16"/>
  <c r="W1202" i="16"/>
  <c r="V1203" i="16"/>
  <c r="X1202" i="16"/>
  <c r="W114" i="16"/>
  <c r="V115" i="16"/>
  <c r="X114" i="16"/>
  <c r="CV114" i="16" l="1"/>
  <c r="AF114" i="16"/>
  <c r="T114" i="16"/>
  <c r="T1202" i="16"/>
  <c r="AF1202" i="16"/>
  <c r="V1204" i="16"/>
  <c r="X1203" i="16"/>
  <c r="W1203" i="16"/>
  <c r="W115" i="16"/>
  <c r="X115" i="16"/>
  <c r="V116" i="16"/>
  <c r="CV115" i="16" l="1"/>
  <c r="T1203" i="16"/>
  <c r="AF1203" i="16"/>
  <c r="AF115" i="16"/>
  <c r="T115" i="16"/>
  <c r="V1205" i="16"/>
  <c r="W1204" i="16"/>
  <c r="X1204" i="16"/>
  <c r="V117" i="16"/>
  <c r="W116" i="16"/>
  <c r="X116" i="16"/>
  <c r="CV116" i="16" l="1"/>
  <c r="T116" i="16"/>
  <c r="AF116" i="16"/>
  <c r="T1204" i="16"/>
  <c r="AF1204" i="16"/>
  <c r="W1205" i="16"/>
  <c r="V1206" i="16"/>
  <c r="X1205" i="16"/>
  <c r="W117" i="16"/>
  <c r="CV117" i="16" s="1"/>
  <c r="X117" i="16"/>
  <c r="V118" i="16"/>
  <c r="AF117" i="16" l="1"/>
  <c r="T117" i="16"/>
  <c r="T1205" i="16"/>
  <c r="AF1205" i="16"/>
  <c r="V1207" i="16"/>
  <c r="X1206" i="16"/>
  <c r="W1206" i="16"/>
  <c r="V119" i="16"/>
  <c r="W118" i="16"/>
  <c r="X118" i="16"/>
  <c r="CV118" i="16" l="1"/>
  <c r="AF118" i="16"/>
  <c r="T118" i="16"/>
  <c r="T1206" i="16"/>
  <c r="AF1206" i="16"/>
  <c r="V1208" i="16"/>
  <c r="X1207" i="16"/>
  <c r="W1207" i="16"/>
  <c r="X119" i="16"/>
  <c r="V120" i="16"/>
  <c r="W119" i="16"/>
  <c r="CV119" i="16" s="1"/>
  <c r="T119" i="16" l="1"/>
  <c r="AF119" i="16"/>
  <c r="T1207" i="16"/>
  <c r="AF1207" i="16"/>
  <c r="X1208" i="16"/>
  <c r="W1208" i="16"/>
  <c r="V1209" i="16"/>
  <c r="X120" i="16"/>
  <c r="V121" i="16"/>
  <c r="W120" i="16"/>
  <c r="CV120" i="16" s="1"/>
  <c r="T1208" i="16" l="1"/>
  <c r="AF1208" i="16"/>
  <c r="AF120" i="16"/>
  <c r="T120" i="16"/>
  <c r="V1210" i="16"/>
  <c r="X1209" i="16"/>
  <c r="W1209" i="16"/>
  <c r="X121" i="16"/>
  <c r="W121" i="16"/>
  <c r="CV121" i="16" s="1"/>
  <c r="V122" i="16"/>
  <c r="AF121" i="16" l="1"/>
  <c r="T121" i="16"/>
  <c r="T1209" i="16"/>
  <c r="AF1209" i="16"/>
  <c r="V1211" i="16"/>
  <c r="W1210" i="16"/>
  <c r="X1210" i="16"/>
  <c r="V123" i="16"/>
  <c r="X122" i="16"/>
  <c r="W122" i="16"/>
  <c r="CV122" i="16" s="1"/>
  <c r="T122" i="16" l="1"/>
  <c r="AF122" i="16"/>
  <c r="T1210" i="16"/>
  <c r="AF1210" i="16"/>
  <c r="V1212" i="16"/>
  <c r="X1211" i="16"/>
  <c r="W1211" i="16"/>
  <c r="X123" i="16"/>
  <c r="V124" i="16"/>
  <c r="W123" i="16"/>
  <c r="CV123" i="16" s="1"/>
  <c r="T1211" i="16" l="1"/>
  <c r="AF1211" i="16"/>
  <c r="T123" i="16"/>
  <c r="AF123" i="16"/>
  <c r="V1213" i="16"/>
  <c r="W1212" i="16"/>
  <c r="X1212" i="16"/>
  <c r="W124" i="16"/>
  <c r="V125" i="16"/>
  <c r="X124" i="16"/>
  <c r="CV124" i="16" l="1"/>
  <c r="AF124" i="16"/>
  <c r="T124" i="16"/>
  <c r="T1212" i="16"/>
  <c r="AF1212" i="16"/>
  <c r="V1214" i="16"/>
  <c r="W1213" i="16"/>
  <c r="X1213" i="16"/>
  <c r="V126" i="16"/>
  <c r="W125" i="16"/>
  <c r="X125" i="16"/>
  <c r="CV125" i="16" l="1"/>
  <c r="T125" i="16"/>
  <c r="AF125" i="16"/>
  <c r="T1213" i="16"/>
  <c r="AF1213" i="16"/>
  <c r="W1214" i="16"/>
  <c r="V1215" i="16"/>
  <c r="X1214" i="16"/>
  <c r="W126" i="16"/>
  <c r="X126" i="16"/>
  <c r="V127" i="16"/>
  <c r="CV126" i="16" l="1"/>
  <c r="T126" i="16"/>
  <c r="AF126" i="16"/>
  <c r="T1214" i="16"/>
  <c r="AF1214" i="16"/>
  <c r="V1216" i="16"/>
  <c r="W1215" i="16"/>
  <c r="X1215" i="16"/>
  <c r="X127" i="16"/>
  <c r="V128" i="16"/>
  <c r="W127" i="16"/>
  <c r="CV127" i="16" s="1"/>
  <c r="T127" i="16" l="1"/>
  <c r="AF127" i="16"/>
  <c r="AF1215" i="16"/>
  <c r="T1215" i="16"/>
  <c r="V1217" i="16"/>
  <c r="X1216" i="16"/>
  <c r="W1216" i="16"/>
  <c r="V129" i="16"/>
  <c r="X128" i="16"/>
  <c r="W128" i="16"/>
  <c r="CV128" i="16" s="1"/>
  <c r="AF128" i="16" l="1"/>
  <c r="T128" i="16"/>
  <c r="AF1216" i="16"/>
  <c r="T1216" i="16"/>
  <c r="X1217" i="16"/>
  <c r="W1217" i="16"/>
  <c r="V1218" i="16"/>
  <c r="V130" i="16"/>
  <c r="W129" i="16"/>
  <c r="CV129" i="16" s="1"/>
  <c r="X129" i="16"/>
  <c r="AF1217" i="16" l="1"/>
  <c r="T1217" i="16"/>
  <c r="AF129" i="16"/>
  <c r="T129" i="16"/>
  <c r="W1218" i="16"/>
  <c r="V1219" i="16"/>
  <c r="X1218" i="16"/>
  <c r="V131" i="16"/>
  <c r="W130" i="16"/>
  <c r="X130" i="16"/>
  <c r="CV130" i="16" l="1"/>
  <c r="T130" i="16"/>
  <c r="AF130" i="16"/>
  <c r="AF1218" i="16"/>
  <c r="T1218" i="16"/>
  <c r="V1220" i="16"/>
  <c r="X1219" i="16"/>
  <c r="W1219" i="16"/>
  <c r="X131" i="16"/>
  <c r="V132" i="16"/>
  <c r="W131" i="16"/>
  <c r="CV131" i="16" s="1"/>
  <c r="T131" i="16" l="1"/>
  <c r="AF131" i="16"/>
  <c r="AF1219" i="16"/>
  <c r="T1219" i="16"/>
  <c r="V1221" i="16"/>
  <c r="W1220" i="16"/>
  <c r="X1220" i="16"/>
  <c r="W132" i="16"/>
  <c r="V133" i="16"/>
  <c r="X132" i="16"/>
  <c r="CV132" i="16" l="1"/>
  <c r="AF1220" i="16"/>
  <c r="T1220" i="16"/>
  <c r="T132" i="16"/>
  <c r="AF132" i="16"/>
  <c r="V1222" i="16"/>
  <c r="X1221" i="16"/>
  <c r="W1221" i="16"/>
  <c r="W133" i="16"/>
  <c r="X133" i="16"/>
  <c r="V134" i="16"/>
  <c r="CV133" i="16" l="1"/>
  <c r="AF1221" i="16"/>
  <c r="T1221" i="16"/>
  <c r="T133" i="16"/>
  <c r="AF133" i="16"/>
  <c r="W1222" i="16"/>
  <c r="X1222" i="16"/>
  <c r="V1223" i="16"/>
  <c r="X134" i="16"/>
  <c r="V135" i="16"/>
  <c r="W134" i="16"/>
  <c r="CV134" i="16" s="1"/>
  <c r="T134" i="16" l="1"/>
  <c r="AF134" i="16"/>
  <c r="AF1222" i="16"/>
  <c r="T1222" i="16"/>
  <c r="W1223" i="16"/>
  <c r="V1224" i="16"/>
  <c r="X1223" i="16"/>
  <c r="X135" i="16"/>
  <c r="V136" i="16"/>
  <c r="W135" i="16"/>
  <c r="CV135" i="16" s="1"/>
  <c r="AF1223" i="16" l="1"/>
  <c r="T1223" i="16"/>
  <c r="AF135" i="16"/>
  <c r="T135" i="16"/>
  <c r="V1225" i="16"/>
  <c r="X1224" i="16"/>
  <c r="W1224" i="16"/>
  <c r="W136" i="16"/>
  <c r="V137" i="16"/>
  <c r="X136" i="16"/>
  <c r="CV136" i="16" l="1"/>
  <c r="AF1224" i="16"/>
  <c r="T1224" i="16"/>
  <c r="AF136" i="16"/>
  <c r="T136" i="16"/>
  <c r="V1226" i="16"/>
  <c r="X1225" i="16"/>
  <c r="W1225" i="16"/>
  <c r="W137" i="16"/>
  <c r="V138" i="16"/>
  <c r="X137" i="16"/>
  <c r="CV137" i="16" l="1"/>
  <c r="T137" i="16"/>
  <c r="AF137" i="16"/>
  <c r="AF1225" i="16"/>
  <c r="T1225" i="16"/>
  <c r="X1226" i="16"/>
  <c r="W1226" i="16"/>
  <c r="V1227" i="16"/>
  <c r="V139" i="16"/>
  <c r="W138" i="16"/>
  <c r="X138" i="16"/>
  <c r="CV138" i="16" l="1"/>
  <c r="AF138" i="16"/>
  <c r="T138" i="16"/>
  <c r="T1226" i="16"/>
  <c r="AF1226" i="16"/>
  <c r="V1228" i="16"/>
  <c r="X1227" i="16"/>
  <c r="W1227" i="16"/>
  <c r="V140" i="16"/>
  <c r="W139" i="16"/>
  <c r="X139" i="16"/>
  <c r="CV139" i="16" l="1"/>
  <c r="T139" i="16"/>
  <c r="AF139" i="16"/>
  <c r="T1227" i="16"/>
  <c r="AF1227" i="16"/>
  <c r="V1229" i="16"/>
  <c r="W1228" i="16"/>
  <c r="X1228" i="16"/>
  <c r="V141" i="16"/>
  <c r="W140" i="16"/>
  <c r="CV140" i="16" s="1"/>
  <c r="X140" i="16"/>
  <c r="AF140" i="16" l="1"/>
  <c r="T140" i="16"/>
  <c r="AF1228" i="16"/>
  <c r="T1228" i="16"/>
  <c r="V1230" i="16"/>
  <c r="W1229" i="16"/>
  <c r="X1229" i="16"/>
  <c r="V142" i="16"/>
  <c r="W141" i="16"/>
  <c r="X141" i="16"/>
  <c r="CV141" i="16" l="1"/>
  <c r="T141" i="16"/>
  <c r="AF141" i="16"/>
  <c r="AF1229" i="16"/>
  <c r="T1229" i="16"/>
  <c r="X1230" i="16"/>
  <c r="W1230" i="16"/>
  <c r="V1231" i="16"/>
  <c r="V143" i="16"/>
  <c r="W142" i="16"/>
  <c r="X142" i="16"/>
  <c r="CV142" i="16" l="1"/>
  <c r="T1230" i="16"/>
  <c r="AF1230" i="16"/>
  <c r="AF142" i="16"/>
  <c r="T142" i="16"/>
  <c r="V1232" i="16"/>
  <c r="X1231" i="16"/>
  <c r="W1231" i="16"/>
  <c r="X143" i="16"/>
  <c r="W143" i="16"/>
  <c r="CV143" i="16" s="1"/>
  <c r="V144" i="16"/>
  <c r="T143" i="16" l="1"/>
  <c r="AF143" i="16"/>
  <c r="T1231" i="16"/>
  <c r="AF1231" i="16"/>
  <c r="W1232" i="16"/>
  <c r="V1233" i="16"/>
  <c r="X1232" i="16"/>
  <c r="X144" i="16"/>
  <c r="V145" i="16"/>
  <c r="W144" i="16"/>
  <c r="CV144" i="16" s="1"/>
  <c r="T1232" i="16" l="1"/>
  <c r="AF1232" i="16"/>
  <c r="AF144" i="16"/>
  <c r="T144" i="16"/>
  <c r="V1234" i="16"/>
  <c r="X1233" i="16"/>
  <c r="W1233" i="16"/>
  <c r="X145" i="16"/>
  <c r="W145" i="16"/>
  <c r="CV145" i="16" s="1"/>
  <c r="V146" i="16"/>
  <c r="AF145" i="16" l="1"/>
  <c r="T145" i="16"/>
  <c r="T1233" i="16"/>
  <c r="AF1233" i="16"/>
  <c r="V1235" i="16"/>
  <c r="X1234" i="16"/>
  <c r="W1234" i="16"/>
  <c r="W146" i="16"/>
  <c r="CV146" i="16" s="1"/>
  <c r="X146" i="16"/>
  <c r="V147" i="16"/>
  <c r="T146" i="16" l="1"/>
  <c r="AF146" i="16"/>
  <c r="T1234" i="16"/>
  <c r="AF1234" i="16"/>
  <c r="V1236" i="16"/>
  <c r="X1235" i="16"/>
  <c r="W1235" i="16"/>
  <c r="V148" i="16"/>
  <c r="W147" i="16"/>
  <c r="X147" i="16"/>
  <c r="CV147" i="16" l="1"/>
  <c r="AF147" i="16"/>
  <c r="T147" i="16"/>
  <c r="T1235" i="16"/>
  <c r="AF1235" i="16"/>
  <c r="V1237" i="16"/>
  <c r="W1236" i="16"/>
  <c r="X1236" i="16"/>
  <c r="X148" i="16"/>
  <c r="W148" i="16"/>
  <c r="CV148" i="16" s="1"/>
  <c r="V149" i="16"/>
  <c r="T1236" i="16" l="1"/>
  <c r="AF1236" i="16"/>
  <c r="T148" i="16"/>
  <c r="AF148" i="16"/>
  <c r="X1237" i="16"/>
  <c r="V1238" i="16"/>
  <c r="W1237" i="16"/>
  <c r="W149" i="16"/>
  <c r="V150" i="16"/>
  <c r="X149" i="16"/>
  <c r="CV149" i="16" l="1"/>
  <c r="T1237" i="16"/>
  <c r="AF1237" i="16"/>
  <c r="AF149" i="16"/>
  <c r="T149" i="16"/>
  <c r="V1239" i="16"/>
  <c r="X1238" i="16"/>
  <c r="W1238" i="16"/>
  <c r="W150" i="16"/>
  <c r="CV150" i="16" s="1"/>
  <c r="X150" i="16"/>
  <c r="V151" i="16"/>
  <c r="AF150" i="16" l="1"/>
  <c r="T150" i="16"/>
  <c r="T1238" i="16"/>
  <c r="AF1238" i="16"/>
  <c r="X1239" i="16"/>
  <c r="W1239" i="16"/>
  <c r="V1240" i="16"/>
  <c r="X151" i="16"/>
  <c r="W151" i="16"/>
  <c r="V152" i="16"/>
  <c r="CV151" i="16" l="1"/>
  <c r="T1239" i="16"/>
  <c r="AF1239" i="16"/>
  <c r="AF151" i="16"/>
  <c r="T151" i="16"/>
  <c r="X1240" i="16"/>
  <c r="W1240" i="16"/>
  <c r="V1241" i="16"/>
  <c r="X152" i="16"/>
  <c r="V153" i="16"/>
  <c r="W152" i="16"/>
  <c r="CV152" i="16" s="1"/>
  <c r="AF152" i="16" l="1"/>
  <c r="T152" i="16"/>
  <c r="AF1240" i="16"/>
  <c r="T1240" i="16"/>
  <c r="W1241" i="16"/>
  <c r="V1242" i="16"/>
  <c r="X1241" i="16"/>
  <c r="X153" i="16"/>
  <c r="V154" i="16"/>
  <c r="W153" i="16"/>
  <c r="CV153" i="16" s="1"/>
  <c r="AF1241" i="16" l="1"/>
  <c r="T1241" i="16"/>
  <c r="AF153" i="16"/>
  <c r="T153" i="16"/>
  <c r="V1243" i="16"/>
  <c r="W1242" i="16"/>
  <c r="X1242" i="16"/>
  <c r="V155" i="16"/>
  <c r="W154" i="16"/>
  <c r="X154" i="16"/>
  <c r="CV154" i="16" l="1"/>
  <c r="AF1242" i="16"/>
  <c r="T1242" i="16"/>
  <c r="AF154" i="16"/>
  <c r="T154" i="16"/>
  <c r="V1244" i="16"/>
  <c r="X1243" i="16"/>
  <c r="W1243" i="16"/>
  <c r="X155" i="16"/>
  <c r="V156" i="16"/>
  <c r="W155" i="16"/>
  <c r="CV155" i="16" s="1"/>
  <c r="AF1243" i="16" l="1"/>
  <c r="T1243" i="16"/>
  <c r="T155" i="16"/>
  <c r="AF155" i="16"/>
  <c r="V1245" i="16"/>
  <c r="W1244" i="16"/>
  <c r="X1244" i="16"/>
  <c r="W156" i="16"/>
  <c r="X156" i="16"/>
  <c r="V157" i="16"/>
  <c r="CV156" i="16" l="1"/>
  <c r="AF156" i="16"/>
  <c r="T156" i="16"/>
  <c r="AF1244" i="16"/>
  <c r="T1244" i="16"/>
  <c r="X1245" i="16"/>
  <c r="W1245" i="16"/>
  <c r="V1246" i="16"/>
  <c r="V158" i="16"/>
  <c r="W157" i="16"/>
  <c r="X157" i="16"/>
  <c r="CV157" i="16" l="1"/>
  <c r="AF157" i="16"/>
  <c r="T157" i="16"/>
  <c r="AF1245" i="16"/>
  <c r="T1245" i="16"/>
  <c r="V1247" i="16"/>
  <c r="X1246" i="16"/>
  <c r="W1246" i="16"/>
  <c r="X158" i="16"/>
  <c r="V159" i="16"/>
  <c r="W158" i="16"/>
  <c r="CV158" i="16" s="1"/>
  <c r="AF158" i="16" l="1"/>
  <c r="T158" i="16"/>
  <c r="AF1246" i="16"/>
  <c r="T1246" i="16"/>
  <c r="V1248" i="16"/>
  <c r="X1247" i="16"/>
  <c r="W1247" i="16"/>
  <c r="W159" i="16"/>
  <c r="V160" i="16"/>
  <c r="X159" i="16"/>
  <c r="CV159" i="16" l="1"/>
  <c r="AF159" i="16"/>
  <c r="T159" i="16"/>
  <c r="AF1247" i="16"/>
  <c r="T1247" i="16"/>
  <c r="W1248" i="16"/>
  <c r="V1249" i="16"/>
  <c r="X1248" i="16"/>
  <c r="W160" i="16"/>
  <c r="V161" i="16"/>
  <c r="X160" i="16"/>
  <c r="CV160" i="16" l="1"/>
  <c r="T160" i="16"/>
  <c r="AF160" i="16"/>
  <c r="AF1248" i="16"/>
  <c r="T1248" i="16"/>
  <c r="V1250" i="16"/>
  <c r="X1249" i="16"/>
  <c r="W1249" i="16"/>
  <c r="X161" i="16"/>
  <c r="V162" i="16"/>
  <c r="W161" i="16"/>
  <c r="CV161" i="16" l="1"/>
  <c r="AF161" i="16"/>
  <c r="T161" i="16"/>
  <c r="AF1249" i="16"/>
  <c r="T1249" i="16"/>
  <c r="W1250" i="16"/>
  <c r="V1251" i="16"/>
  <c r="X1250" i="16"/>
  <c r="V163" i="16"/>
  <c r="W162" i="16"/>
  <c r="X162" i="16"/>
  <c r="CV162" i="16" l="1"/>
  <c r="AF162" i="16"/>
  <c r="T162" i="16"/>
  <c r="T1250" i="16"/>
  <c r="AF1250" i="16"/>
  <c r="V1252" i="16"/>
  <c r="X1251" i="16"/>
  <c r="W1251" i="16"/>
  <c r="W163" i="16"/>
  <c r="CV163" i="16" s="1"/>
  <c r="X163" i="16"/>
  <c r="V164" i="16"/>
  <c r="T1251" i="16" l="1"/>
  <c r="AF1251" i="16"/>
  <c r="T163" i="16"/>
  <c r="AF163" i="16"/>
  <c r="V1253" i="16"/>
  <c r="W1252" i="16"/>
  <c r="X1252" i="16"/>
  <c r="V165" i="16"/>
  <c r="W164" i="16"/>
  <c r="CV164" i="16" s="1"/>
  <c r="X164" i="16"/>
  <c r="T1252" i="16" l="1"/>
  <c r="AF1252" i="16"/>
  <c r="T164" i="16"/>
  <c r="AF164" i="16"/>
  <c r="V1254" i="16"/>
  <c r="X1253" i="16"/>
  <c r="W1253" i="16"/>
  <c r="V166" i="16"/>
  <c r="W165" i="16"/>
  <c r="CV165" i="16" s="1"/>
  <c r="X165" i="16"/>
  <c r="T165" i="16" l="1"/>
  <c r="AF165" i="16"/>
  <c r="T1253" i="16"/>
  <c r="AF1253" i="16"/>
  <c r="X1254" i="16"/>
  <c r="W1254" i="16"/>
  <c r="V1255" i="16"/>
  <c r="W166" i="16"/>
  <c r="X166" i="16"/>
  <c r="V167" i="16"/>
  <c r="CV166" i="16" l="1"/>
  <c r="T166" i="16"/>
  <c r="AF166" i="16"/>
  <c r="T1254" i="16"/>
  <c r="AF1254" i="16"/>
  <c r="V1256" i="16"/>
  <c r="X1255" i="16"/>
  <c r="W1255" i="16"/>
  <c r="W167" i="16"/>
  <c r="X167" i="16"/>
  <c r="V168" i="16"/>
  <c r="CV167" i="16" l="1"/>
  <c r="AF167" i="16"/>
  <c r="T167" i="16"/>
  <c r="T1255" i="16"/>
  <c r="AF1255" i="16"/>
  <c r="X1256" i="16"/>
  <c r="V1257" i="16"/>
  <c r="W1256" i="16"/>
  <c r="V169" i="16"/>
  <c r="X168" i="16"/>
  <c r="W168" i="16"/>
  <c r="CV168" i="16" s="1"/>
  <c r="AF168" i="16" l="1"/>
  <c r="T168" i="16"/>
  <c r="T1256" i="16"/>
  <c r="AF1256" i="16"/>
  <c r="V1258" i="16"/>
  <c r="X1257" i="16"/>
  <c r="W1257" i="16"/>
  <c r="X169" i="16"/>
  <c r="V170" i="16"/>
  <c r="W169" i="16"/>
  <c r="CV169" i="16" s="1"/>
  <c r="T1257" i="16" l="1"/>
  <c r="AF1257" i="16"/>
  <c r="AF169" i="16"/>
  <c r="T169" i="16"/>
  <c r="V1259" i="16"/>
  <c r="X1258" i="16"/>
  <c r="W1258" i="16"/>
  <c r="X170" i="16"/>
  <c r="W170" i="16"/>
  <c r="CV170" i="16" s="1"/>
  <c r="V171" i="16"/>
  <c r="T170" i="16" l="1"/>
  <c r="AF170" i="16"/>
  <c r="T1258" i="16"/>
  <c r="AF1258" i="16"/>
  <c r="V1260" i="16"/>
  <c r="W1259" i="16"/>
  <c r="X1259" i="16"/>
  <c r="V172" i="16"/>
  <c r="W171" i="16"/>
  <c r="CV171" i="16" s="1"/>
  <c r="X171" i="16"/>
  <c r="T171" i="16" l="1"/>
  <c r="AF171" i="16"/>
  <c r="T1259" i="16"/>
  <c r="AF1259" i="16"/>
  <c r="V1261" i="16"/>
  <c r="W1260" i="16"/>
  <c r="X1260" i="16"/>
  <c r="W172" i="16"/>
  <c r="X172" i="16"/>
  <c r="V173" i="16"/>
  <c r="CV172" i="16" l="1"/>
  <c r="T172" i="16"/>
  <c r="AF172" i="16"/>
  <c r="T1260" i="16"/>
  <c r="AF1260" i="16"/>
  <c r="V1262" i="16"/>
  <c r="X1261" i="16"/>
  <c r="W1261" i="16"/>
  <c r="X173" i="16"/>
  <c r="V174" i="16"/>
  <c r="W173" i="16"/>
  <c r="CV173" i="16" s="1"/>
  <c r="AF173" i="16" l="1"/>
  <c r="T173" i="16"/>
  <c r="T1261" i="16"/>
  <c r="AF1261" i="16"/>
  <c r="W1262" i="16"/>
  <c r="V1263" i="16"/>
  <c r="X1262" i="16"/>
  <c r="W174" i="16"/>
  <c r="X174" i="16"/>
  <c r="V175" i="16"/>
  <c r="CV174" i="16" l="1"/>
  <c r="T174" i="16"/>
  <c r="AF174" i="16"/>
  <c r="T1262" i="16"/>
  <c r="AF1262" i="16"/>
  <c r="V1264" i="16"/>
  <c r="X1263" i="16"/>
  <c r="W1263" i="16"/>
  <c r="X175" i="16"/>
  <c r="V176" i="16"/>
  <c r="W175" i="16"/>
  <c r="CV175" i="16" s="1"/>
  <c r="AF175" i="16" l="1"/>
  <c r="T175" i="16"/>
  <c r="AF1263" i="16"/>
  <c r="T1263" i="16"/>
  <c r="V1265" i="16"/>
  <c r="X1264" i="16"/>
  <c r="W1264" i="16"/>
  <c r="W176" i="16"/>
  <c r="CV176" i="16" s="1"/>
  <c r="X176" i="16"/>
  <c r="V177" i="16"/>
  <c r="AF1264" i="16" l="1"/>
  <c r="T1264" i="16"/>
  <c r="AF176" i="16"/>
  <c r="T176" i="16"/>
  <c r="V1266" i="16"/>
  <c r="X1265" i="16"/>
  <c r="W1265" i="16"/>
  <c r="V178" i="16"/>
  <c r="X177" i="16"/>
  <c r="W177" i="16"/>
  <c r="CV177" i="16" s="1"/>
  <c r="AF1265" i="16" l="1"/>
  <c r="T1265" i="16"/>
  <c r="AF177" i="16"/>
  <c r="T177" i="16"/>
  <c r="V1267" i="16"/>
  <c r="X1266" i="16"/>
  <c r="W1266" i="16"/>
  <c r="V179" i="16"/>
  <c r="W178" i="16"/>
  <c r="CV178" i="16" s="1"/>
  <c r="X178" i="16"/>
  <c r="AF178" i="16" l="1"/>
  <c r="T178" i="16"/>
  <c r="AF1266" i="16"/>
  <c r="T1266" i="16"/>
  <c r="X1267" i="16"/>
  <c r="W1267" i="16"/>
  <c r="V1268" i="16"/>
  <c r="X179" i="16"/>
  <c r="W179" i="16"/>
  <c r="CV179" i="16" s="1"/>
  <c r="V180" i="16"/>
  <c r="AF179" i="16" l="1"/>
  <c r="T179" i="16"/>
  <c r="AF1267" i="16"/>
  <c r="T1267" i="16"/>
  <c r="V1269" i="16"/>
  <c r="X1268" i="16"/>
  <c r="W1268" i="16"/>
  <c r="W180" i="16"/>
  <c r="V181" i="16"/>
  <c r="X180" i="16"/>
  <c r="CV180" i="16" l="1"/>
  <c r="AF180" i="16"/>
  <c r="T180" i="16"/>
  <c r="AF1268" i="16"/>
  <c r="T1268" i="16"/>
  <c r="V1270" i="16"/>
  <c r="X1269" i="16"/>
  <c r="W1269" i="16"/>
  <c r="X181" i="16"/>
  <c r="V182" i="16"/>
  <c r="W181" i="16"/>
  <c r="CV181" i="16" s="1"/>
  <c r="AF1269" i="16" l="1"/>
  <c r="T1269" i="16"/>
  <c r="T181" i="16"/>
  <c r="AF181" i="16"/>
  <c r="W1270" i="16"/>
  <c r="V1271" i="16"/>
  <c r="X1270" i="16"/>
  <c r="W182" i="16"/>
  <c r="CV182" i="16" s="1"/>
  <c r="V183" i="16"/>
  <c r="X182" i="16"/>
  <c r="AF1270" i="16" l="1"/>
  <c r="T1270" i="16"/>
  <c r="AF182" i="16"/>
  <c r="T182" i="16"/>
  <c r="X1271" i="16"/>
  <c r="V1272" i="16"/>
  <c r="W1271" i="16"/>
  <c r="X183" i="16"/>
  <c r="V184" i="16"/>
  <c r="W183" i="16"/>
  <c r="CV183" i="16" s="1"/>
  <c r="T183" i="16" l="1"/>
  <c r="AF183" i="16"/>
  <c r="AF1271" i="16"/>
  <c r="T1271" i="16"/>
  <c r="W1272" i="16"/>
  <c r="V1273" i="16"/>
  <c r="X1272" i="16"/>
  <c r="W184" i="16"/>
  <c r="V185" i="16"/>
  <c r="X184" i="16"/>
  <c r="CV184" i="16" l="1"/>
  <c r="AF184" i="16"/>
  <c r="T184" i="16"/>
  <c r="AF1272" i="16"/>
  <c r="T1272" i="16"/>
  <c r="V1274" i="16"/>
  <c r="X1273" i="16"/>
  <c r="W1273" i="16"/>
  <c r="V186" i="16"/>
  <c r="W185" i="16"/>
  <c r="X185" i="16"/>
  <c r="CV185" i="16" l="1"/>
  <c r="AF185" i="16"/>
  <c r="T185" i="16"/>
  <c r="AF1273" i="16"/>
  <c r="T1273" i="16"/>
  <c r="V1275" i="16"/>
  <c r="X1274" i="16"/>
  <c r="W1274" i="16"/>
  <c r="X186" i="16"/>
  <c r="W186" i="16"/>
  <c r="CV186" i="16" s="1"/>
  <c r="V187" i="16"/>
  <c r="T186" i="16" l="1"/>
  <c r="AF186" i="16"/>
  <c r="AF1274" i="16"/>
  <c r="T1274" i="16"/>
  <c r="X1275" i="16"/>
  <c r="W1275" i="16"/>
  <c r="V1276" i="16"/>
  <c r="X187" i="16"/>
  <c r="V188" i="16"/>
  <c r="W187" i="16"/>
  <c r="CV187" i="16" s="1"/>
  <c r="AF187" i="16" l="1"/>
  <c r="T187" i="16"/>
  <c r="AF1275" i="16"/>
  <c r="T1275" i="16"/>
  <c r="V1277" i="16"/>
  <c r="X1276" i="16"/>
  <c r="W1276" i="16"/>
  <c r="V189" i="16"/>
  <c r="W188" i="16"/>
  <c r="CV188" i="16" s="1"/>
  <c r="X188" i="16"/>
  <c r="AF1276" i="16" l="1"/>
  <c r="T1276" i="16"/>
  <c r="AF188" i="16"/>
  <c r="T188" i="16"/>
  <c r="V1278" i="16"/>
  <c r="X1277" i="16"/>
  <c r="W1277" i="16"/>
  <c r="V190" i="16"/>
  <c r="W189" i="16"/>
  <c r="CV189" i="16" s="1"/>
  <c r="X189" i="16"/>
  <c r="AF1277" i="16" l="1"/>
  <c r="T1277" i="16"/>
  <c r="AF189" i="16"/>
  <c r="T189" i="16"/>
  <c r="W1278" i="16"/>
  <c r="X1278" i="16"/>
  <c r="V1279" i="16"/>
  <c r="W190" i="16"/>
  <c r="X190" i="16"/>
  <c r="V191" i="16"/>
  <c r="CV190" i="16" l="1"/>
  <c r="T1278" i="16"/>
  <c r="AF1278" i="16"/>
  <c r="AF190" i="16"/>
  <c r="T190" i="16"/>
  <c r="V1280" i="16"/>
  <c r="X1279" i="16"/>
  <c r="W1279" i="16"/>
  <c r="X191" i="16"/>
  <c r="W191" i="16"/>
  <c r="CV191" i="16" s="1"/>
  <c r="V192" i="16"/>
  <c r="T1279" i="16" l="1"/>
  <c r="AF1279" i="16"/>
  <c r="T191" i="16"/>
  <c r="AF191" i="16"/>
  <c r="V1281" i="16"/>
  <c r="W1280" i="16"/>
  <c r="X1280" i="16"/>
  <c r="W192" i="16"/>
  <c r="CV192" i="16" s="1"/>
  <c r="V193" i="16"/>
  <c r="X192" i="16"/>
  <c r="AF192" i="16" l="1"/>
  <c r="T192" i="16"/>
  <c r="T1280" i="16"/>
  <c r="AF1280" i="16"/>
  <c r="X1281" i="16"/>
  <c r="W1281" i="16"/>
  <c r="V1282" i="16"/>
  <c r="X193" i="16"/>
  <c r="W193" i="16"/>
  <c r="CV193" i="16" s="1"/>
  <c r="V194" i="16"/>
  <c r="T193" i="16" l="1"/>
  <c r="AF193" i="16"/>
  <c r="T1281" i="16"/>
  <c r="AF1281" i="16"/>
  <c r="V1283" i="16"/>
  <c r="X1282" i="16"/>
  <c r="W1282" i="16"/>
  <c r="W194" i="16"/>
  <c r="CV194" i="16" s="1"/>
  <c r="V195" i="16"/>
  <c r="X194" i="16"/>
  <c r="T1282" i="16" l="1"/>
  <c r="AF1282" i="16"/>
  <c r="T194" i="16"/>
  <c r="AF194" i="16"/>
  <c r="V1284" i="16"/>
  <c r="X1283" i="16"/>
  <c r="W1283" i="16"/>
  <c r="V196" i="16"/>
  <c r="W195" i="16"/>
  <c r="X195" i="16"/>
  <c r="CV195" i="16" l="1"/>
  <c r="T1283" i="16"/>
  <c r="AF1283" i="16"/>
  <c r="AF195" i="16"/>
  <c r="T195" i="16"/>
  <c r="V1285" i="16"/>
  <c r="X1284" i="16"/>
  <c r="W1284" i="16"/>
  <c r="W196" i="16"/>
  <c r="V197" i="16"/>
  <c r="X196" i="16"/>
  <c r="CV196" i="16" l="1"/>
  <c r="T196" i="16"/>
  <c r="AF196" i="16"/>
  <c r="T1284" i="16"/>
  <c r="AF1284" i="16"/>
  <c r="V1286" i="16"/>
  <c r="X1285" i="16"/>
  <c r="W1285" i="16"/>
  <c r="W197" i="16"/>
  <c r="CV197" i="16" s="1"/>
  <c r="X197" i="16"/>
  <c r="V198" i="16"/>
  <c r="T1285" i="16" l="1"/>
  <c r="AF1285" i="16"/>
  <c r="AF197" i="16"/>
  <c r="T197" i="16"/>
  <c r="W1286" i="16"/>
  <c r="V1287" i="16"/>
  <c r="X1286" i="16"/>
  <c r="W198" i="16"/>
  <c r="X198" i="16"/>
  <c r="V199" i="16"/>
  <c r="CV198" i="16" l="1"/>
  <c r="T198" i="16"/>
  <c r="AF198" i="16"/>
  <c r="T1286" i="16"/>
  <c r="AF1286" i="16"/>
  <c r="X1287" i="16"/>
  <c r="W1287" i="16"/>
  <c r="V1288" i="16"/>
  <c r="X199" i="16"/>
  <c r="W199" i="16"/>
  <c r="CV199" i="16" s="1"/>
  <c r="V200" i="16"/>
  <c r="T199" i="16" l="1"/>
  <c r="AF199" i="16"/>
  <c r="T1287" i="16"/>
  <c r="AF1287" i="16"/>
  <c r="V1289" i="16"/>
  <c r="X1288" i="16"/>
  <c r="W1288" i="16"/>
  <c r="X200" i="16"/>
  <c r="V201" i="16"/>
  <c r="W200" i="16"/>
  <c r="CV200" i="16" l="1"/>
  <c r="T200" i="16"/>
  <c r="AF200" i="16"/>
  <c r="AF1288" i="16"/>
  <c r="T1288" i="16"/>
  <c r="X1289" i="16"/>
  <c r="W1289" i="16"/>
  <c r="V1290" i="16"/>
  <c r="X201" i="16"/>
  <c r="V202" i="16"/>
  <c r="W201" i="16"/>
  <c r="CV201" i="16" s="1"/>
  <c r="AF1289" i="16" l="1"/>
  <c r="T1289" i="16"/>
  <c r="AF201" i="16"/>
  <c r="T201" i="16"/>
  <c r="W1290" i="16"/>
  <c r="X1290" i="16"/>
  <c r="V1291" i="16"/>
  <c r="V203" i="16"/>
  <c r="W202" i="16"/>
  <c r="X202" i="16"/>
  <c r="CV202" i="16" l="1"/>
  <c r="AF1290" i="16"/>
  <c r="T1290" i="16"/>
  <c r="T202" i="16"/>
  <c r="AF202" i="16"/>
  <c r="V1292" i="16"/>
  <c r="X1291" i="16"/>
  <c r="W1291" i="16"/>
  <c r="X203" i="16"/>
  <c r="W203" i="16"/>
  <c r="CV203" i="16" s="1"/>
  <c r="V204" i="16"/>
  <c r="AF1291" i="16" l="1"/>
  <c r="T1291" i="16"/>
  <c r="T203" i="16"/>
  <c r="AF203" i="16"/>
  <c r="V1293" i="16"/>
  <c r="X1292" i="16"/>
  <c r="W1292" i="16"/>
  <c r="W204" i="16"/>
  <c r="V205" i="16"/>
  <c r="X204" i="16"/>
  <c r="CV204" i="16" l="1"/>
  <c r="AF204" i="16"/>
  <c r="T204" i="16"/>
  <c r="AF1292" i="16"/>
  <c r="T1292" i="16"/>
  <c r="V1294" i="16"/>
  <c r="X1293" i="16"/>
  <c r="W1293" i="16"/>
  <c r="W205" i="16"/>
  <c r="V206" i="16"/>
  <c r="X205" i="16"/>
  <c r="CV205" i="16" l="1"/>
  <c r="T205" i="16"/>
  <c r="AF205" i="16"/>
  <c r="AF1293" i="16"/>
  <c r="T1293" i="16"/>
  <c r="W1294" i="16"/>
  <c r="V1295" i="16"/>
  <c r="X1294" i="16"/>
  <c r="W206" i="16"/>
  <c r="V207" i="16"/>
  <c r="X206" i="16"/>
  <c r="CV206" i="16" l="1"/>
  <c r="T206" i="16"/>
  <c r="AF206" i="16"/>
  <c r="AF1294" i="16"/>
  <c r="T1294" i="16"/>
  <c r="V1296" i="16"/>
  <c r="X1295" i="16"/>
  <c r="W1295" i="16"/>
  <c r="W207" i="16"/>
  <c r="X207" i="16"/>
  <c r="V208" i="16"/>
  <c r="CV207" i="16" l="1"/>
  <c r="AF207" i="16"/>
  <c r="T207" i="16"/>
  <c r="AF1295" i="16"/>
  <c r="T1295" i="16"/>
  <c r="V1297" i="16"/>
  <c r="X1296" i="16"/>
  <c r="W1296" i="16"/>
  <c r="W208" i="16"/>
  <c r="V209" i="16"/>
  <c r="X208" i="16"/>
  <c r="CV208" i="16" l="1"/>
  <c r="AF1296" i="16"/>
  <c r="T1296" i="16"/>
  <c r="T208" i="16"/>
  <c r="AF208" i="16"/>
  <c r="V1298" i="16"/>
  <c r="X1297" i="16"/>
  <c r="W1297" i="16"/>
  <c r="W209" i="16"/>
  <c r="X209" i="16"/>
  <c r="V210" i="16"/>
  <c r="CV209" i="16" l="1"/>
  <c r="AF1297" i="16"/>
  <c r="T1297" i="16"/>
  <c r="T209" i="16"/>
  <c r="AF209" i="16"/>
  <c r="V1299" i="16"/>
  <c r="X1298" i="16"/>
  <c r="W1298" i="16"/>
  <c r="X210" i="16"/>
  <c r="V211" i="16"/>
  <c r="W210" i="16"/>
  <c r="CV210" i="16" s="1"/>
  <c r="T210" i="16" l="1"/>
  <c r="AF210" i="16"/>
  <c r="T1298" i="16"/>
  <c r="AF1298" i="16"/>
  <c r="X1299" i="16"/>
  <c r="W1299" i="16"/>
  <c r="V1300" i="16"/>
  <c r="X211" i="16"/>
  <c r="W211" i="16"/>
  <c r="V212" i="16"/>
  <c r="CV211" i="16" l="1"/>
  <c r="AF211" i="16"/>
  <c r="T211" i="16"/>
  <c r="T1299" i="16"/>
  <c r="AF1299" i="16"/>
  <c r="V1301" i="16"/>
  <c r="X1300" i="16"/>
  <c r="W1300" i="16"/>
  <c r="V213" i="16"/>
  <c r="X212" i="16"/>
  <c r="W212" i="16"/>
  <c r="CV212" i="16" s="1"/>
  <c r="T1300" i="16" l="1"/>
  <c r="AF1300" i="16"/>
  <c r="AF212" i="16"/>
  <c r="T212" i="16"/>
  <c r="V1302" i="16"/>
  <c r="X1301" i="16"/>
  <c r="W1301" i="16"/>
  <c r="V214" i="16"/>
  <c r="X213" i="16"/>
  <c r="W213" i="16"/>
  <c r="CV213" i="16" s="1"/>
  <c r="T213" i="16" l="1"/>
  <c r="AF213" i="16"/>
  <c r="T1301" i="16"/>
  <c r="AF1301" i="16"/>
  <c r="W1302" i="16"/>
  <c r="V1303" i="16"/>
  <c r="X1302" i="16"/>
  <c r="X214" i="16"/>
  <c r="W214" i="16"/>
  <c r="CV214" i="16" s="1"/>
  <c r="V215" i="16"/>
  <c r="T214" i="16" l="1"/>
  <c r="AF214" i="16"/>
  <c r="T1302" i="16"/>
  <c r="AF1302" i="16"/>
  <c r="W1303" i="16"/>
  <c r="X1303" i="16"/>
  <c r="V1304" i="16"/>
  <c r="V216" i="16"/>
  <c r="W215" i="16"/>
  <c r="X215" i="16"/>
  <c r="CV215" i="16" l="1"/>
  <c r="T1303" i="16"/>
  <c r="AF1303" i="16"/>
  <c r="AF215" i="16"/>
  <c r="T215" i="16"/>
  <c r="W1304" i="16"/>
  <c r="X1304" i="16"/>
  <c r="V1305" i="16"/>
  <c r="W216" i="16"/>
  <c r="X216" i="16"/>
  <c r="V217" i="16"/>
  <c r="CV216" i="16" l="1"/>
  <c r="T216" i="16"/>
  <c r="AF216" i="16"/>
  <c r="T1304" i="16"/>
  <c r="AF1304" i="16"/>
  <c r="X1305" i="16"/>
  <c r="V1306" i="16"/>
  <c r="W1305" i="16"/>
  <c r="X217" i="16"/>
  <c r="W217" i="16"/>
  <c r="V218" i="16"/>
  <c r="CV217" i="16" l="1"/>
  <c r="T1305" i="16"/>
  <c r="AF1305" i="16"/>
  <c r="AF217" i="16"/>
  <c r="T217" i="16"/>
  <c r="V1307" i="16"/>
  <c r="X1306" i="16"/>
  <c r="W1306" i="16"/>
  <c r="V219" i="16"/>
  <c r="W218" i="16"/>
  <c r="X218" i="16"/>
  <c r="CV218" i="16" l="1"/>
  <c r="T218" i="16"/>
  <c r="AF218" i="16"/>
  <c r="T1306" i="16"/>
  <c r="AF1306" i="16"/>
  <c r="V1308" i="16"/>
  <c r="X1307" i="16"/>
  <c r="W1307" i="16"/>
  <c r="X219" i="16"/>
  <c r="V220" i="16"/>
  <c r="W219" i="16"/>
  <c r="CV219" i="16" s="1"/>
  <c r="T219" i="16" l="1"/>
  <c r="AF219" i="16"/>
  <c r="T1307" i="16"/>
  <c r="AF1307" i="16"/>
  <c r="V1309" i="16"/>
  <c r="W1308" i="16"/>
  <c r="X1308" i="16"/>
  <c r="W220" i="16"/>
  <c r="X220" i="16"/>
  <c r="V221" i="16"/>
  <c r="CV220" i="16" l="1"/>
  <c r="AF220" i="16"/>
  <c r="T220" i="16"/>
  <c r="T1308" i="16"/>
  <c r="AF1308" i="16"/>
  <c r="V1310" i="16"/>
  <c r="X1309" i="16"/>
  <c r="W1309" i="16"/>
  <c r="X221" i="16"/>
  <c r="W221" i="16"/>
  <c r="CV221" i="16" s="1"/>
  <c r="V222" i="16"/>
  <c r="AF221" i="16" l="1"/>
  <c r="T221" i="16"/>
  <c r="T1309" i="16"/>
  <c r="AF1309" i="16"/>
  <c r="W1310" i="16"/>
  <c r="V1311" i="16"/>
  <c r="X1310" i="16"/>
  <c r="W222" i="16"/>
  <c r="CV222" i="16" s="1"/>
  <c r="X222" i="16"/>
  <c r="V223" i="16"/>
  <c r="AF222" i="16" l="1"/>
  <c r="T222" i="16"/>
  <c r="T1310" i="16"/>
  <c r="AF1310" i="16"/>
  <c r="X1311" i="16"/>
  <c r="W1311" i="16"/>
  <c r="V1312" i="16"/>
  <c r="X223" i="16"/>
  <c r="W223" i="16"/>
  <c r="CV223" i="16" s="1"/>
  <c r="V224" i="16"/>
  <c r="T223" i="16" l="1"/>
  <c r="AF223" i="16"/>
  <c r="AF1311" i="16"/>
  <c r="T1311" i="16"/>
  <c r="W1312" i="16"/>
  <c r="X1312" i="16"/>
  <c r="V1313" i="16"/>
  <c r="W224" i="16"/>
  <c r="V225" i="16"/>
  <c r="X224" i="16"/>
  <c r="CV224" i="16" l="1"/>
  <c r="T224" i="16"/>
  <c r="AF224" i="16"/>
  <c r="AF1312" i="16"/>
  <c r="T1312" i="16"/>
  <c r="V1314" i="16"/>
  <c r="X1313" i="16"/>
  <c r="W1313" i="16"/>
  <c r="W225" i="16"/>
  <c r="V226" i="16"/>
  <c r="X225" i="16"/>
  <c r="CV225" i="16" l="1"/>
  <c r="AF1313" i="16"/>
  <c r="T1313" i="16"/>
  <c r="T225" i="16"/>
  <c r="AF225" i="16"/>
  <c r="V1315" i="16"/>
  <c r="X1314" i="16"/>
  <c r="W1314" i="16"/>
  <c r="V227" i="16"/>
  <c r="W226" i="16"/>
  <c r="X226" i="16"/>
  <c r="CV226" i="16" l="1"/>
  <c r="AF1314" i="16"/>
  <c r="T1314" i="16"/>
  <c r="T226" i="16"/>
  <c r="AF226" i="16"/>
  <c r="V1316" i="16"/>
  <c r="X1315" i="16"/>
  <c r="W1315" i="16"/>
  <c r="X227" i="16"/>
  <c r="W227" i="16"/>
  <c r="V228" i="16"/>
  <c r="CV227" i="16" l="1"/>
  <c r="AF1315" i="16"/>
  <c r="T1315" i="16"/>
  <c r="T227" i="16"/>
  <c r="AF227" i="16"/>
  <c r="V1317" i="16"/>
  <c r="W1316" i="16"/>
  <c r="X1316" i="16"/>
  <c r="W228" i="16"/>
  <c r="X228" i="16"/>
  <c r="V229" i="16"/>
  <c r="CV228" i="16" l="1"/>
  <c r="AF1316" i="16"/>
  <c r="T1316" i="16"/>
  <c r="T228" i="16"/>
  <c r="AF228" i="16"/>
  <c r="V1318" i="16"/>
  <c r="X1317" i="16"/>
  <c r="W1317" i="16"/>
  <c r="W229" i="16"/>
  <c r="CV229" i="16" s="1"/>
  <c r="X229" i="16"/>
  <c r="V230" i="16"/>
  <c r="T229" i="16" l="1"/>
  <c r="AF229" i="16"/>
  <c r="AF1317" i="16"/>
  <c r="T1317" i="16"/>
  <c r="W1318" i="16"/>
  <c r="V1319" i="16"/>
  <c r="X1318" i="16"/>
  <c r="W230" i="16"/>
  <c r="CV230" i="16" s="1"/>
  <c r="X230" i="16"/>
  <c r="V231" i="16"/>
  <c r="T230" i="16" l="1"/>
  <c r="AF230" i="16"/>
  <c r="AF1318" i="16"/>
  <c r="T1318" i="16"/>
  <c r="X1319" i="16"/>
  <c r="W1319" i="16"/>
  <c r="V1320" i="16"/>
  <c r="X231" i="16"/>
  <c r="V232" i="16"/>
  <c r="W231" i="16"/>
  <c r="CV231" i="16" s="1"/>
  <c r="AF231" i="16" l="1"/>
  <c r="T231" i="16"/>
  <c r="AF1319" i="16"/>
  <c r="T1319" i="16"/>
  <c r="V1321" i="16"/>
  <c r="X1320" i="16"/>
  <c r="W1320" i="16"/>
  <c r="W232" i="16"/>
  <c r="V233" i="16"/>
  <c r="X232" i="16"/>
  <c r="CV232" i="16" l="1"/>
  <c r="AF232" i="16"/>
  <c r="T232" i="16"/>
  <c r="AF1320" i="16"/>
  <c r="T1320" i="16"/>
  <c r="V1322" i="16"/>
  <c r="X1321" i="16"/>
  <c r="W1321" i="16"/>
  <c r="V234" i="16"/>
  <c r="X233" i="16"/>
  <c r="W233" i="16"/>
  <c r="CV233" i="16" s="1"/>
  <c r="T233" i="16" l="1"/>
  <c r="AF233" i="16"/>
  <c r="AF1321" i="16"/>
  <c r="T1321" i="16"/>
  <c r="W1322" i="16"/>
  <c r="V1323" i="16"/>
  <c r="X1322" i="16"/>
  <c r="V235" i="16"/>
  <c r="W234" i="16"/>
  <c r="X234" i="16"/>
  <c r="CV234" i="16" l="1"/>
  <c r="AF1322" i="16"/>
  <c r="T1322" i="16"/>
  <c r="AF234" i="16"/>
  <c r="T234" i="16"/>
  <c r="V1324" i="16"/>
  <c r="X1323" i="16"/>
  <c r="W1323" i="16"/>
  <c r="V236" i="16"/>
  <c r="X235" i="16"/>
  <c r="W235" i="16"/>
  <c r="CV235" i="16" s="1"/>
  <c r="AF1323" i="16" l="1"/>
  <c r="T1323" i="16"/>
  <c r="AF235" i="16"/>
  <c r="T235" i="16"/>
  <c r="V1325" i="16"/>
  <c r="X1324" i="16"/>
  <c r="W1324" i="16"/>
  <c r="V237" i="16"/>
  <c r="X236" i="16"/>
  <c r="W236" i="16"/>
  <c r="CV236" i="16" s="1"/>
  <c r="T236" i="16" l="1"/>
  <c r="AF236" i="16"/>
  <c r="AF1324" i="16"/>
  <c r="T1324" i="16"/>
  <c r="V1326" i="16"/>
  <c r="X1325" i="16"/>
  <c r="W1325" i="16"/>
  <c r="V238" i="16"/>
  <c r="W237" i="16"/>
  <c r="X237" i="16"/>
  <c r="CV237" i="16" l="1"/>
  <c r="AF237" i="16"/>
  <c r="T237" i="16"/>
  <c r="AF1325" i="16"/>
  <c r="T1325" i="16"/>
  <c r="W1326" i="16"/>
  <c r="X1326" i="16"/>
  <c r="V1327" i="16"/>
  <c r="W238" i="16"/>
  <c r="CV238" i="16" s="1"/>
  <c r="X238" i="16"/>
  <c r="V239" i="16"/>
  <c r="T1326" i="16" l="1"/>
  <c r="AF1326" i="16"/>
  <c r="AF238" i="16"/>
  <c r="T238" i="16"/>
  <c r="V1328" i="16"/>
  <c r="X1327" i="16"/>
  <c r="W1327" i="16"/>
  <c r="X239" i="16"/>
  <c r="W239" i="16"/>
  <c r="V240" i="16"/>
  <c r="CV239" i="16" l="1"/>
  <c r="AF239" i="16"/>
  <c r="T239" i="16"/>
  <c r="T1327" i="16"/>
  <c r="AF1327" i="16"/>
  <c r="V1329" i="16"/>
  <c r="W1328" i="16"/>
  <c r="X1328" i="16"/>
  <c r="V241" i="16"/>
  <c r="W240" i="16"/>
  <c r="X240" i="16"/>
  <c r="CV240" i="16" l="1"/>
  <c r="T1328" i="16"/>
  <c r="AF1328" i="16"/>
  <c r="T240" i="16"/>
  <c r="AF240" i="16"/>
  <c r="X1329" i="16"/>
  <c r="W1329" i="16"/>
  <c r="V1330" i="16"/>
  <c r="X241" i="16"/>
  <c r="V242" i="16"/>
  <c r="W241" i="16"/>
  <c r="CV241" i="16" s="1"/>
  <c r="T241" i="16" l="1"/>
  <c r="AF241" i="16"/>
  <c r="T1329" i="16"/>
  <c r="AF1329" i="16"/>
  <c r="X1330" i="16"/>
  <c r="W1330" i="16"/>
  <c r="V1331" i="16"/>
  <c r="X242" i="16"/>
  <c r="V243" i="16"/>
  <c r="W242" i="16"/>
  <c r="CV242" i="16" l="1"/>
  <c r="AF242" i="16"/>
  <c r="T242" i="16"/>
  <c r="T1330" i="16"/>
  <c r="AF1330" i="16"/>
  <c r="V1332" i="16"/>
  <c r="X1331" i="16"/>
  <c r="W1331" i="16"/>
  <c r="V244" i="16"/>
  <c r="W243" i="16"/>
  <c r="X243" i="16"/>
  <c r="CV243" i="16" l="1"/>
  <c r="T1331" i="16"/>
  <c r="AF1331" i="16"/>
  <c r="AF243" i="16"/>
  <c r="T243" i="16"/>
  <c r="V1333" i="16"/>
  <c r="X1332" i="16"/>
  <c r="W1332" i="16"/>
  <c r="W244" i="16"/>
  <c r="V245" i="16"/>
  <c r="X244" i="16"/>
  <c r="CV244" i="16" l="1"/>
  <c r="T1332" i="16"/>
  <c r="AF1332" i="16"/>
  <c r="AF244" i="16"/>
  <c r="T244" i="16"/>
  <c r="V1334" i="16"/>
  <c r="X1333" i="16"/>
  <c r="W1333" i="16"/>
  <c r="W245" i="16"/>
  <c r="V246" i="16"/>
  <c r="X245" i="16"/>
  <c r="CV245" i="16" l="1"/>
  <c r="T1333" i="16"/>
  <c r="AF1333" i="16"/>
  <c r="T245" i="16"/>
  <c r="AF245" i="16"/>
  <c r="W1334" i="16"/>
  <c r="X1334" i="16"/>
  <c r="V1335" i="16"/>
  <c r="W246" i="16"/>
  <c r="X246" i="16"/>
  <c r="V247" i="16"/>
  <c r="CV246" i="16" l="1"/>
  <c r="AF246" i="16"/>
  <c r="T246" i="16"/>
  <c r="T1334" i="16"/>
  <c r="AF1334" i="16"/>
  <c r="X1335" i="16"/>
  <c r="V1336" i="16"/>
  <c r="W1335" i="16"/>
  <c r="X247" i="16"/>
  <c r="W247" i="16"/>
  <c r="CV247" i="16" s="1"/>
  <c r="V248" i="16"/>
  <c r="AF247" i="16" l="1"/>
  <c r="T247" i="16"/>
  <c r="T1335" i="16"/>
  <c r="AF1335" i="16"/>
  <c r="V1337" i="16"/>
  <c r="X1336" i="16"/>
  <c r="W1336" i="16"/>
  <c r="V249" i="16"/>
  <c r="X248" i="16"/>
  <c r="W248" i="16"/>
  <c r="CV248" i="16" s="1"/>
  <c r="AF248" i="16" l="1"/>
  <c r="T248" i="16"/>
  <c r="AF1336" i="16"/>
  <c r="T1336" i="16"/>
  <c r="X1337" i="16"/>
  <c r="W1337" i="16"/>
  <c r="V1338" i="16"/>
  <c r="X249" i="16"/>
  <c r="V250" i="16"/>
  <c r="W249" i="16"/>
  <c r="CV249" i="16" s="1"/>
  <c r="T249" i="16" l="1"/>
  <c r="AF249" i="16"/>
  <c r="AF1337" i="16"/>
  <c r="T1337" i="16"/>
  <c r="W1338" i="16"/>
  <c r="V1339" i="16"/>
  <c r="X1338" i="16"/>
  <c r="V251" i="16"/>
  <c r="W250" i="16"/>
  <c r="X250" i="16"/>
  <c r="CV250" i="16" l="1"/>
  <c r="AF1338" i="16"/>
  <c r="T1338" i="16"/>
  <c r="T250" i="16"/>
  <c r="AF250" i="16"/>
  <c r="V1340" i="16"/>
  <c r="X1339" i="16"/>
  <c r="W1339" i="16"/>
  <c r="X251" i="16"/>
  <c r="W251" i="16"/>
  <c r="CV251" i="16" s="1"/>
  <c r="V252" i="16"/>
  <c r="T251" i="16" l="1"/>
  <c r="AF251" i="16"/>
  <c r="AF1339" i="16"/>
  <c r="T1339" i="16"/>
  <c r="W1340" i="16"/>
  <c r="V1341" i="16"/>
  <c r="X1340" i="16"/>
  <c r="W252" i="16"/>
  <c r="CV252" i="16" s="1"/>
  <c r="X252" i="16"/>
  <c r="V253" i="16"/>
  <c r="AF252" i="16" l="1"/>
  <c r="T252" i="16"/>
  <c r="AF1340" i="16"/>
  <c r="T1340" i="16"/>
  <c r="V1342" i="16"/>
  <c r="X1341" i="16"/>
  <c r="W1341" i="16"/>
  <c r="V254" i="16"/>
  <c r="W253" i="16"/>
  <c r="CV253" i="16" s="1"/>
  <c r="X253" i="16"/>
  <c r="AF1341" i="16" l="1"/>
  <c r="T1341" i="16"/>
  <c r="AF253" i="16"/>
  <c r="T253" i="16"/>
  <c r="W1342" i="16"/>
  <c r="X1342" i="16"/>
  <c r="V1343" i="16"/>
  <c r="W254" i="16"/>
  <c r="X254" i="16"/>
  <c r="V255" i="16"/>
  <c r="CV254" i="16" l="1"/>
  <c r="T254" i="16"/>
  <c r="AF254" i="16"/>
  <c r="AF1342" i="16"/>
  <c r="T1342" i="16"/>
  <c r="V1344" i="16"/>
  <c r="X1343" i="16"/>
  <c r="W1343" i="16"/>
  <c r="W255" i="16"/>
  <c r="CV255" i="16" s="1"/>
  <c r="X255" i="16"/>
  <c r="V256" i="16"/>
  <c r="AF1343" i="16" l="1"/>
  <c r="T1343" i="16"/>
  <c r="T255" i="16"/>
  <c r="AF255" i="16"/>
  <c r="V1345" i="16"/>
  <c r="X1344" i="16"/>
  <c r="W1344" i="16"/>
  <c r="W256" i="16"/>
  <c r="V257" i="16"/>
  <c r="X256" i="16"/>
  <c r="CV256" i="16" l="1"/>
  <c r="AF256" i="16"/>
  <c r="T256" i="16"/>
  <c r="AF1344" i="16"/>
  <c r="T1344" i="16"/>
  <c r="X1345" i="16"/>
  <c r="V1346" i="16"/>
  <c r="W1345" i="16"/>
  <c r="X257" i="16"/>
  <c r="V258" i="16"/>
  <c r="W257" i="16"/>
  <c r="CV257" i="16" l="1"/>
  <c r="T257" i="16"/>
  <c r="AF257" i="16"/>
  <c r="AF1345" i="16"/>
  <c r="T1345" i="16"/>
  <c r="V1347" i="16"/>
  <c r="X1346" i="16"/>
  <c r="W1346" i="16"/>
  <c r="W258" i="16"/>
  <c r="V259" i="16"/>
  <c r="X258" i="16"/>
  <c r="CV258" i="16" l="1"/>
  <c r="AF258" i="16"/>
  <c r="T258" i="16"/>
  <c r="T1346" i="16"/>
  <c r="AF1346" i="16"/>
  <c r="X1347" i="16"/>
  <c r="V1348" i="16"/>
  <c r="W1347" i="16"/>
  <c r="W259" i="16"/>
  <c r="X259" i="16"/>
  <c r="V260" i="16"/>
  <c r="CV259" i="16" l="1"/>
  <c r="T1347" i="16"/>
  <c r="AF1347" i="16"/>
  <c r="AF259" i="16"/>
  <c r="T259" i="16"/>
  <c r="V1349" i="16"/>
  <c r="X1348" i="16"/>
  <c r="W1348" i="16"/>
  <c r="V261" i="16"/>
  <c r="X260" i="16"/>
  <c r="W260" i="16"/>
  <c r="CV260" i="16" s="1"/>
  <c r="T1348" i="16" l="1"/>
  <c r="AF1348" i="16"/>
  <c r="T260" i="16"/>
  <c r="AF260" i="16"/>
  <c r="V1350" i="16"/>
  <c r="X1349" i="16"/>
  <c r="W1349" i="16"/>
  <c r="X261" i="16"/>
  <c r="V262" i="16"/>
  <c r="W261" i="16"/>
  <c r="CV261" i="16" s="1"/>
  <c r="T1349" i="16" l="1"/>
  <c r="AF1349" i="16"/>
  <c r="AF261" i="16"/>
  <c r="T261" i="16"/>
  <c r="W1350" i="16"/>
  <c r="X1350" i="16"/>
  <c r="V1351" i="16"/>
  <c r="W262" i="16"/>
  <c r="X262" i="16"/>
  <c r="V263" i="16"/>
  <c r="CV262" i="16" l="1"/>
  <c r="T1350" i="16"/>
  <c r="AF1350" i="16"/>
  <c r="AF262" i="16"/>
  <c r="T262" i="16"/>
  <c r="V1352" i="16"/>
  <c r="X1351" i="16"/>
  <c r="W1351" i="16"/>
  <c r="W263" i="16"/>
  <c r="CV263" i="16" s="1"/>
  <c r="X263" i="16"/>
  <c r="V264" i="16"/>
  <c r="T1351" i="16" l="1"/>
  <c r="AF1351" i="16"/>
  <c r="AF263" i="16"/>
  <c r="T263" i="16"/>
  <c r="W1352" i="16"/>
  <c r="X1352" i="16"/>
  <c r="V1353" i="16"/>
  <c r="X264" i="16"/>
  <c r="V265" i="16"/>
  <c r="W264" i="16"/>
  <c r="CV264" i="16" s="1"/>
  <c r="AF264" i="16" l="1"/>
  <c r="T264" i="16"/>
  <c r="T1352" i="16"/>
  <c r="AF1352" i="16"/>
  <c r="V1354" i="16"/>
  <c r="X1353" i="16"/>
  <c r="W1353" i="16"/>
  <c r="X265" i="16"/>
  <c r="W265" i="16"/>
  <c r="CV265" i="16" s="1"/>
  <c r="V266" i="16"/>
  <c r="T265" i="16" l="1"/>
  <c r="AF265" i="16"/>
  <c r="T1353" i="16"/>
  <c r="AF1353" i="16"/>
  <c r="V1355" i="16"/>
  <c r="X1354" i="16"/>
  <c r="W1354" i="16"/>
  <c r="W266" i="16"/>
  <c r="X266" i="16"/>
  <c r="V267" i="16"/>
  <c r="CV266" i="16" l="1"/>
  <c r="T266" i="16"/>
  <c r="AF266" i="16"/>
  <c r="T1354" i="16"/>
  <c r="AF1354" i="16"/>
  <c r="V1356" i="16"/>
  <c r="X1355" i="16"/>
  <c r="W1355" i="16"/>
  <c r="X267" i="16"/>
  <c r="V268" i="16"/>
  <c r="W267" i="16"/>
  <c r="CV267" i="16" s="1"/>
  <c r="T1355" i="16" l="1"/>
  <c r="AF1355" i="16"/>
  <c r="T267" i="16"/>
  <c r="AF267" i="16"/>
  <c r="V1357" i="16"/>
  <c r="W1356" i="16"/>
  <c r="X1356" i="16"/>
  <c r="V269" i="16"/>
  <c r="W268" i="16"/>
  <c r="X268" i="16"/>
  <c r="CV268" i="16" l="1"/>
  <c r="AF268" i="16"/>
  <c r="T268" i="16"/>
  <c r="T1356" i="16"/>
  <c r="AF1356" i="16"/>
  <c r="V1358" i="16"/>
  <c r="X1357" i="16"/>
  <c r="W1357" i="16"/>
  <c r="X269" i="16"/>
  <c r="W269" i="16"/>
  <c r="CV269" i="16" s="1"/>
  <c r="V270" i="16"/>
  <c r="T1357" i="16" l="1"/>
  <c r="AF1357" i="16"/>
  <c r="AF269" i="16"/>
  <c r="T269" i="16"/>
  <c r="W1358" i="16"/>
  <c r="V1359" i="16"/>
  <c r="X1358" i="16"/>
  <c r="W270" i="16"/>
  <c r="X270" i="16"/>
  <c r="V271" i="16"/>
  <c r="CV270" i="16" l="1"/>
  <c r="T1358" i="16"/>
  <c r="AF1358" i="16"/>
  <c r="AF270" i="16"/>
  <c r="T270" i="16"/>
  <c r="V1360" i="16"/>
  <c r="X1359" i="16"/>
  <c r="W1359" i="16"/>
  <c r="X271" i="16"/>
  <c r="W271" i="16"/>
  <c r="V272" i="16"/>
  <c r="CV271" i="16" l="1"/>
  <c r="T1359" i="16"/>
  <c r="AF1359" i="16"/>
  <c r="AF271" i="16"/>
  <c r="T271" i="16"/>
  <c r="W1360" i="16"/>
  <c r="V1361" i="16"/>
  <c r="X1360" i="16"/>
  <c r="W272" i="16"/>
  <c r="X272" i="16"/>
  <c r="V273" i="16"/>
  <c r="CV272" i="16" l="1"/>
  <c r="AF1360" i="16"/>
  <c r="T1360" i="16"/>
  <c r="T272" i="16"/>
  <c r="AF272" i="16"/>
  <c r="X1361" i="16"/>
  <c r="W1361" i="16"/>
  <c r="V1362" i="16"/>
  <c r="V274" i="16"/>
  <c r="W273" i="16"/>
  <c r="X273" i="16"/>
  <c r="CV273" i="16" l="1"/>
  <c r="T273" i="16"/>
  <c r="AF273" i="16"/>
  <c r="AF1361" i="16"/>
  <c r="T1361" i="16"/>
  <c r="V1363" i="16"/>
  <c r="X1362" i="16"/>
  <c r="W1362" i="16"/>
  <c r="V275" i="16"/>
  <c r="X274" i="16"/>
  <c r="W274" i="16"/>
  <c r="CV274" i="16" s="1"/>
  <c r="AF1362" i="16" l="1"/>
  <c r="T1362" i="16"/>
  <c r="AF274" i="16"/>
  <c r="T274" i="16"/>
  <c r="V1364" i="16"/>
  <c r="X1363" i="16"/>
  <c r="W1363" i="16"/>
  <c r="X275" i="16"/>
  <c r="W275" i="16"/>
  <c r="CV275" i="16" s="1"/>
  <c r="V276" i="16"/>
  <c r="AF275" i="16" l="1"/>
  <c r="T275" i="16"/>
  <c r="AF1363" i="16"/>
  <c r="T1363" i="16"/>
  <c r="V1365" i="16"/>
  <c r="X1364" i="16"/>
  <c r="W1364" i="16"/>
  <c r="W276" i="16"/>
  <c r="V277" i="16"/>
  <c r="X276" i="16"/>
  <c r="CV276" i="16" l="1"/>
  <c r="AF1364" i="16"/>
  <c r="T1364" i="16"/>
  <c r="AF276" i="16"/>
  <c r="T276" i="16"/>
  <c r="V1366" i="16"/>
  <c r="X1365" i="16"/>
  <c r="W1365" i="16"/>
  <c r="W277" i="16"/>
  <c r="X277" i="16"/>
  <c r="V278" i="16"/>
  <c r="CV277" i="16" l="1"/>
  <c r="AF1365" i="16"/>
  <c r="T1365" i="16"/>
  <c r="AF277" i="16"/>
  <c r="T277" i="16"/>
  <c r="W1366" i="16"/>
  <c r="V1367" i="16"/>
  <c r="X1366" i="16"/>
  <c r="V279" i="16"/>
  <c r="W278" i="16"/>
  <c r="X278" i="16"/>
  <c r="CV278" i="16" l="1"/>
  <c r="AF1366" i="16"/>
  <c r="T1366" i="16"/>
  <c r="T278" i="16"/>
  <c r="AF278" i="16"/>
  <c r="X1367" i="16"/>
  <c r="V1368" i="16"/>
  <c r="W1367" i="16"/>
  <c r="X279" i="16"/>
  <c r="V280" i="16"/>
  <c r="W279" i="16"/>
  <c r="CV279" i="16" s="1"/>
  <c r="AF279" i="16" l="1"/>
  <c r="T279" i="16"/>
  <c r="AF1367" i="16"/>
  <c r="T1367" i="16"/>
  <c r="V1369" i="16"/>
  <c r="X1368" i="16"/>
  <c r="W1368" i="16"/>
  <c r="W280" i="16"/>
  <c r="CV280" i="16" s="1"/>
  <c r="V281" i="16"/>
  <c r="X280" i="16"/>
  <c r="AF280" i="16" l="1"/>
  <c r="T280" i="16"/>
  <c r="AF1368" i="16"/>
  <c r="T1368" i="16"/>
  <c r="V1370" i="16"/>
  <c r="X1369" i="16"/>
  <c r="W1369" i="16"/>
  <c r="W281" i="16"/>
  <c r="X281" i="16"/>
  <c r="V282" i="16"/>
  <c r="CV281" i="16" l="1"/>
  <c r="AF281" i="16"/>
  <c r="T281" i="16"/>
  <c r="AF1369" i="16"/>
  <c r="T1369" i="16"/>
  <c r="W1370" i="16"/>
  <c r="V1371" i="16"/>
  <c r="X1370" i="16"/>
  <c r="W282" i="16"/>
  <c r="V283" i="16"/>
  <c r="X282" i="16"/>
  <c r="CV282" i="16" l="1"/>
  <c r="AF1370" i="16"/>
  <c r="T1370" i="16"/>
  <c r="AF282" i="16"/>
  <c r="T282" i="16"/>
  <c r="V1372" i="16"/>
  <c r="X1371" i="16"/>
  <c r="W1371" i="16"/>
  <c r="X283" i="16"/>
  <c r="V284" i="16"/>
  <c r="W283" i="16"/>
  <c r="CV283" i="16" s="1"/>
  <c r="AF283" i="16" l="1"/>
  <c r="T283" i="16"/>
  <c r="AF1371" i="16"/>
  <c r="T1371" i="16"/>
  <c r="V1373" i="16"/>
  <c r="X1372" i="16"/>
  <c r="W1372" i="16"/>
  <c r="V285" i="16"/>
  <c r="W284" i="16"/>
  <c r="X284" i="16"/>
  <c r="CV284" i="16" l="1"/>
  <c r="AF284" i="16"/>
  <c r="T284" i="16"/>
  <c r="AF1372" i="16"/>
  <c r="T1372" i="16"/>
  <c r="V1374" i="16"/>
  <c r="X1373" i="16"/>
  <c r="W1373" i="16"/>
  <c r="W285" i="16"/>
  <c r="X285" i="16"/>
  <c r="V286" i="16"/>
  <c r="CV285" i="16" l="1"/>
  <c r="AF1373" i="16"/>
  <c r="T1373" i="16"/>
  <c r="AF285" i="16"/>
  <c r="T285" i="16"/>
  <c r="W1374" i="16"/>
  <c r="V1375" i="16"/>
  <c r="X1374" i="16"/>
  <c r="W286" i="16"/>
  <c r="X286" i="16"/>
  <c r="V287" i="16"/>
  <c r="CV286" i="16" l="1"/>
  <c r="T286" i="16"/>
  <c r="AF286" i="16"/>
  <c r="T1374" i="16"/>
  <c r="AF1374" i="16"/>
  <c r="V1376" i="16"/>
  <c r="X1375" i="16"/>
  <c r="W1375" i="16"/>
  <c r="X287" i="16"/>
  <c r="V288" i="16"/>
  <c r="W287" i="16"/>
  <c r="CV287" i="16" s="1"/>
  <c r="AF287" i="16" l="1"/>
  <c r="T287" i="16"/>
  <c r="T1375" i="16"/>
  <c r="AF1375" i="16"/>
  <c r="V1377" i="16"/>
  <c r="W1376" i="16"/>
  <c r="X1376" i="16"/>
  <c r="W288" i="16"/>
  <c r="X288" i="16"/>
  <c r="V289" i="16"/>
  <c r="CV288" i="16" l="1"/>
  <c r="T1376" i="16"/>
  <c r="AF1376" i="16"/>
  <c r="T288" i="16"/>
  <c r="AF288" i="16"/>
  <c r="V1378" i="16"/>
  <c r="X1377" i="16"/>
  <c r="W1377" i="16"/>
  <c r="X289" i="16"/>
  <c r="V290" i="16"/>
  <c r="W289" i="16"/>
  <c r="CV289" i="16" s="1"/>
  <c r="T1377" i="16" l="1"/>
  <c r="AF1377" i="16"/>
  <c r="T289" i="16"/>
  <c r="AF289" i="16"/>
  <c r="V1379" i="16"/>
  <c r="X1378" i="16"/>
  <c r="W1378" i="16"/>
  <c r="V291" i="16"/>
  <c r="X290" i="16"/>
  <c r="W290" i="16"/>
  <c r="CV290" i="16" s="1"/>
  <c r="T290" i="16" l="1"/>
  <c r="AF290" i="16"/>
  <c r="T1378" i="16"/>
  <c r="AF1378" i="16"/>
  <c r="X1379" i="16"/>
  <c r="W1379" i="16"/>
  <c r="V1380" i="16"/>
  <c r="W291" i="16"/>
  <c r="CV291" i="16" s="1"/>
  <c r="V292" i="16"/>
  <c r="X291" i="16"/>
  <c r="T1379" i="16" l="1"/>
  <c r="AF1379" i="16"/>
  <c r="T291" i="16"/>
  <c r="AF291" i="16"/>
  <c r="X1380" i="16"/>
  <c r="V1381" i="16"/>
  <c r="W1380" i="16"/>
  <c r="W292" i="16"/>
  <c r="X292" i="16"/>
  <c r="V293" i="16"/>
  <c r="CV292" i="16" l="1"/>
  <c r="T292" i="16"/>
  <c r="AF292" i="16"/>
  <c r="T1380" i="16"/>
  <c r="AF1380" i="16"/>
  <c r="V1382" i="16"/>
  <c r="X1381" i="16"/>
  <c r="W1381" i="16"/>
  <c r="W293" i="16"/>
  <c r="X293" i="16"/>
  <c r="V294" i="16"/>
  <c r="CV293" i="16" l="1"/>
  <c r="T1381" i="16"/>
  <c r="AF1381" i="16"/>
  <c r="T293" i="16"/>
  <c r="AF293" i="16"/>
  <c r="W1382" i="16"/>
  <c r="V1383" i="16"/>
  <c r="X1382" i="16"/>
  <c r="W294" i="16"/>
  <c r="X294" i="16"/>
  <c r="V295" i="16"/>
  <c r="CV294" i="16" l="1"/>
  <c r="AF294" i="16"/>
  <c r="T294" i="16"/>
  <c r="T1382" i="16"/>
  <c r="AF1382" i="16"/>
  <c r="V1384" i="16"/>
  <c r="X1383" i="16"/>
  <c r="W1383" i="16"/>
  <c r="X295" i="16"/>
  <c r="V296" i="16"/>
  <c r="W295" i="16"/>
  <c r="CV295" i="16" s="1"/>
  <c r="T1383" i="16" l="1"/>
  <c r="AF1383" i="16"/>
  <c r="T295" i="16"/>
  <c r="AF295" i="16"/>
  <c r="V1385" i="16"/>
  <c r="X1384" i="16"/>
  <c r="W1384" i="16"/>
  <c r="W296" i="16"/>
  <c r="X296" i="16"/>
  <c r="V297" i="16"/>
  <c r="CV296" i="16" l="1"/>
  <c r="AF1384" i="16"/>
  <c r="T1384" i="16"/>
  <c r="AF296" i="16"/>
  <c r="T296" i="16"/>
  <c r="X1385" i="16"/>
  <c r="W1385" i="16"/>
  <c r="V1386" i="16"/>
  <c r="X297" i="16"/>
  <c r="V298" i="16"/>
  <c r="W297" i="16"/>
  <c r="CV297" i="16" s="1"/>
  <c r="T297" i="16" l="1"/>
  <c r="AF297" i="16"/>
  <c r="AF1385" i="16"/>
  <c r="T1385" i="16"/>
  <c r="W1386" i="16"/>
  <c r="V1387" i="16"/>
  <c r="X1386" i="16"/>
  <c r="V299" i="16"/>
  <c r="X298" i="16"/>
  <c r="W298" i="16"/>
  <c r="CV298" i="16" s="1"/>
  <c r="AF298" i="16" l="1"/>
  <c r="T298" i="16"/>
  <c r="AF1386" i="16"/>
  <c r="T1386" i="16"/>
  <c r="V1388" i="16"/>
  <c r="X1387" i="16"/>
  <c r="W1387" i="16"/>
  <c r="X299" i="16"/>
  <c r="W299" i="16"/>
  <c r="CV299" i="16" s="1"/>
  <c r="V300" i="16"/>
  <c r="T299" i="16" l="1"/>
  <c r="AF299" i="16"/>
  <c r="AF1387" i="16"/>
  <c r="T1387" i="16"/>
  <c r="V1389" i="16"/>
  <c r="X1388" i="16"/>
  <c r="W1388" i="16"/>
  <c r="W300" i="16"/>
  <c r="CV300" i="16" s="1"/>
  <c r="X300" i="16"/>
  <c r="V301" i="16"/>
  <c r="T300" i="16" l="1"/>
  <c r="AF300" i="16"/>
  <c r="AF1388" i="16"/>
  <c r="T1388" i="16"/>
  <c r="V1390" i="16"/>
  <c r="X1389" i="16"/>
  <c r="W1389" i="16"/>
  <c r="V302" i="16"/>
  <c r="W301" i="16"/>
  <c r="X301" i="16"/>
  <c r="CV301" i="16" l="1"/>
  <c r="AF1389" i="16"/>
  <c r="T1389" i="16"/>
  <c r="T301" i="16"/>
  <c r="AF301" i="16"/>
  <c r="W1390" i="16"/>
  <c r="V1391" i="16"/>
  <c r="X1390" i="16"/>
  <c r="W302" i="16"/>
  <c r="X302" i="16"/>
  <c r="V303" i="16"/>
  <c r="CV302" i="16" l="1"/>
  <c r="T302" i="16"/>
  <c r="AF302" i="16"/>
  <c r="AF1390" i="16"/>
  <c r="T1390" i="16"/>
  <c r="X1391" i="16"/>
  <c r="W1391" i="16"/>
  <c r="V1392" i="16"/>
  <c r="W303" i="16"/>
  <c r="X303" i="16"/>
  <c r="V304" i="16"/>
  <c r="CV303" i="16" l="1"/>
  <c r="AF1391" i="16"/>
  <c r="T1391" i="16"/>
  <c r="T303" i="16"/>
  <c r="AF303" i="16"/>
  <c r="X1392" i="16"/>
  <c r="W1392" i="16"/>
  <c r="V1393" i="16"/>
  <c r="W304" i="16"/>
  <c r="V305" i="16"/>
  <c r="X304" i="16"/>
  <c r="CV304" i="16" l="1"/>
  <c r="AF1392" i="16"/>
  <c r="T1392" i="16"/>
  <c r="AF304" i="16"/>
  <c r="T304" i="16"/>
  <c r="V1394" i="16"/>
  <c r="X1393" i="16"/>
  <c r="W1393" i="16"/>
  <c r="X305" i="16"/>
  <c r="V306" i="16"/>
  <c r="W305" i="16"/>
  <c r="CV305" i="16" s="1"/>
  <c r="AF305" i="16" l="1"/>
  <c r="T305" i="16"/>
  <c r="AF1393" i="16"/>
  <c r="T1393" i="16"/>
  <c r="V1395" i="16"/>
  <c r="X1394" i="16"/>
  <c r="W1394" i="16"/>
  <c r="V307" i="16"/>
  <c r="X306" i="16"/>
  <c r="W306" i="16"/>
  <c r="CV306" i="16" s="1"/>
  <c r="AF306" i="16" l="1"/>
  <c r="T306" i="16"/>
  <c r="AF1394" i="16"/>
  <c r="T1394" i="16"/>
  <c r="X1395" i="16"/>
  <c r="V1396" i="16"/>
  <c r="W1395" i="16"/>
  <c r="W307" i="16"/>
  <c r="X307" i="16"/>
  <c r="V308" i="16"/>
  <c r="CV307" i="16" l="1"/>
  <c r="AF307" i="16"/>
  <c r="T307" i="16"/>
  <c r="AF1395" i="16"/>
  <c r="T1395" i="16"/>
  <c r="V1397" i="16"/>
  <c r="X1396" i="16"/>
  <c r="W1396" i="16"/>
  <c r="V309" i="16"/>
  <c r="W308" i="16"/>
  <c r="X308" i="16"/>
  <c r="CV308" i="16" l="1"/>
  <c r="AF1396" i="16"/>
  <c r="T1396" i="16"/>
  <c r="T308" i="16"/>
  <c r="AF308" i="16"/>
  <c r="V1398" i="16"/>
  <c r="X1397" i="16"/>
  <c r="W1397" i="16"/>
  <c r="W309" i="16"/>
  <c r="X309" i="16"/>
  <c r="V310" i="16"/>
  <c r="CV309" i="16" l="1"/>
  <c r="T1397" i="16"/>
  <c r="AF1397" i="16"/>
  <c r="AF309" i="16"/>
  <c r="T309" i="16"/>
  <c r="W1398" i="16"/>
  <c r="V1399" i="16"/>
  <c r="X1398" i="16"/>
  <c r="V311" i="16"/>
  <c r="W310" i="16"/>
  <c r="CV310" i="16" s="1"/>
  <c r="X310" i="16"/>
  <c r="AF310" i="16" l="1"/>
  <c r="T310" i="16"/>
  <c r="T1398" i="16"/>
  <c r="AF1398" i="16"/>
  <c r="V1400" i="16"/>
  <c r="X1399" i="16"/>
  <c r="W1399" i="16"/>
  <c r="X311" i="16"/>
  <c r="V312" i="16"/>
  <c r="W311" i="16"/>
  <c r="CV311" i="16" l="1"/>
  <c r="T1399" i="16"/>
  <c r="AF1399" i="16"/>
  <c r="AF311" i="16"/>
  <c r="T311" i="16"/>
  <c r="W1400" i="16"/>
  <c r="V1401" i="16"/>
  <c r="X1400" i="16"/>
  <c r="X312" i="16"/>
  <c r="V313" i="16"/>
  <c r="W312" i="16"/>
  <c r="CV312" i="16" s="1"/>
  <c r="T312" i="16" l="1"/>
  <c r="AF312" i="16"/>
  <c r="T1400" i="16"/>
  <c r="AF1400" i="16"/>
  <c r="V1402" i="16"/>
  <c r="X1401" i="16"/>
  <c r="W1401" i="16"/>
  <c r="X313" i="16"/>
  <c r="W313" i="16"/>
  <c r="V314" i="16"/>
  <c r="CV313" i="16" l="1"/>
  <c r="T313" i="16"/>
  <c r="AF313" i="16"/>
  <c r="T1401" i="16"/>
  <c r="AF1401" i="16"/>
  <c r="X1402" i="16"/>
  <c r="W1402" i="16"/>
  <c r="V1403" i="16"/>
  <c r="V315" i="16"/>
  <c r="W314" i="16"/>
  <c r="X314" i="16"/>
  <c r="CV314" i="16" l="1"/>
  <c r="AF314" i="16"/>
  <c r="T314" i="16"/>
  <c r="T1402" i="16"/>
  <c r="AF1402" i="16"/>
  <c r="V1404" i="16"/>
  <c r="X1403" i="16"/>
  <c r="W1403" i="16"/>
  <c r="W315" i="16"/>
  <c r="CV315" i="16" s="1"/>
  <c r="X315" i="16"/>
  <c r="V316" i="16"/>
  <c r="T1403" i="16" l="1"/>
  <c r="AF1403" i="16"/>
  <c r="AF315" i="16"/>
  <c r="T315" i="16"/>
  <c r="X1404" i="16"/>
  <c r="W1404" i="16"/>
  <c r="V1405" i="16"/>
  <c r="W316" i="16"/>
  <c r="CV316" i="16" s="1"/>
  <c r="X316" i="16"/>
  <c r="V317" i="16"/>
  <c r="T1404" i="16" l="1"/>
  <c r="AF1404" i="16"/>
  <c r="T316" i="16"/>
  <c r="AF316" i="16"/>
  <c r="V1406" i="16"/>
  <c r="X1405" i="16"/>
  <c r="W1405" i="16"/>
  <c r="X317" i="16"/>
  <c r="V318" i="16"/>
  <c r="W317" i="16"/>
  <c r="CV317" i="16" s="1"/>
  <c r="T317" i="16" l="1"/>
  <c r="AF317" i="16"/>
  <c r="T1405" i="16"/>
  <c r="AF1405" i="16"/>
  <c r="X1406" i="16"/>
  <c r="W1406" i="16"/>
  <c r="V1407" i="16"/>
  <c r="W318" i="16"/>
  <c r="CV318" i="16" s="1"/>
  <c r="X318" i="16"/>
  <c r="V319" i="16"/>
  <c r="T1406" i="16" l="1"/>
  <c r="AF1406" i="16"/>
  <c r="AF318" i="16"/>
  <c r="T318" i="16"/>
  <c r="V1408" i="16"/>
  <c r="X1407" i="16"/>
  <c r="W1407" i="16"/>
  <c r="X319" i="16"/>
  <c r="W319" i="16"/>
  <c r="CV319" i="16" s="1"/>
  <c r="V320" i="16"/>
  <c r="AF319" i="16" l="1"/>
  <c r="T319" i="16"/>
  <c r="AF1407" i="16"/>
  <c r="T1407" i="16"/>
  <c r="W1408" i="16"/>
  <c r="V1409" i="16"/>
  <c r="X1408" i="16"/>
  <c r="V321" i="16"/>
  <c r="X320" i="16"/>
  <c r="W320" i="16"/>
  <c r="CV320" i="16" s="1"/>
  <c r="AF320" i="16" l="1"/>
  <c r="T320" i="16"/>
  <c r="AF1408" i="16"/>
  <c r="T1408" i="16"/>
  <c r="W1409" i="16"/>
  <c r="V1410" i="16"/>
  <c r="X1409" i="16"/>
  <c r="W321" i="16"/>
  <c r="X321" i="16"/>
  <c r="V322" i="16"/>
  <c r="CV321" i="16" l="1"/>
  <c r="T321" i="16"/>
  <c r="AF321" i="16"/>
  <c r="AF1409" i="16"/>
  <c r="T1409" i="16"/>
  <c r="X1410" i="16"/>
  <c r="V1411" i="16"/>
  <c r="W1410" i="16"/>
  <c r="V323" i="16"/>
  <c r="W322" i="16"/>
  <c r="X322" i="16"/>
  <c r="CV322" i="16" l="1"/>
  <c r="AF322" i="16"/>
  <c r="T322" i="16"/>
  <c r="AF1410" i="16"/>
  <c r="T1410" i="16"/>
  <c r="V1412" i="16"/>
  <c r="X1411" i="16"/>
  <c r="W1411" i="16"/>
  <c r="X323" i="16"/>
  <c r="V324" i="16"/>
  <c r="W323" i="16"/>
  <c r="CV323" i="16" s="1"/>
  <c r="AF1411" i="16" l="1"/>
  <c r="T1411" i="16"/>
  <c r="T323" i="16"/>
  <c r="AF323" i="16"/>
  <c r="V1413" i="16"/>
  <c r="X1412" i="16"/>
  <c r="W1412" i="16"/>
  <c r="W324" i="16"/>
  <c r="V325" i="16"/>
  <c r="X324" i="16"/>
  <c r="CV324" i="16" l="1"/>
  <c r="T324" i="16"/>
  <c r="AF324" i="16"/>
  <c r="AF1412" i="16"/>
  <c r="T1412" i="16"/>
  <c r="V1414" i="16"/>
  <c r="X1413" i="16"/>
  <c r="W1413" i="16"/>
  <c r="W325" i="16"/>
  <c r="X325" i="16"/>
  <c r="V326" i="16"/>
  <c r="CV325" i="16" l="1"/>
  <c r="AF325" i="16"/>
  <c r="T325" i="16"/>
  <c r="AF1413" i="16"/>
  <c r="T1413" i="16"/>
  <c r="V1415" i="16"/>
  <c r="X1414" i="16"/>
  <c r="W1414" i="16"/>
  <c r="W326" i="16"/>
  <c r="CV326" i="16" s="1"/>
  <c r="X326" i="16"/>
  <c r="V327" i="16"/>
  <c r="AF326" i="16" l="1"/>
  <c r="T326" i="16"/>
  <c r="AF1414" i="16"/>
  <c r="T1414" i="16"/>
  <c r="V1416" i="16"/>
  <c r="X1415" i="16"/>
  <c r="W1415" i="16"/>
  <c r="V328" i="16"/>
  <c r="W327" i="16"/>
  <c r="X327" i="16"/>
  <c r="CV327" i="16" l="1"/>
  <c r="AF1415" i="16"/>
  <c r="T1415" i="16"/>
  <c r="AF327" i="16"/>
  <c r="T327" i="16"/>
  <c r="W1416" i="16"/>
  <c r="X1416" i="16"/>
  <c r="V1417" i="16"/>
  <c r="W328" i="16"/>
  <c r="V329" i="16"/>
  <c r="X328" i="16"/>
  <c r="CV328" i="16" l="1"/>
  <c r="T328" i="16"/>
  <c r="AF328" i="16"/>
  <c r="AF1416" i="16"/>
  <c r="T1416" i="16"/>
  <c r="W1417" i="16"/>
  <c r="V1418" i="16"/>
  <c r="X1417" i="16"/>
  <c r="W329" i="16"/>
  <c r="X329" i="16"/>
  <c r="V330" i="16"/>
  <c r="CV329" i="16" l="1"/>
  <c r="AF329" i="16"/>
  <c r="T329" i="16"/>
  <c r="AF1417" i="16"/>
  <c r="T1417" i="16"/>
  <c r="V1419" i="16"/>
  <c r="X1418" i="16"/>
  <c r="W1418" i="16"/>
  <c r="W330" i="16"/>
  <c r="X330" i="16"/>
  <c r="V331" i="16"/>
  <c r="CV330" i="16" l="1"/>
  <c r="T1418" i="16"/>
  <c r="AF1418" i="16"/>
  <c r="AF330" i="16"/>
  <c r="T330" i="16"/>
  <c r="V1420" i="16"/>
  <c r="W1419" i="16"/>
  <c r="X1419" i="16"/>
  <c r="V332" i="16"/>
  <c r="W331" i="16"/>
  <c r="X331" i="16"/>
  <c r="CV331" i="16" l="1"/>
  <c r="AF331" i="16"/>
  <c r="T331" i="16"/>
  <c r="T1419" i="16"/>
  <c r="AF1419" i="16"/>
  <c r="V1421" i="16"/>
  <c r="W1420" i="16"/>
  <c r="X1420" i="16"/>
  <c r="V333" i="16"/>
  <c r="W332" i="16"/>
  <c r="CV332" i="16" s="1"/>
  <c r="X332" i="16"/>
  <c r="AF332" i="16" l="1"/>
  <c r="T332" i="16"/>
  <c r="AF1420" i="16"/>
  <c r="T1420" i="16"/>
  <c r="V1422" i="16"/>
  <c r="X1421" i="16"/>
  <c r="W1421" i="16"/>
  <c r="V334" i="16"/>
  <c r="W333" i="16"/>
  <c r="X333" i="16"/>
  <c r="CV333" i="16" l="1"/>
  <c r="T1421" i="16"/>
  <c r="AF1421" i="16"/>
  <c r="AF333" i="16"/>
  <c r="T333" i="16"/>
  <c r="V1423" i="16"/>
  <c r="X1422" i="16"/>
  <c r="W1422" i="16"/>
  <c r="W334" i="16"/>
  <c r="X334" i="16"/>
  <c r="V335" i="16"/>
  <c r="CV334" i="16" l="1"/>
  <c r="AF334" i="16"/>
  <c r="T334" i="16"/>
  <c r="T1422" i="16"/>
  <c r="AF1422" i="16"/>
  <c r="W1423" i="16"/>
  <c r="X1423" i="16"/>
  <c r="V1424" i="16"/>
  <c r="W335" i="16"/>
  <c r="CV335" i="16" s="1"/>
  <c r="X335" i="16"/>
  <c r="V336" i="16"/>
  <c r="AF335" i="16" l="1"/>
  <c r="T335" i="16"/>
  <c r="T1423" i="16"/>
  <c r="AF1423" i="16"/>
  <c r="W1424" i="16"/>
  <c r="V1425" i="16"/>
  <c r="X1424" i="16"/>
  <c r="W336" i="16"/>
  <c r="CV336" i="16" s="1"/>
  <c r="X336" i="16"/>
  <c r="V337" i="16"/>
  <c r="T1424" i="16" l="1"/>
  <c r="AF1424" i="16"/>
  <c r="T336" i="16"/>
  <c r="AF336" i="16"/>
  <c r="V1426" i="16"/>
  <c r="X1425" i="16"/>
  <c r="W1425" i="16"/>
  <c r="X337" i="16"/>
  <c r="V338" i="16"/>
  <c r="W337" i="16"/>
  <c r="CV337" i="16" s="1"/>
  <c r="T337" i="16" l="1"/>
  <c r="AF337" i="16"/>
  <c r="T1425" i="16"/>
  <c r="AF1425" i="16"/>
  <c r="X1426" i="16"/>
  <c r="W1426" i="16"/>
  <c r="V1427" i="16"/>
  <c r="W338" i="16"/>
  <c r="X338" i="16"/>
  <c r="V339" i="16"/>
  <c r="CV338" i="16" l="1"/>
  <c r="T1426" i="16"/>
  <c r="AF1426" i="16"/>
  <c r="AF338" i="16"/>
  <c r="T338" i="16"/>
  <c r="W1427" i="16"/>
  <c r="V1428" i="16"/>
  <c r="X1427" i="16"/>
  <c r="V340" i="16"/>
  <c r="X339" i="16"/>
  <c r="W339" i="16"/>
  <c r="CV339" i="16" s="1"/>
  <c r="AF339" i="16" l="1"/>
  <c r="T339" i="16"/>
  <c r="T1427" i="16"/>
  <c r="AF1427" i="16"/>
  <c r="X1428" i="16"/>
  <c r="W1428" i="16"/>
  <c r="V1429" i="16"/>
  <c r="V341" i="16"/>
  <c r="W340" i="16"/>
  <c r="X340" i="16"/>
  <c r="CV340" i="16" l="1"/>
  <c r="AF340" i="16"/>
  <c r="T340" i="16"/>
  <c r="T1428" i="16"/>
  <c r="AF1428" i="16"/>
  <c r="X1429" i="16"/>
  <c r="V1430" i="16"/>
  <c r="W1429" i="16"/>
  <c r="V342" i="16"/>
  <c r="X341" i="16"/>
  <c r="W341" i="16"/>
  <c r="CV341" i="16" s="1"/>
  <c r="T341" i="16" l="1"/>
  <c r="AF341" i="16"/>
  <c r="T1429" i="16"/>
  <c r="AF1429" i="16"/>
  <c r="V1431" i="16"/>
  <c r="X1430" i="16"/>
  <c r="W1430" i="16"/>
  <c r="W342" i="16"/>
  <c r="X342" i="16"/>
  <c r="V343" i="16"/>
  <c r="CV342" i="16" l="1"/>
  <c r="AF342" i="16"/>
  <c r="T342" i="16"/>
  <c r="T1430" i="16"/>
  <c r="AF1430" i="16"/>
  <c r="X1431" i="16"/>
  <c r="W1431" i="16"/>
  <c r="V1432" i="16"/>
  <c r="X343" i="16"/>
  <c r="V344" i="16"/>
  <c r="W343" i="16"/>
  <c r="CV343" i="16" s="1"/>
  <c r="AF343" i="16" l="1"/>
  <c r="T343" i="16"/>
  <c r="T1431" i="16"/>
  <c r="AF1431" i="16"/>
  <c r="W1432" i="16"/>
  <c r="V1433" i="16"/>
  <c r="X1432" i="16"/>
  <c r="W344" i="16"/>
  <c r="X344" i="16"/>
  <c r="V345" i="16"/>
  <c r="CV344" i="16" l="1"/>
  <c r="AF344" i="16"/>
  <c r="T344" i="16"/>
  <c r="AF1432" i="16"/>
  <c r="T1432" i="16"/>
  <c r="V1434" i="16"/>
  <c r="X1433" i="16"/>
  <c r="W1433" i="16"/>
  <c r="X345" i="16"/>
  <c r="V346" i="16"/>
  <c r="W345" i="16"/>
  <c r="CV345" i="16" l="1"/>
  <c r="AF1433" i="16"/>
  <c r="T1433" i="16"/>
  <c r="AF345" i="16"/>
  <c r="T345" i="16"/>
  <c r="V1435" i="16"/>
  <c r="X1434" i="16"/>
  <c r="W1434" i="16"/>
  <c r="V347" i="16"/>
  <c r="W346" i="16"/>
  <c r="X346" i="16"/>
  <c r="CV346" i="16" l="1"/>
  <c r="T346" i="16"/>
  <c r="AF346" i="16"/>
  <c r="AF1434" i="16"/>
  <c r="T1434" i="16"/>
  <c r="V1436" i="16"/>
  <c r="W1435" i="16"/>
  <c r="X1435" i="16"/>
  <c r="X347" i="16"/>
  <c r="W347" i="16"/>
  <c r="V348" i="16"/>
  <c r="CV347" i="16" l="1"/>
  <c r="AF347" i="16"/>
  <c r="T347" i="16"/>
  <c r="AF1435" i="16"/>
  <c r="T1435" i="16"/>
  <c r="X1436" i="16"/>
  <c r="W1436" i="16"/>
  <c r="V1437" i="16"/>
  <c r="W348" i="16"/>
  <c r="V349" i="16"/>
  <c r="X348" i="16"/>
  <c r="CV348" i="16" l="1"/>
  <c r="AF1436" i="16"/>
  <c r="T1436" i="16"/>
  <c r="AF348" i="16"/>
  <c r="T348" i="16"/>
  <c r="W1437" i="16"/>
  <c r="V1438" i="16"/>
  <c r="X1437" i="16"/>
  <c r="W349" i="16"/>
  <c r="CV349" i="16" s="1"/>
  <c r="X349" i="16"/>
  <c r="V350" i="16"/>
  <c r="AF1437" i="16" l="1"/>
  <c r="T1437" i="16"/>
  <c r="T349" i="16"/>
  <c r="AF349" i="16"/>
  <c r="V1439" i="16"/>
  <c r="X1438" i="16"/>
  <c r="W1438" i="16"/>
  <c r="W350" i="16"/>
  <c r="X350" i="16"/>
  <c r="V351" i="16"/>
  <c r="CV350" i="16" l="1"/>
  <c r="AF350" i="16"/>
  <c r="T350" i="16"/>
  <c r="AF1438" i="16"/>
  <c r="T1438" i="16"/>
  <c r="V1440" i="16"/>
  <c r="X1439" i="16"/>
  <c r="W1439" i="16"/>
  <c r="X351" i="16"/>
  <c r="V352" i="16"/>
  <c r="W351" i="16"/>
  <c r="CV351" i="16" s="1"/>
  <c r="AF351" i="16" l="1"/>
  <c r="T351" i="16"/>
  <c r="AF1439" i="16"/>
  <c r="T1439" i="16"/>
  <c r="W1440" i="16"/>
  <c r="V1441" i="16"/>
  <c r="X1440" i="16"/>
  <c r="W352" i="16"/>
  <c r="V353" i="16"/>
  <c r="X352" i="16"/>
  <c r="CV352" i="16" l="1"/>
  <c r="AF1440" i="16"/>
  <c r="T1440" i="16"/>
  <c r="T352" i="16"/>
  <c r="AF352" i="16"/>
  <c r="V1442" i="16"/>
  <c r="X1441" i="16"/>
  <c r="W1441" i="16"/>
  <c r="X353" i="16"/>
  <c r="V354" i="16"/>
  <c r="W353" i="16"/>
  <c r="CV353" i="16" s="1"/>
  <c r="T353" i="16" l="1"/>
  <c r="AF353" i="16"/>
  <c r="AF1441" i="16"/>
  <c r="T1441" i="16"/>
  <c r="V1443" i="16"/>
  <c r="X1442" i="16"/>
  <c r="W1442" i="16"/>
  <c r="V355" i="16"/>
  <c r="W354" i="16"/>
  <c r="X354" i="16"/>
  <c r="CV354" i="16" l="1"/>
  <c r="AF1442" i="16"/>
  <c r="T1442" i="16"/>
  <c r="T354" i="16"/>
  <c r="AF354" i="16"/>
  <c r="V1444" i="16"/>
  <c r="X1443" i="16"/>
  <c r="W1443" i="16"/>
  <c r="W355" i="16"/>
  <c r="X355" i="16"/>
  <c r="V356" i="16"/>
  <c r="CV355" i="16" l="1"/>
  <c r="AF1443" i="16"/>
  <c r="T1443" i="16"/>
  <c r="AF355" i="16"/>
  <c r="T355" i="16"/>
  <c r="W1444" i="16"/>
  <c r="V1445" i="16"/>
  <c r="X1444" i="16"/>
  <c r="V357" i="16"/>
  <c r="W356" i="16"/>
  <c r="X356" i="16"/>
  <c r="CV356" i="16" l="1"/>
  <c r="AF356" i="16"/>
  <c r="T356" i="16"/>
  <c r="AF1444" i="16"/>
  <c r="T1444" i="16"/>
  <c r="V1446" i="16"/>
  <c r="W1445" i="16"/>
  <c r="X1445" i="16"/>
  <c r="W357" i="16"/>
  <c r="V358" i="16"/>
  <c r="X357" i="16"/>
  <c r="CV357" i="16" l="1"/>
  <c r="T357" i="16"/>
  <c r="AF357" i="16"/>
  <c r="AF1445" i="16"/>
  <c r="T1445" i="16"/>
  <c r="V1447" i="16"/>
  <c r="X1446" i="16"/>
  <c r="W1446" i="16"/>
  <c r="W358" i="16"/>
  <c r="X358" i="16"/>
  <c r="V359" i="16"/>
  <c r="CV358" i="16" l="1"/>
  <c r="AF358" i="16"/>
  <c r="T358" i="16"/>
  <c r="T1446" i="16"/>
  <c r="AF1446" i="16"/>
  <c r="V1448" i="16"/>
  <c r="X1447" i="16"/>
  <c r="W1447" i="16"/>
  <c r="X359" i="16"/>
  <c r="V360" i="16"/>
  <c r="W359" i="16"/>
  <c r="CV359" i="16" s="1"/>
  <c r="AF359" i="16" l="1"/>
  <c r="T359" i="16"/>
  <c r="T1447" i="16"/>
  <c r="AF1447" i="16"/>
  <c r="W1448" i="16"/>
  <c r="X1448" i="16"/>
  <c r="V1449" i="16"/>
  <c r="X360" i="16"/>
  <c r="V361" i="16"/>
  <c r="W360" i="16"/>
  <c r="CV360" i="16" l="1"/>
  <c r="AF360" i="16"/>
  <c r="T360" i="16"/>
  <c r="T1448" i="16"/>
  <c r="AF1448" i="16"/>
  <c r="W1449" i="16"/>
  <c r="V1450" i="16"/>
  <c r="X1449" i="16"/>
  <c r="X361" i="16"/>
  <c r="V362" i="16"/>
  <c r="W361" i="16"/>
  <c r="CV361" i="16" s="1"/>
  <c r="T1449" i="16" l="1"/>
  <c r="AF1449" i="16"/>
  <c r="T361" i="16"/>
  <c r="AF361" i="16"/>
  <c r="W1450" i="16"/>
  <c r="V1451" i="16"/>
  <c r="X1450" i="16"/>
  <c r="V363" i="16"/>
  <c r="X362" i="16"/>
  <c r="W362" i="16"/>
  <c r="CV362" i="16" l="1"/>
  <c r="AF362" i="16"/>
  <c r="T362" i="16"/>
  <c r="T1450" i="16"/>
  <c r="AF1450" i="16"/>
  <c r="V1452" i="16"/>
  <c r="X1451" i="16"/>
  <c r="W1451" i="16"/>
  <c r="W363" i="16"/>
  <c r="CV363" i="16" s="1"/>
  <c r="X363" i="16"/>
  <c r="V364" i="16"/>
  <c r="T363" i="16" l="1"/>
  <c r="AF363" i="16"/>
  <c r="T1451" i="16"/>
  <c r="AF1451" i="16"/>
  <c r="V1453" i="16"/>
  <c r="X1452" i="16"/>
  <c r="W1452" i="16"/>
  <c r="V365" i="16"/>
  <c r="W364" i="16"/>
  <c r="CV364" i="16" s="1"/>
  <c r="X364" i="16"/>
  <c r="AF364" i="16" l="1"/>
  <c r="T364" i="16"/>
  <c r="T1452" i="16"/>
  <c r="AF1452" i="16"/>
  <c r="W1453" i="16"/>
  <c r="V1454" i="16"/>
  <c r="X1453" i="16"/>
  <c r="V366" i="16"/>
  <c r="W365" i="16"/>
  <c r="CV365" i="16" s="1"/>
  <c r="X365" i="16"/>
  <c r="T1453" i="16" l="1"/>
  <c r="AF1453" i="16"/>
  <c r="AF365" i="16"/>
  <c r="T365" i="16"/>
  <c r="V1455" i="16"/>
  <c r="X1454" i="16"/>
  <c r="W1454" i="16"/>
  <c r="W366" i="16"/>
  <c r="X366" i="16"/>
  <c r="V367" i="16"/>
  <c r="CV366" i="16" l="1"/>
  <c r="T1454" i="16"/>
  <c r="AF1454" i="16"/>
  <c r="AF366" i="16"/>
  <c r="T366" i="16"/>
  <c r="V1456" i="16"/>
  <c r="X1455" i="16"/>
  <c r="W1455" i="16"/>
  <c r="X367" i="16"/>
  <c r="W367" i="16"/>
  <c r="V368" i="16"/>
  <c r="CV367" i="16" l="1"/>
  <c r="T1455" i="16"/>
  <c r="AF1455" i="16"/>
  <c r="T367" i="16"/>
  <c r="AF367" i="16"/>
  <c r="W1456" i="16"/>
  <c r="V1457" i="16"/>
  <c r="X1456" i="16"/>
  <c r="X368" i="16"/>
  <c r="V369" i="16"/>
  <c r="W368" i="16"/>
  <c r="CV368" i="16" s="1"/>
  <c r="AF1456" i="16" l="1"/>
  <c r="T1456" i="16"/>
  <c r="T368" i="16"/>
  <c r="AF368" i="16"/>
  <c r="V1458" i="16"/>
  <c r="W1457" i="16"/>
  <c r="X1457" i="16"/>
  <c r="X369" i="16"/>
  <c r="V370" i="16"/>
  <c r="W369" i="16"/>
  <c r="CV369" i="16" s="1"/>
  <c r="T369" i="16" l="1"/>
  <c r="AF369" i="16"/>
  <c r="AF1457" i="16"/>
  <c r="T1457" i="16"/>
  <c r="X1458" i="16"/>
  <c r="W1458" i="16"/>
  <c r="V1459" i="16"/>
  <c r="V371" i="16"/>
  <c r="W370" i="16"/>
  <c r="CV370" i="16" s="1"/>
  <c r="X370" i="16"/>
  <c r="AF370" i="16" l="1"/>
  <c r="T370" i="16"/>
  <c r="AF1458" i="16"/>
  <c r="T1458" i="16"/>
  <c r="W1459" i="16"/>
  <c r="V1460" i="16"/>
  <c r="X1459" i="16"/>
  <c r="X371" i="16"/>
  <c r="V372" i="16"/>
  <c r="W371" i="16"/>
  <c r="CV371" i="16" s="1"/>
  <c r="T371" i="16" l="1"/>
  <c r="AF371" i="16"/>
  <c r="AF1459" i="16"/>
  <c r="T1459" i="16"/>
  <c r="V1461" i="16"/>
  <c r="X1460" i="16"/>
  <c r="W1460" i="16"/>
  <c r="W372" i="16"/>
  <c r="V373" i="16"/>
  <c r="X372" i="16"/>
  <c r="CV372" i="16" l="1"/>
  <c r="AF372" i="16"/>
  <c r="T372" i="16"/>
  <c r="AF1460" i="16"/>
  <c r="T1460" i="16"/>
  <c r="W1461" i="16"/>
  <c r="X1461" i="16"/>
  <c r="V1462" i="16"/>
  <c r="W373" i="16"/>
  <c r="X373" i="16"/>
  <c r="V374" i="16"/>
  <c r="CV373" i="16" l="1"/>
  <c r="AF1461" i="16"/>
  <c r="T1461" i="16"/>
  <c r="T373" i="16"/>
  <c r="AF373" i="16"/>
  <c r="V1463" i="16"/>
  <c r="X1462" i="16"/>
  <c r="W1462" i="16"/>
  <c r="V375" i="16"/>
  <c r="X374" i="16"/>
  <c r="W374" i="16"/>
  <c r="CV374" i="16" s="1"/>
  <c r="AF374" i="16" l="1"/>
  <c r="T374" i="16"/>
  <c r="AF1462" i="16"/>
  <c r="T1462" i="16"/>
  <c r="V1464" i="16"/>
  <c r="X1463" i="16"/>
  <c r="W1463" i="16"/>
  <c r="V376" i="16"/>
  <c r="W375" i="16"/>
  <c r="X375" i="16"/>
  <c r="CV375" i="16" l="1"/>
  <c r="AF1463" i="16"/>
  <c r="T1463" i="16"/>
  <c r="AF375" i="16"/>
  <c r="T375" i="16"/>
  <c r="W1464" i="16"/>
  <c r="V1465" i="16"/>
  <c r="X1464" i="16"/>
  <c r="W376" i="16"/>
  <c r="V377" i="16"/>
  <c r="X376" i="16"/>
  <c r="CV376" i="16" l="1"/>
  <c r="T376" i="16"/>
  <c r="AF376" i="16"/>
  <c r="AF1464" i="16"/>
  <c r="T1464" i="16"/>
  <c r="W1465" i="16"/>
  <c r="V1466" i="16"/>
  <c r="X1465" i="16"/>
  <c r="V378" i="16"/>
  <c r="W377" i="16"/>
  <c r="X377" i="16"/>
  <c r="CV377" i="16" l="1"/>
  <c r="T377" i="16"/>
  <c r="AF377" i="16"/>
  <c r="AF1465" i="16"/>
  <c r="T1465" i="16"/>
  <c r="X1466" i="16"/>
  <c r="W1466" i="16"/>
  <c r="V1467" i="16"/>
  <c r="X378" i="16"/>
  <c r="W378" i="16"/>
  <c r="CV378" i="16" s="1"/>
  <c r="V379" i="16"/>
  <c r="T1466" i="16" l="1"/>
  <c r="AF1466" i="16"/>
  <c r="AF378" i="16"/>
  <c r="T378" i="16"/>
  <c r="V1468" i="16"/>
  <c r="X1467" i="16"/>
  <c r="W1467" i="16"/>
  <c r="X379" i="16"/>
  <c r="W379" i="16"/>
  <c r="CV379" i="16" s="1"/>
  <c r="V380" i="16"/>
  <c r="T1467" i="16" l="1"/>
  <c r="AF1467" i="16"/>
  <c r="AF379" i="16"/>
  <c r="T379" i="16"/>
  <c r="X1468" i="16"/>
  <c r="W1468" i="16"/>
  <c r="V1469" i="16"/>
  <c r="V381" i="16"/>
  <c r="W380" i="16"/>
  <c r="X380" i="16"/>
  <c r="CV380" i="16" l="1"/>
  <c r="AF380" i="16"/>
  <c r="T380" i="16"/>
  <c r="T1468" i="16"/>
  <c r="AF1468" i="16"/>
  <c r="W1469" i="16"/>
  <c r="V1470" i="16"/>
  <c r="X1469" i="16"/>
  <c r="X381" i="16"/>
  <c r="V382" i="16"/>
  <c r="W381" i="16"/>
  <c r="CV381" i="16" s="1"/>
  <c r="T381" i="16" l="1"/>
  <c r="AF381" i="16"/>
  <c r="T1469" i="16"/>
  <c r="AF1469" i="16"/>
  <c r="W1470" i="16"/>
  <c r="X1470" i="16"/>
  <c r="V1471" i="16"/>
  <c r="V383" i="16"/>
  <c r="W382" i="16"/>
  <c r="X382" i="16"/>
  <c r="CV382" i="16" l="1"/>
  <c r="AF382" i="16"/>
  <c r="T382" i="16"/>
  <c r="T1470" i="16"/>
  <c r="AF1470" i="16"/>
  <c r="V1472" i="16"/>
  <c r="W1471" i="16"/>
  <c r="X1471" i="16"/>
  <c r="X383" i="16"/>
  <c r="V384" i="16"/>
  <c r="W383" i="16"/>
  <c r="CV383" i="16" l="1"/>
  <c r="T1471" i="16"/>
  <c r="AF1471" i="16"/>
  <c r="AF383" i="16"/>
  <c r="T383" i="16"/>
  <c r="V1473" i="16"/>
  <c r="X1472" i="16"/>
  <c r="W1472" i="16"/>
  <c r="W384" i="16"/>
  <c r="X384" i="16"/>
  <c r="V385" i="16"/>
  <c r="CV384" i="16" l="1"/>
  <c r="T1472" i="16"/>
  <c r="AF1472" i="16"/>
  <c r="AF384" i="16"/>
  <c r="T384" i="16"/>
  <c r="W1473" i="16"/>
  <c r="V1474" i="16"/>
  <c r="X1473" i="16"/>
  <c r="X385" i="16"/>
  <c r="V386" i="16"/>
  <c r="W385" i="16"/>
  <c r="CV385" i="16" s="1"/>
  <c r="T1473" i="16" l="1"/>
  <c r="AF1473" i="16"/>
  <c r="AF385" i="16"/>
  <c r="T385" i="16"/>
  <c r="X1474" i="16"/>
  <c r="W1474" i="16"/>
  <c r="V1475" i="16"/>
  <c r="W386" i="16"/>
  <c r="CV386" i="16" s="1"/>
  <c r="X386" i="16"/>
  <c r="V387" i="16"/>
  <c r="T1474" i="16" l="1"/>
  <c r="AF1474" i="16"/>
  <c r="T386" i="16"/>
  <c r="AF386" i="16"/>
  <c r="X1475" i="16"/>
  <c r="V1476" i="16"/>
  <c r="W1475" i="16"/>
  <c r="X387" i="16"/>
  <c r="V388" i="16"/>
  <c r="W387" i="16"/>
  <c r="CV387" i="16" s="1"/>
  <c r="T1475" i="16" l="1"/>
  <c r="AF1475" i="16"/>
  <c r="T387" i="16"/>
  <c r="AF387" i="16"/>
  <c r="V1477" i="16"/>
  <c r="X1476" i="16"/>
  <c r="W1476" i="16"/>
  <c r="V389" i="16"/>
  <c r="W388" i="16"/>
  <c r="X388" i="16"/>
  <c r="CV388" i="16" l="1"/>
  <c r="AF388" i="16"/>
  <c r="T388" i="16"/>
  <c r="T1476" i="16"/>
  <c r="AF1476" i="16"/>
  <c r="V1478" i="16"/>
  <c r="X1477" i="16"/>
  <c r="W1477" i="16"/>
  <c r="W389" i="16"/>
  <c r="X389" i="16"/>
  <c r="V390" i="16"/>
  <c r="CV389" i="16" l="1"/>
  <c r="T1477" i="16"/>
  <c r="AF1477" i="16"/>
  <c r="T389" i="16"/>
  <c r="AF389" i="16"/>
  <c r="V1479" i="16"/>
  <c r="X1478" i="16"/>
  <c r="W1478" i="16"/>
  <c r="W390" i="16"/>
  <c r="X390" i="16"/>
  <c r="V391" i="16"/>
  <c r="CV390" i="16" l="1"/>
  <c r="AF390" i="16"/>
  <c r="T390" i="16"/>
  <c r="T1478" i="16"/>
  <c r="AF1478" i="16"/>
  <c r="X1479" i="16"/>
  <c r="W1479" i="16"/>
  <c r="V1480" i="16"/>
  <c r="X391" i="16"/>
  <c r="W391" i="16"/>
  <c r="CV391" i="16" s="1"/>
  <c r="V392" i="16"/>
  <c r="T391" i="16" l="1"/>
  <c r="AF391" i="16"/>
  <c r="T1479" i="16"/>
  <c r="AF1479" i="16"/>
  <c r="V1481" i="16"/>
  <c r="X1480" i="16"/>
  <c r="W1480" i="16"/>
  <c r="W392" i="16"/>
  <c r="X392" i="16"/>
  <c r="V393" i="16"/>
  <c r="CV392" i="16" l="1"/>
  <c r="AF1480" i="16"/>
  <c r="T1480" i="16"/>
  <c r="AF392" i="16"/>
  <c r="T392" i="16"/>
  <c r="W1481" i="16"/>
  <c r="X1481" i="16"/>
  <c r="V1482" i="16"/>
  <c r="V394" i="16"/>
  <c r="W393" i="16"/>
  <c r="X393" i="16"/>
  <c r="CV393" i="16" l="1"/>
  <c r="AF1481" i="16"/>
  <c r="T1481" i="16"/>
  <c r="AF393" i="16"/>
  <c r="T393" i="16"/>
  <c r="V1483" i="16"/>
  <c r="X1482" i="16"/>
  <c r="W1482" i="16"/>
  <c r="V395" i="16"/>
  <c r="W394" i="16"/>
  <c r="X394" i="16"/>
  <c r="CV394" i="16" l="1"/>
  <c r="AF1482" i="16"/>
  <c r="T1482" i="16"/>
  <c r="T394" i="16"/>
  <c r="AF394" i="16"/>
  <c r="V1484" i="16"/>
  <c r="X1483" i="16"/>
  <c r="W1483" i="16"/>
  <c r="X395" i="16"/>
  <c r="W395" i="16"/>
  <c r="CV395" i="16" s="1"/>
  <c r="V396" i="16"/>
  <c r="AF1483" i="16" l="1"/>
  <c r="T1483" i="16"/>
  <c r="T395" i="16"/>
  <c r="AF395" i="16"/>
  <c r="X1484" i="16"/>
  <c r="W1484" i="16"/>
  <c r="V1485" i="16"/>
  <c r="W396" i="16"/>
  <c r="X396" i="16"/>
  <c r="V397" i="16"/>
  <c r="CV396" i="16" l="1"/>
  <c r="T396" i="16"/>
  <c r="AF396" i="16"/>
  <c r="AF1484" i="16"/>
  <c r="T1484" i="16"/>
  <c r="V1486" i="16"/>
  <c r="X1485" i="16"/>
  <c r="W1485" i="16"/>
  <c r="W397" i="16"/>
  <c r="X397" i="16"/>
  <c r="V398" i="16"/>
  <c r="CV397" i="16" l="1"/>
  <c r="AF1485" i="16"/>
  <c r="T1485" i="16"/>
  <c r="AF397" i="16"/>
  <c r="T397" i="16"/>
  <c r="V1487" i="16"/>
  <c r="X1486" i="16"/>
  <c r="W1486" i="16"/>
  <c r="V399" i="16"/>
  <c r="W398" i="16"/>
  <c r="X398" i="16"/>
  <c r="CV398" i="16" l="1"/>
  <c r="AF1486" i="16"/>
  <c r="T1486" i="16"/>
  <c r="AF398" i="16"/>
  <c r="T398" i="16"/>
  <c r="V1488" i="16"/>
  <c r="X1487" i="16"/>
  <c r="W1487" i="16"/>
  <c r="W399" i="16"/>
  <c r="CV399" i="16" s="1"/>
  <c r="X399" i="16"/>
  <c r="V400" i="16"/>
  <c r="T399" i="16" l="1"/>
  <c r="AF399" i="16"/>
  <c r="AF1487" i="16"/>
  <c r="T1487" i="16"/>
  <c r="V1489" i="16"/>
  <c r="X1488" i="16"/>
  <c r="W1488" i="16"/>
  <c r="W400" i="16"/>
  <c r="V401" i="16"/>
  <c r="X400" i="16"/>
  <c r="CV400" i="16" l="1"/>
  <c r="AF1488" i="16"/>
  <c r="T1488" i="16"/>
  <c r="AF400" i="16"/>
  <c r="T400" i="16"/>
  <c r="W1489" i="16"/>
  <c r="V1490" i="16"/>
  <c r="X1489" i="16"/>
  <c r="W401" i="16"/>
  <c r="X401" i="16"/>
  <c r="V402" i="16"/>
  <c r="CV401" i="16" l="1"/>
  <c r="AF1489" i="16"/>
  <c r="T1489" i="16"/>
  <c r="AF401" i="16"/>
  <c r="T401" i="16"/>
  <c r="V1491" i="16"/>
  <c r="X1490" i="16"/>
  <c r="W1490" i="16"/>
  <c r="V403" i="16"/>
  <c r="X402" i="16"/>
  <c r="W402" i="16"/>
  <c r="CV402" i="16" s="1"/>
  <c r="AF402" i="16" l="1"/>
  <c r="T402" i="16"/>
  <c r="AF1490" i="16"/>
  <c r="T1490" i="16"/>
  <c r="V1492" i="16"/>
  <c r="X1491" i="16"/>
  <c r="W1491" i="16"/>
  <c r="V404" i="16"/>
  <c r="W403" i="16"/>
  <c r="X403" i="16"/>
  <c r="CV403" i="16" l="1"/>
  <c r="T403" i="16"/>
  <c r="AF403" i="16"/>
  <c r="AF1491" i="16"/>
  <c r="T1491" i="16"/>
  <c r="V1493" i="16"/>
  <c r="X1492" i="16"/>
  <c r="W1492" i="16"/>
  <c r="V405" i="16"/>
  <c r="W404" i="16"/>
  <c r="X404" i="16"/>
  <c r="CV404" i="16" l="1"/>
  <c r="AF1492" i="16"/>
  <c r="T1492" i="16"/>
  <c r="T404" i="16"/>
  <c r="AF404" i="16"/>
  <c r="W1493" i="16"/>
  <c r="X1493" i="16"/>
  <c r="V1494" i="16"/>
  <c r="V406" i="16"/>
  <c r="W405" i="16"/>
  <c r="X405" i="16"/>
  <c r="CV405" i="16" l="1"/>
  <c r="AF405" i="16"/>
  <c r="T405" i="16"/>
  <c r="AF1493" i="16"/>
  <c r="T1493" i="16"/>
  <c r="W1494" i="16"/>
  <c r="V1495" i="16"/>
  <c r="X1494" i="16"/>
  <c r="V407" i="16"/>
  <c r="W406" i="16"/>
  <c r="X406" i="16"/>
  <c r="CV406" i="16" l="1"/>
  <c r="AF406" i="16"/>
  <c r="T406" i="16"/>
  <c r="T1494" i="16"/>
  <c r="AF1494" i="16"/>
  <c r="X1495" i="16"/>
  <c r="W1495" i="16"/>
  <c r="V1496" i="16"/>
  <c r="W407" i="16"/>
  <c r="V408" i="16"/>
  <c r="X407" i="16"/>
  <c r="CV407" i="16" l="1"/>
  <c r="T1495" i="16"/>
  <c r="AF1495" i="16"/>
  <c r="T407" i="16"/>
  <c r="AF407" i="16"/>
  <c r="V1497" i="16"/>
  <c r="X1496" i="16"/>
  <c r="W1496" i="16"/>
  <c r="V409" i="16"/>
  <c r="W408" i="16"/>
  <c r="X408" i="16"/>
  <c r="CV408" i="16" l="1"/>
  <c r="AF408" i="16"/>
  <c r="T408" i="16"/>
  <c r="T1496" i="16"/>
  <c r="AF1496" i="16"/>
  <c r="W1497" i="16"/>
  <c r="X1497" i="16"/>
  <c r="V1498" i="16"/>
  <c r="X409" i="16"/>
  <c r="V410" i="16"/>
  <c r="W409" i="16"/>
  <c r="CV409" i="16" s="1"/>
  <c r="T1497" i="16" l="1"/>
  <c r="AF1497" i="16"/>
  <c r="AF409" i="16"/>
  <c r="T409" i="16"/>
  <c r="V1499" i="16"/>
  <c r="X1498" i="16"/>
  <c r="W1498" i="16"/>
  <c r="X410" i="16"/>
  <c r="V411" i="16"/>
  <c r="W410" i="16"/>
  <c r="CV410" i="16" s="1"/>
  <c r="T1498" i="16" l="1"/>
  <c r="AF1498" i="16"/>
  <c r="T410" i="16"/>
  <c r="AF410" i="16"/>
  <c r="V1500" i="16"/>
  <c r="X1499" i="16"/>
  <c r="W1499" i="16"/>
  <c r="X411" i="16"/>
  <c r="W411" i="16"/>
  <c r="CV411" i="16" s="1"/>
  <c r="V412" i="16"/>
  <c r="T411" i="16" l="1"/>
  <c r="AF411" i="16"/>
  <c r="T1499" i="16"/>
  <c r="AF1499" i="16"/>
  <c r="X1500" i="16"/>
  <c r="W1500" i="16"/>
  <c r="V1501" i="16"/>
  <c r="W412" i="16"/>
  <c r="X412" i="16"/>
  <c r="V413" i="16"/>
  <c r="CV412" i="16" l="1"/>
  <c r="T1500" i="16"/>
  <c r="AF1500" i="16"/>
  <c r="AF412" i="16"/>
  <c r="T412" i="16"/>
  <c r="V1502" i="16"/>
  <c r="X1501" i="16"/>
  <c r="W1501" i="16"/>
  <c r="W413" i="16"/>
  <c r="CV413" i="16" s="1"/>
  <c r="X413" i="16"/>
  <c r="V414" i="16"/>
  <c r="T1501" i="16" l="1"/>
  <c r="AF1501" i="16"/>
  <c r="AF413" i="16"/>
  <c r="T413" i="16"/>
  <c r="X1502" i="16"/>
  <c r="W1502" i="16"/>
  <c r="V1503" i="16"/>
  <c r="W414" i="16"/>
  <c r="CV414" i="16" s="1"/>
  <c r="X414" i="16"/>
  <c r="V415" i="16"/>
  <c r="T1502" i="16" l="1"/>
  <c r="AF1502" i="16"/>
  <c r="AF414" i="16"/>
  <c r="T414" i="16"/>
  <c r="V1504" i="16"/>
  <c r="W1503" i="16"/>
  <c r="X1503" i="16"/>
  <c r="W415" i="16"/>
  <c r="CV415" i="16" s="1"/>
  <c r="X415" i="16"/>
  <c r="V416" i="16"/>
  <c r="T415" i="16" l="1"/>
  <c r="AF415" i="16"/>
  <c r="AF1503" i="16"/>
  <c r="T1503" i="16"/>
  <c r="V1505" i="16"/>
  <c r="X1504" i="16"/>
  <c r="W1504" i="16"/>
  <c r="V417" i="16"/>
  <c r="W416" i="16"/>
  <c r="X416" i="16"/>
  <c r="CV416" i="16" l="1"/>
  <c r="T416" i="16"/>
  <c r="AF416" i="16"/>
  <c r="AF1504" i="16"/>
  <c r="T1504" i="16"/>
  <c r="W1505" i="16"/>
  <c r="V1506" i="16"/>
  <c r="X1505" i="16"/>
  <c r="V418" i="16"/>
  <c r="W417" i="16"/>
  <c r="X417" i="16"/>
  <c r="CV417" i="16" l="1"/>
  <c r="AF1505" i="16"/>
  <c r="T1505" i="16"/>
  <c r="AF417" i="16"/>
  <c r="T417" i="16"/>
  <c r="X1506" i="16"/>
  <c r="V1507" i="16"/>
  <c r="W1506" i="16"/>
  <c r="W418" i="16"/>
  <c r="X418" i="16"/>
  <c r="V419" i="16"/>
  <c r="CV418" i="16" l="1"/>
  <c r="AF1506" i="16"/>
  <c r="T1506" i="16"/>
  <c r="AF418" i="16"/>
  <c r="T418" i="16"/>
  <c r="V1508" i="16"/>
  <c r="X1507" i="16"/>
  <c r="W1507" i="16"/>
  <c r="V420" i="16"/>
  <c r="W419" i="16"/>
  <c r="X419" i="16"/>
  <c r="CV419" i="16" l="1"/>
  <c r="AF1507" i="16"/>
  <c r="T1507" i="16"/>
  <c r="T419" i="16"/>
  <c r="AF419" i="16"/>
  <c r="V1509" i="16"/>
  <c r="X1508" i="16"/>
  <c r="W1508" i="16"/>
  <c r="W420" i="16"/>
  <c r="X420" i="16"/>
  <c r="V421" i="16"/>
  <c r="CV420" i="16" l="1"/>
  <c r="AF420" i="16"/>
  <c r="T420" i="16"/>
  <c r="AF1508" i="16"/>
  <c r="T1508" i="16"/>
  <c r="W1509" i="16"/>
  <c r="V1510" i="16"/>
  <c r="X1509" i="16"/>
  <c r="X421" i="16"/>
  <c r="V422" i="16"/>
  <c r="W421" i="16"/>
  <c r="CV421" i="16" s="1"/>
  <c r="AF1509" i="16" l="1"/>
  <c r="T1509" i="16"/>
  <c r="AF421" i="16"/>
  <c r="T421" i="16"/>
  <c r="W1510" i="16"/>
  <c r="V1511" i="16"/>
  <c r="X1510" i="16"/>
  <c r="V423" i="16"/>
  <c r="W422" i="16"/>
  <c r="CV422" i="16" s="1"/>
  <c r="X422" i="16"/>
  <c r="AF422" i="16" l="1"/>
  <c r="T422" i="16"/>
  <c r="AF1510" i="16"/>
  <c r="T1510" i="16"/>
  <c r="V1512" i="16"/>
  <c r="X1511" i="16"/>
  <c r="W1511" i="16"/>
  <c r="W423" i="16"/>
  <c r="V424" i="16"/>
  <c r="X423" i="16"/>
  <c r="CV423" i="16" l="1"/>
  <c r="AF1511" i="16"/>
  <c r="T1511" i="16"/>
  <c r="AF423" i="16"/>
  <c r="T423" i="16"/>
  <c r="V1513" i="16"/>
  <c r="X1512" i="16"/>
  <c r="W1512" i="16"/>
  <c r="W424" i="16"/>
  <c r="X424" i="16"/>
  <c r="V425" i="16"/>
  <c r="CV424" i="16" l="1"/>
  <c r="T424" i="16"/>
  <c r="AF424" i="16"/>
  <c r="AF1512" i="16"/>
  <c r="T1512" i="16"/>
  <c r="X1513" i="16"/>
  <c r="W1513" i="16"/>
  <c r="V1514" i="16"/>
  <c r="W425" i="16"/>
  <c r="X425" i="16"/>
  <c r="V426" i="16"/>
  <c r="CV425" i="16" l="1"/>
  <c r="T425" i="16"/>
  <c r="AF425" i="16"/>
  <c r="AF1513" i="16"/>
  <c r="T1513" i="16"/>
  <c r="V1515" i="16"/>
  <c r="W1514" i="16"/>
  <c r="X1514" i="16"/>
  <c r="W426" i="16"/>
  <c r="V427" i="16"/>
  <c r="X426" i="16"/>
  <c r="CV426" i="16" l="1"/>
  <c r="AF426" i="16"/>
  <c r="T426" i="16"/>
  <c r="T1514" i="16"/>
  <c r="AF1514" i="16"/>
  <c r="X1515" i="16"/>
  <c r="V1516" i="16"/>
  <c r="W1515" i="16"/>
  <c r="V428" i="16"/>
  <c r="W427" i="16"/>
  <c r="X427" i="16"/>
  <c r="CV427" i="16" l="1"/>
  <c r="AF427" i="16"/>
  <c r="T427" i="16"/>
  <c r="AF1515" i="16"/>
  <c r="T1515" i="16"/>
  <c r="V1517" i="16"/>
  <c r="X1516" i="16"/>
  <c r="W1516" i="16"/>
  <c r="W428" i="16"/>
  <c r="X428" i="16"/>
  <c r="V429" i="16"/>
  <c r="CV428" i="16" l="1"/>
  <c r="AF1516" i="16"/>
  <c r="T1516" i="16"/>
  <c r="AF428" i="16"/>
  <c r="T428" i="16"/>
  <c r="V1518" i="16"/>
  <c r="W1517" i="16"/>
  <c r="X1517" i="16"/>
  <c r="W429" i="16"/>
  <c r="CV429" i="16" s="1"/>
  <c r="X429" i="16"/>
  <c r="V430" i="16"/>
  <c r="T429" i="16" l="1"/>
  <c r="AF429" i="16"/>
  <c r="AF1517" i="16"/>
  <c r="T1517" i="16"/>
  <c r="W1518" i="16"/>
  <c r="V1519" i="16"/>
  <c r="X1518" i="16"/>
  <c r="V431" i="16"/>
  <c r="X430" i="16"/>
  <c r="W430" i="16"/>
  <c r="CV430" i="16" s="1"/>
  <c r="T430" i="16" l="1"/>
  <c r="AF430" i="16"/>
  <c r="T1518" i="16"/>
  <c r="AF1518" i="16"/>
  <c r="V1520" i="16"/>
  <c r="X1519" i="16"/>
  <c r="W1519" i="16"/>
  <c r="X431" i="16"/>
  <c r="V432" i="16"/>
  <c r="W431" i="16"/>
  <c r="CV431" i="16" l="1"/>
  <c r="T1519" i="16"/>
  <c r="AF1519" i="16"/>
  <c r="T431" i="16"/>
  <c r="AF431" i="16"/>
  <c r="V1521" i="16"/>
  <c r="X1520" i="16"/>
  <c r="W1520" i="16"/>
  <c r="V433" i="16"/>
  <c r="W432" i="16"/>
  <c r="X432" i="16"/>
  <c r="CV432" i="16" l="1"/>
  <c r="AF432" i="16"/>
  <c r="T432" i="16"/>
  <c r="T1520" i="16"/>
  <c r="AF1520" i="16"/>
  <c r="V1522" i="16"/>
  <c r="X1521" i="16"/>
  <c r="W1521" i="16"/>
  <c r="W433" i="16"/>
  <c r="X433" i="16"/>
  <c r="V434" i="16"/>
  <c r="CV433" i="16" l="1"/>
  <c r="AF433" i="16"/>
  <c r="T433" i="16"/>
  <c r="T1521" i="16"/>
  <c r="AF1521" i="16"/>
  <c r="V1523" i="16"/>
  <c r="X1522" i="16"/>
  <c r="W1522" i="16"/>
  <c r="V435" i="16"/>
  <c r="W434" i="16"/>
  <c r="CV434" i="16" s="1"/>
  <c r="X434" i="16"/>
  <c r="T1522" i="16" l="1"/>
  <c r="AF1522" i="16"/>
  <c r="T434" i="16"/>
  <c r="AF434" i="16"/>
  <c r="W1523" i="16"/>
  <c r="V1524" i="16"/>
  <c r="X1523" i="16"/>
  <c r="W435" i="16"/>
  <c r="CV435" i="16" s="1"/>
  <c r="X435" i="16"/>
  <c r="V436" i="16"/>
  <c r="AF435" i="16" l="1"/>
  <c r="T435" i="16"/>
  <c r="T1523" i="16"/>
  <c r="AF1523" i="16"/>
  <c r="V1525" i="16"/>
  <c r="X1524" i="16"/>
  <c r="W1524" i="16"/>
  <c r="X436" i="16"/>
  <c r="V437" i="16"/>
  <c r="W436" i="16"/>
  <c r="CV436" i="16" s="1"/>
  <c r="T1524" i="16" l="1"/>
  <c r="AF1524" i="16"/>
  <c r="T436" i="16"/>
  <c r="AF436" i="16"/>
  <c r="W1525" i="16"/>
  <c r="X1525" i="16"/>
  <c r="V1526" i="16"/>
  <c r="V438" i="16"/>
  <c r="W437" i="16"/>
  <c r="X437" i="16"/>
  <c r="CV437" i="16" l="1"/>
  <c r="T437" i="16"/>
  <c r="AF437" i="16"/>
  <c r="T1525" i="16"/>
  <c r="AF1525" i="16"/>
  <c r="W1526" i="16"/>
  <c r="V1527" i="16"/>
  <c r="X1526" i="16"/>
  <c r="W438" i="16"/>
  <c r="X438" i="16"/>
  <c r="V439" i="16"/>
  <c r="CV438" i="16" l="1"/>
  <c r="T438" i="16"/>
  <c r="AF438" i="16"/>
  <c r="T1526" i="16"/>
  <c r="AF1526" i="16"/>
  <c r="V1528" i="16"/>
  <c r="X1527" i="16"/>
  <c r="W1527" i="16"/>
  <c r="V440" i="16"/>
  <c r="X439" i="16"/>
  <c r="W439" i="16"/>
  <c r="CV439" i="16" s="1"/>
  <c r="AF439" i="16" l="1"/>
  <c r="T439" i="16"/>
  <c r="AF1527" i="16"/>
  <c r="T1527" i="16"/>
  <c r="V1529" i="16"/>
  <c r="X1528" i="16"/>
  <c r="W1528" i="16"/>
  <c r="X440" i="16"/>
  <c r="V441" i="16"/>
  <c r="W440" i="16"/>
  <c r="CV440" i="16" s="1"/>
  <c r="AF440" i="16" l="1"/>
  <c r="T440" i="16"/>
  <c r="AF1528" i="16"/>
  <c r="T1528" i="16"/>
  <c r="V1530" i="16"/>
  <c r="X1529" i="16"/>
  <c r="W1529" i="16"/>
  <c r="W441" i="16"/>
  <c r="CV441" i="16" s="1"/>
  <c r="X441" i="16"/>
  <c r="V442" i="16"/>
  <c r="AF1529" i="16" l="1"/>
  <c r="T1529" i="16"/>
  <c r="AF441" i="16"/>
  <c r="T441" i="16"/>
  <c r="W1530" i="16"/>
  <c r="V1531" i="16"/>
  <c r="X1530" i="16"/>
  <c r="V443" i="16"/>
  <c r="W442" i="16"/>
  <c r="X442" i="16"/>
  <c r="CV442" i="16" l="1"/>
  <c r="AF442" i="16"/>
  <c r="T442" i="16"/>
  <c r="AF1530" i="16"/>
  <c r="T1530" i="16"/>
  <c r="V1532" i="16"/>
  <c r="X1531" i="16"/>
  <c r="W1531" i="16"/>
  <c r="W443" i="16"/>
  <c r="X443" i="16"/>
  <c r="V444" i="16"/>
  <c r="CV443" i="16" l="1"/>
  <c r="AF443" i="16"/>
  <c r="T443" i="16"/>
  <c r="AF1531" i="16"/>
  <c r="T1531" i="16"/>
  <c r="V1533" i="16"/>
  <c r="X1532" i="16"/>
  <c r="W1532" i="16"/>
  <c r="W444" i="16"/>
  <c r="CV444" i="16" s="1"/>
  <c r="X444" i="16"/>
  <c r="V445" i="16"/>
  <c r="AF1532" i="16" l="1"/>
  <c r="T1532" i="16"/>
  <c r="AF444" i="16"/>
  <c r="T444" i="16"/>
  <c r="X1533" i="16"/>
  <c r="V1534" i="16"/>
  <c r="W1533" i="16"/>
  <c r="X445" i="16"/>
  <c r="W445" i="16"/>
  <c r="CV445" i="16" s="1"/>
  <c r="V446" i="16"/>
  <c r="T445" i="16" l="1"/>
  <c r="AF445" i="16"/>
  <c r="AF1533" i="16"/>
  <c r="T1533" i="16"/>
  <c r="W1534" i="16"/>
  <c r="V1535" i="16"/>
  <c r="X1534" i="16"/>
  <c r="W446" i="16"/>
  <c r="CV446" i="16" s="1"/>
  <c r="X446" i="16"/>
  <c r="V447" i="16"/>
  <c r="AF446" i="16" l="1"/>
  <c r="T446" i="16"/>
  <c r="AF1534" i="16"/>
  <c r="T1534" i="16"/>
  <c r="X1535" i="16"/>
  <c r="V1536" i="16"/>
  <c r="W1535" i="16"/>
  <c r="V448" i="16"/>
  <c r="X447" i="16"/>
  <c r="W447" i="16"/>
  <c r="CV447" i="16" s="1"/>
  <c r="AF1535" i="16" l="1"/>
  <c r="T1535" i="16"/>
  <c r="T447" i="16"/>
  <c r="AF447" i="16"/>
  <c r="V1537" i="16"/>
  <c r="W1536" i="16"/>
  <c r="X1536" i="16"/>
  <c r="V449" i="16"/>
  <c r="W448" i="16"/>
  <c r="X448" i="16"/>
  <c r="CV448" i="16" l="1"/>
  <c r="AF1536" i="16"/>
  <c r="T1536" i="16"/>
  <c r="AF448" i="16"/>
  <c r="T448" i="16"/>
  <c r="V1538" i="16"/>
  <c r="X1537" i="16"/>
  <c r="W1537" i="16"/>
  <c r="W449" i="16"/>
  <c r="CV449" i="16" s="1"/>
  <c r="X449" i="16"/>
  <c r="V450" i="16"/>
  <c r="AF1537" i="16" l="1"/>
  <c r="T1537" i="16"/>
  <c r="T449" i="16"/>
  <c r="AF449" i="16"/>
  <c r="V1539" i="16"/>
  <c r="X1538" i="16"/>
  <c r="W1538" i="16"/>
  <c r="W450" i="16"/>
  <c r="X450" i="16"/>
  <c r="V451" i="16"/>
  <c r="CV450" i="16" l="1"/>
  <c r="AF1538" i="16"/>
  <c r="T1538" i="16"/>
  <c r="T450" i="16"/>
  <c r="AF450" i="16"/>
  <c r="V1540" i="16"/>
  <c r="X1539" i="16"/>
  <c r="W1539" i="16"/>
  <c r="V452" i="16"/>
  <c r="W451" i="16"/>
  <c r="X451" i="16"/>
  <c r="CV451" i="16" l="1"/>
  <c r="T1539" i="16"/>
  <c r="AF1539" i="16"/>
  <c r="AF451" i="16"/>
  <c r="T451" i="16"/>
  <c r="V1541" i="16"/>
  <c r="X1540" i="16"/>
  <c r="W1540" i="16"/>
  <c r="V453" i="16"/>
  <c r="W452" i="16"/>
  <c r="X452" i="16"/>
  <c r="CV452" i="16" l="1"/>
  <c r="AF452" i="16"/>
  <c r="T452" i="16"/>
  <c r="T1540" i="16"/>
  <c r="AF1540" i="16"/>
  <c r="V1542" i="16"/>
  <c r="X1541" i="16"/>
  <c r="W1541" i="16"/>
  <c r="W453" i="16"/>
  <c r="CV453" i="16" s="1"/>
  <c r="X453" i="16"/>
  <c r="V454" i="16"/>
  <c r="T453" i="16" l="1"/>
  <c r="AF453" i="16"/>
  <c r="T1541" i="16"/>
  <c r="AF1541" i="16"/>
  <c r="W1542" i="16"/>
  <c r="V1543" i="16"/>
  <c r="X1542" i="16"/>
  <c r="V455" i="16"/>
  <c r="W454" i="16"/>
  <c r="CV454" i="16" s="1"/>
  <c r="X454" i="16"/>
  <c r="T454" i="16" l="1"/>
  <c r="AF454" i="16"/>
  <c r="T1542" i="16"/>
  <c r="AF1542" i="16"/>
  <c r="X1543" i="16"/>
  <c r="W1543" i="16"/>
  <c r="V1544" i="16"/>
  <c r="V456" i="16"/>
  <c r="W455" i="16"/>
  <c r="CV455" i="16" s="1"/>
  <c r="X455" i="16"/>
  <c r="T455" i="16" l="1"/>
  <c r="AF455" i="16"/>
  <c r="T1543" i="16"/>
  <c r="AF1543" i="16"/>
  <c r="V1545" i="16"/>
  <c r="W1544" i="16"/>
  <c r="X1544" i="16"/>
  <c r="W456" i="16"/>
  <c r="X456" i="16"/>
  <c r="V457" i="16"/>
  <c r="CV456" i="16" l="1"/>
  <c r="AF456" i="16"/>
  <c r="T456" i="16"/>
  <c r="T1544" i="16"/>
  <c r="AF1544" i="16"/>
  <c r="V1546" i="16"/>
  <c r="X1545" i="16"/>
  <c r="W1545" i="16"/>
  <c r="V458" i="16"/>
  <c r="X457" i="16"/>
  <c r="W457" i="16"/>
  <c r="CV457" i="16" s="1"/>
  <c r="T457" i="16" l="1"/>
  <c r="AF457" i="16"/>
  <c r="T1545" i="16"/>
  <c r="AF1545" i="16"/>
  <c r="V1547" i="16"/>
  <c r="X1546" i="16"/>
  <c r="W1546" i="16"/>
  <c r="W458" i="16"/>
  <c r="X458" i="16"/>
  <c r="V459" i="16"/>
  <c r="CV458" i="16" l="1"/>
  <c r="T1546" i="16"/>
  <c r="AF1546" i="16"/>
  <c r="T458" i="16"/>
  <c r="AF458" i="16"/>
  <c r="X1547" i="16"/>
  <c r="W1547" i="16"/>
  <c r="V1548" i="16"/>
  <c r="W459" i="16"/>
  <c r="V460" i="16"/>
  <c r="X459" i="16"/>
  <c r="CV459" i="16" l="1"/>
  <c r="AF459" i="16"/>
  <c r="T459" i="16"/>
  <c r="T1547" i="16"/>
  <c r="AF1547" i="16"/>
  <c r="W1548" i="16"/>
  <c r="V1549" i="16"/>
  <c r="X1548" i="16"/>
  <c r="X460" i="16"/>
  <c r="V461" i="16"/>
  <c r="W460" i="16"/>
  <c r="CV460" i="16" s="1"/>
  <c r="T460" i="16" l="1"/>
  <c r="AF460" i="16"/>
  <c r="T1548" i="16"/>
  <c r="AF1548" i="16"/>
  <c r="X1549" i="16"/>
  <c r="V1550" i="16"/>
  <c r="W1549" i="16"/>
  <c r="W461" i="16"/>
  <c r="X461" i="16"/>
  <c r="V462" i="16"/>
  <c r="CV461" i="16" l="1"/>
  <c r="AF461" i="16"/>
  <c r="T461" i="16"/>
  <c r="T1549" i="16"/>
  <c r="AF1549" i="16"/>
  <c r="W1550" i="16"/>
  <c r="V1551" i="16"/>
  <c r="X1550" i="16"/>
  <c r="V463" i="16"/>
  <c r="W462" i="16"/>
  <c r="X462" i="16"/>
  <c r="CV462" i="16" l="1"/>
  <c r="T1550" i="16"/>
  <c r="AF1550" i="16"/>
  <c r="T462" i="16"/>
  <c r="AF462" i="16"/>
  <c r="X1551" i="16"/>
  <c r="V1552" i="16"/>
  <c r="W1551" i="16"/>
  <c r="V464" i="16"/>
  <c r="W463" i="16"/>
  <c r="X463" i="16"/>
  <c r="CV463" i="16" l="1"/>
  <c r="T463" i="16"/>
  <c r="AF463" i="16"/>
  <c r="AF1551" i="16"/>
  <c r="T1551" i="16"/>
  <c r="V1553" i="16"/>
  <c r="X1552" i="16"/>
  <c r="W1552" i="16"/>
  <c r="W464" i="16"/>
  <c r="X464" i="16"/>
  <c r="V465" i="16"/>
  <c r="CV464" i="16" l="1"/>
  <c r="AF1552" i="16"/>
  <c r="T1552" i="16"/>
  <c r="T464" i="16"/>
  <c r="AF464" i="16"/>
  <c r="X1553" i="16"/>
  <c r="W1553" i="16"/>
  <c r="V1554" i="16"/>
  <c r="X465" i="16"/>
  <c r="W465" i="16"/>
  <c r="CV465" i="16" s="1"/>
  <c r="V466" i="16"/>
  <c r="AF465" i="16" l="1"/>
  <c r="T465" i="16"/>
  <c r="AF1553" i="16"/>
  <c r="T1553" i="16"/>
  <c r="V1555" i="16"/>
  <c r="X1554" i="16"/>
  <c r="W1554" i="16"/>
  <c r="V467" i="16"/>
  <c r="X466" i="16"/>
  <c r="W466" i="16"/>
  <c r="CV466" i="16" s="1"/>
  <c r="T466" i="16" l="1"/>
  <c r="AF466" i="16"/>
  <c r="AF1554" i="16"/>
  <c r="T1554" i="16"/>
  <c r="V1556" i="16"/>
  <c r="X1555" i="16"/>
  <c r="W1555" i="16"/>
  <c r="V468" i="16"/>
  <c r="X467" i="16"/>
  <c r="W467" i="16"/>
  <c r="CV467" i="16" s="1"/>
  <c r="T467" i="16" l="1"/>
  <c r="AF467" i="16"/>
  <c r="AF1555" i="16"/>
  <c r="T1555" i="16"/>
  <c r="W1556" i="16"/>
  <c r="V1557" i="16"/>
  <c r="X1556" i="16"/>
  <c r="V469" i="16"/>
  <c r="W468" i="16"/>
  <c r="CV468" i="16" s="1"/>
  <c r="X468" i="16"/>
  <c r="AF1556" i="16" l="1"/>
  <c r="T1556" i="16"/>
  <c r="AF468" i="16"/>
  <c r="T468" i="16"/>
  <c r="V1558" i="16"/>
  <c r="W1557" i="16"/>
  <c r="X1557" i="16"/>
  <c r="X469" i="16"/>
  <c r="W469" i="16"/>
  <c r="CV469" i="16" s="1"/>
  <c r="V470" i="16"/>
  <c r="AF1557" i="16" l="1"/>
  <c r="T1557" i="16"/>
  <c r="AF469" i="16"/>
  <c r="T469" i="16"/>
  <c r="W1558" i="16"/>
  <c r="V1559" i="16"/>
  <c r="X1558" i="16"/>
  <c r="V471" i="16"/>
  <c r="W470" i="16"/>
  <c r="X470" i="16"/>
  <c r="CV470" i="16" l="1"/>
  <c r="AF1558" i="16"/>
  <c r="T1558" i="16"/>
  <c r="AF470" i="16"/>
  <c r="T470" i="16"/>
  <c r="X1559" i="16"/>
  <c r="V1560" i="16"/>
  <c r="W1559" i="16"/>
  <c r="W471" i="16"/>
  <c r="X471" i="16"/>
  <c r="V472" i="16"/>
  <c r="CV471" i="16" l="1"/>
  <c r="AF1559" i="16"/>
  <c r="T1559" i="16"/>
  <c r="T471" i="16"/>
  <c r="AF471" i="16"/>
  <c r="X1560" i="16"/>
  <c r="W1560" i="16"/>
  <c r="V1561" i="16"/>
  <c r="V473" i="16"/>
  <c r="W472" i="16"/>
  <c r="X472" i="16"/>
  <c r="CV472" i="16" l="1"/>
  <c r="AF1560" i="16"/>
  <c r="T1560" i="16"/>
  <c r="T472" i="16"/>
  <c r="AF472" i="16"/>
  <c r="V1562" i="16"/>
  <c r="X1561" i="16"/>
  <c r="W1561" i="16"/>
  <c r="X473" i="16"/>
  <c r="V474" i="16"/>
  <c r="W473" i="16"/>
  <c r="CV473" i="16" s="1"/>
  <c r="AF473" i="16" l="1"/>
  <c r="T473" i="16"/>
  <c r="AF1561" i="16"/>
  <c r="T1561" i="16"/>
  <c r="V1563" i="16"/>
  <c r="X1562" i="16"/>
  <c r="W1562" i="16"/>
  <c r="W474" i="16"/>
  <c r="V475" i="16"/>
  <c r="X474" i="16"/>
  <c r="CV474" i="16" l="1"/>
  <c r="AF1562" i="16"/>
  <c r="T1562" i="16"/>
  <c r="T474" i="16"/>
  <c r="AF474" i="16"/>
  <c r="V1564" i="16"/>
  <c r="X1563" i="16"/>
  <c r="W1563" i="16"/>
  <c r="W475" i="16"/>
  <c r="X475" i="16"/>
  <c r="V476" i="16"/>
  <c r="CV475" i="16" l="1"/>
  <c r="AF475" i="16"/>
  <c r="T475" i="16"/>
  <c r="AF1563" i="16"/>
  <c r="T1563" i="16"/>
  <c r="V1565" i="16"/>
  <c r="X1564" i="16"/>
  <c r="W1564" i="16"/>
  <c r="V477" i="16"/>
  <c r="W476" i="16"/>
  <c r="X476" i="16"/>
  <c r="CV476" i="16" l="1"/>
  <c r="AF476" i="16"/>
  <c r="T476" i="16"/>
  <c r="AF1564" i="16"/>
  <c r="T1564" i="16"/>
  <c r="V1566" i="16"/>
  <c r="X1565" i="16"/>
  <c r="W1565" i="16"/>
  <c r="V478" i="16"/>
  <c r="W477" i="16"/>
  <c r="X477" i="16"/>
  <c r="CV477" i="16" l="1"/>
  <c r="T477" i="16"/>
  <c r="AF477" i="16"/>
  <c r="AF1565" i="16"/>
  <c r="T1565" i="16"/>
  <c r="W1566" i="16"/>
  <c r="X1566" i="16"/>
  <c r="V1567" i="16"/>
  <c r="X478" i="16"/>
  <c r="V479" i="16"/>
  <c r="W478" i="16"/>
  <c r="CV478" i="16" s="1"/>
  <c r="T1566" i="16" l="1"/>
  <c r="AF1566" i="16"/>
  <c r="AF478" i="16"/>
  <c r="T478" i="16"/>
  <c r="X1567" i="16"/>
  <c r="W1567" i="16"/>
  <c r="V1568" i="16"/>
  <c r="V480" i="16"/>
  <c r="W479" i="16"/>
  <c r="X479" i="16"/>
  <c r="CV479" i="16" l="1"/>
  <c r="T1567" i="16"/>
  <c r="AF1567" i="16"/>
  <c r="AF479" i="16"/>
  <c r="T479" i="16"/>
  <c r="V1569" i="16"/>
  <c r="X1568" i="16"/>
  <c r="W1568" i="16"/>
  <c r="W480" i="16"/>
  <c r="X480" i="16"/>
  <c r="V481" i="16"/>
  <c r="CV480" i="16" l="1"/>
  <c r="AF480" i="16"/>
  <c r="T480" i="16"/>
  <c r="T1568" i="16"/>
  <c r="AF1568" i="16"/>
  <c r="X1569" i="16"/>
  <c r="W1569" i="16"/>
  <c r="V1570" i="16"/>
  <c r="V482" i="16"/>
  <c r="X481" i="16"/>
  <c r="W481" i="16"/>
  <c r="CV481" i="16" l="1"/>
  <c r="AF481" i="16"/>
  <c r="T481" i="16"/>
  <c r="T1569" i="16"/>
  <c r="AF1569" i="16"/>
  <c r="W1570" i="16"/>
  <c r="V1571" i="16"/>
  <c r="X1570" i="16"/>
  <c r="X482" i="16"/>
  <c r="W482" i="16"/>
  <c r="V483" i="16"/>
  <c r="CV482" i="16" l="1"/>
  <c r="T1570" i="16"/>
  <c r="AF1570" i="16"/>
  <c r="T482" i="16"/>
  <c r="AF482" i="16"/>
  <c r="V1572" i="16"/>
  <c r="X1571" i="16"/>
  <c r="W1571" i="16"/>
  <c r="X483" i="16"/>
  <c r="V484" i="16"/>
  <c r="W483" i="16"/>
  <c r="CV483" i="16" s="1"/>
  <c r="T483" i="16" l="1"/>
  <c r="AF483" i="16"/>
  <c r="T1571" i="16"/>
  <c r="AF1571" i="16"/>
  <c r="V1573" i="16"/>
  <c r="X1572" i="16"/>
  <c r="W1572" i="16"/>
  <c r="V485" i="16"/>
  <c r="X484" i="16"/>
  <c r="W484" i="16"/>
  <c r="CV484" i="16" s="1"/>
  <c r="AF484" i="16" l="1"/>
  <c r="T484" i="16"/>
  <c r="T1572" i="16"/>
  <c r="AF1572" i="16"/>
  <c r="X1573" i="16"/>
  <c r="W1573" i="16"/>
  <c r="V1574" i="16"/>
  <c r="W485" i="16"/>
  <c r="X485" i="16"/>
  <c r="V486" i="16"/>
  <c r="CV485" i="16" l="1"/>
  <c r="T1573" i="16"/>
  <c r="AF1573" i="16"/>
  <c r="AF485" i="16"/>
  <c r="T485" i="16"/>
  <c r="W1574" i="16"/>
  <c r="V1575" i="16"/>
  <c r="X1574" i="16"/>
  <c r="V487" i="16"/>
  <c r="X486" i="16"/>
  <c r="W486" i="16"/>
  <c r="CV486" i="16" s="1"/>
  <c r="T1574" i="16" l="1"/>
  <c r="AF1574" i="16"/>
  <c r="AF486" i="16"/>
  <c r="T486" i="16"/>
  <c r="X1575" i="16"/>
  <c r="W1575" i="16"/>
  <c r="V1576" i="16"/>
  <c r="W487" i="16"/>
  <c r="CV487" i="16" s="1"/>
  <c r="X487" i="16"/>
  <c r="V488" i="16"/>
  <c r="AF487" i="16" l="1"/>
  <c r="T487" i="16"/>
  <c r="T1575" i="16"/>
  <c r="AF1575" i="16"/>
  <c r="W1576" i="16"/>
  <c r="V1577" i="16"/>
  <c r="X1576" i="16"/>
  <c r="W488" i="16"/>
  <c r="X488" i="16"/>
  <c r="V489" i="16"/>
  <c r="CV488" i="16" l="1"/>
  <c r="AF488" i="16"/>
  <c r="T488" i="16"/>
  <c r="AF1576" i="16"/>
  <c r="T1576" i="16"/>
  <c r="V1578" i="16"/>
  <c r="X1577" i="16"/>
  <c r="W1577" i="16"/>
  <c r="X489" i="16"/>
  <c r="V490" i="16"/>
  <c r="W489" i="16"/>
  <c r="CV489" i="16" s="1"/>
  <c r="T489" i="16" l="1"/>
  <c r="AF489" i="16"/>
  <c r="AF1577" i="16"/>
  <c r="T1577" i="16"/>
  <c r="V1579" i="16"/>
  <c r="X1578" i="16"/>
  <c r="W1578" i="16"/>
  <c r="W490" i="16"/>
  <c r="X490" i="16"/>
  <c r="V491" i="16"/>
  <c r="CV490" i="16" l="1"/>
  <c r="AF1578" i="16"/>
  <c r="T1578" i="16"/>
  <c r="T490" i="16"/>
  <c r="AF490" i="16"/>
  <c r="V1580" i="16"/>
  <c r="X1579" i="16"/>
  <c r="W1579" i="16"/>
  <c r="V492" i="16"/>
  <c r="W491" i="16"/>
  <c r="CV491" i="16" s="1"/>
  <c r="X491" i="16"/>
  <c r="T491" i="16" l="1"/>
  <c r="AF491" i="16"/>
  <c r="AF1579" i="16"/>
  <c r="T1579" i="16"/>
  <c r="V1581" i="16"/>
  <c r="W1580" i="16"/>
  <c r="X1580" i="16"/>
  <c r="X492" i="16"/>
  <c r="W492" i="16"/>
  <c r="CV492" i="16" s="1"/>
  <c r="V493" i="16"/>
  <c r="AF492" i="16" l="1"/>
  <c r="T492" i="16"/>
  <c r="AF1580" i="16"/>
  <c r="T1580" i="16"/>
  <c r="V1582" i="16"/>
  <c r="X1581" i="16"/>
  <c r="W1581" i="16"/>
  <c r="W493" i="16"/>
  <c r="V494" i="16"/>
  <c r="X493" i="16"/>
  <c r="CV493" i="16" l="1"/>
  <c r="AF1581" i="16"/>
  <c r="T1581" i="16"/>
  <c r="T493" i="16"/>
  <c r="AF493" i="16"/>
  <c r="W1582" i="16"/>
  <c r="X1582" i="16"/>
  <c r="V1583" i="16"/>
  <c r="V495" i="16"/>
  <c r="W494" i="16"/>
  <c r="X494" i="16"/>
  <c r="CV494" i="16" l="1"/>
  <c r="AF494" i="16"/>
  <c r="T494" i="16"/>
  <c r="AF1582" i="16"/>
  <c r="T1582" i="16"/>
  <c r="X1583" i="16"/>
  <c r="V1584" i="16"/>
  <c r="W1583" i="16"/>
  <c r="X495" i="16"/>
  <c r="V496" i="16"/>
  <c r="W495" i="16"/>
  <c r="CV495" i="16" s="1"/>
  <c r="AF495" i="16" l="1"/>
  <c r="T495" i="16"/>
  <c r="AF1583" i="16"/>
  <c r="T1583" i="16"/>
  <c r="V1585" i="16"/>
  <c r="X1584" i="16"/>
  <c r="W1584" i="16"/>
  <c r="W496" i="16"/>
  <c r="X496" i="16"/>
  <c r="V497" i="16"/>
  <c r="CV496" i="16" l="1"/>
  <c r="AF496" i="16"/>
  <c r="T496" i="16"/>
  <c r="AF1584" i="16"/>
  <c r="T1584" i="16"/>
  <c r="X1585" i="16"/>
  <c r="W1585" i="16"/>
  <c r="V1586" i="16"/>
  <c r="W497" i="16"/>
  <c r="X497" i="16"/>
  <c r="V498" i="16"/>
  <c r="CV497" i="16" l="1"/>
  <c r="T497" i="16"/>
  <c r="AF497" i="16"/>
  <c r="AF1585" i="16"/>
  <c r="T1585" i="16"/>
  <c r="W1586" i="16"/>
  <c r="V1587" i="16"/>
  <c r="X1586" i="16"/>
  <c r="X498" i="16"/>
  <c r="V499" i="16"/>
  <c r="W498" i="16"/>
  <c r="CV498" i="16" l="1"/>
  <c r="AF498" i="16"/>
  <c r="T498" i="16"/>
  <c r="T1586" i="16"/>
  <c r="AF1586" i="16"/>
  <c r="V1588" i="16"/>
  <c r="X1587" i="16"/>
  <c r="W1587" i="16"/>
  <c r="W499" i="16"/>
  <c r="V500" i="16"/>
  <c r="X499" i="16"/>
  <c r="CV499" i="16" l="1"/>
  <c r="T1587" i="16"/>
  <c r="AF1587" i="16"/>
  <c r="AF499" i="16"/>
  <c r="T499" i="16"/>
  <c r="V1589" i="16"/>
  <c r="X1588" i="16"/>
  <c r="W1588" i="16"/>
  <c r="V501" i="16"/>
  <c r="W500" i="16"/>
  <c r="X500" i="16"/>
  <c r="CV500" i="16" l="1"/>
  <c r="AF500" i="16"/>
  <c r="T500" i="16"/>
  <c r="T1588" i="16"/>
  <c r="AF1588" i="16"/>
  <c r="V1590" i="16"/>
  <c r="X1589" i="16"/>
  <c r="W1589" i="16"/>
  <c r="V502" i="16"/>
  <c r="W501" i="16"/>
  <c r="X501" i="16"/>
  <c r="CV501" i="16" l="1"/>
  <c r="T1589" i="16"/>
  <c r="AF1589" i="16"/>
  <c r="T501" i="16"/>
  <c r="AF501" i="16"/>
  <c r="V1591" i="16"/>
  <c r="W1590" i="16"/>
  <c r="X1590" i="16"/>
  <c r="V503" i="16"/>
  <c r="X502" i="16"/>
  <c r="W502" i="16"/>
  <c r="CV502" i="16" s="1"/>
  <c r="T1590" i="16" l="1"/>
  <c r="AF1590" i="16"/>
  <c r="AF502" i="16"/>
  <c r="T502" i="16"/>
  <c r="X1591" i="16"/>
  <c r="V1592" i="16"/>
  <c r="W1591" i="16"/>
  <c r="W503" i="16"/>
  <c r="V504" i="16"/>
  <c r="X503" i="16"/>
  <c r="CV503" i="16" l="1"/>
  <c r="T503" i="16"/>
  <c r="AF503" i="16"/>
  <c r="T1591" i="16"/>
  <c r="AF1591" i="16"/>
  <c r="V1593" i="16"/>
  <c r="X1592" i="16"/>
  <c r="W1592" i="16"/>
  <c r="W504" i="16"/>
  <c r="CV504" i="16" s="1"/>
  <c r="X504" i="16"/>
  <c r="V505" i="16"/>
  <c r="AF504" i="16" l="1"/>
  <c r="T504" i="16"/>
  <c r="T1592" i="16"/>
  <c r="AF1592" i="16"/>
  <c r="V1594" i="16"/>
  <c r="X1593" i="16"/>
  <c r="W1593" i="16"/>
  <c r="V506" i="16"/>
  <c r="W505" i="16"/>
  <c r="X505" i="16"/>
  <c r="CV505" i="16" l="1"/>
  <c r="T505" i="16"/>
  <c r="AF505" i="16"/>
  <c r="T1593" i="16"/>
  <c r="AF1593" i="16"/>
  <c r="V1595" i="16"/>
  <c r="X1594" i="16"/>
  <c r="W1594" i="16"/>
  <c r="X506" i="16"/>
  <c r="W506" i="16"/>
  <c r="CV506" i="16" s="1"/>
  <c r="V507" i="16"/>
  <c r="AF506" i="16" l="1"/>
  <c r="T506" i="16"/>
  <c r="T1594" i="16"/>
  <c r="AF1594" i="16"/>
  <c r="V1596" i="16"/>
  <c r="X1595" i="16"/>
  <c r="W1595" i="16"/>
  <c r="W507" i="16"/>
  <c r="X507" i="16"/>
  <c r="V508" i="16"/>
  <c r="CV507" i="16" l="1"/>
  <c r="T1595" i="16"/>
  <c r="AF1595" i="16"/>
  <c r="T507" i="16"/>
  <c r="AF507" i="16"/>
  <c r="W1596" i="16"/>
  <c r="V1597" i="16"/>
  <c r="X1596" i="16"/>
  <c r="X508" i="16"/>
  <c r="V509" i="16"/>
  <c r="W508" i="16"/>
  <c r="CV508" i="16" s="1"/>
  <c r="AF508" i="16" l="1"/>
  <c r="T508" i="16"/>
  <c r="T1596" i="16"/>
  <c r="AF1596" i="16"/>
  <c r="V1598" i="16"/>
  <c r="X1597" i="16"/>
  <c r="W1597" i="16"/>
  <c r="X509" i="16"/>
  <c r="W509" i="16"/>
  <c r="CV509" i="16" s="1"/>
  <c r="V510" i="16"/>
  <c r="AF509" i="16" l="1"/>
  <c r="T509" i="16"/>
  <c r="T1597" i="16"/>
  <c r="AF1597" i="16"/>
  <c r="V1599" i="16"/>
  <c r="W1598" i="16"/>
  <c r="X1598" i="16"/>
  <c r="V511" i="16"/>
  <c r="W510" i="16"/>
  <c r="X510" i="16"/>
  <c r="CV510" i="16" l="1"/>
  <c r="T1598" i="16"/>
  <c r="AF1598" i="16"/>
  <c r="T510" i="16"/>
  <c r="AF510" i="16"/>
  <c r="X1599" i="16"/>
  <c r="V1600" i="16"/>
  <c r="W1599" i="16"/>
  <c r="W511" i="16"/>
  <c r="X511" i="16"/>
  <c r="V512" i="16"/>
  <c r="CV511" i="16" l="1"/>
  <c r="AF511" i="16"/>
  <c r="T511" i="16"/>
  <c r="AF1599" i="16"/>
  <c r="T1599" i="16"/>
  <c r="V1601" i="16"/>
  <c r="X1600" i="16"/>
  <c r="W1600" i="16"/>
  <c r="W512" i="16"/>
  <c r="X512" i="16"/>
  <c r="V513" i="16"/>
  <c r="CV512" i="16" l="1"/>
  <c r="AF512" i="16"/>
  <c r="T512" i="16"/>
  <c r="AF1600" i="16"/>
  <c r="T1600" i="16"/>
  <c r="X1601" i="16"/>
  <c r="W1601" i="16"/>
  <c r="V1602" i="16"/>
  <c r="W513" i="16"/>
  <c r="X513" i="16"/>
  <c r="V514" i="16"/>
  <c r="CV513" i="16" l="1"/>
  <c r="AF1601" i="16"/>
  <c r="T1601" i="16"/>
  <c r="T513" i="16"/>
  <c r="AF513" i="16"/>
  <c r="W1602" i="16"/>
  <c r="X1602" i="16"/>
  <c r="V1603" i="16"/>
  <c r="W514" i="16"/>
  <c r="X514" i="16"/>
  <c r="V515" i="16"/>
  <c r="CV514" i="16" l="1"/>
  <c r="T514" i="16"/>
  <c r="AF514" i="16"/>
  <c r="AF1602" i="16"/>
  <c r="T1602" i="16"/>
  <c r="V1604" i="16"/>
  <c r="X1603" i="16"/>
  <c r="W1603" i="16"/>
  <c r="V516" i="16"/>
  <c r="W515" i="16"/>
  <c r="X515" i="16"/>
  <c r="CV515" i="16" l="1"/>
  <c r="AF515" i="16"/>
  <c r="T515" i="16"/>
  <c r="AF1603" i="16"/>
  <c r="T1603" i="16"/>
  <c r="V1605" i="16"/>
  <c r="X1604" i="16"/>
  <c r="W1604" i="16"/>
  <c r="W516" i="16"/>
  <c r="X516" i="16"/>
  <c r="V517" i="16"/>
  <c r="CV516" i="16" l="1"/>
  <c r="AF516" i="16"/>
  <c r="T516" i="16"/>
  <c r="AF1604" i="16"/>
  <c r="T1604" i="16"/>
  <c r="V1606" i="16"/>
  <c r="X1605" i="16"/>
  <c r="W1605" i="16"/>
  <c r="W517" i="16"/>
  <c r="X517" i="16"/>
  <c r="V518" i="16"/>
  <c r="CV517" i="16" l="1"/>
  <c r="AF517" i="16"/>
  <c r="T517" i="16"/>
  <c r="AF1605" i="16"/>
  <c r="T1605" i="16"/>
  <c r="V1607" i="16"/>
  <c r="W1606" i="16"/>
  <c r="X1606" i="16"/>
  <c r="X518" i="16"/>
  <c r="V519" i="16"/>
  <c r="W518" i="16"/>
  <c r="CV518" i="16" s="1"/>
  <c r="AF1606" i="16" l="1"/>
  <c r="T1606" i="16"/>
  <c r="T518" i="16"/>
  <c r="AF518" i="16"/>
  <c r="X1607" i="16"/>
  <c r="V1608" i="16"/>
  <c r="W1607" i="16"/>
  <c r="V520" i="16"/>
  <c r="W519" i="16"/>
  <c r="X519" i="16"/>
  <c r="CV519" i="16" l="1"/>
  <c r="AF519" i="16"/>
  <c r="T519" i="16"/>
  <c r="AF1607" i="16"/>
  <c r="T1607" i="16"/>
  <c r="V1609" i="16"/>
  <c r="W1608" i="16"/>
  <c r="X1608" i="16"/>
  <c r="V521" i="16"/>
  <c r="W520" i="16"/>
  <c r="X520" i="16"/>
  <c r="CV520" i="16" l="1"/>
  <c r="T520" i="16"/>
  <c r="AF520" i="16"/>
  <c r="AF1608" i="16"/>
  <c r="T1608" i="16"/>
  <c r="V1610" i="16"/>
  <c r="X1609" i="16"/>
  <c r="W1609" i="16"/>
  <c r="W521" i="16"/>
  <c r="X521" i="16"/>
  <c r="V522" i="16"/>
  <c r="CV521" i="16" l="1"/>
  <c r="AF1609" i="16"/>
  <c r="T1609" i="16"/>
  <c r="AF521" i="16"/>
  <c r="T521" i="16"/>
  <c r="W1610" i="16"/>
  <c r="V1611" i="16"/>
  <c r="X1610" i="16"/>
  <c r="X522" i="16"/>
  <c r="W522" i="16"/>
  <c r="V523" i="16"/>
  <c r="CV522" i="16" l="1"/>
  <c r="AF522" i="16"/>
  <c r="T522" i="16"/>
  <c r="AF1610" i="16"/>
  <c r="T1610" i="16"/>
  <c r="V1612" i="16"/>
  <c r="X1611" i="16"/>
  <c r="W1611" i="16"/>
  <c r="X523" i="16"/>
  <c r="W523" i="16"/>
  <c r="CV523" i="16" s="1"/>
  <c r="V524" i="16"/>
  <c r="AF523" i="16" l="1"/>
  <c r="T523" i="16"/>
  <c r="AF1611" i="16"/>
  <c r="T1611" i="16"/>
  <c r="X1612" i="16"/>
  <c r="W1612" i="16"/>
  <c r="V1613" i="16"/>
  <c r="V525" i="16"/>
  <c r="W524" i="16"/>
  <c r="X524" i="16"/>
  <c r="CV524" i="16" l="1"/>
  <c r="AF1612" i="16"/>
  <c r="T1612" i="16"/>
  <c r="AF524" i="16"/>
  <c r="T524" i="16"/>
  <c r="W1613" i="16"/>
  <c r="V1614" i="16"/>
  <c r="X1613" i="16"/>
  <c r="V526" i="16"/>
  <c r="W525" i="16"/>
  <c r="X525" i="16"/>
  <c r="CV525" i="16" l="1"/>
  <c r="T525" i="16"/>
  <c r="AF525" i="16"/>
  <c r="AF1613" i="16"/>
  <c r="T1613" i="16"/>
  <c r="V1615" i="16"/>
  <c r="W1614" i="16"/>
  <c r="X1614" i="16"/>
  <c r="W526" i="16"/>
  <c r="CV526" i="16" s="1"/>
  <c r="X526" i="16"/>
  <c r="V527" i="16"/>
  <c r="T1614" i="16" l="1"/>
  <c r="AF1614" i="16"/>
  <c r="T526" i="16"/>
  <c r="AF526" i="16"/>
  <c r="X1615" i="16"/>
  <c r="V1616" i="16"/>
  <c r="W1615" i="16"/>
  <c r="W527" i="16"/>
  <c r="X527" i="16"/>
  <c r="V528" i="16"/>
  <c r="CV527" i="16" l="1"/>
  <c r="T1615" i="16"/>
  <c r="AF1615" i="16"/>
  <c r="AF527" i="16"/>
  <c r="T527" i="16"/>
  <c r="V1617" i="16"/>
  <c r="X1616" i="16"/>
  <c r="W1616" i="16"/>
  <c r="W528" i="16"/>
  <c r="X528" i="16"/>
  <c r="V529" i="16"/>
  <c r="CV528" i="16" l="1"/>
  <c r="T1616" i="16"/>
  <c r="AF1616" i="16"/>
  <c r="AF528" i="16"/>
  <c r="T528" i="16"/>
  <c r="V1618" i="16"/>
  <c r="X1617" i="16"/>
  <c r="W1617" i="16"/>
  <c r="X529" i="16"/>
  <c r="W529" i="16"/>
  <c r="CV529" i="16" s="1"/>
  <c r="V530" i="16"/>
  <c r="AF529" i="16" l="1"/>
  <c r="T529" i="16"/>
  <c r="T1617" i="16"/>
  <c r="AF1617" i="16"/>
  <c r="V1619" i="16"/>
  <c r="X1618" i="16"/>
  <c r="W1618" i="16"/>
  <c r="X530" i="16"/>
  <c r="V531" i="16"/>
  <c r="W530" i="16"/>
  <c r="CV530" i="16" s="1"/>
  <c r="AF530" i="16" l="1"/>
  <c r="T530" i="16"/>
  <c r="T1618" i="16"/>
  <c r="AF1618" i="16"/>
  <c r="X1619" i="16"/>
  <c r="W1619" i="16"/>
  <c r="V1620" i="16"/>
  <c r="W531" i="16"/>
  <c r="X531" i="16"/>
  <c r="V532" i="16"/>
  <c r="CV531" i="16" l="1"/>
  <c r="T1619" i="16"/>
  <c r="AF1619" i="16"/>
  <c r="AF531" i="16"/>
  <c r="T531" i="16"/>
  <c r="V1621" i="16"/>
  <c r="X1620" i="16"/>
  <c r="W1620" i="16"/>
  <c r="X532" i="16"/>
  <c r="V533" i="16"/>
  <c r="W532" i="16"/>
  <c r="CV532" i="16" s="1"/>
  <c r="AF532" i="16" l="1"/>
  <c r="T532" i="16"/>
  <c r="T1620" i="16"/>
  <c r="AF1620" i="16"/>
  <c r="V1622" i="16"/>
  <c r="X1621" i="16"/>
  <c r="W1621" i="16"/>
  <c r="X533" i="16"/>
  <c r="W533" i="16"/>
  <c r="V534" i="16"/>
  <c r="CV533" i="16" l="1"/>
  <c r="AF533" i="16"/>
  <c r="T533" i="16"/>
  <c r="T1621" i="16"/>
  <c r="AF1621" i="16"/>
  <c r="V1623" i="16"/>
  <c r="W1622" i="16"/>
  <c r="X1622" i="16"/>
  <c r="V535" i="16"/>
  <c r="X534" i="16"/>
  <c r="W534" i="16"/>
  <c r="CV534" i="16" s="1"/>
  <c r="T1622" i="16" l="1"/>
  <c r="AF1622" i="16"/>
  <c r="AF534" i="16"/>
  <c r="T534" i="16"/>
  <c r="X1623" i="16"/>
  <c r="V1624" i="16"/>
  <c r="W1623" i="16"/>
  <c r="W535" i="16"/>
  <c r="V536" i="16"/>
  <c r="X535" i="16"/>
  <c r="CV535" i="16" l="1"/>
  <c r="AF535" i="16"/>
  <c r="T535" i="16"/>
  <c r="T1623" i="16"/>
  <c r="AF1623" i="16"/>
  <c r="V1625" i="16"/>
  <c r="X1624" i="16"/>
  <c r="W1624" i="16"/>
  <c r="W536" i="16"/>
  <c r="X536" i="16"/>
  <c r="V537" i="16"/>
  <c r="CV536" i="16" l="1"/>
  <c r="T536" i="16"/>
  <c r="AF536" i="16"/>
  <c r="AF1624" i="16"/>
  <c r="T1624" i="16"/>
  <c r="V1626" i="16"/>
  <c r="X1625" i="16"/>
  <c r="W1625" i="16"/>
  <c r="V538" i="16"/>
  <c r="W537" i="16"/>
  <c r="CV537" i="16" s="1"/>
  <c r="X537" i="16"/>
  <c r="AF537" i="16" l="1"/>
  <c r="T537" i="16"/>
  <c r="AF1625" i="16"/>
  <c r="T1625" i="16"/>
  <c r="V1627" i="16"/>
  <c r="X1626" i="16"/>
  <c r="W1626" i="16"/>
  <c r="W538" i="16"/>
  <c r="X538" i="16"/>
  <c r="V539" i="16"/>
  <c r="CV538" i="16" l="1"/>
  <c r="AF1626" i="16"/>
  <c r="T1626" i="16"/>
  <c r="AF538" i="16"/>
  <c r="T538" i="16"/>
  <c r="V1628" i="16"/>
  <c r="X1627" i="16"/>
  <c r="W1627" i="16"/>
  <c r="V540" i="16"/>
  <c r="W539" i="16"/>
  <c r="X539" i="16"/>
  <c r="CV539" i="16" l="1"/>
  <c r="AF539" i="16"/>
  <c r="T539" i="16"/>
  <c r="AF1627" i="16"/>
  <c r="T1627" i="16"/>
  <c r="V1629" i="16"/>
  <c r="X1628" i="16"/>
  <c r="W1628" i="16"/>
  <c r="V541" i="16"/>
  <c r="X540" i="16"/>
  <c r="W540" i="16"/>
  <c r="CV540" i="16" l="1"/>
  <c r="AF540" i="16"/>
  <c r="T540" i="16"/>
  <c r="AF1628" i="16"/>
  <c r="T1628" i="16"/>
  <c r="W1629" i="16"/>
  <c r="V1630" i="16"/>
  <c r="X1629" i="16"/>
  <c r="W541" i="16"/>
  <c r="X541" i="16"/>
  <c r="V542" i="16"/>
  <c r="CV541" i="16" l="1"/>
  <c r="AF1629" i="16"/>
  <c r="T1629" i="16"/>
  <c r="AF541" i="16"/>
  <c r="T541" i="16"/>
  <c r="V1631" i="16"/>
  <c r="W1630" i="16"/>
  <c r="X1630" i="16"/>
  <c r="V543" i="16"/>
  <c r="W542" i="16"/>
  <c r="X542" i="16"/>
  <c r="CV542" i="16" l="1"/>
  <c r="AF1630" i="16"/>
  <c r="T1630" i="16"/>
  <c r="AF542" i="16"/>
  <c r="T542" i="16"/>
  <c r="X1631" i="16"/>
  <c r="W1631" i="16"/>
  <c r="V1632" i="16"/>
  <c r="V544" i="16"/>
  <c r="W543" i="16"/>
  <c r="X543" i="16"/>
  <c r="CV543" i="16" l="1"/>
  <c r="AF543" i="16"/>
  <c r="T543" i="16"/>
  <c r="AF1631" i="16"/>
  <c r="T1631" i="16"/>
  <c r="V1633" i="16"/>
  <c r="X1632" i="16"/>
  <c r="W1632" i="16"/>
  <c r="W544" i="16"/>
  <c r="X544" i="16"/>
  <c r="V545" i="16"/>
  <c r="CV544" i="16" l="1"/>
  <c r="AF544" i="16"/>
  <c r="T544" i="16"/>
  <c r="AF1632" i="16"/>
  <c r="T1632" i="16"/>
  <c r="V1634" i="16"/>
  <c r="X1633" i="16"/>
  <c r="W1633" i="16"/>
  <c r="V546" i="16"/>
  <c r="X545" i="16"/>
  <c r="W545" i="16"/>
  <c r="CV545" i="16" l="1"/>
  <c r="AF545" i="16"/>
  <c r="T545" i="16"/>
  <c r="AF1633" i="16"/>
  <c r="T1633" i="16"/>
  <c r="W1634" i="16"/>
  <c r="V1635" i="16"/>
  <c r="X1634" i="16"/>
  <c r="W546" i="16"/>
  <c r="CV546" i="16" s="1"/>
  <c r="X546" i="16"/>
  <c r="V547" i="16"/>
  <c r="AF546" i="16" l="1"/>
  <c r="T546" i="16"/>
  <c r="T1634" i="16"/>
  <c r="AF1634" i="16"/>
  <c r="V1636" i="16"/>
  <c r="X1635" i="16"/>
  <c r="W1635" i="16"/>
  <c r="W547" i="16"/>
  <c r="X547" i="16"/>
  <c r="V548" i="16"/>
  <c r="CV547" i="16" l="1"/>
  <c r="T547" i="16"/>
  <c r="AF547" i="16"/>
  <c r="T1635" i="16"/>
  <c r="AF1635" i="16"/>
  <c r="V1637" i="16"/>
  <c r="X1636" i="16"/>
  <c r="W1636" i="16"/>
  <c r="V549" i="16"/>
  <c r="W548" i="16"/>
  <c r="X548" i="16"/>
  <c r="CV548" i="16" l="1"/>
  <c r="T548" i="16"/>
  <c r="AF548" i="16"/>
  <c r="T1636" i="16"/>
  <c r="AF1636" i="16"/>
  <c r="V1638" i="16"/>
  <c r="X1637" i="16"/>
  <c r="W1637" i="16"/>
  <c r="W549" i="16"/>
  <c r="X549" i="16"/>
  <c r="V550" i="16"/>
  <c r="CV549" i="16" l="1"/>
  <c r="AF549" i="16"/>
  <c r="T549" i="16"/>
  <c r="T1637" i="16"/>
  <c r="AF1637" i="16"/>
  <c r="V1639" i="16"/>
  <c r="W1638" i="16"/>
  <c r="X1638" i="16"/>
  <c r="V551" i="16"/>
  <c r="X550" i="16"/>
  <c r="W550" i="16"/>
  <c r="CV550" i="16" l="1"/>
  <c r="T550" i="16"/>
  <c r="AF550" i="16"/>
  <c r="T1638" i="16"/>
  <c r="AF1638" i="16"/>
  <c r="X1639" i="16"/>
  <c r="V1640" i="16"/>
  <c r="W1639" i="16"/>
  <c r="W551" i="16"/>
  <c r="CV551" i="16" s="1"/>
  <c r="X551" i="16"/>
  <c r="V552" i="16"/>
  <c r="AF551" i="16" l="1"/>
  <c r="T551" i="16"/>
  <c r="T1639" i="16"/>
  <c r="AF1639" i="16"/>
  <c r="X1640" i="16"/>
  <c r="W1640" i="16"/>
  <c r="V1641" i="16"/>
  <c r="W552" i="16"/>
  <c r="V553" i="16"/>
  <c r="X552" i="16"/>
  <c r="CV552" i="16" l="1"/>
  <c r="T552" i="16"/>
  <c r="AF552" i="16"/>
  <c r="T1640" i="16"/>
  <c r="AF1640" i="16"/>
  <c r="V1642" i="16"/>
  <c r="X1641" i="16"/>
  <c r="W1641" i="16"/>
  <c r="V554" i="16"/>
  <c r="W553" i="16"/>
  <c r="X553" i="16"/>
  <c r="CV553" i="16" l="1"/>
  <c r="AF553" i="16"/>
  <c r="T553" i="16"/>
  <c r="T1641" i="16"/>
  <c r="AF1641" i="16"/>
  <c r="X1642" i="16"/>
  <c r="W1642" i="16"/>
  <c r="V1643" i="16"/>
  <c r="X554" i="16"/>
  <c r="V555" i="16"/>
  <c r="W554" i="16"/>
  <c r="CV554" i="16" s="1"/>
  <c r="AF554" i="16" l="1"/>
  <c r="T554" i="16"/>
  <c r="T1642" i="16"/>
  <c r="AF1642" i="16"/>
  <c r="W1643" i="16"/>
  <c r="V1644" i="16"/>
  <c r="X1643" i="16"/>
  <c r="V556" i="16"/>
  <c r="W555" i="16"/>
  <c r="X555" i="16"/>
  <c r="CV555" i="16" l="1"/>
  <c r="T555" i="16"/>
  <c r="AF555" i="16"/>
  <c r="T1643" i="16"/>
  <c r="AF1643" i="16"/>
  <c r="V1645" i="16"/>
  <c r="X1644" i="16"/>
  <c r="W1644" i="16"/>
  <c r="W556" i="16"/>
  <c r="X556" i="16"/>
  <c r="V557" i="16"/>
  <c r="CV556" i="16" l="1"/>
  <c r="T1644" i="16"/>
  <c r="AF1644" i="16"/>
  <c r="T556" i="16"/>
  <c r="AF556" i="16"/>
  <c r="V1646" i="16"/>
  <c r="X1645" i="16"/>
  <c r="W1645" i="16"/>
  <c r="V558" i="16"/>
  <c r="W557" i="16"/>
  <c r="CV557" i="16" s="1"/>
  <c r="X557" i="16"/>
  <c r="AF557" i="16" l="1"/>
  <c r="T557" i="16"/>
  <c r="T1645" i="16"/>
  <c r="AF1645" i="16"/>
  <c r="V1647" i="16"/>
  <c r="W1646" i="16"/>
  <c r="X1646" i="16"/>
  <c r="W558" i="16"/>
  <c r="CV558" i="16" s="1"/>
  <c r="X558" i="16"/>
  <c r="V559" i="16"/>
  <c r="AF558" i="16" l="1"/>
  <c r="T558" i="16"/>
  <c r="T1646" i="16"/>
  <c r="AF1646" i="16"/>
  <c r="X1647" i="16"/>
  <c r="V1648" i="16"/>
  <c r="W1647" i="16"/>
  <c r="W559" i="16"/>
  <c r="CV559" i="16" s="1"/>
  <c r="X559" i="16"/>
  <c r="V560" i="16"/>
  <c r="T559" i="16" l="1"/>
  <c r="AF559" i="16"/>
  <c r="T1647" i="16"/>
  <c r="AF1647" i="16"/>
  <c r="X1648" i="16"/>
  <c r="W1648" i="16"/>
  <c r="V1649" i="16"/>
  <c r="V561" i="16"/>
  <c r="W560" i="16"/>
  <c r="X560" i="16"/>
  <c r="CV560" i="16" l="1"/>
  <c r="AF560" i="16"/>
  <c r="T560" i="16"/>
  <c r="AF1648" i="16"/>
  <c r="T1648" i="16"/>
  <c r="V1650" i="16"/>
  <c r="X1649" i="16"/>
  <c r="W1649" i="16"/>
  <c r="W561" i="16"/>
  <c r="X561" i="16"/>
  <c r="V562" i="16"/>
  <c r="CV561" i="16" l="1"/>
  <c r="AF1649" i="16"/>
  <c r="T1649" i="16"/>
  <c r="T561" i="16"/>
  <c r="AF561" i="16"/>
  <c r="V1651" i="16"/>
  <c r="X1650" i="16"/>
  <c r="W1650" i="16"/>
  <c r="W562" i="16"/>
  <c r="X562" i="16"/>
  <c r="V563" i="16"/>
  <c r="CV562" i="16" l="1"/>
  <c r="AF562" i="16"/>
  <c r="T562" i="16"/>
  <c r="AF1650" i="16"/>
  <c r="T1650" i="16"/>
  <c r="V1652" i="16"/>
  <c r="X1651" i="16"/>
  <c r="W1651" i="16"/>
  <c r="V564" i="16"/>
  <c r="W563" i="16"/>
  <c r="X563" i="16"/>
  <c r="CV563" i="16" l="1"/>
  <c r="T563" i="16"/>
  <c r="AF563" i="16"/>
  <c r="AF1651" i="16"/>
  <c r="T1651" i="16"/>
  <c r="W1652" i="16"/>
  <c r="X1652" i="16"/>
  <c r="V1653" i="16"/>
  <c r="W564" i="16"/>
  <c r="X564" i="16"/>
  <c r="V565" i="16"/>
  <c r="CV564" i="16" l="1"/>
  <c r="AF1652" i="16"/>
  <c r="T1652" i="16"/>
  <c r="T564" i="16"/>
  <c r="AF564" i="16"/>
  <c r="V1654" i="16"/>
  <c r="X1653" i="16"/>
  <c r="W1653" i="16"/>
  <c r="V566" i="16"/>
  <c r="X565" i="16"/>
  <c r="W565" i="16"/>
  <c r="CV565" i="16" s="1"/>
  <c r="AF565" i="16" l="1"/>
  <c r="T565" i="16"/>
  <c r="AF1653" i="16"/>
  <c r="T1653" i="16"/>
  <c r="V1655" i="16"/>
  <c r="W1654" i="16"/>
  <c r="X1654" i="16"/>
  <c r="W566" i="16"/>
  <c r="CV566" i="16" s="1"/>
  <c r="X566" i="16"/>
  <c r="V567" i="16"/>
  <c r="T566" i="16" l="1"/>
  <c r="AF566" i="16"/>
  <c r="AF1654" i="16"/>
  <c r="T1654" i="16"/>
  <c r="X1655" i="16"/>
  <c r="V1656" i="16"/>
  <c r="W1655" i="16"/>
  <c r="W567" i="16"/>
  <c r="CV567" i="16" s="1"/>
  <c r="X567" i="16"/>
  <c r="V568" i="16"/>
  <c r="T567" i="16" l="1"/>
  <c r="AF567" i="16"/>
  <c r="AF1655" i="16"/>
  <c r="T1655" i="16"/>
  <c r="V1657" i="16"/>
  <c r="X1656" i="16"/>
  <c r="W1656" i="16"/>
  <c r="W568" i="16"/>
  <c r="X568" i="16"/>
  <c r="V569" i="16"/>
  <c r="CV568" i="16" l="1"/>
  <c r="AF568" i="16"/>
  <c r="T568" i="16"/>
  <c r="AF1656" i="16"/>
  <c r="T1656" i="16"/>
  <c r="V1658" i="16"/>
  <c r="W1657" i="16"/>
  <c r="X1657" i="16"/>
  <c r="W569" i="16"/>
  <c r="CV569" i="16" s="1"/>
  <c r="X569" i="16"/>
  <c r="V570" i="16"/>
  <c r="AF569" i="16" l="1"/>
  <c r="T569" i="16"/>
  <c r="AF1657" i="16"/>
  <c r="T1657" i="16"/>
  <c r="V1659" i="16"/>
  <c r="X1658" i="16"/>
  <c r="W1658" i="16"/>
  <c r="V571" i="16"/>
  <c r="W570" i="16"/>
  <c r="CV570" i="16" s="1"/>
  <c r="X570" i="16"/>
  <c r="AF570" i="16" l="1"/>
  <c r="T570" i="16"/>
  <c r="T1658" i="16"/>
  <c r="AF1658" i="16"/>
  <c r="V1660" i="16"/>
  <c r="X1659" i="16"/>
  <c r="W1659" i="16"/>
  <c r="W571" i="16"/>
  <c r="X571" i="16"/>
  <c r="V572" i="16"/>
  <c r="CV571" i="16" l="1"/>
  <c r="T1659" i="16"/>
  <c r="AF1659" i="16"/>
  <c r="AF571" i="16"/>
  <c r="T571" i="16"/>
  <c r="V1661" i="16"/>
  <c r="X1660" i="16"/>
  <c r="W1660" i="16"/>
  <c r="X572" i="16"/>
  <c r="V573" i="16"/>
  <c r="W572" i="16"/>
  <c r="CV572" i="16" s="1"/>
  <c r="T572" i="16" l="1"/>
  <c r="AF572" i="16"/>
  <c r="T1660" i="16"/>
  <c r="AF1660" i="16"/>
  <c r="W1661" i="16"/>
  <c r="V1662" i="16"/>
  <c r="X1661" i="16"/>
  <c r="X573" i="16"/>
  <c r="V574" i="16"/>
  <c r="W573" i="16"/>
  <c r="CV573" i="16" s="1"/>
  <c r="AF573" i="16" l="1"/>
  <c r="T573" i="16"/>
  <c r="T1661" i="16"/>
  <c r="AF1661" i="16"/>
  <c r="V1663" i="16"/>
  <c r="W1662" i="16"/>
  <c r="X1662" i="16"/>
  <c r="W574" i="16"/>
  <c r="CV574" i="16" s="1"/>
  <c r="X574" i="16"/>
  <c r="V575" i="16"/>
  <c r="T1662" i="16" l="1"/>
  <c r="AF1662" i="16"/>
  <c r="T574" i="16"/>
  <c r="AF574" i="16"/>
  <c r="X1663" i="16"/>
  <c r="V1664" i="16"/>
  <c r="W1663" i="16"/>
  <c r="V576" i="16"/>
  <c r="W575" i="16"/>
  <c r="X575" i="16"/>
  <c r="CV575" i="16" l="1"/>
  <c r="T575" i="16"/>
  <c r="AF575" i="16"/>
  <c r="T1663" i="16"/>
  <c r="AF1663" i="16"/>
  <c r="V1665" i="16"/>
  <c r="X1664" i="16"/>
  <c r="W1664" i="16"/>
  <c r="W576" i="16"/>
  <c r="X576" i="16"/>
  <c r="V577" i="16"/>
  <c r="CV576" i="16" l="1"/>
  <c r="T1664" i="16"/>
  <c r="AF1664" i="16"/>
  <c r="T576" i="16"/>
  <c r="AF576" i="16"/>
  <c r="V1666" i="16"/>
  <c r="X1665" i="16"/>
  <c r="W1665" i="16"/>
  <c r="V578" i="16"/>
  <c r="W577" i="16"/>
  <c r="CV577" i="16" s="1"/>
  <c r="X577" i="16"/>
  <c r="T1665" i="16" l="1"/>
  <c r="AF1665" i="16"/>
  <c r="T577" i="16"/>
  <c r="AF577" i="16"/>
  <c r="V1667" i="16"/>
  <c r="X1666" i="16"/>
  <c r="W1666" i="16"/>
  <c r="X578" i="16"/>
  <c r="W578" i="16"/>
  <c r="CV578" i="16" s="1"/>
  <c r="V579" i="16"/>
  <c r="T1666" i="16" l="1"/>
  <c r="AF1666" i="16"/>
  <c r="AF578" i="16"/>
  <c r="T578" i="16"/>
  <c r="W1667" i="16"/>
  <c r="V1668" i="16"/>
  <c r="X1667" i="16"/>
  <c r="W579" i="16"/>
  <c r="X579" i="16"/>
  <c r="V580" i="16"/>
  <c r="CV579" i="16" l="1"/>
  <c r="AF579" i="16"/>
  <c r="T579" i="16"/>
  <c r="T1667" i="16"/>
  <c r="AF1667" i="16"/>
  <c r="X1668" i="16"/>
  <c r="W1668" i="16"/>
  <c r="V1669" i="16"/>
  <c r="V581" i="16"/>
  <c r="W580" i="16"/>
  <c r="X580" i="16"/>
  <c r="CV580" i="16" l="1"/>
  <c r="AF580" i="16"/>
  <c r="T580" i="16"/>
  <c r="T1668" i="16"/>
  <c r="AF1668" i="16"/>
  <c r="V1670" i="16"/>
  <c r="X1669" i="16"/>
  <c r="W1669" i="16"/>
  <c r="W581" i="16"/>
  <c r="CV581" i="16" s="1"/>
  <c r="X581" i="16"/>
  <c r="V582" i="16"/>
  <c r="T1669" i="16" l="1"/>
  <c r="AF1669" i="16"/>
  <c r="T581" i="16"/>
  <c r="AF581" i="16"/>
  <c r="V1671" i="16"/>
  <c r="W1670" i="16"/>
  <c r="X1670" i="16"/>
  <c r="W582" i="16"/>
  <c r="X582" i="16"/>
  <c r="V583" i="16"/>
  <c r="CV582" i="16" l="1"/>
  <c r="T1670" i="16"/>
  <c r="AF1670" i="16"/>
  <c r="T582" i="16"/>
  <c r="AF582" i="16"/>
  <c r="X1671" i="16"/>
  <c r="V1672" i="16"/>
  <c r="W1671" i="16"/>
  <c r="W583" i="16"/>
  <c r="V584" i="16"/>
  <c r="X583" i="16"/>
  <c r="CV583" i="16" l="1"/>
  <c r="AF583" i="16"/>
  <c r="T583" i="16"/>
  <c r="T1671" i="16"/>
  <c r="AF1671" i="16"/>
  <c r="V1673" i="16"/>
  <c r="W1672" i="16"/>
  <c r="X1672" i="16"/>
  <c r="W584" i="16"/>
  <c r="X584" i="16"/>
  <c r="V585" i="16"/>
  <c r="CV584" i="16" l="1"/>
  <c r="AF584" i="16"/>
  <c r="T584" i="16"/>
  <c r="AF1672" i="16"/>
  <c r="T1672" i="16"/>
  <c r="V1674" i="16"/>
  <c r="X1673" i="16"/>
  <c r="W1673" i="16"/>
  <c r="V586" i="16"/>
  <c r="W585" i="16"/>
  <c r="X585" i="16"/>
  <c r="CV585" i="16" l="1"/>
  <c r="AF1673" i="16"/>
  <c r="T1673" i="16"/>
  <c r="T585" i="16"/>
  <c r="AF585" i="16"/>
  <c r="X1674" i="16"/>
  <c r="W1674" i="16"/>
  <c r="V1675" i="16"/>
  <c r="V587" i="16"/>
  <c r="W586" i="16"/>
  <c r="X586" i="16"/>
  <c r="CV586" i="16" l="1"/>
  <c r="AF1674" i="16"/>
  <c r="T1674" i="16"/>
  <c r="AF586" i="16"/>
  <c r="T586" i="16"/>
  <c r="W1675" i="16"/>
  <c r="X1675" i="16"/>
  <c r="V1676" i="16"/>
  <c r="V588" i="16"/>
  <c r="W587" i="16"/>
  <c r="X587" i="16"/>
  <c r="CV587" i="16" l="1"/>
  <c r="AF1675" i="16"/>
  <c r="T1675" i="16"/>
  <c r="T587" i="16"/>
  <c r="AF587" i="16"/>
  <c r="V1677" i="16"/>
  <c r="X1676" i="16"/>
  <c r="W1676" i="16"/>
  <c r="V589" i="16"/>
  <c r="W588" i="16"/>
  <c r="X588" i="16"/>
  <c r="CV588" i="16" l="1"/>
  <c r="AF1676" i="16"/>
  <c r="T1676" i="16"/>
  <c r="AF588" i="16"/>
  <c r="T588" i="16"/>
  <c r="V1678" i="16"/>
  <c r="X1677" i="16"/>
  <c r="W1677" i="16"/>
  <c r="W589" i="16"/>
  <c r="X589" i="16"/>
  <c r="V590" i="16"/>
  <c r="CV589" i="16" l="1"/>
  <c r="AF1677" i="16"/>
  <c r="T1677" i="16"/>
  <c r="AF589" i="16"/>
  <c r="T589" i="16"/>
  <c r="V1679" i="16"/>
  <c r="W1678" i="16"/>
  <c r="X1678" i="16"/>
  <c r="V591" i="16"/>
  <c r="W590" i="16"/>
  <c r="X590" i="16"/>
  <c r="CV590" i="16" l="1"/>
  <c r="AF590" i="16"/>
  <c r="T590" i="16"/>
  <c r="AF1678" i="16"/>
  <c r="T1678" i="16"/>
  <c r="X1679" i="16"/>
  <c r="V1680" i="16"/>
  <c r="W1679" i="16"/>
  <c r="V592" i="16"/>
  <c r="X591" i="16"/>
  <c r="W591" i="16"/>
  <c r="CV591" i="16" s="1"/>
  <c r="AF591" i="16" l="1"/>
  <c r="T591" i="16"/>
  <c r="AF1679" i="16"/>
  <c r="T1679" i="16"/>
  <c r="X1680" i="16"/>
  <c r="W1680" i="16"/>
  <c r="V1681" i="16"/>
  <c r="W592" i="16"/>
  <c r="X592" i="16"/>
  <c r="V593" i="16"/>
  <c r="CV592" i="16" l="1"/>
  <c r="T592" i="16"/>
  <c r="AF592" i="16"/>
  <c r="AF1680" i="16"/>
  <c r="T1680" i="16"/>
  <c r="V1682" i="16"/>
  <c r="W1681" i="16"/>
  <c r="X1681" i="16"/>
  <c r="W593" i="16"/>
  <c r="CV593" i="16" s="1"/>
  <c r="X593" i="16"/>
  <c r="V594" i="16"/>
  <c r="T593" i="16" l="1"/>
  <c r="AF593" i="16"/>
  <c r="AF1681" i="16"/>
  <c r="T1681" i="16"/>
  <c r="V1683" i="16"/>
  <c r="X1682" i="16"/>
  <c r="W1682" i="16"/>
  <c r="W594" i="16"/>
  <c r="CV594" i="16" s="1"/>
  <c r="X594" i="16"/>
  <c r="V595" i="16"/>
  <c r="AF594" i="16" l="1"/>
  <c r="T594" i="16"/>
  <c r="AF1682" i="16"/>
  <c r="T1682" i="16"/>
  <c r="V1684" i="16"/>
  <c r="X1683" i="16"/>
  <c r="W1683" i="16"/>
  <c r="V596" i="16"/>
  <c r="W595" i="16"/>
  <c r="X595" i="16"/>
  <c r="CV595" i="16" l="1"/>
  <c r="AF595" i="16"/>
  <c r="T595" i="16"/>
  <c r="AF1683" i="16"/>
  <c r="T1683" i="16"/>
  <c r="V1685" i="16"/>
  <c r="X1684" i="16"/>
  <c r="W1684" i="16"/>
  <c r="V597" i="16"/>
  <c r="W596" i="16"/>
  <c r="X596" i="16"/>
  <c r="CV596" i="16" l="1"/>
  <c r="T596" i="16"/>
  <c r="AF596" i="16"/>
  <c r="AF1684" i="16"/>
  <c r="T1684" i="16"/>
  <c r="W1685" i="16"/>
  <c r="V1686" i="16"/>
  <c r="X1685" i="16"/>
  <c r="W597" i="16"/>
  <c r="X597" i="16"/>
  <c r="V598" i="16"/>
  <c r="CV597" i="16" l="1"/>
  <c r="AF1685" i="16"/>
  <c r="T1685" i="16"/>
  <c r="T597" i="16"/>
  <c r="AF597" i="16"/>
  <c r="V1687" i="16"/>
  <c r="W1686" i="16"/>
  <c r="X1686" i="16"/>
  <c r="V599" i="16"/>
  <c r="W598" i="16"/>
  <c r="CV598" i="16" s="1"/>
  <c r="X598" i="16"/>
  <c r="AF598" i="16" l="1"/>
  <c r="T598" i="16"/>
  <c r="T1686" i="16"/>
  <c r="AF1686" i="16"/>
  <c r="X1687" i="16"/>
  <c r="V1688" i="16"/>
  <c r="W1687" i="16"/>
  <c r="X599" i="16"/>
  <c r="V600" i="16"/>
  <c r="W599" i="16"/>
  <c r="CV599" i="16" s="1"/>
  <c r="AF599" i="16" l="1"/>
  <c r="T599" i="16"/>
  <c r="T1687" i="16"/>
  <c r="AF1687" i="16"/>
  <c r="V1689" i="16"/>
  <c r="W1688" i="16"/>
  <c r="X1688" i="16"/>
  <c r="V601" i="16"/>
  <c r="X600" i="16"/>
  <c r="W600" i="16"/>
  <c r="CV600" i="16" l="1"/>
  <c r="T600" i="16"/>
  <c r="AF600" i="16"/>
  <c r="T1688" i="16"/>
  <c r="AF1688" i="16"/>
  <c r="X1689" i="16"/>
  <c r="V1690" i="16"/>
  <c r="W1689" i="16"/>
  <c r="W601" i="16"/>
  <c r="X601" i="16"/>
  <c r="V602" i="16"/>
  <c r="CV601" i="16" l="1"/>
  <c r="T1689" i="16"/>
  <c r="AF1689" i="16"/>
  <c r="T601" i="16"/>
  <c r="AF601" i="16"/>
  <c r="V1691" i="16"/>
  <c r="W1690" i="16"/>
  <c r="X1690" i="16"/>
  <c r="W602" i="16"/>
  <c r="X602" i="16"/>
  <c r="V603" i="16"/>
  <c r="CV602" i="16" l="1"/>
  <c r="T1690" i="16"/>
  <c r="AF1690" i="16"/>
  <c r="AF602" i="16"/>
  <c r="T602" i="16"/>
  <c r="V1692" i="16"/>
  <c r="X1691" i="16"/>
  <c r="W1691" i="16"/>
  <c r="W603" i="16"/>
  <c r="V604" i="16"/>
  <c r="X603" i="16"/>
  <c r="CV603" i="16" l="1"/>
  <c r="T1691" i="16"/>
  <c r="AF1691" i="16"/>
  <c r="T603" i="16"/>
  <c r="AF603" i="16"/>
  <c r="V1693" i="16"/>
  <c r="W1692" i="16"/>
  <c r="X1692" i="16"/>
  <c r="X604" i="16"/>
  <c r="V605" i="16"/>
  <c r="W604" i="16"/>
  <c r="CV604" i="16" s="1"/>
  <c r="T604" i="16" l="1"/>
  <c r="AF604" i="16"/>
  <c r="T1692" i="16"/>
  <c r="AF1692" i="16"/>
  <c r="V1694" i="16"/>
  <c r="X1693" i="16"/>
  <c r="W1693" i="16"/>
  <c r="X605" i="16"/>
  <c r="V606" i="16"/>
  <c r="W605" i="16"/>
  <c r="CV605" i="16" s="1"/>
  <c r="T1693" i="16" l="1"/>
  <c r="AF1693" i="16"/>
  <c r="T605" i="16"/>
  <c r="AF605" i="16"/>
  <c r="V1695" i="16"/>
  <c r="W1694" i="16"/>
  <c r="X1694" i="16"/>
  <c r="W606" i="16"/>
  <c r="X606" i="16"/>
  <c r="V607" i="16"/>
  <c r="CV606" i="16" l="1"/>
  <c r="AF606" i="16"/>
  <c r="T606" i="16"/>
  <c r="T1694" i="16"/>
  <c r="AF1694" i="16"/>
  <c r="X1695" i="16"/>
  <c r="V1696" i="16"/>
  <c r="W1695" i="16"/>
  <c r="W607" i="16"/>
  <c r="V608" i="16"/>
  <c r="X607" i="16"/>
  <c r="CV607" i="16" l="1"/>
  <c r="T1695" i="16"/>
  <c r="AF1695" i="16"/>
  <c r="AF607" i="16"/>
  <c r="T607" i="16"/>
  <c r="V1697" i="16"/>
  <c r="X1696" i="16"/>
  <c r="W1696" i="16"/>
  <c r="V609" i="16"/>
  <c r="X608" i="16"/>
  <c r="W608" i="16"/>
  <c r="CV608" i="16" s="1"/>
  <c r="AF608" i="16" l="1"/>
  <c r="T608" i="16"/>
  <c r="AF1696" i="16"/>
  <c r="T1696" i="16"/>
  <c r="X1697" i="16"/>
  <c r="W1697" i="16"/>
  <c r="V1698" i="16"/>
  <c r="X609" i="16"/>
  <c r="V610" i="16"/>
  <c r="W609" i="16"/>
  <c r="CV609" i="16" s="1"/>
  <c r="AF609" i="16" l="1"/>
  <c r="T609" i="16"/>
  <c r="AF1697" i="16"/>
  <c r="T1697" i="16"/>
  <c r="W1698" i="16"/>
  <c r="V1699" i="16"/>
  <c r="X1698" i="16"/>
  <c r="X610" i="16"/>
  <c r="W610" i="16"/>
  <c r="CV610" i="16" s="1"/>
  <c r="V611" i="16"/>
  <c r="T610" i="16" l="1"/>
  <c r="AF610" i="16"/>
  <c r="AF1698" i="16"/>
  <c r="T1698" i="16"/>
  <c r="V1700" i="16"/>
  <c r="W1699" i="16"/>
  <c r="X1699" i="16"/>
  <c r="W611" i="16"/>
  <c r="X611" i="16"/>
  <c r="V612" i="16"/>
  <c r="CV611" i="16" l="1"/>
  <c r="AF611" i="16"/>
  <c r="T611" i="16"/>
  <c r="AF1699" i="16"/>
  <c r="T1699" i="16"/>
  <c r="V1701" i="16"/>
  <c r="X1700" i="16"/>
  <c r="W1700" i="16"/>
  <c r="W612" i="16"/>
  <c r="V613" i="16"/>
  <c r="X612" i="16"/>
  <c r="CV612" i="16" l="1"/>
  <c r="AF612" i="16"/>
  <c r="T612" i="16"/>
  <c r="AF1700" i="16"/>
  <c r="T1700" i="16"/>
  <c r="V1702" i="16"/>
  <c r="X1701" i="16"/>
  <c r="W1701" i="16"/>
  <c r="W613" i="16"/>
  <c r="X613" i="16"/>
  <c r="V614" i="16"/>
  <c r="CV613" i="16" l="1"/>
  <c r="T613" i="16"/>
  <c r="AF613" i="16"/>
  <c r="AF1701" i="16"/>
  <c r="T1701" i="16"/>
  <c r="V1703" i="16"/>
  <c r="W1702" i="16"/>
  <c r="X1702" i="16"/>
  <c r="X614" i="16"/>
  <c r="V615" i="16"/>
  <c r="W614" i="16"/>
  <c r="CV614" i="16" s="1"/>
  <c r="AF614" i="16" l="1"/>
  <c r="T614" i="16"/>
  <c r="AF1702" i="16"/>
  <c r="T1702" i="16"/>
  <c r="X1703" i="16"/>
  <c r="W1703" i="16"/>
  <c r="V1704" i="16"/>
  <c r="X615" i="16"/>
  <c r="V616" i="16"/>
  <c r="W615" i="16"/>
  <c r="CV615" i="16" s="1"/>
  <c r="AF615" i="16" l="1"/>
  <c r="T615" i="16"/>
  <c r="AF1703" i="16"/>
  <c r="T1703" i="16"/>
  <c r="W1704" i="16"/>
  <c r="V1705" i="16"/>
  <c r="X1704" i="16"/>
  <c r="V617" i="16"/>
  <c r="W616" i="16"/>
  <c r="CV616" i="16" s="1"/>
  <c r="X616" i="16"/>
  <c r="AF616" i="16" l="1"/>
  <c r="T616" i="16"/>
  <c r="AF1704" i="16"/>
  <c r="T1704" i="16"/>
  <c r="V1706" i="16"/>
  <c r="X1705" i="16"/>
  <c r="W1705" i="16"/>
  <c r="V618" i="16"/>
  <c r="W617" i="16"/>
  <c r="X617" i="16"/>
  <c r="CV617" i="16" l="1"/>
  <c r="AF1705" i="16"/>
  <c r="T1705" i="16"/>
  <c r="T617" i="16"/>
  <c r="AF617" i="16"/>
  <c r="V1707" i="16"/>
  <c r="X1706" i="16"/>
  <c r="W1706" i="16"/>
  <c r="W618" i="16"/>
  <c r="CV618" i="16" s="1"/>
  <c r="X618" i="16"/>
  <c r="V619" i="16"/>
  <c r="T1706" i="16" l="1"/>
  <c r="AF1706" i="16"/>
  <c r="T618" i="16"/>
  <c r="AF618" i="16"/>
  <c r="X1707" i="16"/>
  <c r="W1707" i="16"/>
  <c r="V1708" i="16"/>
  <c r="W619" i="16"/>
  <c r="CV619" i="16" s="1"/>
  <c r="X619" i="16"/>
  <c r="V620" i="16"/>
  <c r="T1707" i="16" l="1"/>
  <c r="AF1707" i="16"/>
  <c r="T619" i="16"/>
  <c r="AF619" i="16"/>
  <c r="V1709" i="16"/>
  <c r="X1708" i="16"/>
  <c r="W1708" i="16"/>
  <c r="W620" i="16"/>
  <c r="X620" i="16"/>
  <c r="V621" i="16"/>
  <c r="CV620" i="16" l="1"/>
  <c r="T1708" i="16"/>
  <c r="AF1708" i="16"/>
  <c r="AF620" i="16"/>
  <c r="T620" i="16"/>
  <c r="V1710" i="16"/>
  <c r="X1709" i="16"/>
  <c r="W1709" i="16"/>
  <c r="V622" i="16"/>
  <c r="W621" i="16"/>
  <c r="X621" i="16"/>
  <c r="CV621" i="16" l="1"/>
  <c r="T621" i="16"/>
  <c r="AF621" i="16"/>
  <c r="T1709" i="16"/>
  <c r="AF1709" i="16"/>
  <c r="V1711" i="16"/>
  <c r="W1710" i="16"/>
  <c r="X1710" i="16"/>
  <c r="W622" i="16"/>
  <c r="X622" i="16"/>
  <c r="V623" i="16"/>
  <c r="CV622" i="16" l="1"/>
  <c r="T622" i="16"/>
  <c r="AF622" i="16"/>
  <c r="T1710" i="16"/>
  <c r="AF1710" i="16"/>
  <c r="X1711" i="16"/>
  <c r="V1712" i="16"/>
  <c r="W1711" i="16"/>
  <c r="V624" i="16"/>
  <c r="W623" i="16"/>
  <c r="CV623" i="16" s="1"/>
  <c r="X623" i="16"/>
  <c r="AF623" i="16" l="1"/>
  <c r="T623" i="16"/>
  <c r="T1711" i="16"/>
  <c r="AF1711" i="16"/>
  <c r="V1713" i="16"/>
  <c r="W1712" i="16"/>
  <c r="X1712" i="16"/>
  <c r="W624" i="16"/>
  <c r="X624" i="16"/>
  <c r="V625" i="16"/>
  <c r="CV624" i="16" l="1"/>
  <c r="T1712" i="16"/>
  <c r="AF1712" i="16"/>
  <c r="AF624" i="16"/>
  <c r="T624" i="16"/>
  <c r="V1714" i="16"/>
  <c r="X1713" i="16"/>
  <c r="W1713" i="16"/>
  <c r="V626" i="16"/>
  <c r="W625" i="16"/>
  <c r="X625" i="16"/>
  <c r="CV625" i="16" l="1"/>
  <c r="T625" i="16"/>
  <c r="AF625" i="16"/>
  <c r="T1713" i="16"/>
  <c r="AF1713" i="16"/>
  <c r="X1714" i="16"/>
  <c r="W1714" i="16"/>
  <c r="V1715" i="16"/>
  <c r="W626" i="16"/>
  <c r="X626" i="16"/>
  <c r="V627" i="16"/>
  <c r="CV626" i="16" l="1"/>
  <c r="T626" i="16"/>
  <c r="AF626" i="16"/>
  <c r="T1714" i="16"/>
  <c r="AF1714" i="16"/>
  <c r="V1716" i="16"/>
  <c r="X1715" i="16"/>
  <c r="W1715" i="16"/>
  <c r="V628" i="16"/>
  <c r="X627" i="16"/>
  <c r="W627" i="16"/>
  <c r="CV627" i="16" s="1"/>
  <c r="T627" i="16" l="1"/>
  <c r="AF627" i="16"/>
  <c r="T1715" i="16"/>
  <c r="AF1715" i="16"/>
  <c r="V1717" i="16"/>
  <c r="X1716" i="16"/>
  <c r="W1716" i="16"/>
  <c r="V629" i="16"/>
  <c r="W628" i="16"/>
  <c r="X628" i="16"/>
  <c r="CV628" i="16" l="1"/>
  <c r="T1716" i="16"/>
  <c r="AF1716" i="16"/>
  <c r="AF628" i="16"/>
  <c r="T628" i="16"/>
  <c r="V1718" i="16"/>
  <c r="X1717" i="16"/>
  <c r="W1717" i="16"/>
  <c r="W629" i="16"/>
  <c r="X629" i="16"/>
  <c r="V630" i="16"/>
  <c r="CV629" i="16" l="1"/>
  <c r="T1717" i="16"/>
  <c r="AF1717" i="16"/>
  <c r="AF629" i="16"/>
  <c r="T629" i="16"/>
  <c r="V1719" i="16"/>
  <c r="W1718" i="16"/>
  <c r="X1718" i="16"/>
  <c r="X630" i="16"/>
  <c r="W630" i="16"/>
  <c r="CV630" i="16" s="1"/>
  <c r="V631" i="16"/>
  <c r="T630" i="16" l="1"/>
  <c r="AF630" i="16"/>
  <c r="T1718" i="16"/>
  <c r="AF1718" i="16"/>
  <c r="X1719" i="16"/>
  <c r="V1720" i="16"/>
  <c r="W1719" i="16"/>
  <c r="V632" i="16"/>
  <c r="W631" i="16"/>
  <c r="CV631" i="16" s="1"/>
  <c r="X631" i="16"/>
  <c r="AF631" i="16" l="1"/>
  <c r="T631" i="16"/>
  <c r="AF1719" i="16"/>
  <c r="T1719" i="16"/>
  <c r="V1721" i="16"/>
  <c r="X1720" i="16"/>
  <c r="W1720" i="16"/>
  <c r="X632" i="16"/>
  <c r="V633" i="16"/>
  <c r="W632" i="16"/>
  <c r="CV632" i="16" s="1"/>
  <c r="T632" i="16" l="1"/>
  <c r="AF632" i="16"/>
  <c r="AF1720" i="16"/>
  <c r="T1720" i="16"/>
  <c r="X1721" i="16"/>
  <c r="W1721" i="16"/>
  <c r="V1722" i="16"/>
  <c r="V634" i="16"/>
  <c r="X633" i="16"/>
  <c r="W633" i="16"/>
  <c r="CV633" i="16" s="1"/>
  <c r="AF1721" i="16" l="1"/>
  <c r="T1721" i="16"/>
  <c r="AF633" i="16"/>
  <c r="T633" i="16"/>
  <c r="W1722" i="16"/>
  <c r="V1723" i="16"/>
  <c r="X1722" i="16"/>
  <c r="W634" i="16"/>
  <c r="X634" i="16"/>
  <c r="V635" i="16"/>
  <c r="CV634" i="16" l="1"/>
  <c r="AF1722" i="16"/>
  <c r="T1722" i="16"/>
  <c r="T634" i="16"/>
  <c r="AF634" i="16"/>
  <c r="X1723" i="16"/>
  <c r="W1723" i="16"/>
  <c r="V1724" i="16"/>
  <c r="W635" i="16"/>
  <c r="X635" i="16"/>
  <c r="V636" i="16"/>
  <c r="CV635" i="16" l="1"/>
  <c r="T635" i="16"/>
  <c r="AF635" i="16"/>
  <c r="AF1723" i="16"/>
  <c r="T1723" i="16"/>
  <c r="V1725" i="16"/>
  <c r="W1724" i="16"/>
  <c r="X1724" i="16"/>
  <c r="W636" i="16"/>
  <c r="X636" i="16"/>
  <c r="V637" i="16"/>
  <c r="CV636" i="16" l="1"/>
  <c r="T636" i="16"/>
  <c r="AF636" i="16"/>
  <c r="AF1724" i="16"/>
  <c r="T1724" i="16"/>
  <c r="X1725" i="16"/>
  <c r="V1726" i="16"/>
  <c r="W1725" i="16"/>
  <c r="W637" i="16"/>
  <c r="V638" i="16"/>
  <c r="X637" i="16"/>
  <c r="CV637" i="16" l="1"/>
  <c r="T637" i="16"/>
  <c r="AF637" i="16"/>
  <c r="AF1725" i="16"/>
  <c r="T1725" i="16"/>
  <c r="V1727" i="16"/>
  <c r="X1726" i="16"/>
  <c r="W1726" i="16"/>
  <c r="X638" i="16"/>
  <c r="V639" i="16"/>
  <c r="W638" i="16"/>
  <c r="CV638" i="16" s="1"/>
  <c r="AF638" i="16" l="1"/>
  <c r="T638" i="16"/>
  <c r="AF1726" i="16"/>
  <c r="T1726" i="16"/>
  <c r="X1727" i="16"/>
  <c r="V1728" i="16"/>
  <c r="W1727" i="16"/>
  <c r="X639" i="16"/>
  <c r="W639" i="16"/>
  <c r="CV639" i="16" s="1"/>
  <c r="V640" i="16"/>
  <c r="AF639" i="16" l="1"/>
  <c r="T639" i="16"/>
  <c r="AF1727" i="16"/>
  <c r="T1727" i="16"/>
  <c r="V1729" i="16"/>
  <c r="X1728" i="16"/>
  <c r="W1728" i="16"/>
  <c r="W640" i="16"/>
  <c r="X640" i="16"/>
  <c r="V641" i="16"/>
  <c r="CV640" i="16" l="1"/>
  <c r="AF640" i="16"/>
  <c r="T640" i="16"/>
  <c r="AF1728" i="16"/>
  <c r="T1728" i="16"/>
  <c r="W1729" i="16"/>
  <c r="V1730" i="16"/>
  <c r="X1729" i="16"/>
  <c r="W641" i="16"/>
  <c r="X641" i="16"/>
  <c r="V642" i="16"/>
  <c r="CV641" i="16" l="1"/>
  <c r="AF641" i="16"/>
  <c r="T641" i="16"/>
  <c r="AF1729" i="16"/>
  <c r="T1729" i="16"/>
  <c r="V1731" i="16"/>
  <c r="X1730" i="16"/>
  <c r="W1730" i="16"/>
  <c r="W642" i="16"/>
  <c r="V643" i="16"/>
  <c r="X642" i="16"/>
  <c r="CV642" i="16" l="1"/>
  <c r="T642" i="16"/>
  <c r="AF642" i="16"/>
  <c r="AF1730" i="16"/>
  <c r="T1730" i="16"/>
  <c r="V1732" i="16"/>
  <c r="X1731" i="16"/>
  <c r="W1731" i="16"/>
  <c r="W643" i="16"/>
  <c r="CV643" i="16" s="1"/>
  <c r="X643" i="16"/>
  <c r="V644" i="16"/>
  <c r="AF643" i="16" l="1"/>
  <c r="T643" i="16"/>
  <c r="T1731" i="16"/>
  <c r="AF1731" i="16"/>
  <c r="V1733" i="16"/>
  <c r="X1732" i="16"/>
  <c r="W1732" i="16"/>
  <c r="W644" i="16"/>
  <c r="V645" i="16"/>
  <c r="X644" i="16"/>
  <c r="CV644" i="16" l="1"/>
  <c r="T1732" i="16"/>
  <c r="AF1732" i="16"/>
  <c r="T644" i="16"/>
  <c r="AF644" i="16"/>
  <c r="V1734" i="16"/>
  <c r="X1733" i="16"/>
  <c r="W1733" i="16"/>
  <c r="V646" i="16"/>
  <c r="W645" i="16"/>
  <c r="X645" i="16"/>
  <c r="CV645" i="16" l="1"/>
  <c r="T645" i="16"/>
  <c r="AF645" i="16"/>
  <c r="T1733" i="16"/>
  <c r="AF1733" i="16"/>
  <c r="V1735" i="16"/>
  <c r="X1734" i="16"/>
  <c r="W1734" i="16"/>
  <c r="W646" i="16"/>
  <c r="X646" i="16"/>
  <c r="V647" i="16"/>
  <c r="CV646" i="16" l="1"/>
  <c r="AF646" i="16"/>
  <c r="T646" i="16"/>
  <c r="T1734" i="16"/>
  <c r="AF1734" i="16"/>
  <c r="X1735" i="16"/>
  <c r="V1736" i="16"/>
  <c r="W1735" i="16"/>
  <c r="V648" i="16"/>
  <c r="X647" i="16"/>
  <c r="W647" i="16"/>
  <c r="CV647" i="16" s="1"/>
  <c r="T647" i="16" l="1"/>
  <c r="AF647" i="16"/>
  <c r="T1735" i="16"/>
  <c r="AF1735" i="16"/>
  <c r="V1737" i="16"/>
  <c r="W1736" i="16"/>
  <c r="X1736" i="16"/>
  <c r="W648" i="16"/>
  <c r="X648" i="16"/>
  <c r="V649" i="16"/>
  <c r="CV648" i="16" l="1"/>
  <c r="T1736" i="16"/>
  <c r="AF1736" i="16"/>
  <c r="AF648" i="16"/>
  <c r="T648" i="16"/>
  <c r="V1738" i="16"/>
  <c r="X1737" i="16"/>
  <c r="W1737" i="16"/>
  <c r="W649" i="16"/>
  <c r="X649" i="16"/>
  <c r="V650" i="16"/>
  <c r="CV649" i="16" l="1"/>
  <c r="AF649" i="16"/>
  <c r="T649" i="16"/>
  <c r="T1737" i="16"/>
  <c r="AF1737" i="16"/>
  <c r="X1738" i="16"/>
  <c r="W1738" i="16"/>
  <c r="V1739" i="16"/>
  <c r="W650" i="16"/>
  <c r="X650" i="16"/>
  <c r="V651" i="16"/>
  <c r="CV650" i="16" l="1"/>
  <c r="AF650" i="16"/>
  <c r="T650" i="16"/>
  <c r="T1738" i="16"/>
  <c r="AF1738" i="16"/>
  <c r="X1739" i="16"/>
  <c r="V1740" i="16"/>
  <c r="W1739" i="16"/>
  <c r="V652" i="16"/>
  <c r="W651" i="16"/>
  <c r="X651" i="16"/>
  <c r="CV651" i="16" l="1"/>
  <c r="T651" i="16"/>
  <c r="AF651" i="16"/>
  <c r="T1739" i="16"/>
  <c r="AF1739" i="16"/>
  <c r="V1741" i="16"/>
  <c r="X1740" i="16"/>
  <c r="W1740" i="16"/>
  <c r="V653" i="16"/>
  <c r="W652" i="16"/>
  <c r="CV652" i="16" s="1"/>
  <c r="X652" i="16"/>
  <c r="AF652" i="16" l="1"/>
  <c r="T652" i="16"/>
  <c r="T1740" i="16"/>
  <c r="AF1740" i="16"/>
  <c r="X1741" i="16"/>
  <c r="W1741" i="16"/>
  <c r="V1742" i="16"/>
  <c r="W653" i="16"/>
  <c r="X653" i="16"/>
  <c r="V654" i="16"/>
  <c r="CV653" i="16" l="1"/>
  <c r="T1741" i="16"/>
  <c r="AF1741" i="16"/>
  <c r="T653" i="16"/>
  <c r="AF653" i="16"/>
  <c r="V1743" i="16"/>
  <c r="X1742" i="16"/>
  <c r="W1742" i="16"/>
  <c r="W654" i="16"/>
  <c r="X654" i="16"/>
  <c r="V655" i="16"/>
  <c r="CV654" i="16" l="1"/>
  <c r="T1742" i="16"/>
  <c r="AF1742" i="16"/>
  <c r="T654" i="16"/>
  <c r="AF654" i="16"/>
  <c r="X1743" i="16"/>
  <c r="V1744" i="16"/>
  <c r="W1743" i="16"/>
  <c r="V656" i="16"/>
  <c r="W655" i="16"/>
  <c r="X655" i="16"/>
  <c r="CV655" i="16" l="1"/>
  <c r="T1743" i="16"/>
  <c r="AF1743" i="16"/>
  <c r="T655" i="16"/>
  <c r="AF655" i="16"/>
  <c r="V1745" i="16"/>
  <c r="X1744" i="16"/>
  <c r="W1744" i="16"/>
  <c r="W656" i="16"/>
  <c r="X656" i="16"/>
  <c r="V657" i="16"/>
  <c r="CV656" i="16" l="1"/>
  <c r="AF656" i="16"/>
  <c r="T656" i="16"/>
  <c r="AF1744" i="16"/>
  <c r="T1744" i="16"/>
  <c r="X1745" i="16"/>
  <c r="W1745" i="16"/>
  <c r="V1746" i="16"/>
  <c r="V658" i="16"/>
  <c r="W657" i="16"/>
  <c r="CV657" i="16" s="1"/>
  <c r="X657" i="16"/>
  <c r="T657" i="16" l="1"/>
  <c r="AF657" i="16"/>
  <c r="AF1745" i="16"/>
  <c r="T1745" i="16"/>
  <c r="V1747" i="16"/>
  <c r="X1746" i="16"/>
  <c r="W1746" i="16"/>
  <c r="W658" i="16"/>
  <c r="X658" i="16"/>
  <c r="V659" i="16"/>
  <c r="CV658" i="16" l="1"/>
  <c r="T658" i="16"/>
  <c r="AF658" i="16"/>
  <c r="AF1746" i="16"/>
  <c r="T1746" i="16"/>
  <c r="V1748" i="16"/>
  <c r="X1747" i="16"/>
  <c r="W1747" i="16"/>
  <c r="W659" i="16"/>
  <c r="X659" i="16"/>
  <c r="V660" i="16"/>
  <c r="CV659" i="16" l="1"/>
  <c r="T659" i="16"/>
  <c r="AF659" i="16"/>
  <c r="AF1747" i="16"/>
  <c r="T1747" i="16"/>
  <c r="V1749" i="16"/>
  <c r="X1748" i="16"/>
  <c r="W1748" i="16"/>
  <c r="X660" i="16"/>
  <c r="V661" i="16"/>
  <c r="W660" i="16"/>
  <c r="CV660" i="16" s="1"/>
  <c r="AF1748" i="16" l="1"/>
  <c r="T1748" i="16"/>
  <c r="AF660" i="16"/>
  <c r="T660" i="16"/>
  <c r="V1750" i="16"/>
  <c r="X1749" i="16"/>
  <c r="W1749" i="16"/>
  <c r="W661" i="16"/>
  <c r="X661" i="16"/>
  <c r="V662" i="16"/>
  <c r="CV661" i="16" l="1"/>
  <c r="AF1749" i="16"/>
  <c r="T1749" i="16"/>
  <c r="AF661" i="16"/>
  <c r="T661" i="16"/>
  <c r="V1751" i="16"/>
  <c r="X1750" i="16"/>
  <c r="W1750" i="16"/>
  <c r="X662" i="16"/>
  <c r="V663" i="16"/>
  <c r="W662" i="16"/>
  <c r="CV662" i="16" s="1"/>
  <c r="T662" i="16" l="1"/>
  <c r="AF662" i="16"/>
  <c r="AF1750" i="16"/>
  <c r="T1750" i="16"/>
  <c r="X1751" i="16"/>
  <c r="V1752" i="16"/>
  <c r="W1751" i="16"/>
  <c r="X663" i="16"/>
  <c r="V664" i="16"/>
  <c r="W663" i="16"/>
  <c r="CV663" i="16" s="1"/>
  <c r="T663" i="16" l="1"/>
  <c r="AF663" i="16"/>
  <c r="AF1751" i="16"/>
  <c r="T1751" i="16"/>
  <c r="V1753" i="16"/>
  <c r="X1752" i="16"/>
  <c r="W1752" i="16"/>
  <c r="W664" i="16"/>
  <c r="CV664" i="16" s="1"/>
  <c r="X664" i="16"/>
  <c r="V665" i="16"/>
  <c r="AF664" i="16" l="1"/>
  <c r="T664" i="16"/>
  <c r="AF1752" i="16"/>
  <c r="T1752" i="16"/>
  <c r="X1753" i="16"/>
  <c r="V1754" i="16"/>
  <c r="W1753" i="16"/>
  <c r="W665" i="16"/>
  <c r="X665" i="16"/>
  <c r="V666" i="16"/>
  <c r="CV665" i="16" l="1"/>
  <c r="AF1753" i="16"/>
  <c r="T1753" i="16"/>
  <c r="AF665" i="16"/>
  <c r="T665" i="16"/>
  <c r="V1755" i="16"/>
  <c r="X1754" i="16"/>
  <c r="W1754" i="16"/>
  <c r="X666" i="16"/>
  <c r="W666" i="16"/>
  <c r="CV666" i="16" s="1"/>
  <c r="V667" i="16"/>
  <c r="AF1754" i="16" l="1"/>
  <c r="T1754" i="16"/>
  <c r="AF666" i="16"/>
  <c r="T666" i="16"/>
  <c r="V1756" i="16"/>
  <c r="X1755" i="16"/>
  <c r="W1755" i="16"/>
  <c r="W667" i="16"/>
  <c r="X667" i="16"/>
  <c r="V668" i="16"/>
  <c r="CV667" i="16" l="1"/>
  <c r="T667" i="16"/>
  <c r="AF667" i="16"/>
  <c r="AF1755" i="16"/>
  <c r="T1755" i="16"/>
  <c r="V1757" i="16"/>
  <c r="X1756" i="16"/>
  <c r="W1756" i="16"/>
  <c r="W668" i="16"/>
  <c r="X668" i="16"/>
  <c r="V669" i="16"/>
  <c r="CV668" i="16" l="1"/>
  <c r="T1756" i="16"/>
  <c r="AF1756" i="16"/>
  <c r="AF668" i="16"/>
  <c r="T668" i="16"/>
  <c r="W1757" i="16"/>
  <c r="V1758" i="16"/>
  <c r="X1757" i="16"/>
  <c r="V670" i="16"/>
  <c r="X669" i="16"/>
  <c r="W669" i="16"/>
  <c r="CV669" i="16" s="1"/>
  <c r="T669" i="16" l="1"/>
  <c r="AF669" i="16"/>
  <c r="T1757" i="16"/>
  <c r="AF1757" i="16"/>
  <c r="V1759" i="16"/>
  <c r="X1758" i="16"/>
  <c r="W1758" i="16"/>
  <c r="W670" i="16"/>
  <c r="X670" i="16"/>
  <c r="V671" i="16"/>
  <c r="CV670" i="16" l="1"/>
  <c r="T1758" i="16"/>
  <c r="AF1758" i="16"/>
  <c r="AF670" i="16"/>
  <c r="T670" i="16"/>
  <c r="X1759" i="16"/>
  <c r="V1760" i="16"/>
  <c r="W1759" i="16"/>
  <c r="V672" i="16"/>
  <c r="W671" i="16"/>
  <c r="X671" i="16"/>
  <c r="CV671" i="16" l="1"/>
  <c r="AF671" i="16"/>
  <c r="T671" i="16"/>
  <c r="T1759" i="16"/>
  <c r="AF1759" i="16"/>
  <c r="W1760" i="16"/>
  <c r="V1761" i="16"/>
  <c r="X1760" i="16"/>
  <c r="W672" i="16"/>
  <c r="X672" i="16"/>
  <c r="V673" i="16"/>
  <c r="CV672" i="16" l="1"/>
  <c r="AF672" i="16"/>
  <c r="T672" i="16"/>
  <c r="T1760" i="16"/>
  <c r="AF1760" i="16"/>
  <c r="X1761" i="16"/>
  <c r="V1762" i="16"/>
  <c r="W1761" i="16"/>
  <c r="W673" i="16"/>
  <c r="V674" i="16"/>
  <c r="X673" i="16"/>
  <c r="CV673" i="16" l="1"/>
  <c r="AF673" i="16"/>
  <c r="T673" i="16"/>
  <c r="T1761" i="16"/>
  <c r="AF1761" i="16"/>
  <c r="W1762" i="16"/>
  <c r="V1763" i="16"/>
  <c r="X1762" i="16"/>
  <c r="X674" i="16"/>
  <c r="W674" i="16"/>
  <c r="CV674" i="16" s="1"/>
  <c r="V675" i="16"/>
  <c r="AF674" i="16" l="1"/>
  <c r="T674" i="16"/>
  <c r="T1762" i="16"/>
  <c r="AF1762" i="16"/>
  <c r="V1764" i="16"/>
  <c r="X1763" i="16"/>
  <c r="W1763" i="16"/>
  <c r="W675" i="16"/>
  <c r="X675" i="16"/>
  <c r="V676" i="16"/>
  <c r="CV675" i="16" l="1"/>
  <c r="T1763" i="16"/>
  <c r="AF1763" i="16"/>
  <c r="AF675" i="16"/>
  <c r="T675" i="16"/>
  <c r="V1765" i="16"/>
  <c r="X1764" i="16"/>
  <c r="W1764" i="16"/>
  <c r="V677" i="16"/>
  <c r="X676" i="16"/>
  <c r="W676" i="16"/>
  <c r="CV676" i="16" s="1"/>
  <c r="AF676" i="16" l="1"/>
  <c r="T676" i="16"/>
  <c r="T1764" i="16"/>
  <c r="AF1764" i="16"/>
  <c r="V1766" i="16"/>
  <c r="X1765" i="16"/>
  <c r="W1765" i="16"/>
  <c r="W677" i="16"/>
  <c r="V678" i="16"/>
  <c r="X677" i="16"/>
  <c r="CV677" i="16" l="1"/>
  <c r="T1765" i="16"/>
  <c r="AF1765" i="16"/>
  <c r="AF677" i="16"/>
  <c r="T677" i="16"/>
  <c r="V1767" i="16"/>
  <c r="X1766" i="16"/>
  <c r="W1766" i="16"/>
  <c r="W678" i="16"/>
  <c r="CV678" i="16" s="1"/>
  <c r="X678" i="16"/>
  <c r="V679" i="16"/>
  <c r="T1766" i="16" l="1"/>
  <c r="AF1766" i="16"/>
  <c r="T678" i="16"/>
  <c r="AF678" i="16"/>
  <c r="X1767" i="16"/>
  <c r="V1768" i="16"/>
  <c r="W1767" i="16"/>
  <c r="V680" i="16"/>
  <c r="X679" i="16"/>
  <c r="W679" i="16"/>
  <c r="CV679" i="16" s="1"/>
  <c r="T679" i="16" l="1"/>
  <c r="AF679" i="16"/>
  <c r="AF1767" i="16"/>
  <c r="T1767" i="16"/>
  <c r="V1769" i="16"/>
  <c r="W1768" i="16"/>
  <c r="X1768" i="16"/>
  <c r="V681" i="16"/>
  <c r="W680" i="16"/>
  <c r="X680" i="16"/>
  <c r="CV680" i="16" l="1"/>
  <c r="T680" i="16"/>
  <c r="AF680" i="16"/>
  <c r="AF1768" i="16"/>
  <c r="T1768" i="16"/>
  <c r="V1770" i="16"/>
  <c r="X1769" i="16"/>
  <c r="W1769" i="16"/>
  <c r="V682" i="16"/>
  <c r="W681" i="16"/>
  <c r="X681" i="16"/>
  <c r="CV681" i="16" l="1"/>
  <c r="AF1769" i="16"/>
  <c r="T1769" i="16"/>
  <c r="AF681" i="16"/>
  <c r="T681" i="16"/>
  <c r="V1771" i="16"/>
  <c r="X1770" i="16"/>
  <c r="W1770" i="16"/>
  <c r="X682" i="16"/>
  <c r="W682" i="16"/>
  <c r="CV682" i="16" s="1"/>
  <c r="V683" i="16"/>
  <c r="AF682" i="16" l="1"/>
  <c r="T682" i="16"/>
  <c r="AF1770" i="16"/>
  <c r="T1770" i="16"/>
  <c r="X1771" i="16"/>
  <c r="W1771" i="16"/>
  <c r="V1772" i="16"/>
  <c r="W683" i="16"/>
  <c r="CV683" i="16" s="1"/>
  <c r="X683" i="16"/>
  <c r="V684" i="16"/>
  <c r="AF1771" i="16" l="1"/>
  <c r="T1771" i="16"/>
  <c r="T683" i="16"/>
  <c r="AF683" i="16"/>
  <c r="W1772" i="16"/>
  <c r="X1772" i="16"/>
  <c r="V1773" i="16"/>
  <c r="X684" i="16"/>
  <c r="V685" i="16"/>
  <c r="W684" i="16"/>
  <c r="CV684" i="16" s="1"/>
  <c r="AF684" i="16" l="1"/>
  <c r="T684" i="16"/>
  <c r="AF1772" i="16"/>
  <c r="T1772" i="16"/>
  <c r="V1774" i="16"/>
  <c r="X1773" i="16"/>
  <c r="W1773" i="16"/>
  <c r="V686" i="16"/>
  <c r="W685" i="16"/>
  <c r="X685" i="16"/>
  <c r="CV685" i="16" l="1"/>
  <c r="AF1773" i="16"/>
  <c r="T1773" i="16"/>
  <c r="AF685" i="16"/>
  <c r="T685" i="16"/>
  <c r="V1775" i="16"/>
  <c r="X1774" i="16"/>
  <c r="W1774" i="16"/>
  <c r="X686" i="16"/>
  <c r="W686" i="16"/>
  <c r="CV686" i="16" s="1"/>
  <c r="V687" i="16"/>
  <c r="AF1774" i="16" l="1"/>
  <c r="T1774" i="16"/>
  <c r="AF686" i="16"/>
  <c r="T686" i="16"/>
  <c r="X1775" i="16"/>
  <c r="V1776" i="16"/>
  <c r="W1775" i="16"/>
  <c r="W687" i="16"/>
  <c r="CV687" i="16" s="1"/>
  <c r="X687" i="16"/>
  <c r="V688" i="16"/>
  <c r="T687" i="16" l="1"/>
  <c r="AF687" i="16"/>
  <c r="AF1775" i="16"/>
  <c r="T1775" i="16"/>
  <c r="V1777" i="16"/>
  <c r="X1776" i="16"/>
  <c r="W1776" i="16"/>
  <c r="W688" i="16"/>
  <c r="CV688" i="16" s="1"/>
  <c r="X688" i="16"/>
  <c r="V689" i="16"/>
  <c r="AF1776" i="16" l="1"/>
  <c r="T1776" i="16"/>
  <c r="T688" i="16"/>
  <c r="AF688" i="16"/>
  <c r="W1777" i="16"/>
  <c r="V1778" i="16"/>
  <c r="X1777" i="16"/>
  <c r="V690" i="16"/>
  <c r="W689" i="16"/>
  <c r="X689" i="16"/>
  <c r="CV689" i="16" l="1"/>
  <c r="T689" i="16"/>
  <c r="AF689" i="16"/>
  <c r="AF1777" i="16"/>
  <c r="T1777" i="16"/>
  <c r="W1778" i="16"/>
  <c r="V1779" i="16"/>
  <c r="X1778" i="16"/>
  <c r="V691" i="16"/>
  <c r="W690" i="16"/>
  <c r="X690" i="16"/>
  <c r="CV690" i="16" l="1"/>
  <c r="AF690" i="16"/>
  <c r="T690" i="16"/>
  <c r="AF1778" i="16"/>
  <c r="T1778" i="16"/>
  <c r="V1780" i="16"/>
  <c r="X1779" i="16"/>
  <c r="W1779" i="16"/>
  <c r="W691" i="16"/>
  <c r="X691" i="16"/>
  <c r="V692" i="16"/>
  <c r="CV691" i="16" l="1"/>
  <c r="T1779" i="16"/>
  <c r="AF1779" i="16"/>
  <c r="AF691" i="16"/>
  <c r="T691" i="16"/>
  <c r="V1781" i="16"/>
  <c r="X1780" i="16"/>
  <c r="W1780" i="16"/>
  <c r="W692" i="16"/>
  <c r="X692" i="16"/>
  <c r="V693" i="16"/>
  <c r="CV692" i="16" l="1"/>
  <c r="AF692" i="16"/>
  <c r="T692" i="16"/>
  <c r="T1780" i="16"/>
  <c r="AF1780" i="16"/>
  <c r="V1782" i="16"/>
  <c r="X1781" i="16"/>
  <c r="W1781" i="16"/>
  <c r="W693" i="16"/>
  <c r="X693" i="16"/>
  <c r="V694" i="16"/>
  <c r="CV693" i="16" l="1"/>
  <c r="AF693" i="16"/>
  <c r="T693" i="16"/>
  <c r="T1781" i="16"/>
  <c r="AF1781" i="16"/>
  <c r="V1783" i="16"/>
  <c r="X1782" i="16"/>
  <c r="W1782" i="16"/>
  <c r="X694" i="16"/>
  <c r="V695" i="16"/>
  <c r="W694" i="16"/>
  <c r="CV694" i="16" l="1"/>
  <c r="T1782" i="16"/>
  <c r="AF1782" i="16"/>
  <c r="AF694" i="16"/>
  <c r="T694" i="16"/>
  <c r="X1783" i="16"/>
  <c r="V1784" i="16"/>
  <c r="W1783" i="16"/>
  <c r="V696" i="16"/>
  <c r="W695" i="16"/>
  <c r="X695" i="16"/>
  <c r="CV695" i="16" l="1"/>
  <c r="T1783" i="16"/>
  <c r="AF1783" i="16"/>
  <c r="T695" i="16"/>
  <c r="AF695" i="16"/>
  <c r="V1785" i="16"/>
  <c r="W1784" i="16"/>
  <c r="X1784" i="16"/>
  <c r="X696" i="16"/>
  <c r="W696" i="16"/>
  <c r="CV696" i="16" s="1"/>
  <c r="V697" i="16"/>
  <c r="AF696" i="16" l="1"/>
  <c r="T696" i="16"/>
  <c r="T1784" i="16"/>
  <c r="AF1784" i="16"/>
  <c r="V1786" i="16"/>
  <c r="X1785" i="16"/>
  <c r="W1785" i="16"/>
  <c r="W697" i="16"/>
  <c r="CV697" i="16" s="1"/>
  <c r="X697" i="16"/>
  <c r="V698" i="16"/>
  <c r="AF697" i="16" l="1"/>
  <c r="T697" i="16"/>
  <c r="T1785" i="16"/>
  <c r="AF1785" i="16"/>
  <c r="X1786" i="16"/>
  <c r="W1786" i="16"/>
  <c r="V1787" i="16"/>
  <c r="V699" i="16"/>
  <c r="X698" i="16"/>
  <c r="W698" i="16"/>
  <c r="CV698" i="16" s="1"/>
  <c r="T698" i="16" l="1"/>
  <c r="AF698" i="16"/>
  <c r="T1786" i="16"/>
  <c r="AF1786" i="16"/>
  <c r="V1788" i="16"/>
  <c r="X1787" i="16"/>
  <c r="W1787" i="16"/>
  <c r="W699" i="16"/>
  <c r="X699" i="16"/>
  <c r="V700" i="16"/>
  <c r="CV699" i="16" l="1"/>
  <c r="AF699" i="16"/>
  <c r="T699" i="16"/>
  <c r="T1787" i="16"/>
  <c r="AF1787" i="16"/>
  <c r="V1789" i="16"/>
  <c r="W1788" i="16"/>
  <c r="X1788" i="16"/>
  <c r="W700" i="16"/>
  <c r="CV700" i="16" s="1"/>
  <c r="X700" i="16"/>
  <c r="V701" i="16"/>
  <c r="AF700" i="16" l="1"/>
  <c r="T700" i="16"/>
  <c r="T1788" i="16"/>
  <c r="AF1788" i="16"/>
  <c r="X1789" i="16"/>
  <c r="V1790" i="16"/>
  <c r="W1789" i="16"/>
  <c r="W701" i="16"/>
  <c r="CV701" i="16" s="1"/>
  <c r="X701" i="16"/>
  <c r="V702" i="16"/>
  <c r="AF701" i="16" l="1"/>
  <c r="T701" i="16"/>
  <c r="T1789" i="16"/>
  <c r="AF1789" i="16"/>
  <c r="V1791" i="16"/>
  <c r="X1790" i="16"/>
  <c r="W1790" i="16"/>
  <c r="X702" i="16"/>
  <c r="V703" i="16"/>
  <c r="W702" i="16"/>
  <c r="CV702" i="16" s="1"/>
  <c r="T702" i="16" l="1"/>
  <c r="AF702" i="16"/>
  <c r="T1790" i="16"/>
  <c r="AF1790" i="16"/>
  <c r="X1791" i="16"/>
  <c r="V1792" i="16"/>
  <c r="W1791" i="16"/>
  <c r="W703" i="16"/>
  <c r="V704" i="16"/>
  <c r="X703" i="16"/>
  <c r="CV703" i="16" l="1"/>
  <c r="T1791" i="16"/>
  <c r="AF1791" i="16"/>
  <c r="AF703" i="16"/>
  <c r="T703" i="16"/>
  <c r="V1793" i="16"/>
  <c r="X1792" i="16"/>
  <c r="W1792" i="16"/>
  <c r="V705" i="16"/>
  <c r="W704" i="16"/>
  <c r="CV704" i="16" s="1"/>
  <c r="X704" i="16"/>
  <c r="AF704" i="16" l="1"/>
  <c r="T704" i="16"/>
  <c r="AF1792" i="16"/>
  <c r="T1792" i="16"/>
  <c r="V1794" i="16"/>
  <c r="X1793" i="16"/>
  <c r="W1793" i="16"/>
  <c r="V706" i="16"/>
  <c r="W705" i="16"/>
  <c r="CV705" i="16" s="1"/>
  <c r="X705" i="16"/>
  <c r="AF705" i="16" l="1"/>
  <c r="T705" i="16"/>
  <c r="AF1793" i="16"/>
  <c r="T1793" i="16"/>
  <c r="V1795" i="16"/>
  <c r="X1794" i="16"/>
  <c r="W1794" i="16"/>
  <c r="W706" i="16"/>
  <c r="V707" i="16"/>
  <c r="X706" i="16"/>
  <c r="CV706" i="16" l="1"/>
  <c r="AF706" i="16"/>
  <c r="T706" i="16"/>
  <c r="AF1794" i="16"/>
  <c r="T1794" i="16"/>
  <c r="V1796" i="16"/>
  <c r="X1795" i="16"/>
  <c r="W1795" i="16"/>
  <c r="V708" i="16"/>
  <c r="W707" i="16"/>
  <c r="X707" i="16"/>
  <c r="CV707" i="16" l="1"/>
  <c r="AF707" i="16"/>
  <c r="T707" i="16"/>
  <c r="AF1795" i="16"/>
  <c r="T1795" i="16"/>
  <c r="V1797" i="16"/>
  <c r="X1796" i="16"/>
  <c r="W1796" i="16"/>
  <c r="W708" i="16"/>
  <c r="X708" i="16"/>
  <c r="V709" i="16"/>
  <c r="CV708" i="16" l="1"/>
  <c r="AF1796" i="16"/>
  <c r="T1796" i="16"/>
  <c r="AF708" i="16"/>
  <c r="T708" i="16"/>
  <c r="X1797" i="16"/>
  <c r="W1797" i="16"/>
  <c r="V1798" i="16"/>
  <c r="W709" i="16"/>
  <c r="X709" i="16"/>
  <c r="V710" i="16"/>
  <c r="CV709" i="16" l="1"/>
  <c r="T709" i="16"/>
  <c r="AF709" i="16"/>
  <c r="AF1797" i="16"/>
  <c r="T1797" i="16"/>
  <c r="V1799" i="16"/>
  <c r="X1798" i="16"/>
  <c r="W1798" i="16"/>
  <c r="X710" i="16"/>
  <c r="W710" i="16"/>
  <c r="V711" i="16"/>
  <c r="CV710" i="16" l="1"/>
  <c r="T710" i="16"/>
  <c r="AF710" i="16"/>
  <c r="AF1798" i="16"/>
  <c r="T1798" i="16"/>
  <c r="X1799" i="16"/>
  <c r="W1799" i="16"/>
  <c r="V1800" i="16"/>
  <c r="X711" i="16"/>
  <c r="V712" i="16"/>
  <c r="W711" i="16"/>
  <c r="CV711" i="16" s="1"/>
  <c r="T711" i="16" l="1"/>
  <c r="AF711" i="16"/>
  <c r="AF1799" i="16"/>
  <c r="T1799" i="16"/>
  <c r="W1800" i="16"/>
  <c r="X1800" i="16"/>
  <c r="V1801" i="16"/>
  <c r="V713" i="16"/>
  <c r="W712" i="16"/>
  <c r="X712" i="16"/>
  <c r="CV712" i="16" l="1"/>
  <c r="AF712" i="16"/>
  <c r="T712" i="16"/>
  <c r="AF1800" i="16"/>
  <c r="T1800" i="16"/>
  <c r="V1802" i="16"/>
  <c r="W1801" i="16"/>
  <c r="X1801" i="16"/>
  <c r="W713" i="16"/>
  <c r="X713" i="16"/>
  <c r="V714" i="16"/>
  <c r="CV713" i="16" l="1"/>
  <c r="AF713" i="16"/>
  <c r="T713" i="16"/>
  <c r="AF1801" i="16"/>
  <c r="T1801" i="16"/>
  <c r="V1803" i="16"/>
  <c r="X1802" i="16"/>
  <c r="W1802" i="16"/>
  <c r="W714" i="16"/>
  <c r="X714" i="16"/>
  <c r="V715" i="16"/>
  <c r="CV714" i="16" l="1"/>
  <c r="AF1802" i="16"/>
  <c r="T1802" i="16"/>
  <c r="AF714" i="16"/>
  <c r="T714" i="16"/>
  <c r="V1804" i="16"/>
  <c r="X1803" i="16"/>
  <c r="W1803" i="16"/>
  <c r="W715" i="16"/>
  <c r="X715" i="16"/>
  <c r="V716" i="16"/>
  <c r="CV715" i="16" l="1"/>
  <c r="AF715" i="16"/>
  <c r="T715" i="16"/>
  <c r="AF1803" i="16"/>
  <c r="T1803" i="16"/>
  <c r="V1805" i="16"/>
  <c r="X1804" i="16"/>
  <c r="W1804" i="16"/>
  <c r="X716" i="16"/>
  <c r="W716" i="16"/>
  <c r="V717" i="16"/>
  <c r="CV716" i="16" l="1"/>
  <c r="AF716" i="16"/>
  <c r="T716" i="16"/>
  <c r="AF1804" i="16"/>
  <c r="T1804" i="16"/>
  <c r="W1805" i="16"/>
  <c r="X1805" i="16"/>
  <c r="V1806" i="16"/>
  <c r="V718" i="16"/>
  <c r="W717" i="16"/>
  <c r="X717" i="16"/>
  <c r="CV717" i="16" l="1"/>
  <c r="AF717" i="16"/>
  <c r="T717" i="16"/>
  <c r="AF1805" i="16"/>
  <c r="T1805" i="16"/>
  <c r="V1807" i="16"/>
  <c r="X1806" i="16"/>
  <c r="W1806" i="16"/>
  <c r="W718" i="16"/>
  <c r="CV718" i="16" s="1"/>
  <c r="X718" i="16"/>
  <c r="V719" i="16"/>
  <c r="AF718" i="16" l="1"/>
  <c r="T718" i="16"/>
  <c r="T1806" i="16"/>
  <c r="AF1806" i="16"/>
  <c r="X1807" i="16"/>
  <c r="V1808" i="16"/>
  <c r="W1807" i="16"/>
  <c r="V720" i="16"/>
  <c r="W719" i="16"/>
  <c r="X719" i="16"/>
  <c r="CV719" i="16" l="1"/>
  <c r="T719" i="16"/>
  <c r="AF719" i="16"/>
  <c r="T1807" i="16"/>
  <c r="AF1807" i="16"/>
  <c r="V1809" i="16"/>
  <c r="X1808" i="16"/>
  <c r="W1808" i="16"/>
  <c r="X720" i="16"/>
  <c r="W720" i="16"/>
  <c r="CV720" i="16" s="1"/>
  <c r="V721" i="16"/>
  <c r="T1808" i="16" l="1"/>
  <c r="AF1808" i="16"/>
  <c r="AF720" i="16"/>
  <c r="T720" i="16"/>
  <c r="V1810" i="16"/>
  <c r="X1809" i="16"/>
  <c r="W1809" i="16"/>
  <c r="W721" i="16"/>
  <c r="X721" i="16"/>
  <c r="V722" i="16"/>
  <c r="CV721" i="16" l="1"/>
  <c r="T1809" i="16"/>
  <c r="AF1809" i="16"/>
  <c r="T721" i="16"/>
  <c r="AF721" i="16"/>
  <c r="W1810" i="16"/>
  <c r="V1811" i="16"/>
  <c r="X1810" i="16"/>
  <c r="X722" i="16"/>
  <c r="W722" i="16"/>
  <c r="V723" i="16"/>
  <c r="CV722" i="16" l="1"/>
  <c r="T722" i="16"/>
  <c r="AF722" i="16"/>
  <c r="T1810" i="16"/>
  <c r="AF1810" i="16"/>
  <c r="V1812" i="16"/>
  <c r="X1811" i="16"/>
  <c r="W1811" i="16"/>
  <c r="W723" i="16"/>
  <c r="X723" i="16"/>
  <c r="V724" i="16"/>
  <c r="CV723" i="16" l="1"/>
  <c r="T1811" i="16"/>
  <c r="AF1811" i="16"/>
  <c r="AF723" i="16"/>
  <c r="T723" i="16"/>
  <c r="V1813" i="16"/>
  <c r="X1812" i="16"/>
  <c r="W1812" i="16"/>
  <c r="V725" i="16"/>
  <c r="W724" i="16"/>
  <c r="X724" i="16"/>
  <c r="CV724" i="16" l="1"/>
  <c r="AF724" i="16"/>
  <c r="T724" i="16"/>
  <c r="T1812" i="16"/>
  <c r="AF1812" i="16"/>
  <c r="V1814" i="16"/>
  <c r="X1813" i="16"/>
  <c r="W1813" i="16"/>
  <c r="W725" i="16"/>
  <c r="X725" i="16"/>
  <c r="V726" i="16"/>
  <c r="CV725" i="16" l="1"/>
  <c r="T1813" i="16"/>
  <c r="AF1813" i="16"/>
  <c r="AF725" i="16"/>
  <c r="T725" i="16"/>
  <c r="V1815" i="16"/>
  <c r="X1814" i="16"/>
  <c r="W1814" i="16"/>
  <c r="W726" i="16"/>
  <c r="X726" i="16"/>
  <c r="V727" i="16"/>
  <c r="CV726" i="16" l="1"/>
  <c r="T726" i="16"/>
  <c r="AF726" i="16"/>
  <c r="T1814" i="16"/>
  <c r="AF1814" i="16"/>
  <c r="X1815" i="16"/>
  <c r="V1816" i="16"/>
  <c r="W1815" i="16"/>
  <c r="V728" i="16"/>
  <c r="X727" i="16"/>
  <c r="W727" i="16"/>
  <c r="CV727" i="16" s="1"/>
  <c r="T1815" i="16" l="1"/>
  <c r="AF1815" i="16"/>
  <c r="T727" i="16"/>
  <c r="AF727" i="16"/>
  <c r="V1817" i="16"/>
  <c r="X1816" i="16"/>
  <c r="W1816" i="16"/>
  <c r="X728" i="16"/>
  <c r="V729" i="16"/>
  <c r="W728" i="16"/>
  <c r="CV728" i="16" s="1"/>
  <c r="T728" i="16" l="1"/>
  <c r="AF728" i="16"/>
  <c r="AF1816" i="16"/>
  <c r="T1816" i="16"/>
  <c r="X1817" i="16"/>
  <c r="W1817" i="16"/>
  <c r="V1818" i="16"/>
  <c r="V730" i="16"/>
  <c r="W729" i="16"/>
  <c r="X729" i="16"/>
  <c r="CV729" i="16" l="1"/>
  <c r="AF1817" i="16"/>
  <c r="T1817" i="16"/>
  <c r="AF729" i="16"/>
  <c r="T729" i="16"/>
  <c r="V1819" i="16"/>
  <c r="W1818" i="16"/>
  <c r="X1818" i="16"/>
  <c r="W730" i="16"/>
  <c r="CV730" i="16" s="1"/>
  <c r="X730" i="16"/>
  <c r="V731" i="16"/>
  <c r="AF730" i="16" l="1"/>
  <c r="T730" i="16"/>
  <c r="AF1818" i="16"/>
  <c r="T1818" i="16"/>
  <c r="V1820" i="16"/>
  <c r="X1819" i="16"/>
  <c r="W1819" i="16"/>
  <c r="X731" i="16"/>
  <c r="V732" i="16"/>
  <c r="W731" i="16"/>
  <c r="CV731" i="16" l="1"/>
  <c r="T731" i="16"/>
  <c r="AF731" i="16"/>
  <c r="AF1819" i="16"/>
  <c r="T1819" i="16"/>
  <c r="V1821" i="16"/>
  <c r="X1820" i="16"/>
  <c r="W1820" i="16"/>
  <c r="W732" i="16"/>
  <c r="X732" i="16"/>
  <c r="V733" i="16"/>
  <c r="CV732" i="16" l="1"/>
  <c r="AF1820" i="16"/>
  <c r="T1820" i="16"/>
  <c r="AF732" i="16"/>
  <c r="T732" i="16"/>
  <c r="X1821" i="16"/>
  <c r="W1821" i="16"/>
  <c r="V1822" i="16"/>
  <c r="V734" i="16"/>
  <c r="W733" i="16"/>
  <c r="X733" i="16"/>
  <c r="CV733" i="16" l="1"/>
  <c r="AF1821" i="16"/>
  <c r="T1821" i="16"/>
  <c r="T733" i="16"/>
  <c r="AF733" i="16"/>
  <c r="V1823" i="16"/>
  <c r="X1822" i="16"/>
  <c r="W1822" i="16"/>
  <c r="X734" i="16"/>
  <c r="W734" i="16"/>
  <c r="V735" i="16"/>
  <c r="CV734" i="16" l="1"/>
  <c r="AF734" i="16"/>
  <c r="T734" i="16"/>
  <c r="AF1822" i="16"/>
  <c r="T1822" i="16"/>
  <c r="X1823" i="16"/>
  <c r="V1824" i="16"/>
  <c r="W1823" i="16"/>
  <c r="W735" i="16"/>
  <c r="X735" i="16"/>
  <c r="V736" i="16"/>
  <c r="CV735" i="16" l="1"/>
  <c r="AF1823" i="16"/>
  <c r="T1823" i="16"/>
  <c r="T735" i="16"/>
  <c r="AF735" i="16"/>
  <c r="V1825" i="16"/>
  <c r="X1824" i="16"/>
  <c r="W1824" i="16"/>
  <c r="V737" i="16"/>
  <c r="X736" i="16"/>
  <c r="W736" i="16"/>
  <c r="CV736" i="16" s="1"/>
  <c r="AF736" i="16" l="1"/>
  <c r="T736" i="16"/>
  <c r="AF1824" i="16"/>
  <c r="T1824" i="16"/>
  <c r="W1825" i="16"/>
  <c r="X1825" i="16"/>
  <c r="V1826" i="16"/>
  <c r="V738" i="16"/>
  <c r="W737" i="16"/>
  <c r="X737" i="16"/>
  <c r="CV737" i="16" l="1"/>
  <c r="T737" i="16"/>
  <c r="AF737" i="16"/>
  <c r="AF1825" i="16"/>
  <c r="T1825" i="16"/>
  <c r="V1827" i="16"/>
  <c r="X1826" i="16"/>
  <c r="W1826" i="16"/>
  <c r="V739" i="16"/>
  <c r="W738" i="16"/>
  <c r="X738" i="16"/>
  <c r="CV738" i="16" l="1"/>
  <c r="T738" i="16"/>
  <c r="AF738" i="16"/>
  <c r="AF1826" i="16"/>
  <c r="T1826" i="16"/>
  <c r="X1827" i="16"/>
  <c r="V1828" i="16"/>
  <c r="W1827" i="16"/>
  <c r="W739" i="16"/>
  <c r="CV739" i="16" s="1"/>
  <c r="X739" i="16"/>
  <c r="V740" i="16"/>
  <c r="AF1827" i="16" l="1"/>
  <c r="T1827" i="16"/>
  <c r="AF739" i="16"/>
  <c r="T739" i="16"/>
  <c r="V1829" i="16"/>
  <c r="X1828" i="16"/>
  <c r="W1828" i="16"/>
  <c r="W740" i="16"/>
  <c r="V741" i="16"/>
  <c r="X740" i="16"/>
  <c r="CV740" i="16" l="1"/>
  <c r="AF1828" i="16"/>
  <c r="T1828" i="16"/>
  <c r="AF740" i="16"/>
  <c r="T740" i="16"/>
  <c r="V1830" i="16"/>
  <c r="X1829" i="16"/>
  <c r="W1829" i="16"/>
  <c r="W741" i="16"/>
  <c r="X741" i="16"/>
  <c r="V742" i="16"/>
  <c r="CV741" i="16" l="1"/>
  <c r="AF741" i="16"/>
  <c r="T741" i="16"/>
  <c r="AF1829" i="16"/>
  <c r="T1829" i="16"/>
  <c r="V1831" i="16"/>
  <c r="X1830" i="16"/>
  <c r="W1830" i="16"/>
  <c r="W742" i="16"/>
  <c r="X742" i="16"/>
  <c r="V743" i="16"/>
  <c r="CV742" i="16" l="1"/>
  <c r="T742" i="16"/>
  <c r="AF742" i="16"/>
  <c r="T1830" i="16"/>
  <c r="AF1830" i="16"/>
  <c r="X1831" i="16"/>
  <c r="V1832" i="16"/>
  <c r="W1831" i="16"/>
  <c r="V744" i="16"/>
  <c r="W743" i="16"/>
  <c r="X743" i="16"/>
  <c r="CV743" i="16" l="1"/>
  <c r="AF743" i="16"/>
  <c r="T743" i="16"/>
  <c r="T1831" i="16"/>
  <c r="AF1831" i="16"/>
  <c r="V1833" i="16"/>
  <c r="X1832" i="16"/>
  <c r="W1832" i="16"/>
  <c r="X744" i="16"/>
  <c r="W744" i="16"/>
  <c r="V745" i="16"/>
  <c r="CV744" i="16" l="1"/>
  <c r="T1832" i="16"/>
  <c r="AF1832" i="16"/>
  <c r="T744" i="16"/>
  <c r="AF744" i="16"/>
  <c r="V1834" i="16"/>
  <c r="X1833" i="16"/>
  <c r="W1833" i="16"/>
  <c r="W745" i="16"/>
  <c r="X745" i="16"/>
  <c r="V746" i="16"/>
  <c r="CV745" i="16" l="1"/>
  <c r="T1833" i="16"/>
  <c r="AF1833" i="16"/>
  <c r="T745" i="16"/>
  <c r="AF745" i="16"/>
  <c r="X1834" i="16"/>
  <c r="W1834" i="16"/>
  <c r="V1835" i="16"/>
  <c r="W746" i="16"/>
  <c r="V747" i="16"/>
  <c r="X746" i="16"/>
  <c r="CV746" i="16" l="1"/>
  <c r="T1834" i="16"/>
  <c r="AF1834" i="16"/>
  <c r="AF746" i="16"/>
  <c r="T746" i="16"/>
  <c r="V1836" i="16"/>
  <c r="X1835" i="16"/>
  <c r="W1835" i="16"/>
  <c r="V748" i="16"/>
  <c r="W747" i="16"/>
  <c r="CV747" i="16" s="1"/>
  <c r="X747" i="16"/>
  <c r="AF747" i="16" l="1"/>
  <c r="T747" i="16"/>
  <c r="T1835" i="16"/>
  <c r="AF1835" i="16"/>
  <c r="W1836" i="16"/>
  <c r="V1837" i="16"/>
  <c r="X1836" i="16"/>
  <c r="W748" i="16"/>
  <c r="V749" i="16"/>
  <c r="X748" i="16"/>
  <c r="CV748" i="16" l="1"/>
  <c r="T1836" i="16"/>
  <c r="AF1836" i="16"/>
  <c r="AF748" i="16"/>
  <c r="T748" i="16"/>
  <c r="V1838" i="16"/>
  <c r="X1837" i="16"/>
  <c r="W1837" i="16"/>
  <c r="W749" i="16"/>
  <c r="V750" i="16"/>
  <c r="X749" i="16"/>
  <c r="CV749" i="16" l="1"/>
  <c r="T749" i="16"/>
  <c r="AF749" i="16"/>
  <c r="T1837" i="16"/>
  <c r="AF1837" i="16"/>
  <c r="V1839" i="16"/>
  <c r="X1838" i="16"/>
  <c r="W1838" i="16"/>
  <c r="W750" i="16"/>
  <c r="X750" i="16"/>
  <c r="V751" i="16"/>
  <c r="CV750" i="16" l="1"/>
  <c r="T1838" i="16"/>
  <c r="AF1838" i="16"/>
  <c r="AF750" i="16"/>
  <c r="T750" i="16"/>
  <c r="X1839" i="16"/>
  <c r="W1839" i="16"/>
  <c r="V1840" i="16"/>
  <c r="X751" i="16"/>
  <c r="V752" i="16"/>
  <c r="W751" i="16"/>
  <c r="CV751" i="16" s="1"/>
  <c r="AF751" i="16" l="1"/>
  <c r="T751" i="16"/>
  <c r="AF1839" i="16"/>
  <c r="T1839" i="16"/>
  <c r="W1840" i="16"/>
  <c r="V1841" i="16"/>
  <c r="X1840" i="16"/>
  <c r="W752" i="16"/>
  <c r="CV752" i="16" s="1"/>
  <c r="X752" i="16"/>
  <c r="V753" i="16"/>
  <c r="AF752" i="16" l="1"/>
  <c r="T752" i="16"/>
  <c r="AF1840" i="16"/>
  <c r="T1840" i="16"/>
  <c r="V1842" i="16"/>
  <c r="X1841" i="16"/>
  <c r="W1841" i="16"/>
  <c r="V754" i="16"/>
  <c r="W753" i="16"/>
  <c r="X753" i="16"/>
  <c r="CV753" i="16" l="1"/>
  <c r="T753" i="16"/>
  <c r="AF753" i="16"/>
  <c r="AF1841" i="16"/>
  <c r="T1841" i="16"/>
  <c r="V1843" i="16"/>
  <c r="X1842" i="16"/>
  <c r="W1842" i="16"/>
  <c r="V755" i="16"/>
  <c r="W754" i="16"/>
  <c r="X754" i="16"/>
  <c r="CV754" i="16" l="1"/>
  <c r="T754" i="16"/>
  <c r="AF754" i="16"/>
  <c r="AF1842" i="16"/>
  <c r="T1842" i="16"/>
  <c r="V1844" i="16"/>
  <c r="X1843" i="16"/>
  <c r="W1843" i="16"/>
  <c r="W755" i="16"/>
  <c r="CV755" i="16" s="1"/>
  <c r="X755" i="16"/>
  <c r="V756" i="16"/>
  <c r="AF1843" i="16" l="1"/>
  <c r="T1843" i="16"/>
  <c r="T755" i="16"/>
  <c r="AF755" i="16"/>
  <c r="V1845" i="16"/>
  <c r="X1844" i="16"/>
  <c r="W1844" i="16"/>
  <c r="W756" i="16"/>
  <c r="CV756" i="16" s="1"/>
  <c r="X756" i="16"/>
  <c r="V757" i="16"/>
  <c r="AF756" i="16" l="1"/>
  <c r="T756" i="16"/>
  <c r="AF1844" i="16"/>
  <c r="T1844" i="16"/>
  <c r="V1846" i="16"/>
  <c r="W1845" i="16"/>
  <c r="X1845" i="16"/>
  <c r="V758" i="16"/>
  <c r="W757" i="16"/>
  <c r="X757" i="16"/>
  <c r="CV757" i="16" l="1"/>
  <c r="T757" i="16"/>
  <c r="AF757" i="16"/>
  <c r="AF1845" i="16"/>
  <c r="T1845" i="16"/>
  <c r="V1847" i="16"/>
  <c r="X1846" i="16"/>
  <c r="W1846" i="16"/>
  <c r="X758" i="16"/>
  <c r="W758" i="16"/>
  <c r="CV758" i="16" s="1"/>
  <c r="V759" i="16"/>
  <c r="T758" i="16" l="1"/>
  <c r="AF758" i="16"/>
  <c r="AF1846" i="16"/>
  <c r="T1846" i="16"/>
  <c r="X1847" i="16"/>
  <c r="V1848" i="16"/>
  <c r="W1847" i="16"/>
  <c r="V760" i="16"/>
  <c r="W759" i="16"/>
  <c r="X759" i="16"/>
  <c r="CV759" i="16" l="1"/>
  <c r="AF1847" i="16"/>
  <c r="T1847" i="16"/>
  <c r="AF759" i="16"/>
  <c r="T759" i="16"/>
  <c r="V1849" i="16"/>
  <c r="X1848" i="16"/>
  <c r="W1848" i="16"/>
  <c r="W760" i="16"/>
  <c r="X760" i="16"/>
  <c r="V761" i="16"/>
  <c r="CV760" i="16" l="1"/>
  <c r="AF1848" i="16"/>
  <c r="T1848" i="16"/>
  <c r="AF760" i="16"/>
  <c r="T760" i="16"/>
  <c r="V1850" i="16"/>
  <c r="X1849" i="16"/>
  <c r="W1849" i="16"/>
  <c r="W761" i="16"/>
  <c r="X761" i="16"/>
  <c r="V762" i="16"/>
  <c r="CV761" i="16" l="1"/>
  <c r="AF761" i="16"/>
  <c r="T761" i="16"/>
  <c r="AF1849" i="16"/>
  <c r="T1849" i="16"/>
  <c r="V1851" i="16"/>
  <c r="W1850" i="16"/>
  <c r="X1850" i="16"/>
  <c r="W762" i="16"/>
  <c r="X762" i="16"/>
  <c r="V763" i="16"/>
  <c r="CV762" i="16" l="1"/>
  <c r="AF762" i="16"/>
  <c r="T762" i="16"/>
  <c r="AF1850" i="16"/>
  <c r="T1850" i="16"/>
  <c r="V1852" i="16"/>
  <c r="X1851" i="16"/>
  <c r="W1851" i="16"/>
  <c r="W763" i="16"/>
  <c r="V764" i="16"/>
  <c r="X763" i="16"/>
  <c r="CV763" i="16" l="1"/>
  <c r="AF763" i="16"/>
  <c r="T763" i="16"/>
  <c r="AF1851" i="16"/>
  <c r="T1851" i="16"/>
  <c r="V1853" i="16"/>
  <c r="X1852" i="16"/>
  <c r="W1852" i="16"/>
  <c r="W764" i="16"/>
  <c r="X764" i="16"/>
  <c r="V765" i="16"/>
  <c r="CV764" i="16" l="1"/>
  <c r="AF1852" i="16"/>
  <c r="T1852" i="16"/>
  <c r="AF764" i="16"/>
  <c r="T764" i="16"/>
  <c r="W1853" i="16"/>
  <c r="V1854" i="16"/>
  <c r="X1853" i="16"/>
  <c r="W765" i="16"/>
  <c r="CV765" i="16" s="1"/>
  <c r="X765" i="16"/>
  <c r="V766" i="16"/>
  <c r="AF1853" i="16" l="1"/>
  <c r="T1853" i="16"/>
  <c r="AF765" i="16"/>
  <c r="T765" i="16"/>
  <c r="V1855" i="16"/>
  <c r="X1854" i="16"/>
  <c r="W1854" i="16"/>
  <c r="W766" i="16"/>
  <c r="X766" i="16"/>
  <c r="V767" i="16"/>
  <c r="CV766" i="16" l="1"/>
  <c r="T766" i="16"/>
  <c r="AF766" i="16"/>
  <c r="T1854" i="16"/>
  <c r="AF1854" i="16"/>
  <c r="X1855" i="16"/>
  <c r="V1856" i="16"/>
  <c r="W1855" i="16"/>
  <c r="V768" i="16"/>
  <c r="W767" i="16"/>
  <c r="X767" i="16"/>
  <c r="CV767" i="16" l="1"/>
  <c r="T1855" i="16"/>
  <c r="AF1855" i="16"/>
  <c r="T767" i="16"/>
  <c r="AF767" i="16"/>
  <c r="V1857" i="16"/>
  <c r="X1856" i="16"/>
  <c r="W1856" i="16"/>
  <c r="X768" i="16"/>
  <c r="V769" i="16"/>
  <c r="W768" i="16"/>
  <c r="CV768" i="16" s="1"/>
  <c r="T1856" i="16" l="1"/>
  <c r="AF1856" i="16"/>
  <c r="AF768" i="16"/>
  <c r="T768" i="16"/>
  <c r="V1858" i="16"/>
  <c r="X1857" i="16"/>
  <c r="W1857" i="16"/>
  <c r="X769" i="16"/>
  <c r="W769" i="16"/>
  <c r="V770" i="16"/>
  <c r="CV769" i="16" l="1"/>
  <c r="AF769" i="16"/>
  <c r="T769" i="16"/>
  <c r="T1857" i="16"/>
  <c r="AF1857" i="16"/>
  <c r="V1859" i="16"/>
  <c r="X1858" i="16"/>
  <c r="W1858" i="16"/>
  <c r="X770" i="16"/>
  <c r="V771" i="16"/>
  <c r="W770" i="16"/>
  <c r="CV770" i="16" s="1"/>
  <c r="T1858" i="16" l="1"/>
  <c r="AF1858" i="16"/>
  <c r="T770" i="16"/>
  <c r="AF770" i="16"/>
  <c r="V1860" i="16"/>
  <c r="X1859" i="16"/>
  <c r="W1859" i="16"/>
  <c r="W771" i="16"/>
  <c r="X771" i="16"/>
  <c r="V772" i="16"/>
  <c r="CV771" i="16" l="1"/>
  <c r="AF771" i="16"/>
  <c r="T771" i="16"/>
  <c r="T1859" i="16"/>
  <c r="AF1859" i="16"/>
  <c r="V1861" i="16"/>
  <c r="W1860" i="16"/>
  <c r="X1860" i="16"/>
  <c r="W772" i="16"/>
  <c r="X772" i="16"/>
  <c r="V773" i="16"/>
  <c r="CV772" i="16" l="1"/>
  <c r="AF772" i="16"/>
  <c r="T772" i="16"/>
  <c r="T1860" i="16"/>
  <c r="AF1860" i="16"/>
  <c r="V1862" i="16"/>
  <c r="X1861" i="16"/>
  <c r="W1861" i="16"/>
  <c r="W773" i="16"/>
  <c r="V774" i="16"/>
  <c r="X773" i="16"/>
  <c r="CV773" i="16" l="1"/>
  <c r="T1861" i="16"/>
  <c r="AF1861" i="16"/>
  <c r="AF773" i="16"/>
  <c r="T773" i="16"/>
  <c r="V1863" i="16"/>
  <c r="X1862" i="16"/>
  <c r="W1862" i="16"/>
  <c r="W774" i="16"/>
  <c r="X774" i="16"/>
  <c r="V775" i="16"/>
  <c r="CV774" i="16" l="1"/>
  <c r="T1862" i="16"/>
  <c r="AF1862" i="16"/>
  <c r="AF774" i="16"/>
  <c r="T774" i="16"/>
  <c r="X1863" i="16"/>
  <c r="V1864" i="16"/>
  <c r="W1863" i="16"/>
  <c r="V776" i="16"/>
  <c r="W775" i="16"/>
  <c r="X775" i="16"/>
  <c r="CV775" i="16" l="1"/>
  <c r="T775" i="16"/>
  <c r="AF775" i="16"/>
  <c r="T1863" i="16"/>
  <c r="AF1863" i="16"/>
  <c r="V1865" i="16"/>
  <c r="X1864" i="16"/>
  <c r="W1864" i="16"/>
  <c r="W776" i="16"/>
  <c r="X776" i="16"/>
  <c r="V777" i="16"/>
  <c r="CV776" i="16" l="1"/>
  <c r="AF776" i="16"/>
  <c r="T776" i="16"/>
  <c r="AF1864" i="16"/>
  <c r="T1864" i="16"/>
  <c r="X1865" i="16"/>
  <c r="W1865" i="16"/>
  <c r="V1866" i="16"/>
  <c r="V778" i="16"/>
  <c r="X777" i="16"/>
  <c r="W777" i="16"/>
  <c r="CV777" i="16" s="1"/>
  <c r="AF777" i="16" l="1"/>
  <c r="T777" i="16"/>
  <c r="AF1865" i="16"/>
  <c r="T1865" i="16"/>
  <c r="V1867" i="16"/>
  <c r="X1866" i="16"/>
  <c r="W1866" i="16"/>
  <c r="W778" i="16"/>
  <c r="X778" i="16"/>
  <c r="V779" i="16"/>
  <c r="CV778" i="16" l="1"/>
  <c r="T778" i="16"/>
  <c r="AF778" i="16"/>
  <c r="AF1866" i="16"/>
  <c r="T1866" i="16"/>
  <c r="V1868" i="16"/>
  <c r="X1867" i="16"/>
  <c r="W1867" i="16"/>
  <c r="W779" i="16"/>
  <c r="X779" i="16"/>
  <c r="V780" i="16"/>
  <c r="CV779" i="16" l="1"/>
  <c r="AF779" i="16"/>
  <c r="T779" i="16"/>
  <c r="AF1867" i="16"/>
  <c r="T1867" i="16"/>
  <c r="V1869" i="16"/>
  <c r="X1868" i="16"/>
  <c r="W1868" i="16"/>
  <c r="V781" i="16"/>
  <c r="W780" i="16"/>
  <c r="X780" i="16"/>
  <c r="CV780" i="16" l="1"/>
  <c r="AF780" i="16"/>
  <c r="T780" i="16"/>
  <c r="AF1868" i="16"/>
  <c r="T1868" i="16"/>
  <c r="V1870" i="16"/>
  <c r="X1869" i="16"/>
  <c r="W1869" i="16"/>
  <c r="W781" i="16"/>
  <c r="X781" i="16"/>
  <c r="V782" i="16"/>
  <c r="CV781" i="16" l="1"/>
  <c r="AF781" i="16"/>
  <c r="T781" i="16"/>
  <c r="AF1869" i="16"/>
  <c r="T1869" i="16"/>
  <c r="V1871" i="16"/>
  <c r="X1870" i="16"/>
  <c r="W1870" i="16"/>
  <c r="X782" i="16"/>
  <c r="V783" i="16"/>
  <c r="W782" i="16"/>
  <c r="CV782" i="16" s="1"/>
  <c r="T782" i="16" l="1"/>
  <c r="AF782" i="16"/>
  <c r="AF1870" i="16"/>
  <c r="T1870" i="16"/>
  <c r="X1871" i="16"/>
  <c r="V1872" i="16"/>
  <c r="W1871" i="16"/>
  <c r="V784" i="16"/>
  <c r="W783" i="16"/>
  <c r="X783" i="16"/>
  <c r="CV783" i="16" l="1"/>
  <c r="AF783" i="16"/>
  <c r="T783" i="16"/>
  <c r="AF1871" i="16"/>
  <c r="T1871" i="16"/>
  <c r="V1873" i="16"/>
  <c r="X1872" i="16"/>
  <c r="W1872" i="16"/>
  <c r="W784" i="16"/>
  <c r="CV784" i="16" s="1"/>
  <c r="X784" i="16"/>
  <c r="V785" i="16"/>
  <c r="T784" i="16" l="1"/>
  <c r="AF784" i="16"/>
  <c r="AF1872" i="16"/>
  <c r="T1872" i="16"/>
  <c r="W1873" i="16"/>
  <c r="V1874" i="16"/>
  <c r="X1873" i="16"/>
  <c r="V786" i="16"/>
  <c r="X785" i="16"/>
  <c r="W785" i="16"/>
  <c r="CV785" i="16" s="1"/>
  <c r="AF1873" i="16" l="1"/>
  <c r="T1873" i="16"/>
  <c r="AF785" i="16"/>
  <c r="T785" i="16"/>
  <c r="V1875" i="16"/>
  <c r="X1874" i="16"/>
  <c r="W1874" i="16"/>
  <c r="W786" i="16"/>
  <c r="CV786" i="16" s="1"/>
  <c r="X786" i="16"/>
  <c r="V787" i="16"/>
  <c r="AF786" i="16" l="1"/>
  <c r="T786" i="16"/>
  <c r="T1874" i="16"/>
  <c r="AF1874" i="16"/>
  <c r="X1875" i="16"/>
  <c r="W1875" i="16"/>
  <c r="V1876" i="16"/>
  <c r="X787" i="16"/>
  <c r="V788" i="16"/>
  <c r="W787" i="16"/>
  <c r="CV787" i="16" s="1"/>
  <c r="AF787" i="16" l="1"/>
  <c r="T787" i="16"/>
  <c r="T1875" i="16"/>
  <c r="AF1875" i="16"/>
  <c r="X1876" i="16"/>
  <c r="W1876" i="16"/>
  <c r="V1877" i="16"/>
  <c r="V789" i="16"/>
  <c r="X788" i="16"/>
  <c r="W788" i="16"/>
  <c r="CV788" i="16" l="1"/>
  <c r="T788" i="16"/>
  <c r="AF788" i="16"/>
  <c r="T1876" i="16"/>
  <c r="AF1876" i="16"/>
  <c r="V1878" i="16"/>
  <c r="X1877" i="16"/>
  <c r="W1877" i="16"/>
  <c r="V790" i="16"/>
  <c r="X789" i="16"/>
  <c r="W789" i="16"/>
  <c r="CV789" i="16" s="1"/>
  <c r="T1877" i="16" l="1"/>
  <c r="AF1877" i="16"/>
  <c r="T789" i="16"/>
  <c r="AF789" i="16"/>
  <c r="V1879" i="16"/>
  <c r="X1878" i="16"/>
  <c r="W1878" i="16"/>
  <c r="V791" i="16"/>
  <c r="W790" i="16"/>
  <c r="X790" i="16"/>
  <c r="CV790" i="16" l="1"/>
  <c r="T1878" i="16"/>
  <c r="AF1878" i="16"/>
  <c r="AF790" i="16"/>
  <c r="T790" i="16"/>
  <c r="X1879" i="16"/>
  <c r="V1880" i="16"/>
  <c r="W1879" i="16"/>
  <c r="W791" i="16"/>
  <c r="X791" i="16"/>
  <c r="V792" i="16"/>
  <c r="CV791" i="16" l="1"/>
  <c r="AF791" i="16"/>
  <c r="T791" i="16"/>
  <c r="T1879" i="16"/>
  <c r="AF1879" i="16"/>
  <c r="V1881" i="16"/>
  <c r="W1880" i="16"/>
  <c r="X1880" i="16"/>
  <c r="W792" i="16"/>
  <c r="CV792" i="16" s="1"/>
  <c r="X792" i="16"/>
  <c r="V793" i="16"/>
  <c r="T1880" i="16" l="1"/>
  <c r="AF1880" i="16"/>
  <c r="AF792" i="16"/>
  <c r="T792" i="16"/>
  <c r="V1882" i="16"/>
  <c r="X1881" i="16"/>
  <c r="W1881" i="16"/>
  <c r="X793" i="16"/>
  <c r="W793" i="16"/>
  <c r="CV793" i="16" s="1"/>
  <c r="V794" i="16"/>
  <c r="T1881" i="16" l="1"/>
  <c r="AF1881" i="16"/>
  <c r="T793" i="16"/>
  <c r="AF793" i="16"/>
  <c r="X1882" i="16"/>
  <c r="W1882" i="16"/>
  <c r="V1883" i="16"/>
  <c r="W794" i="16"/>
  <c r="X794" i="16"/>
  <c r="V795" i="16"/>
  <c r="CV794" i="16" l="1"/>
  <c r="AF794" i="16"/>
  <c r="T794" i="16"/>
  <c r="T1882" i="16"/>
  <c r="AF1882" i="16"/>
  <c r="X1883" i="16"/>
  <c r="V1884" i="16"/>
  <c r="W1883" i="16"/>
  <c r="X795" i="16"/>
  <c r="V796" i="16"/>
  <c r="W795" i="16"/>
  <c r="CV795" i="16" l="1"/>
  <c r="T1883" i="16"/>
  <c r="AF1883" i="16"/>
  <c r="T795" i="16"/>
  <c r="AF795" i="16"/>
  <c r="V1885" i="16"/>
  <c r="X1884" i="16"/>
  <c r="W1884" i="16"/>
  <c r="W796" i="16"/>
  <c r="X796" i="16"/>
  <c r="V797" i="16"/>
  <c r="CV796" i="16" l="1"/>
  <c r="T796" i="16"/>
  <c r="AF796" i="16"/>
  <c r="T1884" i="16"/>
  <c r="AF1884" i="16"/>
  <c r="V1886" i="16"/>
  <c r="X1885" i="16"/>
  <c r="W1885" i="16"/>
  <c r="V798" i="16"/>
  <c r="W797" i="16"/>
  <c r="CV797" i="16" s="1"/>
  <c r="X797" i="16"/>
  <c r="AF797" i="16" l="1"/>
  <c r="T797" i="16"/>
  <c r="T1885" i="16"/>
  <c r="AF1885" i="16"/>
  <c r="V1887" i="16"/>
  <c r="X1886" i="16"/>
  <c r="W1886" i="16"/>
  <c r="W798" i="16"/>
  <c r="X798" i="16"/>
  <c r="V799" i="16"/>
  <c r="CV798" i="16" l="1"/>
  <c r="AF798" i="16"/>
  <c r="T798" i="16"/>
  <c r="T1886" i="16"/>
  <c r="AF1886" i="16"/>
  <c r="X1887" i="16"/>
  <c r="W1887" i="16"/>
  <c r="V1888" i="16"/>
  <c r="W799" i="16"/>
  <c r="V800" i="16"/>
  <c r="X799" i="16"/>
  <c r="CV799" i="16" l="1"/>
  <c r="AF799" i="16"/>
  <c r="T799" i="16"/>
  <c r="AF1887" i="16"/>
  <c r="T1887" i="16"/>
  <c r="V1889" i="16"/>
  <c r="X1888" i="16"/>
  <c r="W1888" i="16"/>
  <c r="W800" i="16"/>
  <c r="X800" i="16"/>
  <c r="V801" i="16"/>
  <c r="CV800" i="16" l="1"/>
  <c r="T800" i="16"/>
  <c r="AF800" i="16"/>
  <c r="AF1888" i="16"/>
  <c r="T1888" i="16"/>
  <c r="V1890" i="16"/>
  <c r="X1889" i="16"/>
  <c r="W1889" i="16"/>
  <c r="V802" i="16"/>
  <c r="X801" i="16"/>
  <c r="W801" i="16"/>
  <c r="CV801" i="16" l="1"/>
  <c r="AF801" i="16"/>
  <c r="T801" i="16"/>
  <c r="AF1889" i="16"/>
  <c r="T1889" i="16"/>
  <c r="V1891" i="16"/>
  <c r="X1890" i="16"/>
  <c r="W1890" i="16"/>
  <c r="W802" i="16"/>
  <c r="X802" i="16"/>
  <c r="V803" i="16"/>
  <c r="CV802" i="16" l="1"/>
  <c r="AF1890" i="16"/>
  <c r="T1890" i="16"/>
  <c r="T802" i="16"/>
  <c r="AF802" i="16"/>
  <c r="V1892" i="16"/>
  <c r="X1891" i="16"/>
  <c r="W1891" i="16"/>
  <c r="W803" i="16"/>
  <c r="X803" i="16"/>
  <c r="V804" i="16"/>
  <c r="CV803" i="16" l="1"/>
  <c r="AF1891" i="16"/>
  <c r="T1891" i="16"/>
  <c r="AF803" i="16"/>
  <c r="T803" i="16"/>
  <c r="W1892" i="16"/>
  <c r="X1892" i="16"/>
  <c r="V1893" i="16"/>
  <c r="V805" i="16"/>
  <c r="W804" i="16"/>
  <c r="CV804" i="16" s="1"/>
  <c r="X804" i="16"/>
  <c r="AF804" i="16" l="1"/>
  <c r="T804" i="16"/>
  <c r="AF1892" i="16"/>
  <c r="T1892" i="16"/>
  <c r="V1894" i="16"/>
  <c r="X1893" i="16"/>
  <c r="W1893" i="16"/>
  <c r="W805" i="16"/>
  <c r="X805" i="16"/>
  <c r="V806" i="16"/>
  <c r="CV805" i="16" l="1"/>
  <c r="AF805" i="16"/>
  <c r="T805" i="16"/>
  <c r="AF1893" i="16"/>
  <c r="T1893" i="16"/>
  <c r="V1895" i="16"/>
  <c r="X1894" i="16"/>
  <c r="W1894" i="16"/>
  <c r="V807" i="16"/>
  <c r="W806" i="16"/>
  <c r="X806" i="16"/>
  <c r="CV806" i="16" l="1"/>
  <c r="AF1894" i="16"/>
  <c r="T1894" i="16"/>
  <c r="AF806" i="16"/>
  <c r="T806" i="16"/>
  <c r="X1895" i="16"/>
  <c r="V1896" i="16"/>
  <c r="W1895" i="16"/>
  <c r="W807" i="16"/>
  <c r="X807" i="16"/>
  <c r="V808" i="16"/>
  <c r="CV807" i="16" l="1"/>
  <c r="AF1895" i="16"/>
  <c r="T1895" i="16"/>
  <c r="AF807" i="16"/>
  <c r="T807" i="16"/>
  <c r="V1897" i="16"/>
  <c r="W1896" i="16"/>
  <c r="X1896" i="16"/>
  <c r="V809" i="16"/>
  <c r="W808" i="16"/>
  <c r="X808" i="16"/>
  <c r="CV808" i="16" l="1"/>
  <c r="AF808" i="16"/>
  <c r="T808" i="16"/>
  <c r="AF1896" i="16"/>
  <c r="T1896" i="16"/>
  <c r="V1898" i="16"/>
  <c r="X1897" i="16"/>
  <c r="W1897" i="16"/>
  <c r="V810" i="16"/>
  <c r="W809" i="16"/>
  <c r="CV809" i="16" s="1"/>
  <c r="X809" i="16"/>
  <c r="AF809" i="16" l="1"/>
  <c r="T809" i="16"/>
  <c r="AF1897" i="16"/>
  <c r="T1897" i="16"/>
  <c r="V1899" i="16"/>
  <c r="X1898" i="16"/>
  <c r="W1898" i="16"/>
  <c r="W810" i="16"/>
  <c r="V811" i="16"/>
  <c r="X810" i="16"/>
  <c r="CV810" i="16" l="1"/>
  <c r="T1898" i="16"/>
  <c r="AF1898" i="16"/>
  <c r="T810" i="16"/>
  <c r="AF810" i="16"/>
  <c r="V1900" i="16"/>
  <c r="X1899" i="16"/>
  <c r="W1899" i="16"/>
  <c r="W811" i="16"/>
  <c r="CV811" i="16" s="1"/>
  <c r="X811" i="16"/>
  <c r="V812" i="16"/>
  <c r="T811" i="16" l="1"/>
  <c r="AF811" i="16"/>
  <c r="AF1899" i="16"/>
  <c r="T1899" i="16"/>
  <c r="V1901" i="16"/>
  <c r="X1900" i="16"/>
  <c r="W1900" i="16"/>
  <c r="X812" i="16"/>
  <c r="V813" i="16"/>
  <c r="W812" i="16"/>
  <c r="CV812" i="16" s="1"/>
  <c r="T812" i="16" l="1"/>
  <c r="AF812" i="16"/>
  <c r="AF1900" i="16"/>
  <c r="T1900" i="16"/>
  <c r="W1901" i="16"/>
  <c r="V1902" i="16"/>
  <c r="X1901" i="16"/>
  <c r="W813" i="16"/>
  <c r="X813" i="16"/>
  <c r="V814" i="16"/>
  <c r="CV813" i="16" l="1"/>
  <c r="AF813" i="16"/>
  <c r="T813" i="16"/>
  <c r="AF1901" i="16"/>
  <c r="T1901" i="16"/>
  <c r="V1903" i="16"/>
  <c r="X1902" i="16"/>
  <c r="W1902" i="16"/>
  <c r="W814" i="16"/>
  <c r="CV814" i="16" s="1"/>
  <c r="X814" i="16"/>
  <c r="V815" i="16"/>
  <c r="AF814" i="16" l="1"/>
  <c r="T814" i="16"/>
  <c r="T1902" i="16"/>
  <c r="AF1902" i="16"/>
  <c r="X1903" i="16"/>
  <c r="V1904" i="16"/>
  <c r="W1903" i="16"/>
  <c r="V816" i="16"/>
  <c r="X815" i="16"/>
  <c r="W815" i="16"/>
  <c r="CV815" i="16" s="1"/>
  <c r="T815" i="16" l="1"/>
  <c r="AF815" i="16"/>
  <c r="T1903" i="16"/>
  <c r="AF1903" i="16"/>
  <c r="V1905" i="16"/>
  <c r="X1904" i="16"/>
  <c r="W1904" i="16"/>
  <c r="W816" i="16"/>
  <c r="X816" i="16"/>
  <c r="V817" i="16"/>
  <c r="CV816" i="16" l="1"/>
  <c r="T816" i="16"/>
  <c r="AF816" i="16"/>
  <c r="T1904" i="16"/>
  <c r="AF1904" i="16"/>
  <c r="V1906" i="16"/>
  <c r="X1905" i="16"/>
  <c r="W1905" i="16"/>
  <c r="X817" i="16"/>
  <c r="V818" i="16"/>
  <c r="W817" i="16"/>
  <c r="CV817" i="16" s="1"/>
  <c r="AF817" i="16" l="1"/>
  <c r="T817" i="16"/>
  <c r="T1905" i="16"/>
  <c r="AF1905" i="16"/>
  <c r="V1907" i="16"/>
  <c r="X1906" i="16"/>
  <c r="W1906" i="16"/>
  <c r="W818" i="16"/>
  <c r="X818" i="16"/>
  <c r="V819" i="16"/>
  <c r="CV818" i="16" l="1"/>
  <c r="AF818" i="16"/>
  <c r="T818" i="16"/>
  <c r="T1906" i="16"/>
  <c r="AF1906" i="16"/>
  <c r="V1908" i="16"/>
  <c r="X1907" i="16"/>
  <c r="W1907" i="16"/>
  <c r="X819" i="16"/>
  <c r="V820" i="16"/>
  <c r="W819" i="16"/>
  <c r="CV819" i="16" s="1"/>
  <c r="T819" i="16" l="1"/>
  <c r="AF819" i="16"/>
  <c r="T1907" i="16"/>
  <c r="AF1907" i="16"/>
  <c r="V1909" i="16"/>
  <c r="X1908" i="16"/>
  <c r="W1908" i="16"/>
  <c r="W820" i="16"/>
  <c r="X820" i="16"/>
  <c r="V821" i="16"/>
  <c r="CV820" i="16" l="1"/>
  <c r="T820" i="16"/>
  <c r="AF820" i="16"/>
  <c r="T1908" i="16"/>
  <c r="AF1908" i="16"/>
  <c r="V1910" i="16"/>
  <c r="X1909" i="16"/>
  <c r="W1909" i="16"/>
  <c r="W821" i="16"/>
  <c r="X821" i="16"/>
  <c r="V822" i="16"/>
  <c r="CV821" i="16" l="1"/>
  <c r="T1909" i="16"/>
  <c r="AF1909" i="16"/>
  <c r="T821" i="16"/>
  <c r="AF821" i="16"/>
  <c r="V1911" i="16"/>
  <c r="X1910" i="16"/>
  <c r="W1910" i="16"/>
  <c r="X822" i="16"/>
  <c r="V823" i="16"/>
  <c r="W822" i="16"/>
  <c r="CV822" i="16" s="1"/>
  <c r="T1910" i="16" l="1"/>
  <c r="AF1910" i="16"/>
  <c r="AF822" i="16"/>
  <c r="T822" i="16"/>
  <c r="X1911" i="16"/>
  <c r="V1912" i="16"/>
  <c r="W1911" i="16"/>
  <c r="W823" i="16"/>
  <c r="X823" i="16"/>
  <c r="V824" i="16"/>
  <c r="CV823" i="16" l="1"/>
  <c r="T823" i="16"/>
  <c r="AF823" i="16"/>
  <c r="T1911" i="16"/>
  <c r="AF1911" i="16"/>
  <c r="V1913" i="16"/>
  <c r="X1912" i="16"/>
  <c r="W1912" i="16"/>
  <c r="W824" i="16"/>
  <c r="X824" i="16"/>
  <c r="V825" i="16"/>
  <c r="CV824" i="16" l="1"/>
  <c r="AF824" i="16"/>
  <c r="T824" i="16"/>
  <c r="AF1912" i="16"/>
  <c r="T1912" i="16"/>
  <c r="X1913" i="16"/>
  <c r="W1913" i="16"/>
  <c r="V1914" i="16"/>
  <c r="V826" i="16"/>
  <c r="W825" i="16"/>
  <c r="X825" i="16"/>
  <c r="CV825" i="16" l="1"/>
  <c r="AF1913" i="16"/>
  <c r="T1913" i="16"/>
  <c r="T825" i="16"/>
  <c r="AF825" i="16"/>
  <c r="X1914" i="16"/>
  <c r="W1914" i="16"/>
  <c r="V1915" i="16"/>
  <c r="W826" i="16"/>
  <c r="X826" i="16"/>
  <c r="V827" i="16"/>
  <c r="CV826" i="16" l="1"/>
  <c r="AF1914" i="16"/>
  <c r="T1914" i="16"/>
  <c r="T826" i="16"/>
  <c r="AF826" i="16"/>
  <c r="X1915" i="16"/>
  <c r="V1916" i="16"/>
  <c r="W1915" i="16"/>
  <c r="X827" i="16"/>
  <c r="V828" i="16"/>
  <c r="W827" i="16"/>
  <c r="CV827" i="16" s="1"/>
  <c r="T827" i="16" l="1"/>
  <c r="AF827" i="16"/>
  <c r="AF1915" i="16"/>
  <c r="T1915" i="16"/>
  <c r="X1916" i="16"/>
  <c r="W1916" i="16"/>
  <c r="V1917" i="16"/>
  <c r="V829" i="16"/>
  <c r="W828" i="16"/>
  <c r="X828" i="16"/>
  <c r="CV828" i="16" l="1"/>
  <c r="AF1916" i="16"/>
  <c r="T1916" i="16"/>
  <c r="AF828" i="16"/>
  <c r="T828" i="16"/>
  <c r="V1918" i="16"/>
  <c r="X1917" i="16"/>
  <c r="W1917" i="16"/>
  <c r="V830" i="16"/>
  <c r="W829" i="16"/>
  <c r="X829" i="16"/>
  <c r="CV829" i="16" l="1"/>
  <c r="AF829" i="16"/>
  <c r="T829" i="16"/>
  <c r="AF1917" i="16"/>
  <c r="T1917" i="16"/>
  <c r="V1919" i="16"/>
  <c r="X1918" i="16"/>
  <c r="W1918" i="16"/>
  <c r="W830" i="16"/>
  <c r="X830" i="16"/>
  <c r="V831" i="16"/>
  <c r="CV830" i="16" l="1"/>
  <c r="T830" i="16"/>
  <c r="AF830" i="16"/>
  <c r="AF1918" i="16"/>
  <c r="T1918" i="16"/>
  <c r="X1919" i="16"/>
  <c r="V1920" i="16"/>
  <c r="W1919" i="16"/>
  <c r="W831" i="16"/>
  <c r="X831" i="16"/>
  <c r="V832" i="16"/>
  <c r="CV831" i="16" l="1"/>
  <c r="T831" i="16"/>
  <c r="AF831" i="16"/>
  <c r="AF1919" i="16"/>
  <c r="T1919" i="16"/>
  <c r="V1921" i="16"/>
  <c r="X1920" i="16"/>
  <c r="W1920" i="16"/>
  <c r="X832" i="16"/>
  <c r="V833" i="16"/>
  <c r="W832" i="16"/>
  <c r="CV832" i="16" s="1"/>
  <c r="AF1920" i="16" l="1"/>
  <c r="T1920" i="16"/>
  <c r="T832" i="16"/>
  <c r="AF832" i="16"/>
  <c r="W1921" i="16"/>
  <c r="V1922" i="16"/>
  <c r="X1921" i="16"/>
  <c r="W833" i="16"/>
  <c r="CV833" i="16" s="1"/>
  <c r="X833" i="16"/>
  <c r="V834" i="16"/>
  <c r="AF833" i="16" l="1"/>
  <c r="T833" i="16"/>
  <c r="AF1921" i="16"/>
  <c r="T1921" i="16"/>
  <c r="V1923" i="16"/>
  <c r="X1922" i="16"/>
  <c r="W1922" i="16"/>
  <c r="W834" i="16"/>
  <c r="CV834" i="16" s="1"/>
  <c r="X834" i="16"/>
  <c r="V835" i="16"/>
  <c r="T834" i="16" l="1"/>
  <c r="AF834" i="16"/>
  <c r="AF1922" i="16"/>
  <c r="T1922" i="16"/>
  <c r="V1924" i="16"/>
  <c r="X1923" i="16"/>
  <c r="W1923" i="16"/>
  <c r="V836" i="16"/>
  <c r="X835" i="16"/>
  <c r="W835" i="16"/>
  <c r="CV835" i="16" s="1"/>
  <c r="AF835" i="16" l="1"/>
  <c r="T835" i="16"/>
  <c r="T1923" i="16"/>
  <c r="AF1923" i="16"/>
  <c r="V1925" i="16"/>
  <c r="X1924" i="16"/>
  <c r="W1924" i="16"/>
  <c r="V837" i="16"/>
  <c r="W836" i="16"/>
  <c r="X836" i="16"/>
  <c r="CV836" i="16" l="1"/>
  <c r="T1924" i="16"/>
  <c r="AF1924" i="16"/>
  <c r="T836" i="16"/>
  <c r="AF836" i="16"/>
  <c r="X1925" i="16"/>
  <c r="W1925" i="16"/>
  <c r="V1926" i="16"/>
  <c r="X837" i="16"/>
  <c r="V838" i="16"/>
  <c r="W837" i="16"/>
  <c r="CV837" i="16" l="1"/>
  <c r="AF837" i="16"/>
  <c r="T837" i="16"/>
  <c r="T1925" i="16"/>
  <c r="AF1925" i="16"/>
  <c r="V1927" i="16"/>
  <c r="X1926" i="16"/>
  <c r="W1926" i="16"/>
  <c r="W838" i="16"/>
  <c r="X838" i="16"/>
  <c r="V839" i="16"/>
  <c r="CV838" i="16" l="1"/>
  <c r="AF838" i="16"/>
  <c r="T838" i="16"/>
  <c r="T1926" i="16"/>
  <c r="AF1926" i="16"/>
  <c r="X1927" i="16"/>
  <c r="V1928" i="16"/>
  <c r="W1927" i="16"/>
  <c r="V840" i="16"/>
  <c r="W839" i="16"/>
  <c r="X839" i="16"/>
  <c r="CV839" i="16" l="1"/>
  <c r="AF839" i="16"/>
  <c r="T839" i="16"/>
  <c r="T1927" i="16"/>
  <c r="AF1927" i="16"/>
  <c r="V1929" i="16"/>
  <c r="X1928" i="16"/>
  <c r="W1928" i="16"/>
  <c r="W840" i="16"/>
  <c r="CV840" i="16" s="1"/>
  <c r="X840" i="16"/>
  <c r="V841" i="16"/>
  <c r="AF840" i="16" l="1"/>
  <c r="T840" i="16"/>
  <c r="T1928" i="16"/>
  <c r="AF1928" i="16"/>
  <c r="V1930" i="16"/>
  <c r="X1929" i="16"/>
  <c r="W1929" i="16"/>
  <c r="V842" i="16"/>
  <c r="W841" i="16"/>
  <c r="X841" i="16"/>
  <c r="CV841" i="16" l="1"/>
  <c r="AF841" i="16"/>
  <c r="T841" i="16"/>
  <c r="T1929" i="16"/>
  <c r="AF1929" i="16"/>
  <c r="X1930" i="16"/>
  <c r="W1930" i="16"/>
  <c r="V1931" i="16"/>
  <c r="X842" i="16"/>
  <c r="V843" i="16"/>
  <c r="W842" i="16"/>
  <c r="CV842" i="16" s="1"/>
  <c r="AF842" i="16" l="1"/>
  <c r="T842" i="16"/>
  <c r="T1930" i="16"/>
  <c r="AF1930" i="16"/>
  <c r="W1931" i="16"/>
  <c r="V1932" i="16"/>
  <c r="X1931" i="16"/>
  <c r="X843" i="16"/>
  <c r="W843" i="16"/>
  <c r="CV843" i="16" s="1"/>
  <c r="V844" i="16"/>
  <c r="T843" i="16" l="1"/>
  <c r="AF843" i="16"/>
  <c r="T1931" i="16"/>
  <c r="AF1931" i="16"/>
  <c r="V1933" i="16"/>
  <c r="X1932" i="16"/>
  <c r="W1932" i="16"/>
  <c r="W844" i="16"/>
  <c r="X844" i="16"/>
  <c r="V845" i="16"/>
  <c r="CV844" i="16" l="1"/>
  <c r="T844" i="16"/>
  <c r="AF844" i="16"/>
  <c r="T1932" i="16"/>
  <c r="AF1932" i="16"/>
  <c r="V1934" i="16"/>
  <c r="W1933" i="16"/>
  <c r="X1933" i="16"/>
  <c r="V846" i="16"/>
  <c r="W845" i="16"/>
  <c r="X845" i="16"/>
  <c r="CV845" i="16" l="1"/>
  <c r="T845" i="16"/>
  <c r="AF845" i="16"/>
  <c r="T1933" i="16"/>
  <c r="AF1933" i="16"/>
  <c r="V1935" i="16"/>
  <c r="X1934" i="16"/>
  <c r="W1934" i="16"/>
  <c r="W846" i="16"/>
  <c r="X846" i="16"/>
  <c r="V847" i="16"/>
  <c r="CV846" i="16" l="1"/>
  <c r="AF846" i="16"/>
  <c r="T846" i="16"/>
  <c r="T1934" i="16"/>
  <c r="AF1934" i="16"/>
  <c r="X1935" i="16"/>
  <c r="V1936" i="16"/>
  <c r="W1935" i="16"/>
  <c r="X847" i="16"/>
  <c r="V848" i="16"/>
  <c r="W847" i="16"/>
  <c r="CV847" i="16" s="1"/>
  <c r="T1935" i="16" l="1"/>
  <c r="AF1935" i="16"/>
  <c r="AF847" i="16"/>
  <c r="T847" i="16"/>
  <c r="V1937" i="16"/>
  <c r="X1936" i="16"/>
  <c r="W1936" i="16"/>
  <c r="W848" i="16"/>
  <c r="X848" i="16"/>
  <c r="V849" i="16"/>
  <c r="CV848" i="16" l="1"/>
  <c r="AF848" i="16"/>
  <c r="T848" i="16"/>
  <c r="AF1936" i="16"/>
  <c r="T1936" i="16"/>
  <c r="X1937" i="16"/>
  <c r="W1937" i="16"/>
  <c r="V1938" i="16"/>
  <c r="X849" i="16"/>
  <c r="V850" i="16"/>
  <c r="W849" i="16"/>
  <c r="CV849" i="16" s="1"/>
  <c r="T849" i="16" l="1"/>
  <c r="AF849" i="16"/>
  <c r="AF1937" i="16"/>
  <c r="T1937" i="16"/>
  <c r="V1939" i="16"/>
  <c r="X1938" i="16"/>
  <c r="W1938" i="16"/>
  <c r="V851" i="16"/>
  <c r="W850" i="16"/>
  <c r="X850" i="16"/>
  <c r="CV850" i="16" l="1"/>
  <c r="AF850" i="16"/>
  <c r="T850" i="16"/>
  <c r="AF1938" i="16"/>
  <c r="T1938" i="16"/>
  <c r="V1940" i="16"/>
  <c r="X1939" i="16"/>
  <c r="W1939" i="16"/>
  <c r="W851" i="16"/>
  <c r="X851" i="16"/>
  <c r="V852" i="16"/>
  <c r="CV851" i="16" l="1"/>
  <c r="AF1939" i="16"/>
  <c r="T1939" i="16"/>
  <c r="T851" i="16"/>
  <c r="AF851" i="16"/>
  <c r="V1941" i="16"/>
  <c r="W1940" i="16"/>
  <c r="X1940" i="16"/>
  <c r="V853" i="16"/>
  <c r="X852" i="16"/>
  <c r="W852" i="16"/>
  <c r="CV852" i="16" s="1"/>
  <c r="AF852" i="16" l="1"/>
  <c r="T852" i="16"/>
  <c r="AF1940" i="16"/>
  <c r="T1940" i="16"/>
  <c r="V1942" i="16"/>
  <c r="X1941" i="16"/>
  <c r="W1941" i="16"/>
  <c r="W853" i="16"/>
  <c r="X853" i="16"/>
  <c r="V854" i="16"/>
  <c r="CV853" i="16" l="1"/>
  <c r="AF1941" i="16"/>
  <c r="T1941" i="16"/>
  <c r="AF853" i="16"/>
  <c r="T853" i="16"/>
  <c r="V1943" i="16"/>
  <c r="X1942" i="16"/>
  <c r="W1942" i="16"/>
  <c r="W854" i="16"/>
  <c r="X854" i="16"/>
  <c r="V855" i="16"/>
  <c r="CV854" i="16" l="1"/>
  <c r="T854" i="16"/>
  <c r="AF854" i="16"/>
  <c r="AF1942" i="16"/>
  <c r="T1942" i="16"/>
  <c r="X1943" i="16"/>
  <c r="W1943" i="16"/>
  <c r="V1944" i="16"/>
  <c r="V856" i="16"/>
  <c r="W855" i="16"/>
  <c r="X855" i="16"/>
  <c r="CV855" i="16" l="1"/>
  <c r="AF855" i="16"/>
  <c r="T855" i="16"/>
  <c r="AF1943" i="16"/>
  <c r="T1943" i="16"/>
  <c r="V1945" i="16"/>
  <c r="X1944" i="16"/>
  <c r="W1944" i="16"/>
  <c r="W856" i="16"/>
  <c r="V857" i="16"/>
  <c r="X856" i="16"/>
  <c r="CV856" i="16" l="1"/>
  <c r="AF856" i="16"/>
  <c r="T856" i="16"/>
  <c r="AF1944" i="16"/>
  <c r="T1944" i="16"/>
  <c r="X1945" i="16"/>
  <c r="W1945" i="16"/>
  <c r="V1946" i="16"/>
  <c r="X857" i="16"/>
  <c r="V858" i="16"/>
  <c r="W857" i="16"/>
  <c r="CV857" i="16" s="1"/>
  <c r="AF1945" i="16" l="1"/>
  <c r="T1945" i="16"/>
  <c r="T857" i="16"/>
  <c r="AF857" i="16"/>
  <c r="V1947" i="16"/>
  <c r="X1946" i="16"/>
  <c r="W1946" i="16"/>
  <c r="W858" i="16"/>
  <c r="X858" i="16"/>
  <c r="V859" i="16"/>
  <c r="CV858" i="16" l="1"/>
  <c r="AF1946" i="16"/>
  <c r="T1946" i="16"/>
  <c r="AF858" i="16"/>
  <c r="T858" i="16"/>
  <c r="V1948" i="16"/>
  <c r="X1947" i="16"/>
  <c r="W1947" i="16"/>
  <c r="V860" i="16"/>
  <c r="W859" i="16"/>
  <c r="CV859" i="16" s="1"/>
  <c r="X859" i="16"/>
  <c r="AF1947" i="16" l="1"/>
  <c r="T1947" i="16"/>
  <c r="AF859" i="16"/>
  <c r="T859" i="16"/>
  <c r="V1949" i="16"/>
  <c r="X1948" i="16"/>
  <c r="W1948" i="16"/>
  <c r="W860" i="16"/>
  <c r="X860" i="16"/>
  <c r="V861" i="16"/>
  <c r="CV860" i="16" l="1"/>
  <c r="AF860" i="16"/>
  <c r="T860" i="16"/>
  <c r="AF1948" i="16"/>
  <c r="T1948" i="16"/>
  <c r="W1949" i="16"/>
  <c r="V1950" i="16"/>
  <c r="X1949" i="16"/>
  <c r="X861" i="16"/>
  <c r="W861" i="16"/>
  <c r="V862" i="16"/>
  <c r="CV861" i="16" l="1"/>
  <c r="T1949" i="16"/>
  <c r="AF1949" i="16"/>
  <c r="T861" i="16"/>
  <c r="AF861" i="16"/>
  <c r="V1951" i="16"/>
  <c r="X1950" i="16"/>
  <c r="W1950" i="16"/>
  <c r="X862" i="16"/>
  <c r="V863" i="16"/>
  <c r="W862" i="16"/>
  <c r="CV862" i="16" l="1"/>
  <c r="T862" i="16"/>
  <c r="AF862" i="16"/>
  <c r="T1950" i="16"/>
  <c r="AF1950" i="16"/>
  <c r="X1951" i="16"/>
  <c r="V1952" i="16"/>
  <c r="W1951" i="16"/>
  <c r="W863" i="16"/>
  <c r="X863" i="16"/>
  <c r="V864" i="16"/>
  <c r="CV863" i="16" l="1"/>
  <c r="T1951" i="16"/>
  <c r="AF1951" i="16"/>
  <c r="T863" i="16"/>
  <c r="AF863" i="16"/>
  <c r="W1952" i="16"/>
  <c r="X1952" i="16"/>
  <c r="V1953" i="16"/>
  <c r="W864" i="16"/>
  <c r="V865" i="16"/>
  <c r="X864" i="16"/>
  <c r="CV864" i="16" l="1"/>
  <c r="T1952" i="16"/>
  <c r="AF1952" i="16"/>
  <c r="T864" i="16"/>
  <c r="AF864" i="16"/>
  <c r="V1954" i="16"/>
  <c r="X1953" i="16"/>
  <c r="W1953" i="16"/>
  <c r="V866" i="16"/>
  <c r="X865" i="16"/>
  <c r="W865" i="16"/>
  <c r="CV865" i="16" s="1"/>
  <c r="T1953" i="16" l="1"/>
  <c r="AF1953" i="16"/>
  <c r="AF865" i="16"/>
  <c r="T865" i="16"/>
  <c r="V1955" i="16"/>
  <c r="X1954" i="16"/>
  <c r="W1954" i="16"/>
  <c r="W866" i="16"/>
  <c r="X866" i="16"/>
  <c r="V867" i="16"/>
  <c r="CV866" i="16" l="1"/>
  <c r="AF866" i="16"/>
  <c r="T866" i="16"/>
  <c r="T1954" i="16"/>
  <c r="AF1954" i="16"/>
  <c r="V1956" i="16"/>
  <c r="X1955" i="16"/>
  <c r="W1955" i="16"/>
  <c r="X867" i="16"/>
  <c r="V868" i="16"/>
  <c r="W867" i="16"/>
  <c r="CV867" i="16" s="1"/>
  <c r="AF867" i="16" l="1"/>
  <c r="T867" i="16"/>
  <c r="T1955" i="16"/>
  <c r="AF1955" i="16"/>
  <c r="V1957" i="16"/>
  <c r="X1956" i="16"/>
  <c r="W1956" i="16"/>
  <c r="W868" i="16"/>
  <c r="X868" i="16"/>
  <c r="V869" i="16"/>
  <c r="CV868" i="16" l="1"/>
  <c r="AF868" i="16"/>
  <c r="T868" i="16"/>
  <c r="T1956" i="16"/>
  <c r="AF1956" i="16"/>
  <c r="V1958" i="16"/>
  <c r="X1957" i="16"/>
  <c r="W1957" i="16"/>
  <c r="W869" i="16"/>
  <c r="X869" i="16"/>
  <c r="V870" i="16"/>
  <c r="CV869" i="16" l="1"/>
  <c r="T869" i="16"/>
  <c r="AF869" i="16"/>
  <c r="T1957" i="16"/>
  <c r="AF1957" i="16"/>
  <c r="V1959" i="16"/>
  <c r="X1958" i="16"/>
  <c r="W1958" i="16"/>
  <c r="W870" i="16"/>
  <c r="X870" i="16"/>
  <c r="V871" i="16"/>
  <c r="CV870" i="16" l="1"/>
  <c r="AF870" i="16"/>
  <c r="T870" i="16"/>
  <c r="T1958" i="16"/>
  <c r="AF1958" i="16"/>
  <c r="X1959" i="16"/>
  <c r="V1960" i="16"/>
  <c r="W1959" i="16"/>
  <c r="V872" i="16"/>
  <c r="X871" i="16"/>
  <c r="W871" i="16"/>
  <c r="CV871" i="16" l="1"/>
  <c r="AF871" i="16"/>
  <c r="T871" i="16"/>
  <c r="T1959" i="16"/>
  <c r="AF1959" i="16"/>
  <c r="W1960" i="16"/>
  <c r="X1960" i="16"/>
  <c r="V1961" i="16"/>
  <c r="W872" i="16"/>
  <c r="X872" i="16"/>
  <c r="V873" i="16"/>
  <c r="CV872" i="16" l="1"/>
  <c r="AF1960" i="16"/>
  <c r="T1960" i="16"/>
  <c r="AF872" i="16"/>
  <c r="T872" i="16"/>
  <c r="V1962" i="16"/>
  <c r="X1961" i="16"/>
  <c r="W1961" i="16"/>
  <c r="W873" i="16"/>
  <c r="X873" i="16"/>
  <c r="V874" i="16"/>
  <c r="CV873" i="16" l="1"/>
  <c r="AF873" i="16"/>
  <c r="T873" i="16"/>
  <c r="AF1961" i="16"/>
  <c r="T1961" i="16"/>
  <c r="V1963" i="16"/>
  <c r="X1962" i="16"/>
  <c r="W1962" i="16"/>
  <c r="W874" i="16"/>
  <c r="CV874" i="16" s="1"/>
  <c r="X874" i="16"/>
  <c r="V875" i="16"/>
  <c r="T874" i="16" l="1"/>
  <c r="AF874" i="16"/>
  <c r="AF1962" i="16"/>
  <c r="T1962" i="16"/>
  <c r="X1963" i="16"/>
  <c r="W1963" i="16"/>
  <c r="V1964" i="16"/>
  <c r="W875" i="16"/>
  <c r="V876" i="16"/>
  <c r="X875" i="16"/>
  <c r="CV875" i="16" l="1"/>
  <c r="AF875" i="16"/>
  <c r="T875" i="16"/>
  <c r="AF1963" i="16"/>
  <c r="T1963" i="16"/>
  <c r="V1965" i="16"/>
  <c r="X1964" i="16"/>
  <c r="W1964" i="16"/>
  <c r="V877" i="16"/>
  <c r="W876" i="16"/>
  <c r="X876" i="16"/>
  <c r="CV876" i="16" l="1"/>
  <c r="T876" i="16"/>
  <c r="AF876" i="16"/>
  <c r="AF1964" i="16"/>
  <c r="T1964" i="16"/>
  <c r="V1966" i="16"/>
  <c r="X1965" i="16"/>
  <c r="W1965" i="16"/>
  <c r="W877" i="16"/>
  <c r="X877" i="16"/>
  <c r="V878" i="16"/>
  <c r="CV877" i="16" l="1"/>
  <c r="T877" i="16"/>
  <c r="AF877" i="16"/>
  <c r="AF1965" i="16"/>
  <c r="T1965" i="16"/>
  <c r="V1967" i="16"/>
  <c r="X1966" i="16"/>
  <c r="W1966" i="16"/>
  <c r="W878" i="16"/>
  <c r="X878" i="16"/>
  <c r="V879" i="16"/>
  <c r="CV878" i="16" l="1"/>
  <c r="T878" i="16"/>
  <c r="AF878" i="16"/>
  <c r="AF1966" i="16"/>
  <c r="T1966" i="16"/>
  <c r="X1967" i="16"/>
  <c r="V1968" i="16"/>
  <c r="W1967" i="16"/>
  <c r="W879" i="16"/>
  <c r="X879" i="16"/>
  <c r="V880" i="16"/>
  <c r="CV879" i="16" l="1"/>
  <c r="T879" i="16"/>
  <c r="AF879" i="16"/>
  <c r="AF1967" i="16"/>
  <c r="T1967" i="16"/>
  <c r="V1969" i="16"/>
  <c r="X1968" i="16"/>
  <c r="W1968" i="16"/>
  <c r="W880" i="16"/>
  <c r="CV880" i="16" s="1"/>
  <c r="X880" i="16"/>
  <c r="V881" i="16"/>
  <c r="T880" i="16" l="1"/>
  <c r="AF880" i="16"/>
  <c r="AF1968" i="16"/>
  <c r="T1968" i="16"/>
  <c r="W1969" i="16"/>
  <c r="V1970" i="16"/>
  <c r="X1969" i="16"/>
  <c r="V882" i="16"/>
  <c r="W881" i="16"/>
  <c r="X881" i="16"/>
  <c r="CV881" i="16" l="1"/>
  <c r="AF881" i="16"/>
  <c r="T881" i="16"/>
  <c r="AF1969" i="16"/>
  <c r="T1969" i="16"/>
  <c r="V1971" i="16"/>
  <c r="W1970" i="16"/>
  <c r="X1970" i="16"/>
  <c r="W882" i="16"/>
  <c r="X882" i="16"/>
  <c r="V883" i="16"/>
  <c r="CV882" i="16" l="1"/>
  <c r="T882" i="16"/>
  <c r="AF882" i="16"/>
  <c r="AF1970" i="16"/>
  <c r="T1970" i="16"/>
  <c r="W1971" i="16"/>
  <c r="V1972" i="16"/>
  <c r="X1971" i="16"/>
  <c r="V884" i="16"/>
  <c r="W883" i="16"/>
  <c r="X883" i="16"/>
  <c r="CV883" i="16" l="1"/>
  <c r="T883" i="16"/>
  <c r="AF883" i="16"/>
  <c r="AF1971" i="16"/>
  <c r="T1971" i="16"/>
  <c r="V1973" i="16"/>
  <c r="X1972" i="16"/>
  <c r="W1972" i="16"/>
  <c r="V885" i="16"/>
  <c r="X884" i="16"/>
  <c r="W884" i="16"/>
  <c r="CV884" i="16" s="1"/>
  <c r="T884" i="16" l="1"/>
  <c r="AF884" i="16"/>
  <c r="AF1972" i="16"/>
  <c r="T1972" i="16"/>
  <c r="V1974" i="16"/>
  <c r="X1973" i="16"/>
  <c r="W1973" i="16"/>
  <c r="W885" i="16"/>
  <c r="X885" i="16"/>
  <c r="V886" i="16"/>
  <c r="CV885" i="16" l="1"/>
  <c r="AF885" i="16"/>
  <c r="T885" i="16"/>
  <c r="T1973" i="16"/>
  <c r="AF1973" i="16"/>
  <c r="V1975" i="16"/>
  <c r="X1974" i="16"/>
  <c r="W1974" i="16"/>
  <c r="V887" i="16"/>
  <c r="W886" i="16"/>
  <c r="X886" i="16"/>
  <c r="CV886" i="16" l="1"/>
  <c r="AF886" i="16"/>
  <c r="T886" i="16"/>
  <c r="T1974" i="16"/>
  <c r="AF1974" i="16"/>
  <c r="X1975" i="16"/>
  <c r="V1976" i="16"/>
  <c r="W1975" i="16"/>
  <c r="W887" i="16"/>
  <c r="CV887" i="16" s="1"/>
  <c r="X887" i="16"/>
  <c r="V888" i="16"/>
  <c r="AF887" i="16" l="1"/>
  <c r="T887" i="16"/>
  <c r="T1975" i="16"/>
  <c r="AF1975" i="16"/>
  <c r="V1977" i="16"/>
  <c r="W1976" i="16"/>
  <c r="X1976" i="16"/>
  <c r="W888" i="16"/>
  <c r="CV888" i="16" s="1"/>
  <c r="X888" i="16"/>
  <c r="V889" i="16"/>
  <c r="AF888" i="16" l="1"/>
  <c r="T888" i="16"/>
  <c r="T1976" i="16"/>
  <c r="AF1976" i="16"/>
  <c r="V1978" i="16"/>
  <c r="X1977" i="16"/>
  <c r="W1977" i="16"/>
  <c r="W889" i="16"/>
  <c r="CV889" i="16" s="1"/>
  <c r="V890" i="16"/>
  <c r="X889" i="16"/>
  <c r="AF889" i="16" l="1"/>
  <c r="T889" i="16"/>
  <c r="T1977" i="16"/>
  <c r="AF1977" i="16"/>
  <c r="X1978" i="16"/>
  <c r="W1978" i="16"/>
  <c r="V1979" i="16"/>
  <c r="V891" i="16"/>
  <c r="W890" i="16"/>
  <c r="CV890" i="16" s="1"/>
  <c r="X890" i="16"/>
  <c r="T890" i="16" l="1"/>
  <c r="AF890" i="16"/>
  <c r="T1978" i="16"/>
  <c r="AF1978" i="16"/>
  <c r="V1980" i="16"/>
  <c r="X1979" i="16"/>
  <c r="W1979" i="16"/>
  <c r="X891" i="16"/>
  <c r="V892" i="16"/>
  <c r="W891" i="16"/>
  <c r="CV891" i="16" s="1"/>
  <c r="T891" i="16" l="1"/>
  <c r="AF891" i="16"/>
  <c r="T1979" i="16"/>
  <c r="AF1979" i="16"/>
  <c r="X1980" i="16"/>
  <c r="V1981" i="16"/>
  <c r="W1980" i="16"/>
  <c r="W892" i="16"/>
  <c r="CV892" i="16" s="1"/>
  <c r="X892" i="16"/>
  <c r="V893" i="16"/>
  <c r="T892" i="16" l="1"/>
  <c r="AF892" i="16"/>
  <c r="T1980" i="16"/>
  <c r="AF1980" i="16"/>
  <c r="V1982" i="16"/>
  <c r="W1981" i="16"/>
  <c r="X1981" i="16"/>
  <c r="W893" i="16"/>
  <c r="X893" i="16"/>
  <c r="V894" i="16"/>
  <c r="CV893" i="16" l="1"/>
  <c r="T893" i="16"/>
  <c r="AF893" i="16"/>
  <c r="T1981" i="16"/>
  <c r="AF1981" i="16"/>
  <c r="V1983" i="16"/>
  <c r="X1982" i="16"/>
  <c r="W1982" i="16"/>
  <c r="X894" i="16"/>
  <c r="W894" i="16"/>
  <c r="CV894" i="16" s="1"/>
  <c r="V895" i="16"/>
  <c r="AF894" i="16" l="1"/>
  <c r="T894" i="16"/>
  <c r="T1982" i="16"/>
  <c r="AF1982" i="16"/>
  <c r="X1983" i="16"/>
  <c r="W1983" i="16"/>
  <c r="V1984" i="16"/>
  <c r="V896" i="16"/>
  <c r="W895" i="16"/>
  <c r="X895" i="16"/>
  <c r="CV895" i="16" l="1"/>
  <c r="AF1983" i="16"/>
  <c r="T1983" i="16"/>
  <c r="AF895" i="16"/>
  <c r="T895" i="16"/>
  <c r="V1985" i="16"/>
  <c r="X1984" i="16"/>
  <c r="W1984" i="16"/>
  <c r="W896" i="16"/>
  <c r="CV896" i="16" s="1"/>
  <c r="X896" i="16"/>
  <c r="V897" i="16"/>
  <c r="T896" i="16" l="1"/>
  <c r="AF896" i="16"/>
  <c r="AF1984" i="16"/>
  <c r="T1984" i="16"/>
  <c r="V1986" i="16"/>
  <c r="X1985" i="16"/>
  <c r="W1985" i="16"/>
  <c r="V898" i="16"/>
  <c r="X897" i="16"/>
  <c r="W897" i="16"/>
  <c r="CV897" i="16" l="1"/>
  <c r="AF897" i="16"/>
  <c r="T897" i="16"/>
  <c r="AF1985" i="16"/>
  <c r="T1985" i="16"/>
  <c r="V1987" i="16"/>
  <c r="X1986" i="16"/>
  <c r="W1986" i="16"/>
  <c r="W898" i="16"/>
  <c r="X898" i="16"/>
  <c r="V899" i="16"/>
  <c r="CV898" i="16" l="1"/>
  <c r="T898" i="16"/>
  <c r="AF898" i="16"/>
  <c r="AF1986" i="16"/>
  <c r="T1986" i="16"/>
  <c r="V1988" i="16"/>
  <c r="X1987" i="16"/>
  <c r="W1987" i="16"/>
  <c r="W899" i="16"/>
  <c r="X899" i="16"/>
  <c r="V900" i="16"/>
  <c r="CV899" i="16" l="1"/>
  <c r="AF1987" i="16"/>
  <c r="T1987" i="16"/>
  <c r="T899" i="16"/>
  <c r="AF899" i="16"/>
  <c r="X1988" i="16"/>
  <c r="W1988" i="16"/>
  <c r="V1989" i="16"/>
  <c r="V901" i="16"/>
  <c r="W900" i="16"/>
  <c r="X900" i="16"/>
  <c r="CV900" i="16" l="1"/>
  <c r="AF1988" i="16"/>
  <c r="T1988" i="16"/>
  <c r="AF900" i="16"/>
  <c r="T900" i="16"/>
  <c r="V1990" i="16"/>
  <c r="X1989" i="16"/>
  <c r="W1989" i="16"/>
  <c r="W901" i="16"/>
  <c r="CV901" i="16" s="1"/>
  <c r="X901" i="16"/>
  <c r="V902" i="16"/>
  <c r="AF1989" i="16" l="1"/>
  <c r="T1989" i="16"/>
  <c r="T901" i="16"/>
  <c r="AF901" i="16"/>
  <c r="V1991" i="16"/>
  <c r="X1990" i="16"/>
  <c r="W1990" i="16"/>
  <c r="V903" i="16"/>
  <c r="X902" i="16"/>
  <c r="W902" i="16"/>
  <c r="CV902" i="16" s="1"/>
  <c r="AF1990" i="16" l="1"/>
  <c r="T1990" i="16"/>
  <c r="AF902" i="16"/>
  <c r="T902" i="16"/>
  <c r="X1991" i="16"/>
  <c r="W1991" i="16"/>
  <c r="V1992" i="16"/>
  <c r="V904" i="16"/>
  <c r="W903" i="16"/>
  <c r="CV903" i="16" s="1"/>
  <c r="X903" i="16"/>
  <c r="AF1991" i="16" l="1"/>
  <c r="T1991" i="16"/>
  <c r="AF903" i="16"/>
  <c r="T903" i="16"/>
  <c r="V1993" i="16"/>
  <c r="X1992" i="16"/>
  <c r="W1992" i="16"/>
  <c r="W904" i="16"/>
  <c r="X904" i="16"/>
  <c r="V905" i="16"/>
  <c r="CV904" i="16" l="1"/>
  <c r="T904" i="16"/>
  <c r="AF904" i="16"/>
  <c r="AF1992" i="16"/>
  <c r="T1992" i="16"/>
  <c r="V1994" i="16"/>
  <c r="X1993" i="16"/>
  <c r="W1993" i="16"/>
  <c r="V906" i="16"/>
  <c r="W905" i="16"/>
  <c r="X905" i="16"/>
  <c r="CV905" i="16" l="1"/>
  <c r="T905" i="16"/>
  <c r="AF905" i="16"/>
  <c r="AF1993" i="16"/>
  <c r="T1993" i="16"/>
  <c r="W1994" i="16"/>
  <c r="V1995" i="16"/>
  <c r="X1994" i="16"/>
  <c r="W906" i="16"/>
  <c r="X906" i="16"/>
  <c r="V907" i="16"/>
  <c r="CV906" i="16" l="1"/>
  <c r="AF1994" i="16"/>
  <c r="T1994" i="16"/>
  <c r="T906" i="16"/>
  <c r="AF906" i="16"/>
  <c r="X1995" i="16"/>
  <c r="W1995" i="16"/>
  <c r="V1996" i="16"/>
  <c r="W907" i="16"/>
  <c r="X907" i="16"/>
  <c r="V908" i="16"/>
  <c r="CV907" i="16" l="1"/>
  <c r="AF1995" i="16"/>
  <c r="T1995" i="16"/>
  <c r="AF907" i="16"/>
  <c r="T907" i="16"/>
  <c r="X1996" i="16"/>
  <c r="V1997" i="16"/>
  <c r="W1996" i="16"/>
  <c r="W908" i="16"/>
  <c r="V909" i="16"/>
  <c r="X908" i="16"/>
  <c r="CV908" i="16" l="1"/>
  <c r="AF1996" i="16"/>
  <c r="T1996" i="16"/>
  <c r="T908" i="16"/>
  <c r="AF908" i="16"/>
  <c r="V1998" i="16"/>
  <c r="X1997" i="16"/>
  <c r="W1997" i="16"/>
  <c r="X909" i="16"/>
  <c r="V910" i="16"/>
  <c r="W909" i="16"/>
  <c r="CV909" i="16" s="1"/>
  <c r="AF1997" i="16" l="1"/>
  <c r="T1997" i="16"/>
  <c r="AF909" i="16"/>
  <c r="T909" i="16"/>
  <c r="V1999" i="16"/>
  <c r="X1998" i="16"/>
  <c r="W1998" i="16"/>
  <c r="V911" i="16"/>
  <c r="W910" i="16"/>
  <c r="X910" i="16"/>
  <c r="CV910" i="16" l="1"/>
  <c r="AF910" i="16"/>
  <c r="T910" i="16"/>
  <c r="T1998" i="16"/>
  <c r="AF1998" i="16"/>
  <c r="X1999" i="16"/>
  <c r="W1999" i="16"/>
  <c r="V2000" i="16"/>
  <c r="X911" i="16"/>
  <c r="V912" i="16"/>
  <c r="W911" i="16"/>
  <c r="CV911" i="16" s="1"/>
  <c r="T1999" i="16" l="1"/>
  <c r="AF1999" i="16"/>
  <c r="T911" i="16"/>
  <c r="AF911" i="16"/>
  <c r="X2000" i="16"/>
  <c r="V2001" i="16"/>
  <c r="W2000" i="16"/>
  <c r="W912" i="16"/>
  <c r="X912" i="16"/>
  <c r="V913" i="16"/>
  <c r="CV912" i="16" l="1"/>
  <c r="T912" i="16"/>
  <c r="AF912" i="16"/>
  <c r="T2000" i="16"/>
  <c r="AF2000" i="16"/>
  <c r="V2002" i="16"/>
  <c r="X2001" i="16"/>
  <c r="W2001" i="16"/>
  <c r="X913" i="16"/>
  <c r="W913" i="16"/>
  <c r="CV913" i="16" s="1"/>
  <c r="V914" i="16"/>
  <c r="AF913" i="16" l="1"/>
  <c r="T913" i="16"/>
  <c r="T2001" i="16"/>
  <c r="AF2001" i="16"/>
  <c r="V2003" i="16"/>
  <c r="X2002" i="16"/>
  <c r="W2002" i="16"/>
  <c r="V915" i="16"/>
  <c r="W914" i="16"/>
  <c r="X914" i="16"/>
  <c r="CV914" i="16" l="1"/>
  <c r="AF914" i="16"/>
  <c r="T914" i="16"/>
  <c r="T2002" i="16"/>
  <c r="AF2002" i="16"/>
  <c r="W2003" i="16"/>
  <c r="X2003" i="16"/>
  <c r="V2004" i="16"/>
  <c r="X915" i="16"/>
  <c r="W915" i="16"/>
  <c r="CV915" i="16" s="1"/>
  <c r="V916" i="16"/>
  <c r="AF915" i="16" l="1"/>
  <c r="T915" i="16"/>
  <c r="T2003" i="16"/>
  <c r="AF2003" i="16"/>
  <c r="X2004" i="16"/>
  <c r="V2005" i="16"/>
  <c r="W2004" i="16"/>
  <c r="W916" i="16"/>
  <c r="X916" i="16"/>
  <c r="V917" i="16"/>
  <c r="CV916" i="16" l="1"/>
  <c r="T916" i="16"/>
  <c r="AF916" i="16"/>
  <c r="T2004" i="16"/>
  <c r="AF2004" i="16"/>
  <c r="V2006" i="16"/>
  <c r="X2005" i="16"/>
  <c r="W2005" i="16"/>
  <c r="V918" i="16"/>
  <c r="W917" i="16"/>
  <c r="X917" i="16"/>
  <c r="CV917" i="16" l="1"/>
  <c r="T917" i="16"/>
  <c r="AF917" i="16"/>
  <c r="T2005" i="16"/>
  <c r="AF2005" i="16"/>
  <c r="V2007" i="16"/>
  <c r="X2006" i="16"/>
  <c r="W2006" i="16"/>
  <c r="W918" i="16"/>
  <c r="V919" i="16"/>
  <c r="X918" i="16"/>
  <c r="CV918" i="16" l="1"/>
  <c r="T2006" i="16"/>
  <c r="AF2006" i="16"/>
  <c r="T918" i="16"/>
  <c r="AF918" i="16"/>
  <c r="X2007" i="16"/>
  <c r="V2008" i="16"/>
  <c r="W2007" i="16"/>
  <c r="W919" i="16"/>
  <c r="X919" i="16"/>
  <c r="V920" i="16"/>
  <c r="CV919" i="16" l="1"/>
  <c r="T919" i="16"/>
  <c r="AF919" i="16"/>
  <c r="T2007" i="16"/>
  <c r="AF2007" i="16"/>
  <c r="V2009" i="16"/>
  <c r="X2008" i="16"/>
  <c r="W2008" i="16"/>
  <c r="W920" i="16"/>
  <c r="X920" i="16"/>
  <c r="V921" i="16"/>
  <c r="CV920" i="16" l="1"/>
  <c r="AF920" i="16"/>
  <c r="T920" i="16"/>
  <c r="AF2008" i="16"/>
  <c r="T2008" i="16"/>
  <c r="W2009" i="16"/>
  <c r="V2010" i="16"/>
  <c r="X2009" i="16"/>
  <c r="X921" i="16"/>
  <c r="V922" i="16"/>
  <c r="W921" i="16"/>
  <c r="CV921" i="16" s="1"/>
  <c r="AF2009" i="16" l="1"/>
  <c r="T2009" i="16"/>
  <c r="AF921" i="16"/>
  <c r="T921" i="16"/>
  <c r="V2011" i="16"/>
  <c r="X2010" i="16"/>
  <c r="W2010" i="16"/>
  <c r="W922" i="16"/>
  <c r="X922" i="16"/>
  <c r="V923" i="16"/>
  <c r="CV922" i="16" l="1"/>
  <c r="AF2010" i="16"/>
  <c r="T2010" i="16"/>
  <c r="T922" i="16"/>
  <c r="AF922" i="16"/>
  <c r="X2011" i="16"/>
  <c r="W2011" i="16"/>
  <c r="V2012" i="16"/>
  <c r="V924" i="16"/>
  <c r="W923" i="16"/>
  <c r="X923" i="16"/>
  <c r="CV923" i="16" l="1"/>
  <c r="T923" i="16"/>
  <c r="AF923" i="16"/>
  <c r="AF2011" i="16"/>
  <c r="T2011" i="16"/>
  <c r="X2012" i="16"/>
  <c r="W2012" i="16"/>
  <c r="V2013" i="16"/>
  <c r="V925" i="16"/>
  <c r="W924" i="16"/>
  <c r="X924" i="16"/>
  <c r="CV924" i="16" l="1"/>
  <c r="AF2012" i="16"/>
  <c r="T2012" i="16"/>
  <c r="AF924" i="16"/>
  <c r="T924" i="16"/>
  <c r="V2014" i="16"/>
  <c r="X2013" i="16"/>
  <c r="W2013" i="16"/>
  <c r="W925" i="16"/>
  <c r="X925" i="16"/>
  <c r="V926" i="16"/>
  <c r="CV925" i="16" l="1"/>
  <c r="T925" i="16"/>
  <c r="AF925" i="16"/>
  <c r="AF2013" i="16"/>
  <c r="T2013" i="16"/>
  <c r="V2015" i="16"/>
  <c r="X2014" i="16"/>
  <c r="W2014" i="16"/>
  <c r="V927" i="16"/>
  <c r="X926" i="16"/>
  <c r="W926" i="16"/>
  <c r="CV926" i="16" s="1"/>
  <c r="AF2014" i="16" l="1"/>
  <c r="T2014" i="16"/>
  <c r="T926" i="16"/>
  <c r="AF926" i="16"/>
  <c r="X2015" i="16"/>
  <c r="V2016" i="16"/>
  <c r="W2015" i="16"/>
  <c r="W927" i="16"/>
  <c r="X927" i="16"/>
  <c r="V928" i="16"/>
  <c r="CV927" i="16" l="1"/>
  <c r="T927" i="16"/>
  <c r="AF927" i="16"/>
  <c r="AF2015" i="16"/>
  <c r="T2015" i="16"/>
  <c r="X2016" i="16"/>
  <c r="W2016" i="16"/>
  <c r="V2017" i="16"/>
  <c r="W928" i="16"/>
  <c r="X928" i="16"/>
  <c r="V929" i="16"/>
  <c r="CV928" i="16" l="1"/>
  <c r="AF2016" i="16"/>
  <c r="T2016" i="16"/>
  <c r="AF928" i="16"/>
  <c r="T928" i="16"/>
  <c r="V2018" i="16"/>
  <c r="X2017" i="16"/>
  <c r="W2017" i="16"/>
  <c r="V930" i="16"/>
  <c r="X929" i="16"/>
  <c r="W929" i="16"/>
  <c r="CV929" i="16" l="1"/>
  <c r="AF2017" i="16"/>
  <c r="T2017" i="16"/>
  <c r="AF929" i="16"/>
  <c r="T929" i="16"/>
  <c r="V2019" i="16"/>
  <c r="X2018" i="16"/>
  <c r="W2018" i="16"/>
  <c r="W930" i="16"/>
  <c r="X930" i="16"/>
  <c r="V931" i="16"/>
  <c r="CV930" i="16" l="1"/>
  <c r="AF2018" i="16"/>
  <c r="T2018" i="16"/>
  <c r="AF930" i="16"/>
  <c r="T930" i="16"/>
  <c r="V2020" i="16"/>
  <c r="X2019" i="16"/>
  <c r="W2019" i="16"/>
  <c r="W931" i="16"/>
  <c r="CV931" i="16" s="1"/>
  <c r="X931" i="16"/>
  <c r="V932" i="16"/>
  <c r="AF2019" i="16" l="1"/>
  <c r="T2019" i="16"/>
  <c r="T931" i="16"/>
  <c r="AF931" i="16"/>
  <c r="X2020" i="16"/>
  <c r="V2021" i="16"/>
  <c r="W2020" i="16"/>
  <c r="V933" i="16"/>
  <c r="W932" i="16"/>
  <c r="X932" i="16"/>
  <c r="CV932" i="16" l="1"/>
  <c r="AF2020" i="16"/>
  <c r="T2020" i="16"/>
  <c r="T932" i="16"/>
  <c r="AF932" i="16"/>
  <c r="V2022" i="16"/>
  <c r="X2021" i="16"/>
  <c r="W2021" i="16"/>
  <c r="W933" i="16"/>
  <c r="X933" i="16"/>
  <c r="V934" i="16"/>
  <c r="CV933" i="16" l="1"/>
  <c r="AF2021" i="16"/>
  <c r="T2021" i="16"/>
  <c r="AF933" i="16"/>
  <c r="T933" i="16"/>
  <c r="V2023" i="16"/>
  <c r="X2022" i="16"/>
  <c r="W2022" i="16"/>
  <c r="V935" i="16"/>
  <c r="X934" i="16"/>
  <c r="W934" i="16"/>
  <c r="CV934" i="16" s="1"/>
  <c r="T2022" i="16" l="1"/>
  <c r="AF2022" i="16"/>
  <c r="AF934" i="16"/>
  <c r="T934" i="16"/>
  <c r="X2023" i="16"/>
  <c r="V2024" i="16"/>
  <c r="W2023" i="16"/>
  <c r="X935" i="16"/>
  <c r="V936" i="16"/>
  <c r="W935" i="16"/>
  <c r="CV935" i="16" s="1"/>
  <c r="AF935" i="16" l="1"/>
  <c r="T935" i="16"/>
  <c r="T2023" i="16"/>
  <c r="AF2023" i="16"/>
  <c r="V2025" i="16"/>
  <c r="W2024" i="16"/>
  <c r="X2024" i="16"/>
  <c r="W936" i="16"/>
  <c r="X936" i="16"/>
  <c r="V937" i="16"/>
  <c r="CV936" i="16" l="1"/>
  <c r="T2024" i="16"/>
  <c r="AF2024" i="16"/>
  <c r="AF936" i="16"/>
  <c r="T936" i="16"/>
  <c r="V2026" i="16"/>
  <c r="X2025" i="16"/>
  <c r="W2025" i="16"/>
  <c r="X937" i="16"/>
  <c r="W937" i="16"/>
  <c r="CV937" i="16" s="1"/>
  <c r="V938" i="16"/>
  <c r="T937" i="16" l="1"/>
  <c r="AF937" i="16"/>
  <c r="T2025" i="16"/>
  <c r="AF2025" i="16"/>
  <c r="V2027" i="16"/>
  <c r="X2026" i="16"/>
  <c r="W2026" i="16"/>
  <c r="W938" i="16"/>
  <c r="X938" i="16"/>
  <c r="V939" i="16"/>
  <c r="CV938" i="16" l="1"/>
  <c r="T2026" i="16"/>
  <c r="AF2026" i="16"/>
  <c r="AF938" i="16"/>
  <c r="T938" i="16"/>
  <c r="V2028" i="16"/>
  <c r="X2027" i="16"/>
  <c r="W2027" i="16"/>
  <c r="X939" i="16"/>
  <c r="W939" i="16"/>
  <c r="V940" i="16"/>
  <c r="CV939" i="16" l="1"/>
  <c r="AF939" i="16"/>
  <c r="T939" i="16"/>
  <c r="T2027" i="16"/>
  <c r="AF2027" i="16"/>
  <c r="X2028" i="16"/>
  <c r="V2029" i="16"/>
  <c r="W2028" i="16"/>
  <c r="W940" i="16"/>
  <c r="CV940" i="16" s="1"/>
  <c r="X940" i="16"/>
  <c r="V941" i="16"/>
  <c r="AF940" i="16" l="1"/>
  <c r="T940" i="16"/>
  <c r="T2028" i="16"/>
  <c r="AF2028" i="16"/>
  <c r="V2030" i="16"/>
  <c r="X2029" i="16"/>
  <c r="W2029" i="16"/>
  <c r="X941" i="16"/>
  <c r="W941" i="16"/>
  <c r="CV941" i="16" s="1"/>
  <c r="V942" i="16"/>
  <c r="T941" i="16" l="1"/>
  <c r="AF941" i="16"/>
  <c r="T2029" i="16"/>
  <c r="AF2029" i="16"/>
  <c r="V2031" i="16"/>
  <c r="X2030" i="16"/>
  <c r="W2030" i="16"/>
  <c r="V943" i="16"/>
  <c r="W942" i="16"/>
  <c r="X942" i="16"/>
  <c r="CV942" i="16" l="1"/>
  <c r="T942" i="16"/>
  <c r="AF942" i="16"/>
  <c r="T2030" i="16"/>
  <c r="AF2030" i="16"/>
  <c r="X2031" i="16"/>
  <c r="V2032" i="16"/>
  <c r="W2031" i="16"/>
  <c r="V944" i="16"/>
  <c r="W943" i="16"/>
  <c r="X943" i="16"/>
  <c r="CV943" i="16" l="1"/>
  <c r="T943" i="16"/>
  <c r="AF943" i="16"/>
  <c r="T2031" i="16"/>
  <c r="AF2031" i="16"/>
  <c r="X2032" i="16"/>
  <c r="W2032" i="16"/>
  <c r="V2033" i="16"/>
  <c r="W944" i="16"/>
  <c r="X944" i="16"/>
  <c r="V945" i="16"/>
  <c r="CV944" i="16" l="1"/>
  <c r="T944" i="16"/>
  <c r="AF944" i="16"/>
  <c r="AF2032" i="16"/>
  <c r="T2032" i="16"/>
  <c r="V2034" i="16"/>
  <c r="X2033" i="16"/>
  <c r="W2033" i="16"/>
  <c r="W945" i="16"/>
  <c r="X945" i="16"/>
  <c r="V946" i="16"/>
  <c r="CV945" i="16" l="1"/>
  <c r="AF2033" i="16"/>
  <c r="T2033" i="16"/>
  <c r="AF945" i="16"/>
  <c r="T945" i="16"/>
  <c r="V2035" i="16"/>
  <c r="X2034" i="16"/>
  <c r="W2034" i="16"/>
  <c r="V947" i="16"/>
  <c r="X946" i="16"/>
  <c r="W946" i="16"/>
  <c r="CV946" i="16" s="1"/>
  <c r="T946" i="16" l="1"/>
  <c r="AF946" i="16"/>
  <c r="AF2034" i="16"/>
  <c r="T2034" i="16"/>
  <c r="V2036" i="16"/>
  <c r="X2035" i="16"/>
  <c r="W2035" i="16"/>
  <c r="W947" i="16"/>
  <c r="V948" i="16"/>
  <c r="X947" i="16"/>
  <c r="CV947" i="16" l="1"/>
  <c r="T947" i="16"/>
  <c r="AF947" i="16"/>
  <c r="AF2035" i="16"/>
  <c r="T2035" i="16"/>
  <c r="X2036" i="16"/>
  <c r="V2037" i="16"/>
  <c r="W2036" i="16"/>
  <c r="V949" i="16"/>
  <c r="W948" i="16"/>
  <c r="CV948" i="16" s="1"/>
  <c r="X948" i="16"/>
  <c r="T948" i="16" l="1"/>
  <c r="AF948" i="16"/>
  <c r="AF2036" i="16"/>
  <c r="T2036" i="16"/>
  <c r="V2038" i="16"/>
  <c r="X2037" i="16"/>
  <c r="W2037" i="16"/>
  <c r="W949" i="16"/>
  <c r="X949" i="16"/>
  <c r="V950" i="16"/>
  <c r="CV949" i="16" l="1"/>
  <c r="AF2037" i="16"/>
  <c r="T2037" i="16"/>
  <c r="AF949" i="16"/>
  <c r="T949" i="16"/>
  <c r="V2039" i="16"/>
  <c r="X2038" i="16"/>
  <c r="W2038" i="16"/>
  <c r="W950" i="16"/>
  <c r="X950" i="16"/>
  <c r="V951" i="16"/>
  <c r="CV950" i="16" l="1"/>
  <c r="AF2038" i="16"/>
  <c r="T2038" i="16"/>
  <c r="AF950" i="16"/>
  <c r="T950" i="16"/>
  <c r="X2039" i="16"/>
  <c r="V2040" i="16"/>
  <c r="W2039" i="16"/>
  <c r="W951" i="16"/>
  <c r="V952" i="16"/>
  <c r="X951" i="16"/>
  <c r="CV951" i="16" l="1"/>
  <c r="AF951" i="16"/>
  <c r="T951" i="16"/>
  <c r="AF2039" i="16"/>
  <c r="T2039" i="16"/>
  <c r="V2041" i="16"/>
  <c r="X2040" i="16"/>
  <c r="W2040" i="16"/>
  <c r="W952" i="16"/>
  <c r="X952" i="16"/>
  <c r="V953" i="16"/>
  <c r="CV952" i="16" l="1"/>
  <c r="T952" i="16"/>
  <c r="AF952" i="16"/>
  <c r="AF2040" i="16"/>
  <c r="T2040" i="16"/>
  <c r="V2042" i="16"/>
  <c r="X2041" i="16"/>
  <c r="W2041" i="16"/>
  <c r="V954" i="16"/>
  <c r="W953" i="16"/>
  <c r="X953" i="16"/>
  <c r="CV953" i="16" l="1"/>
  <c r="T953" i="16"/>
  <c r="AF953" i="16"/>
  <c r="AF2041" i="16"/>
  <c r="T2041" i="16"/>
  <c r="V2043" i="16"/>
  <c r="X2042" i="16"/>
  <c r="W2042" i="16"/>
  <c r="W954" i="16"/>
  <c r="X954" i="16"/>
  <c r="V955" i="16"/>
  <c r="CV954" i="16" l="1"/>
  <c r="T2042" i="16"/>
  <c r="AF2042" i="16"/>
  <c r="AF954" i="16"/>
  <c r="T954" i="16"/>
  <c r="X2043" i="16"/>
  <c r="W2043" i="16"/>
  <c r="V2044" i="16"/>
  <c r="V956" i="16"/>
  <c r="W955" i="16"/>
  <c r="X955" i="16"/>
  <c r="CV955" i="16" l="1"/>
  <c r="T955" i="16"/>
  <c r="AF955" i="16"/>
  <c r="T2043" i="16"/>
  <c r="AF2043" i="16"/>
  <c r="X2044" i="16"/>
  <c r="V2045" i="16"/>
  <c r="W2044" i="16"/>
  <c r="W956" i="16"/>
  <c r="X956" i="16"/>
  <c r="V957" i="16"/>
  <c r="CV956" i="16" l="1"/>
  <c r="AF956" i="16"/>
  <c r="T956" i="16"/>
  <c r="T2044" i="16"/>
  <c r="AF2044" i="16"/>
  <c r="V2046" i="16"/>
  <c r="X2045" i="16"/>
  <c r="W2045" i="16"/>
  <c r="V958" i="16"/>
  <c r="W957" i="16"/>
  <c r="X957" i="16"/>
  <c r="CV957" i="16" l="1"/>
  <c r="T957" i="16"/>
  <c r="AF957" i="16"/>
  <c r="T2045" i="16"/>
  <c r="AF2045" i="16"/>
  <c r="V2047" i="16"/>
  <c r="X2046" i="16"/>
  <c r="W2046" i="16"/>
  <c r="V959" i="16"/>
  <c r="W958" i="16"/>
  <c r="CV958" i="16" s="1"/>
  <c r="X958" i="16"/>
  <c r="AF958" i="16" l="1"/>
  <c r="T958" i="16"/>
  <c r="T2046" i="16"/>
  <c r="AF2046" i="16"/>
  <c r="X2047" i="16"/>
  <c r="V2048" i="16"/>
  <c r="W2047" i="16"/>
  <c r="X959" i="16"/>
  <c r="V960" i="16"/>
  <c r="W959" i="16"/>
  <c r="CV959" i="16" s="1"/>
  <c r="T959" i="16" l="1"/>
  <c r="AF959" i="16"/>
  <c r="T2047" i="16"/>
  <c r="AF2047" i="16"/>
  <c r="V2049" i="16"/>
  <c r="X2048" i="16"/>
  <c r="W2048" i="16"/>
  <c r="W960" i="16"/>
  <c r="CV960" i="16" s="1"/>
  <c r="X960" i="16"/>
  <c r="V961" i="16"/>
  <c r="T960" i="16" l="1"/>
  <c r="AF960" i="16"/>
  <c r="AF2048" i="16"/>
  <c r="T2048" i="16"/>
  <c r="X2049" i="16"/>
  <c r="W2049" i="16"/>
  <c r="V2050" i="16"/>
  <c r="X961" i="16"/>
  <c r="V962" i="16"/>
  <c r="W961" i="16"/>
  <c r="CV961" i="16" s="1"/>
  <c r="T961" i="16" l="1"/>
  <c r="AF961" i="16"/>
  <c r="AF2049" i="16"/>
  <c r="T2049" i="16"/>
  <c r="X2050" i="16"/>
  <c r="V2051" i="16"/>
  <c r="W2050" i="16"/>
  <c r="W962" i="16"/>
  <c r="CV962" i="16" s="1"/>
  <c r="X962" i="16"/>
  <c r="V963" i="16"/>
  <c r="T962" i="16" l="1"/>
  <c r="AF962" i="16"/>
  <c r="AF2050" i="16"/>
  <c r="T2050" i="16"/>
  <c r="X2051" i="16"/>
  <c r="W2051" i="16"/>
  <c r="V2052" i="16"/>
  <c r="X963" i="16"/>
  <c r="W963" i="16"/>
  <c r="CV963" i="16" s="1"/>
  <c r="V964" i="16"/>
  <c r="AF963" i="16" l="1"/>
  <c r="T963" i="16"/>
  <c r="AF2051" i="16"/>
  <c r="T2051" i="16"/>
  <c r="X2052" i="16"/>
  <c r="V2053" i="16"/>
  <c r="W2052" i="16"/>
  <c r="W964" i="16"/>
  <c r="V965" i="16"/>
  <c r="X964" i="16"/>
  <c r="CV964" i="16" l="1"/>
  <c r="T964" i="16"/>
  <c r="AF964" i="16"/>
  <c r="AF2052" i="16"/>
  <c r="T2052" i="16"/>
  <c r="V2054" i="16"/>
  <c r="X2053" i="16"/>
  <c r="W2053" i="16"/>
  <c r="V966" i="16"/>
  <c r="W965" i="16"/>
  <c r="X965" i="16"/>
  <c r="CV965" i="16" l="1"/>
  <c r="T965" i="16"/>
  <c r="AF965" i="16"/>
  <c r="AF2053" i="16"/>
  <c r="T2053" i="16"/>
  <c r="V2055" i="16"/>
  <c r="X2054" i="16"/>
  <c r="W2054" i="16"/>
  <c r="V967" i="16"/>
  <c r="W966" i="16"/>
  <c r="X966" i="16"/>
  <c r="CV966" i="16" l="1"/>
  <c r="AF2054" i="16"/>
  <c r="T2054" i="16"/>
  <c r="AF966" i="16"/>
  <c r="T966" i="16"/>
  <c r="X2055" i="16"/>
  <c r="V2056" i="16"/>
  <c r="W2055" i="16"/>
  <c r="W967" i="16"/>
  <c r="CV967" i="16" s="1"/>
  <c r="X967" i="16"/>
  <c r="V968" i="16"/>
  <c r="AF2055" i="16" l="1"/>
  <c r="T2055" i="16"/>
  <c r="AF967" i="16"/>
  <c r="T967" i="16"/>
  <c r="V2057" i="16"/>
  <c r="X2056" i="16"/>
  <c r="W2056" i="16"/>
  <c r="W968" i="16"/>
  <c r="X968" i="16"/>
  <c r="V969" i="16"/>
  <c r="CV968" i="16" l="1"/>
  <c r="AF2056" i="16"/>
  <c r="T2056" i="16"/>
  <c r="AF968" i="16"/>
  <c r="T968" i="16"/>
  <c r="V2058" i="16"/>
  <c r="X2057" i="16"/>
  <c r="W2057" i="16"/>
  <c r="W969" i="16"/>
  <c r="X969" i="16"/>
  <c r="V970" i="16"/>
  <c r="CV969" i="16" l="1"/>
  <c r="AF969" i="16"/>
  <c r="T969" i="16"/>
  <c r="AF2057" i="16"/>
  <c r="T2057" i="16"/>
  <c r="V2059" i="16"/>
  <c r="X2058" i="16"/>
  <c r="W2058" i="16"/>
  <c r="W970" i="16"/>
  <c r="X970" i="16"/>
  <c r="V971" i="16"/>
  <c r="CV970" i="16" l="1"/>
  <c r="AF970" i="16"/>
  <c r="T970" i="16"/>
  <c r="AF2058" i="16"/>
  <c r="T2058" i="16"/>
  <c r="W2059" i="16"/>
  <c r="X2059" i="16"/>
  <c r="V2060" i="16"/>
  <c r="W971" i="16"/>
  <c r="V972" i="16"/>
  <c r="X971" i="16"/>
  <c r="CV971" i="16" l="1"/>
  <c r="T971" i="16"/>
  <c r="AF971" i="16"/>
  <c r="AF2059" i="16"/>
  <c r="T2059" i="16"/>
  <c r="X2060" i="16"/>
  <c r="W2060" i="16"/>
  <c r="V2061" i="16"/>
  <c r="V973" i="16"/>
  <c r="W972" i="16"/>
  <c r="CV972" i="16" s="1"/>
  <c r="X972" i="16"/>
  <c r="AF972" i="16" l="1"/>
  <c r="T972" i="16"/>
  <c r="AF2060" i="16"/>
  <c r="T2060" i="16"/>
  <c r="V2062" i="16"/>
  <c r="X2061" i="16"/>
  <c r="W2061" i="16"/>
  <c r="W973" i="16"/>
  <c r="X973" i="16"/>
  <c r="V974" i="16"/>
  <c r="CV973" i="16" l="1"/>
  <c r="T973" i="16"/>
  <c r="AF973" i="16"/>
  <c r="AF2061" i="16"/>
  <c r="T2061" i="16"/>
  <c r="V2063" i="16"/>
  <c r="X2062" i="16"/>
  <c r="W2062" i="16"/>
  <c r="W974" i="16"/>
  <c r="CV974" i="16" s="1"/>
  <c r="X974" i="16"/>
  <c r="V975" i="16"/>
  <c r="T974" i="16" l="1"/>
  <c r="AF974" i="16"/>
  <c r="AF2062" i="16"/>
  <c r="T2062" i="16"/>
  <c r="X2063" i="16"/>
  <c r="V2064" i="16"/>
  <c r="W2063" i="16"/>
  <c r="V976" i="16"/>
  <c r="W975" i="16"/>
  <c r="X975" i="16"/>
  <c r="CV975" i="16" l="1"/>
  <c r="T975" i="16"/>
  <c r="AF975" i="16"/>
  <c r="AF2063" i="16"/>
  <c r="T2063" i="16"/>
  <c r="V2065" i="16"/>
  <c r="X2064" i="16"/>
  <c r="W2064" i="16"/>
  <c r="W976" i="16"/>
  <c r="X976" i="16"/>
  <c r="V977" i="16"/>
  <c r="CV976" i="16" l="1"/>
  <c r="AF976" i="16"/>
  <c r="T976" i="16"/>
  <c r="AF2064" i="16"/>
  <c r="T2064" i="16"/>
  <c r="W2065" i="16"/>
  <c r="V2066" i="16"/>
  <c r="X2065" i="16"/>
  <c r="V978" i="16"/>
  <c r="W977" i="16"/>
  <c r="X977" i="16"/>
  <c r="CV977" i="16" l="1"/>
  <c r="AF977" i="16"/>
  <c r="T977" i="16"/>
  <c r="AF2065" i="16"/>
  <c r="T2065" i="16"/>
  <c r="V2067" i="16"/>
  <c r="X2066" i="16"/>
  <c r="W2066" i="16"/>
  <c r="W978" i="16"/>
  <c r="V979" i="16"/>
  <c r="X978" i="16"/>
  <c r="CV978" i="16" l="1"/>
  <c r="T2066" i="16"/>
  <c r="AF2066" i="16"/>
  <c r="AF978" i="16"/>
  <c r="T978" i="16"/>
  <c r="V2068" i="16"/>
  <c r="X2067" i="16"/>
  <c r="W2067" i="16"/>
  <c r="W979" i="16"/>
  <c r="X979" i="16"/>
  <c r="V980" i="16"/>
  <c r="CV979" i="16" l="1"/>
  <c r="T2067" i="16"/>
  <c r="AF2067" i="16"/>
  <c r="AF979" i="16"/>
  <c r="T979" i="16"/>
  <c r="X2068" i="16"/>
  <c r="V2069" i="16"/>
  <c r="W2068" i="16"/>
  <c r="W980" i="16"/>
  <c r="V981" i="16"/>
  <c r="X980" i="16"/>
  <c r="CV980" i="16" l="1"/>
  <c r="AF980" i="16"/>
  <c r="T980" i="16"/>
  <c r="T2068" i="16"/>
  <c r="AF2068" i="16"/>
  <c r="W2069" i="16"/>
  <c r="V2070" i="16"/>
  <c r="X2069" i="16"/>
  <c r="X981" i="16"/>
  <c r="V982" i="16"/>
  <c r="W981" i="16"/>
  <c r="CV981" i="16" s="1"/>
  <c r="AF981" i="16" l="1"/>
  <c r="T981" i="16"/>
  <c r="T2069" i="16"/>
  <c r="AF2069" i="16"/>
  <c r="V2071" i="16"/>
  <c r="X2070" i="16"/>
  <c r="W2070" i="16"/>
  <c r="V983" i="16"/>
  <c r="X982" i="16"/>
  <c r="W982" i="16"/>
  <c r="CV982" i="16" s="1"/>
  <c r="T2070" i="16" l="1"/>
  <c r="AF2070" i="16"/>
  <c r="T982" i="16"/>
  <c r="AF982" i="16"/>
  <c r="X2071" i="16"/>
  <c r="V2072" i="16"/>
  <c r="W2071" i="16"/>
  <c r="X983" i="16"/>
  <c r="V984" i="16"/>
  <c r="W983" i="16"/>
  <c r="CV983" i="16" l="1"/>
  <c r="T983" i="16"/>
  <c r="AF983" i="16"/>
  <c r="T2071" i="16"/>
  <c r="AF2071" i="16"/>
  <c r="W2072" i="16"/>
  <c r="V2073" i="16"/>
  <c r="X2072" i="16"/>
  <c r="V985" i="16"/>
  <c r="W984" i="16"/>
  <c r="X984" i="16"/>
  <c r="CV984" i="16" l="1"/>
  <c r="T2072" i="16"/>
  <c r="AF2072" i="16"/>
  <c r="T984" i="16"/>
  <c r="AF984" i="16"/>
  <c r="V2074" i="16"/>
  <c r="W2073" i="16"/>
  <c r="X2073" i="16"/>
  <c r="W985" i="16"/>
  <c r="X985" i="16"/>
  <c r="V986" i="16"/>
  <c r="CV985" i="16" l="1"/>
  <c r="T2073" i="16"/>
  <c r="AF2073" i="16"/>
  <c r="AF985" i="16"/>
  <c r="T985" i="16"/>
  <c r="V2075" i="16"/>
  <c r="W2074" i="16"/>
  <c r="X2074" i="16"/>
  <c r="V987" i="16"/>
  <c r="W986" i="16"/>
  <c r="X986" i="16"/>
  <c r="CV986" i="16" l="1"/>
  <c r="T986" i="16"/>
  <c r="AF986" i="16"/>
  <c r="T2074" i="16"/>
  <c r="AF2074" i="16"/>
  <c r="V2076" i="16"/>
  <c r="X2075" i="16"/>
  <c r="W2075" i="16"/>
  <c r="X987" i="16"/>
  <c r="V988" i="16"/>
  <c r="W987" i="16"/>
  <c r="CV987" i="16" s="1"/>
  <c r="AF987" i="16" l="1"/>
  <c r="T987" i="16"/>
  <c r="T2075" i="16"/>
  <c r="AF2075" i="16"/>
  <c r="X2076" i="16"/>
  <c r="V2077" i="16"/>
  <c r="W2076" i="16"/>
  <c r="W988" i="16"/>
  <c r="V989" i="16"/>
  <c r="X988" i="16"/>
  <c r="CV988" i="16" l="1"/>
  <c r="AF988" i="16"/>
  <c r="T988" i="16"/>
  <c r="T2076" i="16"/>
  <c r="AF2076" i="16"/>
  <c r="V2078" i="16"/>
  <c r="X2077" i="16"/>
  <c r="W2077" i="16"/>
  <c r="W989" i="16"/>
  <c r="X989" i="16"/>
  <c r="V990" i="16"/>
  <c r="CV989" i="16" l="1"/>
  <c r="AF989" i="16"/>
  <c r="T989" i="16"/>
  <c r="T2077" i="16"/>
  <c r="AF2077" i="16"/>
  <c r="V2079" i="16"/>
  <c r="X2078" i="16"/>
  <c r="W2078" i="16"/>
  <c r="W990" i="16"/>
  <c r="CV990" i="16" s="1"/>
  <c r="X990" i="16"/>
  <c r="V991" i="16"/>
  <c r="T2078" i="16" l="1"/>
  <c r="AF2078" i="16"/>
  <c r="T990" i="16"/>
  <c r="AF990" i="16"/>
  <c r="X2079" i="16"/>
  <c r="V2080" i="16"/>
  <c r="W2079" i="16"/>
  <c r="W991" i="16"/>
  <c r="X991" i="16"/>
  <c r="V992" i="16"/>
  <c r="CV991" i="16" l="1"/>
  <c r="T991" i="16"/>
  <c r="AF991" i="16"/>
  <c r="T2079" i="16"/>
  <c r="AF2079" i="16"/>
  <c r="W2080" i="16"/>
  <c r="V2081" i="16"/>
  <c r="X2080" i="16"/>
  <c r="W992" i="16"/>
  <c r="X992" i="16"/>
  <c r="V993" i="16"/>
  <c r="CV992" i="16" l="1"/>
  <c r="T992" i="16"/>
  <c r="AF992" i="16"/>
  <c r="AF2080" i="16"/>
  <c r="T2080" i="16"/>
  <c r="V2082" i="16"/>
  <c r="X2081" i="16"/>
  <c r="W2081" i="16"/>
  <c r="X993" i="16"/>
  <c r="W993" i="16"/>
  <c r="V994" i="16"/>
  <c r="CV993" i="16" l="1"/>
  <c r="AF2081" i="16"/>
  <c r="T2081" i="16"/>
  <c r="AF993" i="16"/>
  <c r="T993" i="16"/>
  <c r="V2083" i="16"/>
  <c r="X2082" i="16"/>
  <c r="W2082" i="16"/>
  <c r="W994" i="16"/>
  <c r="X994" i="16"/>
  <c r="V995" i="16"/>
  <c r="CV994" i="16" l="1"/>
  <c r="AF994" i="16"/>
  <c r="T994" i="16"/>
  <c r="AF2082" i="16"/>
  <c r="T2082" i="16"/>
  <c r="V2084" i="16"/>
  <c r="X2083" i="16"/>
  <c r="W2083" i="16"/>
  <c r="V996" i="16"/>
  <c r="W995" i="16"/>
  <c r="X995" i="16"/>
  <c r="CV995" i="16" l="1"/>
  <c r="T995" i="16"/>
  <c r="AF995" i="16"/>
  <c r="AF2083" i="16"/>
  <c r="T2083" i="16"/>
  <c r="X2084" i="16"/>
  <c r="V2085" i="16"/>
  <c r="W2084" i="16"/>
  <c r="V997" i="16"/>
  <c r="W996" i="16"/>
  <c r="X996" i="16"/>
  <c r="CV996" i="16" l="1"/>
  <c r="T996" i="16"/>
  <c r="AF996" i="16"/>
  <c r="AF2084" i="16"/>
  <c r="T2084" i="16"/>
  <c r="W2085" i="16"/>
  <c r="V2086" i="16"/>
  <c r="X2085" i="16"/>
  <c r="W997" i="16"/>
  <c r="CV997" i="16" s="1"/>
  <c r="X997" i="16"/>
  <c r="V998" i="16"/>
  <c r="AF2085" i="16" l="1"/>
  <c r="T2085" i="16"/>
  <c r="AF997" i="16"/>
  <c r="T997" i="16"/>
  <c r="V2087" i="16"/>
  <c r="X2086" i="16"/>
  <c r="W2086" i="16"/>
  <c r="V999" i="16"/>
  <c r="W998" i="16"/>
  <c r="X998" i="16"/>
  <c r="CV998" i="16" l="1"/>
  <c r="T998" i="16"/>
  <c r="AF998" i="16"/>
  <c r="AF2086" i="16"/>
  <c r="T2086" i="16"/>
  <c r="X2087" i="16"/>
  <c r="V2088" i="16"/>
  <c r="W2087" i="16"/>
  <c r="V1000" i="16"/>
  <c r="X999" i="16"/>
  <c r="W999" i="16"/>
  <c r="CV999" i="16" s="1"/>
  <c r="AF2087" i="16" l="1"/>
  <c r="T2087" i="16"/>
  <c r="AF999" i="16"/>
  <c r="T999" i="16"/>
  <c r="V2089" i="16"/>
  <c r="X2088" i="16"/>
  <c r="W2088" i="16"/>
  <c r="W1000" i="16"/>
  <c r="CV1000" i="16" s="1"/>
  <c r="X1000" i="16"/>
  <c r="V1001" i="16"/>
  <c r="AF2088" i="16" l="1"/>
  <c r="T2088" i="16"/>
  <c r="T1000" i="16"/>
  <c r="AF1000" i="16"/>
  <c r="V2090" i="16"/>
  <c r="X2089" i="16"/>
  <c r="W2089" i="16"/>
  <c r="V1002" i="16"/>
  <c r="X1001" i="16"/>
  <c r="W1001" i="16"/>
  <c r="CV1001" i="16" s="1"/>
  <c r="AF1001" i="16" l="1"/>
  <c r="T1001" i="16"/>
  <c r="AF2089" i="16"/>
  <c r="T2089" i="16"/>
  <c r="V2091" i="16"/>
  <c r="X2090" i="16"/>
  <c r="W2090" i="16"/>
  <c r="W1002" i="16"/>
  <c r="X1002" i="16"/>
  <c r="V1003" i="16"/>
  <c r="CV1002" i="16" l="1"/>
  <c r="T2090" i="16"/>
  <c r="AF2090" i="16"/>
  <c r="AF1002" i="16"/>
  <c r="T1002" i="16"/>
  <c r="W2091" i="16"/>
  <c r="V2092" i="16"/>
  <c r="X2091" i="16"/>
  <c r="W1003" i="16"/>
  <c r="X1003" i="16"/>
  <c r="V1004" i="16"/>
  <c r="CV1003" i="16" l="1"/>
  <c r="T1003" i="16"/>
  <c r="AF1003" i="16"/>
  <c r="T2091" i="16"/>
  <c r="AF2091" i="16"/>
  <c r="X2092" i="16"/>
  <c r="W2092" i="16"/>
  <c r="V2093" i="16"/>
  <c r="W1004" i="16"/>
  <c r="V1005" i="16"/>
  <c r="X1004" i="16"/>
  <c r="CV1004" i="16" l="1"/>
  <c r="AF2092" i="16"/>
  <c r="T2092" i="16"/>
  <c r="T1004" i="16"/>
  <c r="AF1004" i="16"/>
  <c r="X2093" i="16"/>
  <c r="W2093" i="16"/>
  <c r="V2094" i="16"/>
  <c r="W1005" i="16"/>
  <c r="X1005" i="16"/>
  <c r="V1006" i="16"/>
  <c r="CV1005" i="16" l="1"/>
  <c r="T1005" i="16"/>
  <c r="AF1005" i="16"/>
  <c r="AF2093" i="16"/>
  <c r="T2093" i="16"/>
  <c r="V2095" i="16"/>
  <c r="X2094" i="16"/>
  <c r="W2094" i="16"/>
  <c r="V1007" i="16"/>
  <c r="W1006" i="16"/>
  <c r="X1006" i="16"/>
  <c r="CV1006" i="16" l="1"/>
  <c r="AF2094" i="16"/>
  <c r="T2094" i="16"/>
  <c r="T1006" i="16"/>
  <c r="AF1006" i="16"/>
  <c r="X2095" i="16"/>
  <c r="V2096" i="16"/>
  <c r="W2095" i="16"/>
  <c r="X1007" i="16"/>
  <c r="V1008" i="16"/>
  <c r="W1007" i="16"/>
  <c r="CV1007" i="16" s="1"/>
  <c r="AF1007" i="16" l="1"/>
  <c r="T1007" i="16"/>
  <c r="AF2095" i="16"/>
  <c r="T2095" i="16"/>
  <c r="V2097" i="16"/>
  <c r="X2096" i="16"/>
  <c r="W2096" i="16"/>
  <c r="W1008" i="16"/>
  <c r="X1008" i="16"/>
  <c r="V1009" i="16"/>
  <c r="CV1008" i="16" l="1"/>
  <c r="AF1008" i="16"/>
  <c r="T1008" i="16"/>
  <c r="AF2096" i="16"/>
  <c r="T2096" i="16"/>
  <c r="V2098" i="16"/>
  <c r="W2097" i="16"/>
  <c r="X2097" i="16"/>
  <c r="W1009" i="16"/>
  <c r="CV1009" i="16" s="1"/>
  <c r="X1009" i="16"/>
  <c r="V1010" i="16"/>
  <c r="AF1009" i="16" l="1"/>
  <c r="T1009" i="16"/>
  <c r="AF2097" i="16"/>
  <c r="T2097" i="16"/>
  <c r="V2099" i="16"/>
  <c r="X2098" i="16"/>
  <c r="W2098" i="16"/>
  <c r="W1010" i="16"/>
  <c r="V1011" i="16"/>
  <c r="X1010" i="16"/>
  <c r="CV1010" i="16" l="1"/>
  <c r="AF1010" i="16"/>
  <c r="T1010" i="16"/>
  <c r="AF2098" i="16"/>
  <c r="T2098" i="16"/>
  <c r="X2099" i="16"/>
  <c r="W2099" i="16"/>
  <c r="V2100" i="16"/>
  <c r="X1011" i="16"/>
  <c r="V1012" i="16"/>
  <c r="W1011" i="16"/>
  <c r="CV1011" i="16" s="1"/>
  <c r="T1011" i="16" l="1"/>
  <c r="AF1011" i="16"/>
  <c r="AF2099" i="16"/>
  <c r="T2099" i="16"/>
  <c r="X2100" i="16"/>
  <c r="V2101" i="16"/>
  <c r="W2100" i="16"/>
  <c r="W1012" i="16"/>
  <c r="V1013" i="16"/>
  <c r="X1012" i="16"/>
  <c r="CV1012" i="16" l="1"/>
  <c r="AF1012" i="16"/>
  <c r="T1012" i="16"/>
  <c r="AF2100" i="16"/>
  <c r="T2100" i="16"/>
  <c r="V2102" i="16"/>
  <c r="X2101" i="16"/>
  <c r="W2101" i="16"/>
  <c r="X1013" i="16"/>
  <c r="V1014" i="16"/>
  <c r="W1013" i="16"/>
  <c r="CV1013" i="16" s="1"/>
  <c r="AF1013" i="16" l="1"/>
  <c r="T1013" i="16"/>
  <c r="AF2101" i="16"/>
  <c r="T2101" i="16"/>
  <c r="V2103" i="16"/>
  <c r="X2102" i="16"/>
  <c r="W2102" i="16"/>
  <c r="W1014" i="16"/>
  <c r="X1014" i="16"/>
  <c r="V1015" i="16"/>
  <c r="CV1014" i="16" l="1"/>
  <c r="AF1014" i="16"/>
  <c r="T1014" i="16"/>
  <c r="AF2102" i="16"/>
  <c r="T2102" i="16"/>
  <c r="X2103" i="16"/>
  <c r="W2103" i="16"/>
  <c r="V2104" i="16"/>
  <c r="W1015" i="16"/>
  <c r="V1016" i="16"/>
  <c r="X1015" i="16"/>
  <c r="CV1015" i="16" l="1"/>
  <c r="AF1015" i="16"/>
  <c r="T1015" i="16"/>
  <c r="AF2103" i="16"/>
  <c r="T2103" i="16"/>
  <c r="X2104" i="16"/>
  <c r="W2104" i="16"/>
  <c r="V2105" i="16"/>
  <c r="W1016" i="16"/>
  <c r="X1016" i="16"/>
  <c r="V1017" i="16"/>
  <c r="CV1016" i="16" l="1"/>
  <c r="AF1016" i="16"/>
  <c r="T1016" i="16"/>
  <c r="AF2104" i="16"/>
  <c r="T2104" i="16"/>
  <c r="V2106" i="16"/>
  <c r="X2105" i="16"/>
  <c r="W2105" i="16"/>
  <c r="W1017" i="16"/>
  <c r="X1017" i="16"/>
  <c r="V1018" i="16"/>
  <c r="CV1017" i="16" l="1"/>
  <c r="T1017" i="16"/>
  <c r="AF1017" i="16"/>
  <c r="AF2105" i="16"/>
  <c r="T2105" i="16"/>
  <c r="X2106" i="16"/>
  <c r="V2107" i="16"/>
  <c r="W2106" i="16"/>
  <c r="V1019" i="16"/>
  <c r="W1018" i="16"/>
  <c r="X1018" i="16"/>
  <c r="CV1018" i="16" l="1"/>
  <c r="AF1018" i="16"/>
  <c r="T1018" i="16"/>
  <c r="AF2106" i="16"/>
  <c r="T2106" i="16"/>
  <c r="V2108" i="16"/>
  <c r="X2107" i="16"/>
  <c r="W2107" i="16"/>
  <c r="W1019" i="16"/>
  <c r="X1019" i="16"/>
  <c r="V1020" i="16"/>
  <c r="CV1019" i="16" l="1"/>
  <c r="AF1019" i="16"/>
  <c r="T1019" i="16"/>
  <c r="AF2107" i="16"/>
  <c r="T2107" i="16"/>
  <c r="X2108" i="16"/>
  <c r="V2109" i="16"/>
  <c r="W2108" i="16"/>
  <c r="V1021" i="16"/>
  <c r="X1020" i="16"/>
  <c r="W1020" i="16"/>
  <c r="CV1020" i="16" l="1"/>
  <c r="AF2108" i="16"/>
  <c r="T2108" i="16"/>
  <c r="AF1020" i="16"/>
  <c r="T1020" i="16"/>
  <c r="X2109" i="16"/>
  <c r="W2109" i="16"/>
  <c r="V2110" i="16"/>
  <c r="W1021" i="16"/>
  <c r="CV1021" i="16" s="1"/>
  <c r="X1021" i="16"/>
  <c r="V1022" i="16"/>
  <c r="AF2109" i="16" l="1"/>
  <c r="T2109" i="16"/>
  <c r="T1021" i="16"/>
  <c r="AF1021" i="16"/>
  <c r="V2111" i="16"/>
  <c r="X2110" i="16"/>
  <c r="W2110" i="16"/>
  <c r="W1022" i="16"/>
  <c r="V1023" i="16"/>
  <c r="X1022" i="16"/>
  <c r="CV1022" i="16" l="1"/>
  <c r="AF2110" i="16"/>
  <c r="T2110" i="16"/>
  <c r="T1022" i="16"/>
  <c r="AF1022" i="16"/>
  <c r="X2111" i="16"/>
  <c r="V2112" i="16"/>
  <c r="W2111" i="16"/>
  <c r="X1023" i="16"/>
  <c r="V1024" i="16"/>
  <c r="W1023" i="16"/>
  <c r="CV1023" i="16" s="1"/>
  <c r="AF1023" i="16" l="1"/>
  <c r="T1023" i="16"/>
  <c r="AF2111" i="16"/>
  <c r="T2111" i="16"/>
  <c r="X2112" i="16"/>
  <c r="W2112" i="16"/>
  <c r="V2113" i="16"/>
  <c r="V1025" i="16"/>
  <c r="W1024" i="16"/>
  <c r="X1024" i="16"/>
  <c r="CV1024" i="16" l="1"/>
  <c r="AF1024" i="16"/>
  <c r="T1024" i="16"/>
  <c r="AF2112" i="16"/>
  <c r="T2112" i="16"/>
  <c r="V2114" i="16"/>
  <c r="X2113" i="16"/>
  <c r="W2113" i="16"/>
  <c r="V1026" i="16"/>
  <c r="W1025" i="16"/>
  <c r="CV1025" i="16" s="1"/>
  <c r="X1025" i="16"/>
  <c r="T1025" i="16" l="1"/>
  <c r="AF1025" i="16"/>
  <c r="AF2113" i="16"/>
  <c r="T2113" i="16"/>
  <c r="V2115" i="16"/>
  <c r="W2114" i="16"/>
  <c r="X2114" i="16"/>
  <c r="W1026" i="16"/>
  <c r="CV1026" i="16" s="1"/>
  <c r="X1026" i="16"/>
  <c r="V1027" i="16"/>
  <c r="T2114" i="16" l="1"/>
  <c r="AF2114" i="16"/>
  <c r="AF1026" i="16"/>
  <c r="T1026" i="16"/>
  <c r="V2116" i="16"/>
  <c r="X2115" i="16"/>
  <c r="W2115" i="16"/>
  <c r="W1027" i="16"/>
  <c r="CV1027" i="16" s="1"/>
  <c r="X1027" i="16"/>
  <c r="V1028" i="16"/>
  <c r="AF1027" i="16" l="1"/>
  <c r="T1027" i="16"/>
  <c r="T2115" i="16"/>
  <c r="AF2115" i="16"/>
  <c r="X2116" i="16"/>
  <c r="V2117" i="16"/>
  <c r="W2116" i="16"/>
  <c r="W1028" i="16"/>
  <c r="V1029" i="16"/>
  <c r="X1028" i="16"/>
  <c r="CV1028" i="16" l="1"/>
  <c r="AF1028" i="16"/>
  <c r="T1028" i="16"/>
  <c r="T2116" i="16"/>
  <c r="AF2116" i="16"/>
  <c r="V2118" i="16"/>
  <c r="X2117" i="16"/>
  <c r="W2117" i="16"/>
  <c r="V1030" i="16"/>
  <c r="W1029" i="16"/>
  <c r="CV1029" i="16" s="1"/>
  <c r="X1029" i="16"/>
  <c r="T1029" i="16" l="1"/>
  <c r="AF1029" i="16"/>
  <c r="T2117" i="16"/>
  <c r="AF2117" i="16"/>
  <c r="V2119" i="16"/>
  <c r="X2118" i="16"/>
  <c r="W2118" i="16"/>
  <c r="W1030" i="16"/>
  <c r="CV1030" i="16" s="1"/>
  <c r="X1030" i="16"/>
  <c r="V1031" i="16"/>
  <c r="AF1030" i="16" l="1"/>
  <c r="T1030" i="16"/>
  <c r="T2118" i="16"/>
  <c r="AF2118" i="16"/>
  <c r="X2119" i="16"/>
  <c r="V2120" i="16"/>
  <c r="W2119" i="16"/>
  <c r="X1031" i="16"/>
  <c r="W1031" i="16"/>
  <c r="CV1031" i="16" s="1"/>
  <c r="V1032" i="16"/>
  <c r="T2119" i="16" l="1"/>
  <c r="AF2119" i="16"/>
  <c r="T1031" i="16"/>
  <c r="AF1031" i="16"/>
  <c r="X2120" i="16"/>
  <c r="W2120" i="16"/>
  <c r="V2121" i="16"/>
  <c r="V1033" i="16"/>
  <c r="X1032" i="16"/>
  <c r="W1032" i="16"/>
  <c r="CV1032" i="16" s="1"/>
  <c r="AF1032" i="16" l="1"/>
  <c r="T1032" i="16"/>
  <c r="AF2120" i="16"/>
  <c r="T2120" i="16"/>
  <c r="V2122" i="16"/>
  <c r="W2121" i="16"/>
  <c r="X2121" i="16"/>
  <c r="V1034" i="16"/>
  <c r="W1033" i="16"/>
  <c r="CV1033" i="16" s="1"/>
  <c r="X1033" i="16"/>
  <c r="AF1033" i="16" l="1"/>
  <c r="T1033" i="16"/>
  <c r="AF2121" i="16"/>
  <c r="T2121" i="16"/>
  <c r="V2123" i="16"/>
  <c r="X2122" i="16"/>
  <c r="W2122" i="16"/>
  <c r="W1034" i="16"/>
  <c r="X1034" i="16"/>
  <c r="V1035" i="16"/>
  <c r="CV1034" i="16" l="1"/>
  <c r="AF1034" i="16"/>
  <c r="T1034" i="16"/>
  <c r="T2122" i="16"/>
  <c r="AF2122" i="16"/>
  <c r="V2124" i="16"/>
  <c r="X2123" i="16"/>
  <c r="W2123" i="16"/>
  <c r="X1035" i="16"/>
  <c r="V1036" i="16"/>
  <c r="W1035" i="16"/>
  <c r="CV1035" i="16" s="1"/>
  <c r="AF2123" i="16" l="1"/>
  <c r="T2123" i="16"/>
  <c r="AF1035" i="16"/>
  <c r="T1035" i="16"/>
  <c r="X2124" i="16"/>
  <c r="W2124" i="16"/>
  <c r="V2125" i="16"/>
  <c r="W1036" i="16"/>
  <c r="X1036" i="16"/>
  <c r="V1037" i="16"/>
  <c r="CV1036" i="16" l="1"/>
  <c r="AF1036" i="16"/>
  <c r="T1036" i="16"/>
  <c r="AF2124" i="16"/>
  <c r="T2124" i="16"/>
  <c r="V2126" i="16"/>
  <c r="X2125" i="16"/>
  <c r="W2125" i="16"/>
  <c r="X1037" i="16"/>
  <c r="W1037" i="16"/>
  <c r="V1038" i="16"/>
  <c r="CV1037" i="16" l="1"/>
  <c r="T1037" i="16"/>
  <c r="AF1037" i="16"/>
  <c r="AF2125" i="16"/>
  <c r="T2125" i="16"/>
  <c r="V2127" i="16"/>
  <c r="X2126" i="16"/>
  <c r="W2126" i="16"/>
  <c r="V1039" i="16"/>
  <c r="W1038" i="16"/>
  <c r="X1038" i="16"/>
  <c r="CV1038" i="16" l="1"/>
  <c r="T1038" i="16"/>
  <c r="AF1038" i="16"/>
  <c r="AF2126" i="16"/>
  <c r="T2126" i="16"/>
  <c r="X2127" i="16"/>
  <c r="V2128" i="16"/>
  <c r="W2127" i="16"/>
  <c r="V1040" i="16"/>
  <c r="W1039" i="16"/>
  <c r="X1039" i="16"/>
  <c r="CV1039" i="16" l="1"/>
  <c r="AF2127" i="16"/>
  <c r="T2127" i="16"/>
  <c r="T1039" i="16"/>
  <c r="AF1039" i="16"/>
  <c r="V2129" i="16"/>
  <c r="X2128" i="16"/>
  <c r="W2128" i="16"/>
  <c r="W1040" i="16"/>
  <c r="X1040" i="16"/>
  <c r="V1041" i="16"/>
  <c r="CV1040" i="16" l="1"/>
  <c r="AF2128" i="16"/>
  <c r="T2128" i="16"/>
  <c r="AF1040" i="16"/>
  <c r="T1040" i="16"/>
  <c r="V2130" i="16"/>
  <c r="X2129" i="16"/>
  <c r="W2129" i="16"/>
  <c r="W1041" i="16"/>
  <c r="X1041" i="16"/>
  <c r="V1042" i="16"/>
  <c r="CV1041" i="16" l="1"/>
  <c r="AF2129" i="16"/>
  <c r="T2129" i="16"/>
  <c r="AF1041" i="16"/>
  <c r="T1041" i="16"/>
  <c r="W2130" i="16"/>
  <c r="V2131" i="16"/>
  <c r="X2130" i="16"/>
  <c r="X1042" i="16"/>
  <c r="W1042" i="16"/>
  <c r="V1043" i="16"/>
  <c r="CV1042" i="16" l="1"/>
  <c r="AF2130" i="16"/>
  <c r="T2130" i="16"/>
  <c r="T1042" i="16"/>
  <c r="AF1042" i="16"/>
  <c r="V2132" i="16"/>
  <c r="X2131" i="16"/>
  <c r="W2131" i="16"/>
  <c r="V1044" i="16"/>
  <c r="X1043" i="16"/>
  <c r="W1043" i="16"/>
  <c r="CV1043" i="16" s="1"/>
  <c r="AF1043" i="16" l="1"/>
  <c r="T1043" i="16"/>
  <c r="AF2131" i="16"/>
  <c r="T2131" i="16"/>
  <c r="X2132" i="16"/>
  <c r="V2133" i="16"/>
  <c r="W2132" i="16"/>
  <c r="V1045" i="16"/>
  <c r="X1044" i="16"/>
  <c r="W1044" i="16"/>
  <c r="CV1044" i="16" s="1"/>
  <c r="AF1044" i="16" l="1"/>
  <c r="T1044" i="16"/>
  <c r="AF2132" i="16"/>
  <c r="T2132" i="16"/>
  <c r="V2134" i="16"/>
  <c r="X2133" i="16"/>
  <c r="W2133" i="16"/>
  <c r="W1045" i="16"/>
  <c r="CV1045" i="16" s="1"/>
  <c r="X1045" i="16"/>
  <c r="V1046" i="16"/>
  <c r="T1045" i="16" l="1"/>
  <c r="AF1045" i="16"/>
  <c r="AF2133" i="16"/>
  <c r="T2133" i="16"/>
  <c r="V2135" i="16"/>
  <c r="X2134" i="16"/>
  <c r="W2134" i="16"/>
  <c r="W1046" i="16"/>
  <c r="X1046" i="16"/>
  <c r="V1047" i="16"/>
  <c r="CV1046" i="16" l="1"/>
  <c r="AF1046" i="16"/>
  <c r="T1046" i="16"/>
  <c r="AF2134" i="16"/>
  <c r="T2134" i="16"/>
  <c r="X2135" i="16"/>
  <c r="V2136" i="16"/>
  <c r="W2135" i="16"/>
  <c r="X1047" i="16"/>
  <c r="W1047" i="16"/>
  <c r="CV1047" i="16" s="1"/>
  <c r="V1048" i="16"/>
  <c r="AF1047" i="16" l="1"/>
  <c r="T1047" i="16"/>
  <c r="AF2135" i="16"/>
  <c r="T2135" i="16"/>
  <c r="V2137" i="16"/>
  <c r="X2136" i="16"/>
  <c r="W2136" i="16"/>
  <c r="X1048" i="16"/>
  <c r="W1048" i="16"/>
  <c r="CV1048" i="16" s="1"/>
  <c r="V1049" i="16"/>
  <c r="AF2136" i="16" l="1"/>
  <c r="T2136" i="16"/>
  <c r="T1048" i="16"/>
  <c r="AF1048" i="16"/>
  <c r="X2137" i="16"/>
  <c r="W2137" i="16"/>
  <c r="V2138" i="16"/>
  <c r="V1050" i="16"/>
  <c r="W1049" i="16"/>
  <c r="X1049" i="16"/>
  <c r="CV1049" i="16" l="1"/>
  <c r="AF1049" i="16"/>
  <c r="T1049" i="16"/>
  <c r="AF2137" i="16"/>
  <c r="T2137" i="16"/>
  <c r="V2139" i="16"/>
  <c r="X2138" i="16"/>
  <c r="W2138" i="16"/>
  <c r="W1050" i="16"/>
  <c r="X1050" i="16"/>
  <c r="V1051" i="16"/>
  <c r="CV1050" i="16" l="1"/>
  <c r="AF1050" i="16"/>
  <c r="T1050" i="16"/>
  <c r="AF2138" i="16"/>
  <c r="T2138" i="16"/>
  <c r="V2140" i="16"/>
  <c r="X2139" i="16"/>
  <c r="W2139" i="16"/>
  <c r="V1052" i="16"/>
  <c r="X1051" i="16"/>
  <c r="W1051" i="16"/>
  <c r="CV1051" i="16" s="1"/>
  <c r="T1051" i="16" l="1"/>
  <c r="AF1051" i="16"/>
  <c r="AF2139" i="16"/>
  <c r="T2139" i="16"/>
  <c r="X2140" i="16"/>
  <c r="V2141" i="16"/>
  <c r="W2140" i="16"/>
  <c r="W1052" i="16"/>
  <c r="CV1052" i="16" s="1"/>
  <c r="X1052" i="16"/>
  <c r="V1053" i="16"/>
  <c r="AF2140" i="16" l="1"/>
  <c r="T2140" i="16"/>
  <c r="AF1052" i="16"/>
  <c r="T1052" i="16"/>
  <c r="V2142" i="16"/>
  <c r="X2141" i="16"/>
  <c r="W2141" i="16"/>
  <c r="W1053" i="16"/>
  <c r="X1053" i="16"/>
  <c r="V1054" i="16"/>
  <c r="CV1053" i="16" l="1"/>
  <c r="AF2141" i="16"/>
  <c r="T2141" i="16"/>
  <c r="T1053" i="16"/>
  <c r="AF1053" i="16"/>
  <c r="V2143" i="16"/>
  <c r="X2142" i="16"/>
  <c r="W2142" i="16"/>
  <c r="V1055" i="16"/>
  <c r="X1054" i="16"/>
  <c r="W1054" i="16"/>
  <c r="CV1054" i="16" s="1"/>
  <c r="AF1054" i="16" l="1"/>
  <c r="T1054" i="16"/>
  <c r="AF2142" i="16"/>
  <c r="T2142" i="16"/>
  <c r="X2143" i="16"/>
  <c r="V2144" i="16"/>
  <c r="W2143" i="16"/>
  <c r="W1055" i="16"/>
  <c r="X1055" i="16"/>
  <c r="V1056" i="16"/>
  <c r="CV1055" i="16" l="1"/>
  <c r="AF2143" i="16"/>
  <c r="T2143" i="16"/>
  <c r="T1055" i="16"/>
  <c r="AF1055" i="16"/>
  <c r="V2145" i="16"/>
  <c r="W2144" i="16"/>
  <c r="X2144" i="16"/>
  <c r="W1056" i="16"/>
  <c r="X1056" i="16"/>
  <c r="V1057" i="16"/>
  <c r="CV1056" i="16" l="1"/>
  <c r="T1056" i="16"/>
  <c r="AF1056" i="16"/>
  <c r="T2144" i="16"/>
  <c r="AF2144" i="16"/>
  <c r="V2146" i="16"/>
  <c r="X2145" i="16"/>
  <c r="W2145" i="16"/>
  <c r="V1058" i="16"/>
  <c r="W1057" i="16"/>
  <c r="X1057" i="16"/>
  <c r="CV1057" i="16" l="1"/>
  <c r="AF2145" i="16"/>
  <c r="T2145" i="16"/>
  <c r="T1057" i="16"/>
  <c r="AF1057" i="16"/>
  <c r="V2147" i="16"/>
  <c r="X2146" i="16"/>
  <c r="W2146" i="16"/>
  <c r="W1058" i="16"/>
  <c r="X1058" i="16"/>
  <c r="V1059" i="16"/>
  <c r="CV1058" i="16" l="1"/>
  <c r="AF2146" i="16"/>
  <c r="T2146" i="16"/>
  <c r="AF1058" i="16"/>
  <c r="T1058" i="16"/>
  <c r="V2148" i="16"/>
  <c r="X2147" i="16"/>
  <c r="W2147" i="16"/>
  <c r="X1059" i="16"/>
  <c r="V1060" i="16"/>
  <c r="W1059" i="16"/>
  <c r="CV1059" i="16" s="1"/>
  <c r="AF2147" i="16" l="1"/>
  <c r="T2147" i="16"/>
  <c r="T1059" i="16"/>
  <c r="AF1059" i="16"/>
  <c r="X2148" i="16"/>
  <c r="V2149" i="16"/>
  <c r="W2148" i="16"/>
  <c r="W1060" i="16"/>
  <c r="X1060" i="16"/>
  <c r="V1061" i="16"/>
  <c r="CV1060" i="16" l="1"/>
  <c r="AF1060" i="16"/>
  <c r="T1060" i="16"/>
  <c r="AF2148" i="16"/>
  <c r="T2148" i="16"/>
  <c r="V2150" i="16"/>
  <c r="X2149" i="16"/>
  <c r="W2149" i="16"/>
  <c r="W1061" i="16"/>
  <c r="X1061" i="16"/>
  <c r="V1062" i="16"/>
  <c r="CV1061" i="16" l="1"/>
  <c r="AF2149" i="16"/>
  <c r="T2149" i="16"/>
  <c r="AF1061" i="16"/>
  <c r="T1061" i="16"/>
  <c r="V2151" i="16"/>
  <c r="X2150" i="16"/>
  <c r="W2150" i="16"/>
  <c r="W1062" i="16"/>
  <c r="X1062" i="16"/>
  <c r="V1063" i="16"/>
  <c r="CV1062" i="16" l="1"/>
  <c r="AF1062" i="16"/>
  <c r="T1062" i="16"/>
  <c r="AF2150" i="16"/>
  <c r="T2150" i="16"/>
  <c r="X2151" i="16"/>
  <c r="W2151" i="16"/>
  <c r="V2152" i="16"/>
  <c r="V1064" i="16"/>
  <c r="X1063" i="16"/>
  <c r="W1063" i="16"/>
  <c r="CV1063" i="16" l="1"/>
  <c r="AF1063" i="16"/>
  <c r="T1063" i="16"/>
  <c r="T2151" i="16"/>
  <c r="AF2151" i="16"/>
  <c r="V2153" i="16"/>
  <c r="X2152" i="16"/>
  <c r="W2152" i="16"/>
  <c r="W1064" i="16"/>
  <c r="X1064" i="16"/>
  <c r="V1065" i="16"/>
  <c r="CV1064" i="16" l="1"/>
  <c r="T1064" i="16"/>
  <c r="AF1064" i="16"/>
  <c r="AF2152" i="16"/>
  <c r="T2152" i="16"/>
  <c r="W2153" i="16"/>
  <c r="V2154" i="16"/>
  <c r="X2153" i="16"/>
  <c r="W1065" i="16"/>
  <c r="CV1065" i="16" s="1"/>
  <c r="X1065" i="16"/>
  <c r="V1066" i="16"/>
  <c r="AF1065" i="16" l="1"/>
  <c r="T1065" i="16"/>
  <c r="AF2153" i="16"/>
  <c r="T2153" i="16"/>
  <c r="V2155" i="16"/>
  <c r="X2154" i="16"/>
  <c r="W2154" i="16"/>
  <c r="X1066" i="16"/>
  <c r="W1066" i="16"/>
  <c r="CV1066" i="16" s="1"/>
  <c r="V1067" i="16"/>
  <c r="T1066" i="16" l="1"/>
  <c r="AF1066" i="16"/>
  <c r="AF2154" i="16"/>
  <c r="T2154" i="16"/>
  <c r="V2156" i="16"/>
  <c r="X2155" i="16"/>
  <c r="W2155" i="16"/>
  <c r="W1067" i="16"/>
  <c r="X1067" i="16"/>
  <c r="V1068" i="16"/>
  <c r="CV1067" i="16" l="1"/>
  <c r="AF2155" i="16"/>
  <c r="T2155" i="16"/>
  <c r="AF1067" i="16"/>
  <c r="T1067" i="16"/>
  <c r="X2156" i="16"/>
  <c r="V2157" i="16"/>
  <c r="W2156" i="16"/>
  <c r="V1069" i="16"/>
  <c r="W1068" i="16"/>
  <c r="X1068" i="16"/>
  <c r="CV1068" i="16" l="1"/>
  <c r="AF1068" i="16"/>
  <c r="T1068" i="16"/>
  <c r="AF2156" i="16"/>
  <c r="T2156" i="16"/>
  <c r="V2158" i="16"/>
  <c r="X2157" i="16"/>
  <c r="W2157" i="16"/>
  <c r="W1069" i="16"/>
  <c r="X1069" i="16"/>
  <c r="V1070" i="16"/>
  <c r="CV1069" i="16" l="1"/>
  <c r="AF2157" i="16"/>
  <c r="T2157" i="16"/>
  <c r="AF1069" i="16"/>
  <c r="T1069" i="16"/>
  <c r="V2159" i="16"/>
  <c r="X2158" i="16"/>
  <c r="W2158" i="16"/>
  <c r="V1071" i="16"/>
  <c r="X1070" i="16"/>
  <c r="W1070" i="16"/>
  <c r="CV1070" i="16" s="1"/>
  <c r="AF1070" i="16" l="1"/>
  <c r="T1070" i="16"/>
  <c r="AF2158" i="16"/>
  <c r="T2158" i="16"/>
  <c r="X2159" i="16"/>
  <c r="W2159" i="16"/>
  <c r="V2160" i="16"/>
  <c r="W1071" i="16"/>
  <c r="X1071" i="16"/>
  <c r="V1072" i="16"/>
  <c r="CV1071" i="16" l="1"/>
  <c r="AF1071" i="16"/>
  <c r="T1071" i="16"/>
  <c r="AF2159" i="16"/>
  <c r="T2159" i="16"/>
  <c r="V2161" i="16"/>
  <c r="X2160" i="16"/>
  <c r="W2160" i="16"/>
  <c r="X1072" i="16"/>
  <c r="W1072" i="16"/>
  <c r="CV1072" i="16" s="1"/>
  <c r="V1073" i="16"/>
  <c r="AF1072" i="16" l="1"/>
  <c r="T1072" i="16"/>
  <c r="AF2160" i="16"/>
  <c r="T2160" i="16"/>
  <c r="X2161" i="16"/>
  <c r="W2161" i="16"/>
  <c r="V2162" i="16"/>
  <c r="V1074" i="16"/>
  <c r="W1073" i="16"/>
  <c r="CV1073" i="16" s="1"/>
  <c r="X1073" i="16"/>
  <c r="AF1073" i="16" l="1"/>
  <c r="T1073" i="16"/>
  <c r="AF2161" i="16"/>
  <c r="T2161" i="16"/>
  <c r="V2163" i="16"/>
  <c r="X2162" i="16"/>
  <c r="W2162" i="16"/>
  <c r="W1074" i="16"/>
  <c r="X1074" i="16"/>
  <c r="V1075" i="16"/>
  <c r="CV1074" i="16" l="1"/>
  <c r="AF1074" i="16"/>
  <c r="T1074" i="16"/>
  <c r="T2162" i="16"/>
  <c r="AF2162" i="16"/>
  <c r="V2164" i="16"/>
  <c r="X2163" i="16"/>
  <c r="W2163" i="16"/>
  <c r="W1075" i="16"/>
  <c r="V1076" i="16"/>
  <c r="X1075" i="16"/>
  <c r="CV1075" i="16" l="1"/>
  <c r="T1075" i="16"/>
  <c r="AF1075" i="16"/>
  <c r="T2163" i="16"/>
  <c r="AF2163" i="16"/>
  <c r="X2164" i="16"/>
  <c r="V2165" i="16"/>
  <c r="W2164" i="16"/>
  <c r="V1077" i="16"/>
  <c r="W1076" i="16"/>
  <c r="X1076" i="16"/>
  <c r="CV1076" i="16" l="1"/>
  <c r="AF1076" i="16"/>
  <c r="T1076" i="16"/>
  <c r="T2164" i="16"/>
  <c r="AF2164" i="16"/>
  <c r="X2165" i="16"/>
  <c r="W2165" i="16"/>
  <c r="V2166" i="16"/>
  <c r="W1077" i="16"/>
  <c r="X1077" i="16"/>
  <c r="V1078" i="16"/>
  <c r="CV1077" i="16" l="1"/>
  <c r="T2165" i="16"/>
  <c r="AF2165" i="16"/>
  <c r="AF1077" i="16"/>
  <c r="T1077" i="16"/>
  <c r="V2167" i="16"/>
  <c r="X2166" i="16"/>
  <c r="W2166" i="16"/>
  <c r="V1079" i="16"/>
  <c r="W1078" i="16"/>
  <c r="X1078" i="16"/>
  <c r="CV1078" i="16" l="1"/>
  <c r="T2166" i="16"/>
  <c r="AF2166" i="16"/>
  <c r="AF1078" i="16"/>
  <c r="T1078" i="16"/>
  <c r="X2167" i="16"/>
  <c r="W2167" i="16"/>
  <c r="V2168" i="16"/>
  <c r="W1079" i="16"/>
  <c r="X1079" i="16"/>
  <c r="V1080" i="16"/>
  <c r="CV1079" i="16" l="1"/>
  <c r="T2167" i="16"/>
  <c r="AF2167" i="16"/>
  <c r="T1079" i="16"/>
  <c r="AF1079" i="16"/>
  <c r="X2168" i="16"/>
  <c r="W2168" i="16"/>
  <c r="V2169" i="16"/>
  <c r="W1080" i="16"/>
  <c r="V1081" i="16"/>
  <c r="X1080" i="16"/>
  <c r="CV1080" i="16" l="1"/>
  <c r="T1080" i="16"/>
  <c r="AF1080" i="16"/>
  <c r="T2168" i="16"/>
  <c r="AF2168" i="16"/>
  <c r="V2170" i="16"/>
  <c r="X2169" i="16"/>
  <c r="W2169" i="16"/>
  <c r="V1082" i="16"/>
  <c r="W1081" i="16"/>
  <c r="X1081" i="16"/>
  <c r="CV1081" i="16" l="1"/>
  <c r="T1081" i="16"/>
  <c r="AF1081" i="16"/>
  <c r="T2169" i="16"/>
  <c r="AF2169" i="16"/>
  <c r="V2171" i="16"/>
  <c r="X2170" i="16"/>
  <c r="W2170" i="16"/>
  <c r="V1083" i="16"/>
  <c r="W1082" i="16"/>
  <c r="X1082" i="16"/>
  <c r="CV1082" i="16" l="1"/>
  <c r="AF1082" i="16"/>
  <c r="T1082" i="16"/>
  <c r="AF2170" i="16"/>
  <c r="T2170" i="16"/>
  <c r="X2171" i="16"/>
  <c r="W2171" i="16"/>
  <c r="V2172" i="16"/>
  <c r="X1083" i="16"/>
  <c r="V1084" i="16"/>
  <c r="W1083" i="16"/>
  <c r="CV1083" i="16" s="1"/>
  <c r="T1083" i="16" l="1"/>
  <c r="AF1083" i="16"/>
  <c r="AF2171" i="16"/>
  <c r="T2171" i="16"/>
  <c r="X2172" i="16"/>
  <c r="V2173" i="16"/>
  <c r="W2172" i="16"/>
  <c r="W1084" i="16"/>
  <c r="X1084" i="16"/>
  <c r="V1085" i="16"/>
  <c r="CV1084" i="16" l="1"/>
  <c r="T1084" i="16"/>
  <c r="AF1084" i="16"/>
  <c r="AF2172" i="16"/>
  <c r="T2172" i="16"/>
  <c r="V2174" i="16"/>
  <c r="X2173" i="16"/>
  <c r="W2173" i="16"/>
  <c r="W1085" i="16"/>
  <c r="X1085" i="16"/>
  <c r="V1086" i="16"/>
  <c r="CV1085" i="16" l="1"/>
  <c r="AF2173" i="16"/>
  <c r="T2173" i="16"/>
  <c r="AF1085" i="16"/>
  <c r="T1085" i="16"/>
  <c r="V2175" i="16"/>
  <c r="X2174" i="16"/>
  <c r="W2174" i="16"/>
  <c r="W1086" i="16"/>
  <c r="V1087" i="16"/>
  <c r="X1086" i="16"/>
  <c r="CV1086" i="16" l="1"/>
  <c r="AF1086" i="16"/>
  <c r="T1086" i="16"/>
  <c r="AF2174" i="16"/>
  <c r="T2174" i="16"/>
  <c r="X2175" i="16"/>
  <c r="W2175" i="16"/>
  <c r="V2176" i="16"/>
  <c r="V1088" i="16"/>
  <c r="W1087" i="16"/>
  <c r="X1087" i="16"/>
  <c r="CV1087" i="16" l="1"/>
  <c r="T1087" i="16"/>
  <c r="AF1087" i="16"/>
  <c r="AF2175" i="16"/>
  <c r="T2175" i="16"/>
  <c r="V2177" i="16"/>
  <c r="X2176" i="16"/>
  <c r="W2176" i="16"/>
  <c r="W1088" i="16"/>
  <c r="X1088" i="16"/>
  <c r="V1089" i="16"/>
  <c r="CV1088" i="16" l="1"/>
  <c r="AF2176" i="16"/>
  <c r="T2176" i="16"/>
  <c r="T1088" i="16"/>
  <c r="AF1088" i="16"/>
  <c r="V2178" i="16"/>
  <c r="X2177" i="16"/>
  <c r="W2177" i="16"/>
  <c r="W1089" i="16"/>
  <c r="V1090" i="16"/>
  <c r="X1089" i="16"/>
  <c r="CV1089" i="16" l="1"/>
  <c r="AF2177" i="16"/>
  <c r="T2177" i="16"/>
  <c r="T1089" i="16"/>
  <c r="AF1089" i="16"/>
  <c r="W2178" i="16"/>
  <c r="V2179" i="16"/>
  <c r="X2178" i="16"/>
  <c r="W1090" i="16"/>
  <c r="X1090" i="16"/>
  <c r="V1091" i="16"/>
  <c r="CV1090" i="16" l="1"/>
  <c r="AF2178" i="16"/>
  <c r="T2178" i="16"/>
  <c r="T1090" i="16"/>
  <c r="AF1090" i="16"/>
  <c r="V2180" i="16"/>
  <c r="X2179" i="16"/>
  <c r="W2179" i="16"/>
  <c r="W1091" i="16"/>
  <c r="X1091" i="16"/>
  <c r="V1092" i="16"/>
  <c r="CV1091" i="16" l="1"/>
  <c r="AF2179" i="16"/>
  <c r="T2179" i="16"/>
  <c r="T1091" i="16"/>
  <c r="AF1091" i="16"/>
  <c r="X2180" i="16"/>
  <c r="V2181" i="16"/>
  <c r="W2180" i="16"/>
  <c r="V1093" i="16"/>
  <c r="W1092" i="16"/>
  <c r="CV1092" i="16" s="1"/>
  <c r="X1092" i="16"/>
  <c r="T1092" i="16" l="1"/>
  <c r="AF1092" i="16"/>
  <c r="AF2180" i="16"/>
  <c r="T2180" i="16"/>
  <c r="V2182" i="16"/>
  <c r="X2181" i="16"/>
  <c r="W2181" i="16"/>
  <c r="W1093" i="16"/>
  <c r="X1093" i="16"/>
  <c r="V1094" i="16"/>
  <c r="CV1093" i="16" l="1"/>
  <c r="AF2181" i="16"/>
  <c r="T2181" i="16"/>
  <c r="AF1093" i="16"/>
  <c r="T1093" i="16"/>
  <c r="V2183" i="16"/>
  <c r="X2182" i="16"/>
  <c r="W2182" i="16"/>
  <c r="W1094" i="16"/>
  <c r="X1094" i="16"/>
  <c r="CV1094" i="16" l="1"/>
  <c r="AF2182" i="16"/>
  <c r="T2182" i="16"/>
  <c r="T1094" i="16"/>
  <c r="AF1094" i="16"/>
  <c r="X2183" i="16"/>
  <c r="W2183" i="16"/>
  <c r="AF2183" i="16" l="1"/>
  <c r="T2183" i="16"/>
  <c r="AE1" i="16" l="1"/>
  <c r="S1" i="16"/>
  <c r="CA93" i="14"/>
  <c r="CF91" i="14"/>
  <c r="CH12" i="14" s="1" a="1"/>
  <c r="CH12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tc={9F5E5579-95A9-6648-B49A-BDB960BB7384}</author>
  </authors>
  <commentList>
    <comment ref="BQ86" authorId="0" shapeId="0" xr:uid="{9F5E5579-95A9-6648-B49A-BDB960BB7384}">
      <text>
        <t>[Threaded comment]
Your version of Excel allows you to read this threaded comment; however, any edits to it will get removed if the file is opened in a newer version of Excel. Learn more: https://go.microsoft.com/fwlink/?linkid=870924
Comment:
    Emirati labour is supplied exclusively by the Emirati household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tc={E27B2A01-F1EF-C345-8890-2DD2DEC8A5B1}</author>
    <author>tc={C8DFCD15-4416-4438-90D2-AE8FA91C046C}</author>
  </authors>
  <commentList>
    <comment ref="AE17" authorId="0" shapeId="0" xr:uid="{E27B2A01-F1EF-C345-8890-2DD2DEC8A5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wage share increased for  Emirati labor </t>
      </text>
    </comment>
    <comment ref="BQ348" authorId="1" shapeId="0" xr:uid="{C8DFCD15-4416-4438-90D2-AE8FA91C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Emirati labour is supplied exclusively by the Emirati household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tc={3DAEFA00-6A91-F542-957F-7CA992E45330}</author>
    <author>tc={E22CAE1B-E0CA-5947-9A26-5738A68D519E}</author>
  </authors>
  <commentList>
    <comment ref="E9" authorId="0" shapeId="0" xr:uid="{3DAEFA00-6A91-F542-957F-7CA992E45330}">
      <text>
        <t>[Threaded comment]
Your version of Excel allows you to read this threaded comment; however, any edits to it will get removed if the file is opened in a newer version of Excel. Learn more: https://go.microsoft.com/fwlink/?linkid=870924
Comment:
    DSC_LFS_2019_05_02</t>
      </text>
    </comment>
    <comment ref="H27" authorId="1" shapeId="0" xr:uid="{E22CAE1B-E0CA-5947-9A26-5738A68D519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https://www.dsc.gov.ae/en-us/Themes/Pages/National-Accounts.aspx?Theme=24&amp;year=2022#DSC_Tab1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<sst xmlns="http://schemas.openxmlformats.org/spreadsheetml/2006/main" count="35355" uniqueCount="612">
  <si>
    <t>https://www.dsc.gov.ae/Report/DSC_SYB_2022_01_06.pdf</t>
  </si>
  <si>
    <t>https://www.dsc.gov.ae/Report/DSC_SYB_2024_01_06.pdf</t>
  </si>
  <si>
    <t>Households and Residential Combines by Selected Characteristics - Emirate of Dubai</t>
  </si>
  <si>
    <t>Source:</t>
  </si>
  <si>
    <t>Households</t>
  </si>
  <si>
    <t># households</t>
  </si>
  <si>
    <t># individuals</t>
  </si>
  <si>
    <t>Average size</t>
  </si>
  <si>
    <t>Residential Combines</t>
  </si>
  <si>
    <t># combines</t>
  </si>
  <si>
    <t>Calculated hh size</t>
  </si>
  <si>
    <t>Calculated combine size</t>
  </si>
  <si>
    <t>Population by nationality</t>
  </si>
  <si>
    <t>Emirati</t>
  </si>
  <si>
    <t>Non-emirati</t>
  </si>
  <si>
    <t>Labour force status by nationality, %</t>
  </si>
  <si>
    <t>Emirati - in labour force, %</t>
  </si>
  <si>
    <t>Non-emirati - in labour force, %</t>
  </si>
  <si>
    <t>Emirati - employment rate, %</t>
  </si>
  <si>
    <t>Non-emirati - employment rate, %</t>
  </si>
  <si>
    <t>Labour stock by nationality</t>
  </si>
  <si>
    <t>Data</t>
  </si>
  <si>
    <t>Economic Activities</t>
  </si>
  <si>
    <t>N-Administrative and support service activities</t>
  </si>
  <si>
    <t>F-Construction</t>
  </si>
  <si>
    <t>K-Financial and insurance activities</t>
  </si>
  <si>
    <t>G-Wholesale and retail trade; repair of motor vehicles and motorcycles</t>
  </si>
  <si>
    <t>C-Manufacturing</t>
  </si>
  <si>
    <t>M-Professional, scientific and technical activities</t>
  </si>
  <si>
    <t>P-Education</t>
  </si>
  <si>
    <t>Q-Human health and social work activities</t>
  </si>
  <si>
    <t>H-Transportation and storage</t>
  </si>
  <si>
    <t>OTHER</t>
  </si>
  <si>
    <t>J-Information and communication</t>
  </si>
  <si>
    <t>I-Accommodation and food service activities</t>
  </si>
  <si>
    <t>S-Other service activities</t>
  </si>
  <si>
    <t>L-Real estate activities</t>
  </si>
  <si>
    <t>B-Mining and quarrying</t>
  </si>
  <si>
    <t>R-Arts, entertainment and recreation</t>
  </si>
  <si>
    <t>O-Public administration and defence; compulsory social security</t>
  </si>
  <si>
    <t>D-Electricity, gas, steam and air conditioning supply</t>
  </si>
  <si>
    <t>E-Water supply; sewerage, waste management and remediation activities</t>
  </si>
  <si>
    <t>A-Agriculture, forestry and fishing</t>
  </si>
  <si>
    <t>Totals</t>
  </si>
  <si>
    <t>Sorted</t>
  </si>
  <si>
    <t>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</si>
  <si>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</si>
  <si>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</si>
  <si>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</si>
  <si>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</si>
  <si>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</si>
  <si>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</si>
  <si>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</si>
  <si>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</si>
  <si>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</si>
  <si>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</si>
  <si>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</si>
  <si>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</si>
  <si>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</si>
  <si>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</si>
  <si>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</si>
  <si>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</si>
  <si>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</si>
  <si>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</si>
  <si>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</si>
  <si>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Sorted, other reallocated</t>
  </si>
  <si>
    <t xml:space="preserve">Dubai SAM 2022 </t>
  </si>
  <si>
    <t>Activities</t>
  </si>
  <si>
    <t>Commodities</t>
  </si>
  <si>
    <t>Factors</t>
  </si>
  <si>
    <t>Tax</t>
  </si>
  <si>
    <t>Institutions</t>
  </si>
  <si>
    <t>Capital</t>
  </si>
  <si>
    <t>Million AED</t>
  </si>
  <si>
    <t>Agriculture, hunting, forestry, and fishing</t>
  </si>
  <si>
    <t>Mining and quarrying</t>
  </si>
  <si>
    <t>Food, beverages, and tobacco</t>
  </si>
  <si>
    <t>Textiles and textile products</t>
  </si>
  <si>
    <t>Leather, leather products, and footwear</t>
  </si>
  <si>
    <t>Wood and products of wood and cork</t>
  </si>
  <si>
    <t>Pulp, paper, paper products, printing, and publishing</t>
  </si>
  <si>
    <t>Coke, refined petroleum, and nuclear fuel</t>
  </si>
  <si>
    <t>Chemicals and chemical products</t>
  </si>
  <si>
    <t>Rubber and plastics</t>
  </si>
  <si>
    <t>Other nonmetallic minerals</t>
  </si>
  <si>
    <t>Basic metals and fabricated metal</t>
  </si>
  <si>
    <t>Machinery, nec</t>
  </si>
  <si>
    <t>Electrical and optical equipment</t>
  </si>
  <si>
    <t>Transport equipment</t>
  </si>
  <si>
    <t>Manufacturing, nec; recycling</t>
  </si>
  <si>
    <t>Electricity, gas, and water supply</t>
  </si>
  <si>
    <t>Construction</t>
  </si>
  <si>
    <t>Wholesale and Retail Trade; Repair of Motor Vehicles and Motorcycles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</si>
  <si>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</si>
  <si>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</si>
  <si>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</si>
  <si>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</si>
  <si>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</si>
  <si>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</si>
  <si>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</si>
  <si>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</si>
  <si>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</si>
  <si>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administration and defense; compulsory social security</t>
  </si>
  <si>
    <t>Education</t>
  </si>
  <si>
    <t>Health and social work</t>
  </si>
  <si>
    <t>Other community, social, and personal services</t>
  </si>
  <si>
    <t>Private households with employed persons</t>
  </si>
  <si>
    <t>Labour</t>
  </si>
  <si>
    <t>Indirect taxes</t>
  </si>
  <si>
    <t>Subsidies</t>
  </si>
  <si>
    <t>Direct taxes</t>
  </si>
  <si>
    <t>Government</t>
  </si>
  <si>
    <t>Rest of the World</t>
  </si>
  <si>
    <t>Savings - Investment</t>
  </si>
  <si>
    <t>TOTAL</t>
  </si>
  <si>
    <t>From official sources</t>
  </si>
  <si>
    <t>Estimated from 2015 IO using statistically balancing methods</t>
  </si>
  <si>
    <t>2015 (IO Table)</t>
  </si>
  <si>
    <t>GDP</t>
  </si>
  <si>
    <t>CP</t>
  </si>
  <si>
    <t>CG</t>
  </si>
  <si>
    <t>I 1</t>
  </si>
  <si>
    <t>EX 2</t>
  </si>
  <si>
    <t>IM 2</t>
  </si>
  <si>
    <t>1: Assumes constant investment propensity &amp; 32% foreign / 68% domestic financing</t>
  </si>
  <si>
    <t>2: Assumes constant sector propensity to export and import</t>
  </si>
  <si>
    <t>Agriculture, forestry and fishing</t>
  </si>
  <si>
    <t>Manufacturing</t>
  </si>
  <si>
    <t>Electricity, gas, and water supply; waste management activities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</si>
  <si>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</si>
  <si>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</si>
  <si>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</si>
  <si>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</si>
  <si>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</si>
  <si>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Professional, scientific and technical activities</t>
  </si>
  <si>
    <t>Public administration and defence; compulsory social security</t>
  </si>
  <si>
    <t>Education*</t>
  </si>
  <si>
    <t>Human health and social work activities*</t>
  </si>
  <si>
    <t>Arts, entertainment and recreation</t>
  </si>
  <si>
    <t>Activities of households as employers; undifferentiated goods- and services-producing activities of households for own use</t>
  </si>
  <si>
    <t>Mapping to SAM categories</t>
  </si>
  <si>
    <t>Code</t>
  </si>
  <si>
    <t>Value of labour</t>
  </si>
  <si>
    <t>Distribution of value in category</t>
  </si>
  <si>
    <t>Emirati employment distribution</t>
  </si>
  <si>
    <t>Check</t>
  </si>
  <si>
    <t>D + E</t>
  </si>
  <si>
    <t>ref_area.label</t>
  </si>
  <si>
    <t>source.label</t>
  </si>
  <si>
    <t>indicator.label</t>
  </si>
  <si>
    <t>sex.label</t>
  </si>
  <si>
    <t>classif1.label</t>
  </si>
  <si>
    <t>classif2.label</t>
  </si>
  <si>
    <t>time</t>
  </si>
  <si>
    <t>obs_value</t>
  </si>
  <si>
    <t>obs_status.label</t>
  </si>
  <si>
    <t>note_classif.label</t>
  </si>
  <si>
    <t>note_indicator.label</t>
  </si>
  <si>
    <t>note_source.label</t>
  </si>
  <si>
    <t>United Arab Emirates</t>
  </si>
  <si>
    <t>LFS - Labour Force Survey</t>
  </si>
  <si>
    <t>Average monthly earnings of employees by sex and occupation</t>
  </si>
  <si>
    <t>Total</t>
  </si>
  <si>
    <t>Occupation (Skill level): Total</t>
  </si>
  <si>
    <t>Currency: Local currency</t>
  </si>
  <si>
    <t>Value type: Real values | Job coverage: Main job currently held | Working time arrangement coverage: Full-time and part time workers | Working time concept: Hours actually worked | Currency: ARE - United Arab Emirates dirham (AED)</t>
  </si>
  <si>
    <t>Data reference period: May | Population coverage: Excluding labour camps</t>
  </si>
  <si>
    <t>Currency: 2021 PPP $</t>
  </si>
  <si>
    <t>Currency: U.S. dollars</t>
  </si>
  <si>
    <t>Occupation (Skill level): Skill level 1 ~ low</t>
  </si>
  <si>
    <t>Occupation (ISCO-08): Total</t>
  </si>
  <si>
    <t>Occupation (ISCO-08): 1. Managers</t>
  </si>
  <si>
    <t>Occupation (ISCO-08): 2. Professionals</t>
  </si>
  <si>
    <t>Occupation (ISCO-08): 3. Technicians and associate professionals</t>
  </si>
  <si>
    <t>Occupation (ISCO-08): 4. Clerical support workers</t>
  </si>
  <si>
    <t>Occupation (ISCO-08): 5. Service and sales workers</t>
  </si>
  <si>
    <t>Occupation (ISCO-08): 6. Skilled agricultural, forestry and fishery workers</t>
  </si>
  <si>
    <t>Occupation (ISCO-08): 7. Craft and related trades workers</t>
  </si>
  <si>
    <t>Occupation (ISCO-08): 8. Plant and machine operators, and assemblers</t>
  </si>
  <si>
    <t>Occupation (ISCO-08): 9. Elementary occupations</t>
  </si>
  <si>
    <t>Occupation (ISCO-08): 0. Armed forces occupations</t>
  </si>
  <si>
    <t>Labour Camps</t>
  </si>
  <si>
    <t xml:space="preserve">Total </t>
  </si>
  <si>
    <t>Collective Households</t>
  </si>
  <si>
    <t>Non-Emirati Households</t>
  </si>
  <si>
    <t>Emirati Households</t>
  </si>
  <si>
    <t>null</t>
  </si>
  <si>
    <t>5.2 - Imputed rent</t>
  </si>
  <si>
    <t>5.1 - Food self-production</t>
  </si>
  <si>
    <t xml:space="preserve">5- Self-production </t>
  </si>
  <si>
    <t>4.7 - Compensation</t>
  </si>
  <si>
    <t xml:space="preserve">4.6 - Rewards to employees leaving </t>
  </si>
  <si>
    <t>4.5 - Social insurance</t>
  </si>
  <si>
    <t>4.4 - Transfer from non-family members</t>
  </si>
  <si>
    <t>4.3 - Government subsidies</t>
  </si>
  <si>
    <t>4.2 - Current transfer from non-profit institutions</t>
  </si>
  <si>
    <t>4.1 - Pensions</t>
  </si>
  <si>
    <t>4- Transfers Income</t>
  </si>
  <si>
    <t>3-Properties Income</t>
  </si>
  <si>
    <t>2- Total  of self-employed workers Income</t>
  </si>
  <si>
    <t>'1- Wages/salaries/benefits in kind'</t>
  </si>
  <si>
    <t>monthly_average_of_income_per_capita</t>
  </si>
  <si>
    <t>monthly_average_of_household_income</t>
  </si>
  <si>
    <t>annual_average_of_income_per_capita</t>
  </si>
  <si>
    <t>annual_average_of_household_income</t>
  </si>
  <si>
    <t>household_type_en</t>
  </si>
  <si>
    <t>income_sources_en</t>
  </si>
  <si>
    <t>year</t>
  </si>
  <si>
    <t>id</t>
  </si>
  <si>
    <t>ENDW</t>
  </si>
  <si>
    <t>ACTS</t>
  </si>
  <si>
    <t>REG</t>
  </si>
  <si>
    <t>Value</t>
  </si>
  <si>
    <t>ACCOM</t>
  </si>
  <si>
    <t>ARE</t>
  </si>
  <si>
    <t>AUS</t>
  </si>
  <si>
    <t>ROW</t>
  </si>
  <si>
    <t>AG</t>
  </si>
  <si>
    <t>ATP</t>
  </si>
  <si>
    <t>CHM</t>
  </si>
  <si>
    <t>CMN</t>
  </si>
  <si>
    <t>CNS</t>
  </si>
  <si>
    <t>DWE</t>
  </si>
  <si>
    <t>EDU</t>
  </si>
  <si>
    <t>EEO</t>
  </si>
  <si>
    <t>ELY</t>
  </si>
  <si>
    <t>FBT</t>
  </si>
  <si>
    <t>HEALTH</t>
  </si>
  <si>
    <t>LEATHER</t>
  </si>
  <si>
    <t>MANNEC</t>
  </si>
  <si>
    <t>MECHNEC</t>
  </si>
  <si>
    <t>METAL</t>
  </si>
  <si>
    <t>MIN</t>
  </si>
  <si>
    <t>OBS</t>
  </si>
  <si>
    <t>OC</t>
  </si>
  <si>
    <t>OFI</t>
  </si>
  <si>
    <t>ONM</t>
  </si>
  <si>
    <t>OSG</t>
  </si>
  <si>
    <t>OTP</t>
  </si>
  <si>
    <t>PPP</t>
  </si>
  <si>
    <t>REA</t>
  </si>
  <si>
    <t>ROS</t>
  </si>
  <si>
    <t>RUBBER</t>
  </si>
  <si>
    <t>TEX</t>
  </si>
  <si>
    <t>TRD</t>
  </si>
  <si>
    <t>TRNEQUIP</t>
  </si>
  <si>
    <t>WOOD</t>
  </si>
  <si>
    <t>WTP</t>
  </si>
  <si>
    <t>Land</t>
  </si>
  <si>
    <t>NatlRes</t>
  </si>
  <si>
    <t>ag_othlowskall</t>
  </si>
  <si>
    <t>clerksall</t>
  </si>
  <si>
    <t>off_mgr_prosall</t>
  </si>
  <si>
    <t>service_shopall</t>
  </si>
  <si>
    <t>tech_asprosall</t>
  </si>
  <si>
    <t>Dubai SAM Sector</t>
  </si>
  <si>
    <t>Wholesale &amp; Retail Trade; Repair of Motor Vehicles &amp; Motorcycles</t>
  </si>
  <si>
    <t>WHS</t>
  </si>
  <si>
    <t>Persons</t>
  </si>
  <si>
    <t>Input data</t>
  </si>
  <si>
    <t>Total factor income = domestic consumption + import consumption + savings</t>
  </si>
  <si>
    <t>Total value of labour supplied by activity</t>
  </si>
  <si>
    <t>Total value of labour and capital supplied by households</t>
  </si>
  <si>
    <t>Value, million AED</t>
  </si>
  <si>
    <t>Check - as % of total</t>
  </si>
  <si>
    <t>Estimate of Emirati supply of labour by activity - there is decent data on this from an official publication</t>
  </si>
  <si>
    <t>Occupation by activity breakdown - this will help to map labour income to household types</t>
  </si>
  <si>
    <t>Professionals and managers</t>
  </si>
  <si>
    <t>Technicians and associate professionals</t>
  </si>
  <si>
    <t>Clerical workers</t>
  </si>
  <si>
    <t>Service and shop workers</t>
  </si>
  <si>
    <t>Agricultural and low skilled workers</t>
  </si>
  <si>
    <t>Estimate of wage differential by occupation</t>
  </si>
  <si>
    <t>ISCO Cat.</t>
  </si>
  <si>
    <t>Local currency</t>
  </si>
  <si>
    <t>GTAP</t>
  </si>
  <si>
    <t>Note - the aggregation of occupations is by simple averaging and could be refined</t>
  </si>
  <si>
    <t>https://www.laboraccommodation.ae/labor-camp-regulations-in-dubai-version-2025/</t>
  </si>
  <si>
    <t>Percentage of value</t>
  </si>
  <si>
    <t>Value of non Emirati labour</t>
  </si>
  <si>
    <t>I want to do an approximate conversion to headcount - because I have approximately 500,000 people living in labour camps and I want to assign them to low skilled folk in construction and manufacturing</t>
  </si>
  <si>
    <t>Indexed to max</t>
  </si>
  <si>
    <t>In % terms, of non Emirati value</t>
  </si>
  <si>
    <t>Adjusted for wage differential</t>
  </si>
  <si>
    <t>Inverse (for calcs below)</t>
  </si>
  <si>
    <t>In persons, total</t>
  </si>
  <si>
    <t>Regular households - assuming all professionals to clerical live in regular households</t>
  </si>
  <si>
    <t>By household type</t>
  </si>
  <si>
    <t>Labour camps - all low skilled folk in agriculture, mining, manufacting, construction</t>
  </si>
  <si>
    <t>Collective households - this is the remainder</t>
  </si>
  <si>
    <t>Implied total persons</t>
  </si>
  <si>
    <t>Implied value of labour</t>
  </si>
  <si>
    <t>% of labour income</t>
  </si>
  <si>
    <t>Approximate allocation of workers to occupation and activity</t>
  </si>
  <si>
    <t>Construction of SAM</t>
  </si>
  <si>
    <t>Not modified</t>
  </si>
  <si>
    <t>Modified</t>
  </si>
  <si>
    <t>Emirati Labour</t>
  </si>
  <si>
    <t>Migrant Labour</t>
  </si>
  <si>
    <t>Commuting Labour</t>
  </si>
  <si>
    <t>Emirati Household</t>
  </si>
  <si>
    <t>Non-Emirati Household</t>
  </si>
  <si>
    <t>Implied value of labour by sector</t>
  </si>
  <si>
    <t>Proportion of commuting labour</t>
  </si>
  <si>
    <t>Check - factor income unchanged</t>
  </si>
  <si>
    <t>Proportions of factor income</t>
  </si>
  <si>
    <t>Check - C+S= Factor Income</t>
  </si>
  <si>
    <t>Commuting labour</t>
  </si>
  <si>
    <t>متوسط إنفاق الأسرة المعيشية السنوي حسب أقسام الإنفاق - إمارة دبي</t>
  </si>
  <si>
    <t>Annual Average of Household Expenditure by Expenditure Divisions - Emirate of Dubai</t>
  </si>
  <si>
    <t>جدول (1) Table</t>
  </si>
  <si>
    <t>القيمة  بالدرهم  Value in AED</t>
  </si>
  <si>
    <t>أقسام الإنفاق</t>
  </si>
  <si>
    <t>الأسر المعيشية  Households</t>
  </si>
  <si>
    <t>أسر جماعية
Collective Households</t>
  </si>
  <si>
    <t xml:space="preserve">تجمعات العمال
Labour Camps </t>
  </si>
  <si>
    <t>المتوسط العام
 Average</t>
  </si>
  <si>
    <t>Expenditure Divisions</t>
  </si>
  <si>
    <r>
      <t xml:space="preserve">أسر إماراتية
</t>
    </r>
    <r>
      <rPr>
        <b/>
        <sz val="8"/>
        <color indexed="8"/>
        <rFont val="Calibri"/>
        <family val="2"/>
      </rPr>
      <t>Emirati Households</t>
    </r>
  </si>
  <si>
    <r>
      <t xml:space="preserve">أسر غير إماراتية
</t>
    </r>
    <r>
      <rPr>
        <b/>
        <sz val="8"/>
        <color indexed="8"/>
        <rFont val="Calibri"/>
        <family val="2"/>
      </rPr>
      <t>Non-Emirati Households</t>
    </r>
  </si>
  <si>
    <t>المتوسط
Average</t>
  </si>
  <si>
    <t>أ- الإنفاق النقدي على الطعام والمشروبات</t>
  </si>
  <si>
    <t>A- Cash Expenditure in Food and Beverages</t>
  </si>
  <si>
    <t>ب- الإنفاق النقدي على التبغ</t>
  </si>
  <si>
    <t>B- Cash Expenditure in Tobacco</t>
  </si>
  <si>
    <t xml:space="preserve">ج- الإنتاج الذاتي من الطعام </t>
  </si>
  <si>
    <t xml:space="preserve">C- Food Self Production </t>
  </si>
  <si>
    <t>د-الانفاق الاستهلاكى  من الطعام والمشروبات (أ + ب + ج)</t>
  </si>
  <si>
    <t>D- Expenditure on Food and Beverages Consumption (A+B+C)</t>
  </si>
  <si>
    <t xml:space="preserve">هـ- الإنفاق النقدي على غير الطعام والمشروبات </t>
  </si>
  <si>
    <t xml:space="preserve">E- Non - Food and Beverages cash expenditure </t>
  </si>
  <si>
    <t xml:space="preserve">الملابس وملبوسات القدم </t>
  </si>
  <si>
    <t>Clothing and Footwear</t>
  </si>
  <si>
    <t xml:space="preserve">السكن والمياه والكهرباء والغاز والوقود* </t>
  </si>
  <si>
    <t>Housing, Water, Electricity, Gas, &amp; Fuels *</t>
  </si>
  <si>
    <t xml:space="preserve">الأثاث والتأثيث والأدوات المنزلية وإصلاحها </t>
  </si>
  <si>
    <t>Furnishings, household equipment and routine household maintenance</t>
  </si>
  <si>
    <t xml:space="preserve">الصحة </t>
  </si>
  <si>
    <t>Health</t>
  </si>
  <si>
    <t xml:space="preserve">النقل </t>
  </si>
  <si>
    <t>Transport</t>
  </si>
  <si>
    <t xml:space="preserve">الاتصالات </t>
  </si>
  <si>
    <t>Communication</t>
  </si>
  <si>
    <t xml:space="preserve">الترفيه والثقافة </t>
  </si>
  <si>
    <t>Recreations and Culture</t>
  </si>
  <si>
    <t xml:space="preserve">التعليم </t>
  </si>
  <si>
    <t xml:space="preserve">المطاعم والفنادق </t>
  </si>
  <si>
    <t>Restaurants and Hotels</t>
  </si>
  <si>
    <t xml:space="preserve">السلع والخدمات المتنوعة </t>
  </si>
  <si>
    <t>Miscellaneous Goods &amp; Services</t>
  </si>
  <si>
    <t>و- الإنتاج الذاتي من غير الطعام والمشروبات</t>
  </si>
  <si>
    <t>F- Non-Food and Beverages Self Production</t>
  </si>
  <si>
    <t xml:space="preserve">القيمة الإيجارية المقدرة </t>
  </si>
  <si>
    <t>Imputed rent</t>
  </si>
  <si>
    <t>ز-الانفاق الاستهلاكى من غير الطعام و المشروبات (هـ + و)</t>
  </si>
  <si>
    <t xml:space="preserve">G- Expenditure on Food and Beverages Consumption (E+F) </t>
  </si>
  <si>
    <t>ح- الإنفاق الاستهلاكى الكلى (د + ز)</t>
  </si>
  <si>
    <t>Expenditure Consumption (D+H)</t>
  </si>
  <si>
    <t xml:space="preserve">ط- التحويلات النقدية </t>
  </si>
  <si>
    <t xml:space="preserve">I- Cash Transfer </t>
  </si>
  <si>
    <t>الإنفاق النقدي الكلي (ح - ج - و+ ط)</t>
  </si>
  <si>
    <t>Total cash expenditure (H-C-F+I)</t>
  </si>
  <si>
    <t xml:space="preserve">الاستهلاك والإنفاق النقدي الكلي السنوي </t>
  </si>
  <si>
    <t>Total Annual Cash Consumption and Expenditure</t>
  </si>
  <si>
    <t>* لا يشمل القيمة الإيجارية المقدرة</t>
  </si>
  <si>
    <t>* Does not include Imputed Rent</t>
  </si>
  <si>
    <t>متوسط إنفاق الفرد السنوي حسب أقسام الإنفاق - إمارة دبي</t>
  </si>
  <si>
    <t>Annual Average Expenditure Per-Capita by Expenditure Divisions - Emirate of Dubai</t>
  </si>
  <si>
    <t>جدول (2) Table</t>
  </si>
  <si>
    <r>
      <t xml:space="preserve">أسر إماراتية
</t>
    </r>
    <r>
      <rPr>
        <b/>
        <sz val="8"/>
        <color theme="1"/>
        <rFont val="Aptos Narrow"/>
        <family val="2"/>
        <scheme val="minor"/>
      </rPr>
      <t>Emirati Households</t>
    </r>
  </si>
  <si>
    <r>
      <t xml:space="preserve">أسر غير إماراتية
</t>
    </r>
    <r>
      <rPr>
        <b/>
        <sz val="8"/>
        <color theme="1"/>
        <rFont val="Aptos Narrow"/>
        <family val="2"/>
        <scheme val="minor"/>
      </rPr>
      <t>Non-Emirati Households</t>
    </r>
  </si>
  <si>
    <t>د- الانفاق الاستهلاكى  من الطعام والمشروبات (أ + ب + ج)</t>
  </si>
  <si>
    <t xml:space="preserve">E- Non - Food and Beverages cash Expenditure </t>
  </si>
  <si>
    <t>D = A + B + C</t>
  </si>
  <si>
    <t>Sum to E</t>
  </si>
  <si>
    <t>F - this is just imputed rents</t>
  </si>
  <si>
    <t>G = E + F</t>
  </si>
  <si>
    <t>This should read non-food and beverages - and it includes imputed rents</t>
  </si>
  <si>
    <t>G+D</t>
  </si>
  <si>
    <t>Bob - checking implied average persons per household</t>
  </si>
  <si>
    <t>Note - labour camps look to be simply considered at the individual level</t>
  </si>
  <si>
    <t>Bob calculations - looking at shares</t>
  </si>
  <si>
    <t>Emirati HH</t>
  </si>
  <si>
    <t>Non-Emirati HH</t>
  </si>
  <si>
    <t>Collective HH</t>
  </si>
  <si>
    <t>&lt;-- this makes sense - collectives and labour camps send a large proportion of their income out of the emirate</t>
  </si>
  <si>
    <t>Source data and checks</t>
  </si>
  <si>
    <t>Simplification - removing aggregate categories</t>
  </si>
  <si>
    <t>Imputed rent is the entirety of non-f+b self production</t>
  </si>
  <si>
    <t>Cash transfers</t>
  </si>
  <si>
    <t>Shares within category</t>
  </si>
  <si>
    <t>SAM categories</t>
  </si>
  <si>
    <t>HEIS categories</t>
  </si>
  <si>
    <t>Approximate allocations - not all of these are completely satisfactory for all household types (eg, private households with employed persons in labour camps? Doesn’t make sense)</t>
  </si>
  <si>
    <t>Commuting Household</t>
  </si>
  <si>
    <t>Estimating the decomposition of household expenditure, capital ownership</t>
  </si>
  <si>
    <t>Population characteristics</t>
  </si>
  <si>
    <t>2022 estimate</t>
  </si>
  <si>
    <t>Non Emirati - resident</t>
  </si>
  <si>
    <t>Commuting workforce</t>
  </si>
  <si>
    <t>Educated estimate - to be refined if possible</t>
  </si>
  <si>
    <t>People in labour camps</t>
  </si>
  <si>
    <t>From https://www.laboraccommodation.ae/labor-camp-regulations-in-dubai-version-2025/</t>
  </si>
  <si>
    <t>Persons in households</t>
  </si>
  <si>
    <t>People in combines</t>
  </si>
  <si>
    <t>These will be Emirati and Non-Emirati</t>
  </si>
  <si>
    <t>Simplifying assumption - no Emirati are in combines</t>
  </si>
  <si>
    <t>Estimating persons by household categories that we are using in the model</t>
  </si>
  <si>
    <t>Average annual expenditure and share of capital income by household category</t>
  </si>
  <si>
    <t>Share within category</t>
  </si>
  <si>
    <t>Total (million AED)</t>
  </si>
  <si>
    <t>Expenditure from non disaggregated SAM (million AED)</t>
  </si>
  <si>
    <t>goods+services</t>
  </si>
  <si>
    <t>remittances</t>
  </si>
  <si>
    <t>imputed rents</t>
  </si>
  <si>
    <t>Notes - aggregating self production of food into f+b. Combined with Tobacco to align to SAM categories</t>
  </si>
  <si>
    <t>Food and beverages, Tobacco</t>
  </si>
  <si>
    <t>Assigned to SAM categories</t>
  </si>
  <si>
    <t>We will get to this in a moment</t>
  </si>
  <si>
    <t>Aggregate expenditure by household category</t>
  </si>
  <si>
    <t>Food and beverages + Tobacco</t>
  </si>
  <si>
    <t>Name</t>
  </si>
  <si>
    <t>Offset</t>
  </si>
  <si>
    <t>SAM</t>
  </si>
  <si>
    <t>HEIS - offset</t>
  </si>
  <si>
    <t>HEIS - name</t>
  </si>
  <si>
    <t>Commuting household</t>
  </si>
  <si>
    <t>Capital ownership shares</t>
  </si>
  <si>
    <t>By assumption</t>
  </si>
  <si>
    <t>In reality these folk perhaps spend a little bit in Dubai - some transport, purchase some lunch, some retail?</t>
  </si>
  <si>
    <t>Check: What is the implied annual wage per worker? In AED?</t>
  </si>
  <si>
    <t>Note - Savings is now the (calculated) residual between factor income and consumption</t>
  </si>
  <si>
    <t>ie - S = FI - C</t>
  </si>
  <si>
    <t>Check - factors balance</t>
  </si>
  <si>
    <t>Implied wage (AED, annual)</t>
  </si>
  <si>
    <t>Cash transfers (in million AED) - from HEIS</t>
  </si>
  <si>
    <t>Note - for the commuting household, we will constrain this to simply be the factor income - it’s the only way to balance that part of the account</t>
  </si>
  <si>
    <t>Check - savings unchanged</t>
  </si>
  <si>
    <t>The remaining transfers</t>
  </si>
  <si>
    <t>Total transfers</t>
  </si>
  <si>
    <t>Redistribute according to the residual of factor income minus unallocated consumption</t>
  </si>
  <si>
    <t>Factor income</t>
  </si>
  <si>
    <t>Commodity consumption</t>
  </si>
  <si>
    <t>Calculated savings</t>
  </si>
  <si>
    <t>Split savings according to capital ownership shares</t>
  </si>
  <si>
    <t>HEIS transfers</t>
  </si>
  <si>
    <t>Residual</t>
  </si>
  <si>
    <t>Total Employment</t>
  </si>
  <si>
    <t>Assumption - approximately 1100000 folks commuting</t>
  </si>
  <si>
    <t>Transfer assumptions</t>
  </si>
  <si>
    <t>Government transfers to Emirati households</t>
  </si>
  <si>
    <t>Households transfers to government</t>
  </si>
  <si>
    <t>of emirati non-transfer income</t>
  </si>
  <si>
    <t>of government transfers - allocated proportiunally to real estate expenditure</t>
  </si>
  <si>
    <t>MAKE</t>
  </si>
  <si>
    <t>V1BAS</t>
  </si>
  <si>
    <t>V1LAB</t>
  </si>
  <si>
    <t>V1CAP</t>
  </si>
  <si>
    <t>0TAR</t>
  </si>
  <si>
    <t>2BAS</t>
  </si>
  <si>
    <t>V6BAS set to zero</t>
  </si>
  <si>
    <t>V2TAX set to zero for domestic</t>
  </si>
  <si>
    <t>3BAS</t>
  </si>
  <si>
    <t>4BAS</t>
  </si>
  <si>
    <t>5BAS</t>
  </si>
  <si>
    <t>Feeds into the 'imp' of BAS</t>
  </si>
  <si>
    <t>PC</t>
  </si>
  <si>
    <t>NMM</t>
  </si>
  <si>
    <t>MACH</t>
  </si>
  <si>
    <t>ELEC</t>
  </si>
  <si>
    <t>ROMAN</t>
  </si>
  <si>
    <t>ELYGASWTR</t>
  </si>
  <si>
    <t>AFS</t>
  </si>
  <si>
    <t>RSA</t>
  </si>
  <si>
    <t>GOV</t>
  </si>
  <si>
    <t>HHT</t>
  </si>
  <si>
    <t>REC</t>
  </si>
  <si>
    <t>COM</t>
  </si>
  <si>
    <t>IND</t>
  </si>
  <si>
    <t>EMIRATI</t>
  </si>
  <si>
    <t>COMMUTING</t>
  </si>
  <si>
    <t>OCC</t>
  </si>
  <si>
    <t>1BAS</t>
  </si>
  <si>
    <t>Calculations for the imported shares</t>
  </si>
  <si>
    <t>Domestic</t>
  </si>
  <si>
    <t>Imported</t>
  </si>
  <si>
    <t>Dom share</t>
  </si>
  <si>
    <t>Imp share</t>
  </si>
  <si>
    <t>SRC</t>
  </si>
  <si>
    <t>dom</t>
  </si>
  <si>
    <t>imp</t>
  </si>
  <si>
    <t>Capital shares</t>
  </si>
  <si>
    <t>6BAS</t>
  </si>
  <si>
    <t>1TAX</t>
  </si>
  <si>
    <t>2TAX</t>
  </si>
  <si>
    <t>3TAX</t>
  </si>
  <si>
    <t>4TAX</t>
  </si>
  <si>
    <t>5TAX</t>
  </si>
  <si>
    <t>1CAP</t>
  </si>
  <si>
    <t>1LAB</t>
  </si>
  <si>
    <t>1LND</t>
  </si>
  <si>
    <t>1PTX</t>
  </si>
  <si>
    <t>1OCT</t>
  </si>
  <si>
    <t>SLAB</t>
  </si>
  <si>
    <t>P028</t>
  </si>
  <si>
    <t>1ARM</t>
  </si>
  <si>
    <t>SCET</t>
  </si>
  <si>
    <t>2ARM</t>
  </si>
  <si>
    <t>3ARM</t>
  </si>
  <si>
    <t>P021</t>
  </si>
  <si>
    <t>XPEL</t>
  </si>
  <si>
    <t>P018</t>
  </si>
  <si>
    <t>EXNT</t>
  </si>
  <si>
    <t>ITEX</t>
  </si>
  <si>
    <t xml:space="preserve"> </t>
  </si>
  <si>
    <t>Step 1 - allocating GTAP payment data to Dubai SAM ordering by 5 occupation types</t>
  </si>
  <si>
    <t>Step 2 - convert from values to quantities</t>
  </si>
  <si>
    <t>Dubai Sam</t>
  </si>
  <si>
    <t>2.1 - calculate an average wage</t>
  </si>
  <si>
    <t>2.1 - get weightings by occupation type</t>
  </si>
  <si>
    <t>2.2 - how many people are in the different housing classes?</t>
  </si>
  <si>
    <t>Combines</t>
  </si>
  <si>
    <t>Resident Emirati</t>
  </si>
  <si>
    <t>Non-emirati  in households</t>
  </si>
  <si>
    <t>Total population - non emirati</t>
  </si>
  <si>
    <t>Total non emirati labour force, not commuters</t>
  </si>
  <si>
    <t>Assume combines are almost all employed</t>
  </si>
  <si>
    <t>Employed, combine</t>
  </si>
  <si>
    <t>Employed, non em hh</t>
  </si>
  <si>
    <t>&lt;- This is the implied participation rate for non emirati householders (using total population as the denominator)</t>
  </si>
  <si>
    <t>Decomposing the people by industry</t>
  </si>
  <si>
    <t xml:space="preserve">العمالة حسب النشاط  الاقتصادي- لإمــارة دبــي  
     </t>
  </si>
  <si>
    <t xml:space="preserve">Employees by Economic Activity - Emirate of Dubai  </t>
  </si>
  <si>
    <t>النشاط الاقتصادي</t>
  </si>
  <si>
    <t>*2021</t>
  </si>
  <si>
    <t>*2022</t>
  </si>
  <si>
    <t>Economic Activity</t>
  </si>
  <si>
    <t>الزراعة والحراجة وصيد الأسماك</t>
  </si>
  <si>
    <t>التعدين واستغلال المحاجر</t>
  </si>
  <si>
    <t>الصناعة التحويلية</t>
  </si>
  <si>
    <t>الكهرباء والغاز والمياه وأنشطة إدارة النفايات</t>
  </si>
  <si>
    <t>التشييد</t>
  </si>
  <si>
    <t>تجارة الجملة والتجزئة؛ إصلاح المركبات ذات المحركات والدراجات النارية</t>
  </si>
  <si>
    <t>النقل والتخزين</t>
  </si>
  <si>
    <t>أنشطة خدمات الإقامة والطعام</t>
  </si>
  <si>
    <t>المعلومات والاتصالات</t>
  </si>
  <si>
    <t>الأنشطة المالية وأنشطة التأمين</t>
  </si>
  <si>
    <t>الأنشطة العقارية</t>
  </si>
  <si>
    <t>الأنشطة المهنية والعلمية والتقنية</t>
  </si>
  <si>
    <t>أنشطة الخدمات الإدارية وخدمات الدعم</t>
  </si>
  <si>
    <t>Administrative and support service activities</t>
  </si>
  <si>
    <t>الإدارة العامة والدفاع؛ والضمان الاجتماعي الإلزامي</t>
  </si>
  <si>
    <t>التعليم*</t>
  </si>
  <si>
    <t>الأنشطة في مجال صحة الإنسان والعمل الاجتماعي*</t>
  </si>
  <si>
    <t>الفنون والترفيه والتسلية</t>
  </si>
  <si>
    <t>أنشطة الخدمات الأخرى</t>
  </si>
  <si>
    <t>Other service activities</t>
  </si>
  <si>
    <t>أنشطة الأُسَر المعيشية التي تستخدم أفراداً؛ وأنشطة الأُسَر المعيشية في إنتاج سلع وخدمات غير مميَّزة لاستعمالها الخاص</t>
  </si>
  <si>
    <t>المجموع</t>
  </si>
  <si>
    <t xml:space="preserve">* تم تحديث بيانات 2022 بناءً على نتائج المسوح الاقتصادية 2023 </t>
  </si>
  <si>
    <t>* 2022 data updated based to Economic Survey result 2023</t>
  </si>
  <si>
    <t xml:space="preserve">  المصدر: مركز دبي للإحصاء  </t>
  </si>
  <si>
    <t xml:space="preserve">Source : Dubai Statistics Center </t>
  </si>
  <si>
    <t>Values of labour from the SAM</t>
  </si>
  <si>
    <t>Em</t>
  </si>
  <si>
    <t>Migrant</t>
  </si>
  <si>
    <t>Commuting</t>
  </si>
  <si>
    <t>Total employees</t>
  </si>
  <si>
    <t>Adjustment factor</t>
  </si>
  <si>
    <t>MIGRANTHH</t>
  </si>
  <si>
    <t>Migrant HH</t>
  </si>
  <si>
    <t>Migrant Combine</t>
  </si>
  <si>
    <t>Migrant Combines</t>
  </si>
  <si>
    <t>HH</t>
  </si>
  <si>
    <t>The intent here is to account for differential wage rates by occupation. We will then be using the different occupations to group people into households or combines.</t>
  </si>
  <si>
    <t>Payment by industry and occupation - square format, ranked by occupation</t>
  </si>
  <si>
    <t>Payment by industry and occupation - percentages</t>
  </si>
  <si>
    <t>Average wage</t>
  </si>
  <si>
    <t>Average wage by occ</t>
  </si>
  <si>
    <t>Employee split proportions - accounting for wage differentials</t>
  </si>
  <si>
    <t>Wage weighted decomposition. Note - here I am trying to get a picture of the distribution of FTE, not the wage split - hence accounting for the differential wage rates.</t>
  </si>
  <si>
    <t>Splits for HH and combines - value weights and quantity weights</t>
  </si>
  <si>
    <t>Value weights</t>
  </si>
  <si>
    <t>Quantity weights</t>
  </si>
  <si>
    <t>COMB</t>
  </si>
  <si>
    <t>Wage split for migrants</t>
  </si>
  <si>
    <t>Employment split for migrants</t>
  </si>
  <si>
    <t>Check implied wages</t>
  </si>
  <si>
    <t>Comb</t>
  </si>
  <si>
    <t>Commute</t>
  </si>
  <si>
    <t>Value split</t>
  </si>
  <si>
    <t>Quantity split</t>
  </si>
  <si>
    <t>Labour quantities</t>
  </si>
  <si>
    <t>Implied wages</t>
  </si>
  <si>
    <t>MIGRANTCOMB</t>
  </si>
  <si>
    <t>Cross checking to HEIS</t>
  </si>
  <si>
    <t>Table 15 - average annual income by household type and source of income</t>
  </si>
  <si>
    <t>Wages and salaries and benefits in kind</t>
  </si>
  <si>
    <t>Labour camps</t>
  </si>
  <si>
    <t>Non-emirati households</t>
  </si>
  <si>
    <t>Table 1 - average annual household expenditure</t>
  </si>
  <si>
    <t>Table 2 - average annual per capital expenditure</t>
  </si>
  <si>
    <t>Implied size</t>
  </si>
  <si>
    <t>Average income by housing class</t>
  </si>
  <si>
    <t>Participation rate</t>
  </si>
  <si>
    <t>There is no publicly available data on the number of people in labour camps vs combines (found estimates in labour camps as high as 500,000, but don't seem reliable)</t>
  </si>
  <si>
    <t>Solution: take the simple average</t>
  </si>
  <si>
    <t>Wage as a share of combines - data</t>
  </si>
  <si>
    <t>Wage as a share of combines - decomposition</t>
  </si>
  <si>
    <t>This doesn’t match by default - but also, we don't know what the correct weighting of the four ISCO categories into our "low skill" gtap category should be</t>
  </si>
  <si>
    <t>This buys us some license to goal seek that number to get the weightings to align</t>
  </si>
  <si>
    <t>&lt;----- THIS NUMBER IS GOAL SEEKED. SEE COMMENTS BELOW. MUST BE IN THE RANGE 510 to 1295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</si>
</sst>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%"/>
    <numFmt numFmtId="167" formatCode="0.0"/>
    <numFmt numFmtId="168" formatCode="#,##0.0"/>
    <numFmt numFmtId="169" formatCode="_(* #,##0.00_);_(* \(#,##0.00\);_(* &quot;-&quot;??_);_(@_)"/>
    <numFmt numFmtId="170" formatCode="_(* #,##0_);_(* \(#,##0\);_(* &quot;-&quot;??_);_(@_)"/>
    <numFmt numFmtId="171" formatCode="_-* #,##0.00\ [$د.إ.‏-3801]_-;\-* #,##0.00\ [$د.إ.‏-3801]_-;_-* &quot;-&quot;??\ [$د.إ.‏-3801]_-;_-@_-"/>
    <numFmt numFmtId="172" formatCode="0.0000%"/>
    <numFmt numFmtId="173" formatCode="_-* #,##0.0\ [$د.إ.‏-3801]_-;\-* #,##0.0\ [$د.إ.‏-3801]_-;_-* &quot;-&quot;??\ [$د.إ.‏-3801]_-;_-@_-"/>
    <numFmt numFmtId="174" formatCode="_-* #,##0.000\ [$د.إ.‏-3801]_-;\-* #,##0.000\ [$د.إ.‏-3801]_-;_-* &quot;-&quot;??\ [$د.إ.‏-3801]_-;_-@_-"/>
  </numFmts>
  <fonts count="4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2"/>
      <color rgb="FF4A4A4A"/>
      <name val="Calibri"/>
      <family val="2"/>
    </font>
    <font>
      <b/>
      <sz val="12"/>
      <color rgb="FF4A4A4A"/>
      <name val="Calibri"/>
      <family val="2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0" tint="-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indexed="8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1"/>
      <name val="Calibri"/>
      <family val="2"/>
    </font>
    <font>
      <b/>
      <sz val="13"/>
      <color indexed="63"/>
      <name val="Wisoft pro"/>
    </font>
    <font>
      <b/>
      <sz val="13"/>
      <name val="Wisoft pro"/>
    </font>
    <font>
      <sz val="14"/>
      <color indexed="63"/>
      <name val="GE SS Two Light"/>
      <family val="1"/>
      <charset val="178"/>
    </font>
    <font>
      <b/>
      <sz val="8"/>
      <name val="Wisoft pro"/>
    </font>
    <font>
      <b/>
      <sz val="10"/>
      <name val="Wisoft pro"/>
    </font>
    <font>
      <sz val="9"/>
      <name val="Arial"/>
      <family val="2"/>
    </font>
    <font>
      <sz val="11"/>
      <color indexed="63"/>
      <name val="Wisoft pro"/>
    </font>
    <font>
      <sz val="10"/>
      <color indexed="63"/>
      <name val="Wisoft pro"/>
    </font>
    <font>
      <sz val="8"/>
      <name val="Arial"/>
      <family val="2"/>
    </font>
    <font>
      <b/>
      <sz val="11"/>
      <color indexed="63"/>
      <name val="Wisoft pro"/>
    </font>
    <font>
      <sz val="10"/>
      <color rgb="FFFF0000"/>
      <name val="Arial"/>
      <family val="2"/>
    </font>
    <font>
      <sz val="11"/>
      <color theme="0" tint="-0.249977111117893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B68A3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C2C2C2"/>
      </left>
      <right style="thin">
        <color rgb="FFC2C2C2"/>
      </right>
      <top/>
      <bottom style="thin">
        <color rgb="FFC2C2C2"/>
      </bottom>
      <diagonal/>
    </border>
    <border>
      <left style="thin">
        <color rgb="FFC2C2C2"/>
      </left>
      <right style="thin">
        <color rgb="FFC2C2C2"/>
      </right>
      <top style="thin">
        <color rgb="FFC2C2C2"/>
      </top>
      <bottom style="thin">
        <color rgb="FFC2C2C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hair">
        <color indexed="55"/>
      </right>
      <top style="thin">
        <color rgb="FFFF0000"/>
      </top>
      <bottom/>
      <diagonal/>
    </border>
    <border>
      <left style="hair">
        <color indexed="55"/>
      </left>
      <right style="hair">
        <color indexed="55"/>
      </right>
      <top style="thin">
        <color rgb="FFFF0000"/>
      </top>
      <bottom/>
      <diagonal/>
    </border>
    <border>
      <left style="hair">
        <color indexed="55"/>
      </left>
      <right/>
      <top style="thin">
        <color indexed="10"/>
      </top>
      <bottom/>
      <diagonal/>
    </border>
    <border>
      <left style="hair">
        <color indexed="55"/>
      </left>
      <right/>
      <top style="thin">
        <color rgb="FFFF0000"/>
      </top>
      <bottom/>
      <diagonal/>
    </border>
    <border>
      <left/>
      <right style="hair">
        <color indexed="55"/>
      </right>
      <top/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thin">
        <color indexed="55"/>
      </bottom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55"/>
      </left>
      <right/>
      <top/>
      <bottom style="thin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thin">
        <color indexed="55"/>
      </bottom>
      <diagonal/>
    </border>
    <border>
      <left/>
      <right/>
      <top style="hair">
        <color indexed="55"/>
      </top>
      <bottom style="thin">
        <color indexed="55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9" fontId="1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" fillId="0" borderId="0"/>
    <xf numFmtId="0" fontId="19" fillId="0" borderId="0" applyNumberFormat="0" applyFill="0" applyBorder="0" applyAlignment="0" applyProtection="0"/>
    <xf numFmtId="0" fontId="31" fillId="15" borderId="26" applyNumberFormat="0" applyAlignment="0" applyProtection="0"/>
    <xf numFmtId="0" fontId="11" fillId="0" borderId="0"/>
    <xf numFmtId="0" fontId="33" fillId="0" borderId="0"/>
    <xf numFmtId="0" fontId="11" fillId="0" borderId="0"/>
    <xf numFmtId="169" fontId="33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309">
    <xf numFmtId="0" fontId="0" fillId="0" borderId="0" xfId="0"/>
    <xf numFmtId="0" fontId="2" fillId="0" borderId="1" xfId="2"/>
    <xf numFmtId="164" fontId="0" fillId="0" borderId="0" xfId="1" applyNumberFormat="1" applyFont="1"/>
    <xf numFmtId="165" fontId="0" fillId="0" borderId="0" xfId="0" applyNumberFormat="1"/>
    <xf numFmtId="166" fontId="0" fillId="0" borderId="0" xfId="3" applyNumberFormat="1" applyFont="1"/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6" fontId="7" fillId="0" borderId="5" xfId="3" applyNumberFormat="1" applyFont="1" applyBorder="1" applyAlignment="1">
      <alignment horizontal="center" vertical="center" readingOrder="2"/>
    </xf>
    <xf numFmtId="3" fontId="7" fillId="0" borderId="5" xfId="0" applyNumberFormat="1" applyFont="1" applyBorder="1" applyAlignment="1">
      <alignment horizontal="left" vertical="center" readingOrder="2"/>
    </xf>
    <xf numFmtId="166" fontId="8" fillId="3" borderId="5" xfId="3" applyNumberFormat="1" applyFont="1" applyFill="1" applyBorder="1" applyAlignment="1">
      <alignment horizontal="center" vertical="center" readingOrder="2"/>
    </xf>
    <xf numFmtId="3" fontId="8" fillId="3" borderId="5" xfId="0" applyNumberFormat="1" applyFont="1" applyFill="1" applyBorder="1" applyAlignment="1">
      <alignment horizontal="right" vertical="center" readingOrder="2"/>
    </xf>
    <xf numFmtId="9" fontId="0" fillId="0" borderId="0" xfId="3" applyFont="1"/>
    <xf numFmtId="0" fontId="9" fillId="0" borderId="0" xfId="0" applyFont="1"/>
    <xf numFmtId="0" fontId="10" fillId="0" borderId="6" xfId="0" applyFont="1" applyBorder="1"/>
    <xf numFmtId="0" fontId="10" fillId="0" borderId="7" xfId="0" applyFont="1" applyBorder="1"/>
    <xf numFmtId="0" fontId="10" fillId="0" borderId="6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2" xfId="6" applyFont="1" applyBorder="1" applyAlignment="1">
      <alignment horizontal="center" vertical="center" wrapText="1"/>
    </xf>
    <xf numFmtId="0" fontId="11" fillId="0" borderId="13" xfId="6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 readingOrder="1"/>
    </xf>
    <xf numFmtId="0" fontId="11" fillId="0" borderId="11" xfId="6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1" fillId="0" borderId="15" xfId="6" applyFont="1" applyBorder="1"/>
    <xf numFmtId="0" fontId="10" fillId="0" borderId="9" xfId="0" applyFont="1" applyBorder="1"/>
    <xf numFmtId="167" fontId="13" fillId="4" borderId="8" xfId="0" applyNumberFormat="1" applyFont="1" applyFill="1" applyBorder="1"/>
    <xf numFmtId="0" fontId="10" fillId="0" borderId="8" xfId="0" applyFont="1" applyBorder="1"/>
    <xf numFmtId="167" fontId="13" fillId="4" borderId="6" xfId="0" applyNumberFormat="1" applyFont="1" applyFill="1" applyBorder="1"/>
    <xf numFmtId="1" fontId="0" fillId="5" borderId="0" xfId="0" applyNumberFormat="1" applyFill="1"/>
    <xf numFmtId="167" fontId="0" fillId="0" borderId="0" xfId="0" applyNumberFormat="1"/>
    <xf numFmtId="0" fontId="10" fillId="0" borderId="16" xfId="0" applyFont="1" applyBorder="1"/>
    <xf numFmtId="0" fontId="10" fillId="0" borderId="0" xfId="0" applyFont="1"/>
    <xf numFmtId="0" fontId="10" fillId="0" borderId="15" xfId="0" applyFont="1" applyBorder="1"/>
    <xf numFmtId="167" fontId="13" fillId="4" borderId="0" xfId="0" applyNumberFormat="1" applyFont="1" applyFill="1"/>
    <xf numFmtId="0" fontId="10" fillId="0" borderId="14" xfId="0" applyFont="1" applyBorder="1"/>
    <xf numFmtId="167" fontId="13" fillId="4" borderId="14" xfId="0" applyNumberFormat="1" applyFont="1" applyFill="1" applyBorder="1"/>
    <xf numFmtId="0" fontId="12" fillId="0" borderId="15" xfId="0" applyFont="1" applyBorder="1" applyAlignment="1">
      <alignment horizontal="left" vertical="top" readingOrder="1"/>
    </xf>
    <xf numFmtId="0" fontId="11" fillId="0" borderId="18" xfId="6" applyFont="1" applyBorder="1"/>
    <xf numFmtId="167" fontId="13" fillId="4" borderId="15" xfId="0" applyNumberFormat="1" applyFont="1" applyFill="1" applyBorder="1"/>
    <xf numFmtId="0" fontId="11" fillId="0" borderId="0" xfId="6" applyFont="1"/>
    <xf numFmtId="167" fontId="10" fillId="5" borderId="16" xfId="0" applyNumberFormat="1" applyFont="1" applyFill="1" applyBorder="1"/>
    <xf numFmtId="167" fontId="10" fillId="5" borderId="0" xfId="0" applyNumberFormat="1" applyFont="1" applyFill="1"/>
    <xf numFmtId="167" fontId="10" fillId="5" borderId="15" xfId="0" applyNumberFormat="1" applyFont="1" applyFill="1" applyBorder="1"/>
    <xf numFmtId="167" fontId="10" fillId="5" borderId="14" xfId="0" applyNumberFormat="1" applyFont="1" applyFill="1" applyBorder="1"/>
    <xf numFmtId="167" fontId="15" fillId="5" borderId="14" xfId="0" applyNumberFormat="1" applyFont="1" applyFill="1" applyBorder="1"/>
    <xf numFmtId="167" fontId="0" fillId="6" borderId="0" xfId="0" applyNumberFormat="1" applyFill="1"/>
    <xf numFmtId="0" fontId="12" fillId="0" borderId="0" xfId="0" applyFont="1" applyAlignment="1">
      <alignment horizontal="left" vertical="top" readingOrder="1"/>
    </xf>
    <xf numFmtId="0" fontId="10" fillId="5" borderId="14" xfId="0" applyFont="1" applyFill="1" applyBorder="1"/>
    <xf numFmtId="0" fontId="11" fillId="0" borderId="7" xfId="6" applyFont="1" applyBorder="1"/>
    <xf numFmtId="167" fontId="13" fillId="4" borderId="16" xfId="0" applyNumberFormat="1" applyFont="1" applyFill="1" applyBorder="1"/>
    <xf numFmtId="0" fontId="10" fillId="0" borderId="18" xfId="0" applyFont="1" applyBorder="1"/>
    <xf numFmtId="0" fontId="10" fillId="4" borderId="15" xfId="0" applyFont="1" applyFill="1" applyBorder="1"/>
    <xf numFmtId="167" fontId="10" fillId="4" borderId="16" xfId="0" applyNumberFormat="1" applyFont="1" applyFill="1" applyBorder="1"/>
    <xf numFmtId="1" fontId="10" fillId="4" borderId="15" xfId="0" applyNumberFormat="1" applyFont="1" applyFill="1" applyBorder="1"/>
    <xf numFmtId="1" fontId="10" fillId="4" borderId="16" xfId="0" applyNumberFormat="1" applyFont="1" applyFill="1" applyBorder="1"/>
    <xf numFmtId="167" fontId="10" fillId="0" borderId="0" xfId="0" applyNumberFormat="1" applyFont="1"/>
    <xf numFmtId="0" fontId="10" fillId="0" borderId="17" xfId="0" applyFont="1" applyBorder="1" applyAlignment="1">
      <alignment horizontal="left"/>
    </xf>
    <xf numFmtId="0" fontId="10" fillId="0" borderId="19" xfId="0" applyFont="1" applyBorder="1"/>
    <xf numFmtId="0" fontId="10" fillId="0" borderId="20" xfId="0" applyFont="1" applyBorder="1"/>
    <xf numFmtId="167" fontId="10" fillId="5" borderId="19" xfId="0" applyNumberFormat="1" applyFont="1" applyFill="1" applyBorder="1"/>
    <xf numFmtId="167" fontId="13" fillId="4" borderId="20" xfId="0" applyNumberFormat="1" applyFont="1" applyFill="1" applyBorder="1"/>
    <xf numFmtId="167" fontId="10" fillId="5" borderId="18" xfId="0" applyNumberFormat="1" applyFont="1" applyFill="1" applyBorder="1"/>
    <xf numFmtId="0" fontId="10" fillId="0" borderId="17" xfId="0" applyFont="1" applyBorder="1"/>
    <xf numFmtId="167" fontId="15" fillId="5" borderId="17" xfId="0" applyNumberFormat="1" applyFont="1" applyFill="1" applyBorder="1"/>
    <xf numFmtId="0" fontId="10" fillId="0" borderId="10" xfId="0" applyFont="1" applyBorder="1" applyAlignment="1">
      <alignment horizontal="left"/>
    </xf>
    <xf numFmtId="0" fontId="13" fillId="0" borderId="13" xfId="0" applyFont="1" applyBorder="1"/>
    <xf numFmtId="167" fontId="13" fillId="4" borderId="12" xfId="0" applyNumberFormat="1" applyFont="1" applyFill="1" applyBorder="1"/>
    <xf numFmtId="167" fontId="13" fillId="4" borderId="13" xfId="0" applyNumberFormat="1" applyFont="1" applyFill="1" applyBorder="1"/>
    <xf numFmtId="167" fontId="13" fillId="4" borderId="11" xfId="0" applyNumberFormat="1" applyFont="1" applyFill="1" applyBorder="1"/>
    <xf numFmtId="167" fontId="15" fillId="5" borderId="12" xfId="0" applyNumberFormat="1" applyFont="1" applyFill="1" applyBorder="1"/>
    <xf numFmtId="167" fontId="15" fillId="5" borderId="13" xfId="0" applyNumberFormat="1" applyFont="1" applyFill="1" applyBorder="1"/>
    <xf numFmtId="167" fontId="15" fillId="5" borderId="11" xfId="0" applyNumberFormat="1" applyFont="1" applyFill="1" applyBorder="1"/>
    <xf numFmtId="167" fontId="15" fillId="5" borderId="10" xfId="0" applyNumberFormat="1" applyFont="1" applyFill="1" applyBorder="1"/>
    <xf numFmtId="0" fontId="10" fillId="0" borderId="10" xfId="0" applyFont="1" applyBorder="1"/>
    <xf numFmtId="9" fontId="0" fillId="7" borderId="21" xfId="3" applyFont="1" applyFill="1" applyBorder="1"/>
    <xf numFmtId="9" fontId="17" fillId="7" borderId="21" xfId="3" applyFont="1" applyFill="1" applyBorder="1"/>
    <xf numFmtId="1" fontId="16" fillId="4" borderId="21" xfId="3" applyNumberFormat="1" applyFont="1" applyFill="1" applyBorder="1"/>
    <xf numFmtId="9" fontId="10" fillId="4" borderId="21" xfId="3" applyFont="1" applyFill="1" applyBorder="1"/>
    <xf numFmtId="1" fontId="0" fillId="7" borderId="21" xfId="3" applyNumberFormat="1" applyFont="1" applyFill="1" applyBorder="1"/>
    <xf numFmtId="9" fontId="10" fillId="7" borderId="21" xfId="3" applyFont="1" applyFill="1" applyBorder="1"/>
    <xf numFmtId="1" fontId="16" fillId="7" borderId="21" xfId="3" applyNumberFormat="1" applyFont="1" applyFill="1" applyBorder="1"/>
    <xf numFmtId="1" fontId="0" fillId="5" borderId="21" xfId="3" applyNumberFormat="1" applyFont="1" applyFill="1" applyBorder="1"/>
    <xf numFmtId="9" fontId="10" fillId="5" borderId="21" xfId="3" applyFont="1" applyFill="1" applyBorder="1"/>
    <xf numFmtId="0" fontId="0" fillId="5" borderId="0" xfId="0" applyFill="1"/>
    <xf numFmtId="0" fontId="0" fillId="0" borderId="0" xfId="0" applyAlignment="1">
      <alignment horizontal="left"/>
    </xf>
    <xf numFmtId="9" fontId="0" fillId="0" borderId="0" xfId="0" applyNumberFormat="1"/>
    <xf numFmtId="9" fontId="0" fillId="8" borderId="0" xfId="3" applyFont="1" applyFill="1"/>
    <xf numFmtId="0" fontId="18" fillId="0" borderId="21" xfId="0" applyFont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0" fillId="0" borderId="0" xfId="0" applyAlignment="1">
      <alignment vertical="center"/>
    </xf>
    <xf numFmtId="2" fontId="0" fillId="0" borderId="0" xfId="0" applyNumberFormat="1"/>
    <xf numFmtId="1" fontId="0" fillId="0" borderId="0" xfId="0" applyNumberFormat="1"/>
    <xf numFmtId="0" fontId="3" fillId="0" borderId="2" xfId="4"/>
    <xf numFmtId="0" fontId="19" fillId="0" borderId="0" xfId="7"/>
    <xf numFmtId="0" fontId="0" fillId="0" borderId="0" xfId="0" applyAlignment="1">
      <alignment wrapText="1"/>
    </xf>
    <xf numFmtId="0" fontId="4" fillId="0" borderId="3" xfId="5"/>
    <xf numFmtId="164" fontId="0" fillId="0" borderId="0" xfId="0" applyNumberFormat="1"/>
    <xf numFmtId="0" fontId="5" fillId="0" borderId="0" xfId="0" applyFont="1"/>
    <xf numFmtId="0" fontId="20" fillId="0" borderId="0" xfId="0" applyFont="1"/>
    <xf numFmtId="0" fontId="0" fillId="6" borderId="0" xfId="0" applyFill="1"/>
    <xf numFmtId="167" fontId="21" fillId="0" borderId="8" xfId="0" applyNumberFormat="1" applyFont="1" applyBorder="1" applyAlignment="1">
      <alignment vertical="center"/>
    </xf>
    <xf numFmtId="0" fontId="21" fillId="0" borderId="9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6" xfId="0" applyFont="1" applyBorder="1"/>
    <xf numFmtId="0" fontId="21" fillId="0" borderId="16" xfId="0" applyFont="1" applyBorder="1"/>
    <xf numFmtId="0" fontId="21" fillId="0" borderId="0" xfId="0" applyFont="1"/>
    <xf numFmtId="0" fontId="21" fillId="0" borderId="15" xfId="0" applyFont="1" applyBorder="1"/>
    <xf numFmtId="0" fontId="21" fillId="0" borderId="14" xfId="0" applyFont="1" applyBorder="1"/>
    <xf numFmtId="167" fontId="21" fillId="0" borderId="16" xfId="0" applyNumberFormat="1" applyFont="1" applyBorder="1"/>
    <xf numFmtId="167" fontId="21" fillId="0" borderId="0" xfId="0" applyNumberFormat="1" applyFont="1"/>
    <xf numFmtId="167" fontId="21" fillId="0" borderId="15" xfId="0" applyNumberFormat="1" applyFont="1" applyBorder="1"/>
    <xf numFmtId="167" fontId="21" fillId="0" borderId="14" xfId="0" applyNumberFormat="1" applyFont="1" applyBorder="1"/>
    <xf numFmtId="1" fontId="21" fillId="0" borderId="15" xfId="0" applyNumberFormat="1" applyFont="1" applyBorder="1"/>
    <xf numFmtId="1" fontId="21" fillId="0" borderId="16" xfId="0" applyNumberFormat="1" applyFont="1" applyBorder="1"/>
    <xf numFmtId="0" fontId="21" fillId="0" borderId="19" xfId="0" applyFont="1" applyBorder="1"/>
    <xf numFmtId="0" fontId="21" fillId="0" borderId="20" xfId="0" applyFont="1" applyBorder="1"/>
    <xf numFmtId="0" fontId="21" fillId="0" borderId="18" xfId="0" applyFont="1" applyBorder="1"/>
    <xf numFmtId="167" fontId="21" fillId="0" borderId="18" xfId="0" applyNumberFormat="1" applyFont="1" applyBorder="1"/>
    <xf numFmtId="0" fontId="21" fillId="0" borderId="17" xfId="0" applyFont="1" applyBorder="1"/>
    <xf numFmtId="167" fontId="21" fillId="0" borderId="17" xfId="0" applyNumberFormat="1" applyFont="1" applyBorder="1"/>
    <xf numFmtId="167" fontId="21" fillId="0" borderId="12" xfId="0" applyNumberFormat="1" applyFont="1" applyBorder="1"/>
    <xf numFmtId="167" fontId="21" fillId="0" borderId="13" xfId="0" applyNumberFormat="1" applyFont="1" applyBorder="1"/>
    <xf numFmtId="167" fontId="21" fillId="0" borderId="11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7" fontId="21" fillId="0" borderId="8" xfId="0" applyNumberFormat="1" applyFont="1" applyBorder="1"/>
    <xf numFmtId="167" fontId="21" fillId="0" borderId="6" xfId="0" applyNumberFormat="1" applyFont="1" applyBorder="1"/>
    <xf numFmtId="167" fontId="21" fillId="0" borderId="20" xfId="0" applyNumberFormat="1" applyFont="1" applyBorder="1"/>
    <xf numFmtId="0" fontId="11" fillId="6" borderId="7" xfId="6" applyFont="1" applyFill="1" applyBorder="1"/>
    <xf numFmtId="167" fontId="14" fillId="6" borderId="14" xfId="0" applyNumberFormat="1" applyFont="1" applyFill="1" applyBorder="1"/>
    <xf numFmtId="0" fontId="11" fillId="6" borderId="15" xfId="6" applyFont="1" applyFill="1" applyBorder="1"/>
    <xf numFmtId="0" fontId="10" fillId="6" borderId="12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21" fillId="6" borderId="16" xfId="0" applyFont="1" applyFill="1" applyBorder="1"/>
    <xf numFmtId="0" fontId="21" fillId="6" borderId="0" xfId="0" applyFont="1" applyFill="1"/>
    <xf numFmtId="167" fontId="21" fillId="6" borderId="16" xfId="0" applyNumberFormat="1" applyFont="1" applyFill="1" applyBorder="1"/>
    <xf numFmtId="167" fontId="21" fillId="6" borderId="0" xfId="0" applyNumberFormat="1" applyFont="1" applyFill="1"/>
    <xf numFmtId="167" fontId="21" fillId="6" borderId="20" xfId="0" applyNumberFormat="1" applyFont="1" applyFill="1" applyBorder="1"/>
    <xf numFmtId="167" fontId="21" fillId="6" borderId="12" xfId="0" applyNumberFormat="1" applyFont="1" applyFill="1" applyBorder="1"/>
    <xf numFmtId="167" fontId="21" fillId="6" borderId="13" xfId="0" applyNumberFormat="1" applyFont="1" applyFill="1" applyBorder="1"/>
    <xf numFmtId="0" fontId="10" fillId="6" borderId="7" xfId="0" applyFont="1" applyFill="1" applyBorder="1"/>
    <xf numFmtId="0" fontId="21" fillId="6" borderId="15" xfId="0" applyFont="1" applyFill="1" applyBorder="1"/>
    <xf numFmtId="1" fontId="21" fillId="6" borderId="15" xfId="0" applyNumberFormat="1" applyFont="1" applyFill="1" applyBorder="1"/>
    <xf numFmtId="0" fontId="21" fillId="6" borderId="14" xfId="0" applyFont="1" applyFill="1" applyBorder="1"/>
    <xf numFmtId="167" fontId="21" fillId="6" borderId="14" xfId="0" applyNumberFormat="1" applyFont="1" applyFill="1" applyBorder="1"/>
    <xf numFmtId="0" fontId="10" fillId="6" borderId="15" xfId="0" applyFont="1" applyFill="1" applyBorder="1"/>
    <xf numFmtId="167" fontId="22" fillId="6" borderId="16" xfId="0" applyNumberFormat="1" applyFont="1" applyFill="1" applyBorder="1"/>
    <xf numFmtId="167" fontId="22" fillId="6" borderId="0" xfId="0" applyNumberFormat="1" applyFont="1" applyFill="1"/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23" fillId="0" borderId="16" xfId="0" applyFont="1" applyBorder="1"/>
    <xf numFmtId="0" fontId="23" fillId="0" borderId="0" xfId="0" applyFont="1"/>
    <xf numFmtId="0" fontId="23" fillId="0" borderId="15" xfId="0" applyFont="1" applyBorder="1"/>
    <xf numFmtId="0" fontId="23" fillId="0" borderId="14" xfId="0" applyFont="1" applyBorder="1"/>
    <xf numFmtId="3" fontId="0" fillId="0" borderId="0" xfId="0" applyNumberFormat="1"/>
    <xf numFmtId="43" fontId="0" fillId="0" borderId="0" xfId="0" applyNumberFormat="1"/>
    <xf numFmtId="0" fontId="24" fillId="0" borderId="0" xfId="0" applyFont="1" applyAlignment="1">
      <alignment vertical="center"/>
    </xf>
    <xf numFmtId="0" fontId="17" fillId="9" borderId="0" xfId="0" applyFont="1" applyFill="1" applyAlignment="1">
      <alignment horizontal="centerContinuous" vertical="center"/>
    </xf>
    <xf numFmtId="0" fontId="25" fillId="0" borderId="0" xfId="0" applyFont="1" applyAlignment="1">
      <alignment vertical="center"/>
    </xf>
    <xf numFmtId="0" fontId="5" fillId="9" borderId="0" xfId="0" applyFont="1" applyFill="1" applyAlignment="1">
      <alignment horizontal="centerContinuous" vertical="center"/>
    </xf>
    <xf numFmtId="0" fontId="25" fillId="9" borderId="0" xfId="0" applyFont="1" applyFill="1" applyAlignment="1">
      <alignment horizontal="centerContinuous" vertical="center"/>
    </xf>
    <xf numFmtId="0" fontId="10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9" borderId="23" xfId="0" applyFont="1" applyFill="1" applyBorder="1" applyAlignment="1">
      <alignment horizontal="centerContinuous" vertical="center" readingOrder="2"/>
    </xf>
    <xf numFmtId="0" fontId="27" fillId="9" borderId="23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27" fillId="10" borderId="23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right" vertical="center" readingOrder="2"/>
    </xf>
    <xf numFmtId="3" fontId="29" fillId="7" borderId="0" xfId="0" applyNumberFormat="1" applyFont="1" applyFill="1" applyAlignment="1">
      <alignment horizontal="center" vertical="center"/>
    </xf>
    <xf numFmtId="1" fontId="29" fillId="7" borderId="0" xfId="0" applyNumberFormat="1" applyFont="1" applyFill="1" applyAlignment="1">
      <alignment horizontal="left" vertical="center" readingOrder="1"/>
    </xf>
    <xf numFmtId="1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horizontal="left" vertical="center"/>
    </xf>
    <xf numFmtId="0" fontId="24" fillId="7" borderId="0" xfId="0" applyFont="1" applyFill="1" applyAlignment="1">
      <alignment horizontal="right" vertical="center"/>
    </xf>
    <xf numFmtId="49" fontId="24" fillId="0" borderId="0" xfId="0" applyNumberFormat="1" applyFont="1" applyAlignment="1">
      <alignment horizontal="left" vertical="center" wrapText="1"/>
    </xf>
    <xf numFmtId="3" fontId="24" fillId="7" borderId="0" xfId="0" applyNumberFormat="1" applyFont="1" applyFill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24" fillId="7" borderId="0" xfId="0" applyFont="1" applyFill="1" applyAlignment="1">
      <alignment horizontal="right" vertical="center" indent="1"/>
    </xf>
    <xf numFmtId="1" fontId="29" fillId="7" borderId="0" xfId="0" applyNumberFormat="1" applyFont="1" applyFill="1" applyAlignment="1">
      <alignment horizontal="left" vertical="center" indent="1" readingOrder="1"/>
    </xf>
    <xf numFmtId="0" fontId="24" fillId="0" borderId="0" xfId="0" applyFont="1" applyAlignment="1">
      <alignment horizontal="right" vertical="center" indent="1"/>
    </xf>
    <xf numFmtId="0" fontId="24" fillId="0" borderId="0" xfId="0" applyFont="1" applyAlignment="1">
      <alignment horizontal="right" vertical="center"/>
    </xf>
    <xf numFmtId="1" fontId="24" fillId="7" borderId="0" xfId="0" applyNumberFormat="1" applyFont="1" applyFill="1" applyAlignment="1">
      <alignment horizontal="left" vertical="center" readingOrder="1"/>
    </xf>
    <xf numFmtId="0" fontId="25" fillId="9" borderId="25" xfId="0" applyFont="1" applyFill="1" applyBorder="1" applyAlignment="1">
      <alignment horizontal="right" vertical="center"/>
    </xf>
    <xf numFmtId="3" fontId="25" fillId="9" borderId="25" xfId="0" applyNumberFormat="1" applyFont="1" applyFill="1" applyBorder="1" applyAlignment="1">
      <alignment horizontal="center" vertical="center"/>
    </xf>
    <xf numFmtId="1" fontId="25" fillId="9" borderId="25" xfId="0" applyNumberFormat="1" applyFont="1" applyFill="1" applyBorder="1" applyAlignment="1">
      <alignment horizontal="left" vertical="center" readingOrder="1"/>
    </xf>
    <xf numFmtId="1" fontId="24" fillId="7" borderId="0" xfId="0" applyNumberFormat="1" applyFont="1" applyFill="1" applyAlignment="1">
      <alignment vertical="center"/>
    </xf>
    <xf numFmtId="0" fontId="24" fillId="7" borderId="0" xfId="0" applyFont="1" applyFill="1" applyAlignment="1">
      <alignment vertical="center"/>
    </xf>
    <xf numFmtId="0" fontId="25" fillId="7" borderId="0" xfId="0" applyFont="1" applyFill="1" applyAlignment="1">
      <alignment horizontal="right" vertical="center"/>
    </xf>
    <xf numFmtId="3" fontId="25" fillId="7" borderId="0" xfId="0" applyNumberFormat="1" applyFont="1" applyFill="1" applyAlignment="1">
      <alignment horizontal="center" vertical="center"/>
    </xf>
    <xf numFmtId="1" fontId="25" fillId="7" borderId="0" xfId="0" applyNumberFormat="1" applyFont="1" applyFill="1" applyAlignment="1">
      <alignment horizontal="left" vertical="center"/>
    </xf>
    <xf numFmtId="1" fontId="24" fillId="7" borderId="0" xfId="0" applyNumberFormat="1" applyFont="1" applyFill="1" applyAlignment="1">
      <alignment horizontal="left" vertical="center"/>
    </xf>
    <xf numFmtId="9" fontId="24" fillId="0" borderId="0" xfId="3" applyFont="1" applyAlignment="1">
      <alignment vertical="center"/>
    </xf>
    <xf numFmtId="0" fontId="24" fillId="5" borderId="0" xfId="0" applyFont="1" applyFill="1" applyAlignment="1">
      <alignment vertical="center"/>
    </xf>
    <xf numFmtId="9" fontId="24" fillId="5" borderId="0" xfId="3" applyFont="1" applyFill="1" applyAlignment="1">
      <alignment vertical="center"/>
    </xf>
    <xf numFmtId="1" fontId="29" fillId="5" borderId="0" xfId="0" applyNumberFormat="1" applyFont="1" applyFill="1" applyAlignment="1">
      <alignment horizontal="left" vertical="center" readingOrder="1"/>
    </xf>
    <xf numFmtId="1" fontId="29" fillId="5" borderId="0" xfId="0" applyNumberFormat="1" applyFont="1" applyFill="1" applyAlignment="1">
      <alignment horizontal="left" vertical="center" indent="1" readingOrder="1"/>
    </xf>
    <xf numFmtId="1" fontId="24" fillId="5" borderId="0" xfId="0" applyNumberFormat="1" applyFont="1" applyFill="1" applyAlignment="1">
      <alignment horizontal="left" vertical="center" readingOrder="1"/>
    </xf>
    <xf numFmtId="2" fontId="24" fillId="5" borderId="0" xfId="0" applyNumberFormat="1" applyFont="1" applyFill="1" applyAlignment="1">
      <alignment vertical="center"/>
    </xf>
    <xf numFmtId="1" fontId="24" fillId="5" borderId="0" xfId="0" applyNumberFormat="1" applyFont="1" applyFill="1" applyAlignment="1">
      <alignment vertical="center"/>
    </xf>
    <xf numFmtId="0" fontId="2" fillId="0" borderId="1" xfId="2" applyAlignment="1">
      <alignment vertical="center"/>
    </xf>
    <xf numFmtId="3" fontId="24" fillId="0" borderId="0" xfId="0" applyNumberFormat="1" applyFont="1" applyAlignment="1">
      <alignment vertical="center"/>
    </xf>
    <xf numFmtId="9" fontId="24" fillId="0" borderId="0" xfId="0" applyNumberFormat="1" applyFont="1" applyAlignment="1">
      <alignment vertical="center"/>
    </xf>
    <xf numFmtId="9" fontId="0" fillId="6" borderId="0" xfId="0" applyNumberFormat="1" applyFill="1"/>
    <xf numFmtId="3" fontId="0" fillId="5" borderId="0" xfId="0" applyNumberFormat="1" applyFill="1"/>
    <xf numFmtId="164" fontId="30" fillId="6" borderId="0" xfId="1" applyNumberFormat="1" applyFont="1" applyFill="1"/>
    <xf numFmtId="168" fontId="21" fillId="6" borderId="16" xfId="0" applyNumberFormat="1" applyFont="1" applyFill="1" applyBorder="1"/>
    <xf numFmtId="10" fontId="0" fillId="0" borderId="0" xfId="0" quotePrefix="1" applyNumberFormat="1"/>
    <xf numFmtId="167" fontId="30" fillId="6" borderId="0" xfId="0" applyNumberFormat="1" applyFont="1" applyFill="1"/>
    <xf numFmtId="3" fontId="30" fillId="6" borderId="0" xfId="0" applyNumberFormat="1" applyFont="1" applyFill="1"/>
    <xf numFmtId="1" fontId="0" fillId="11" borderId="0" xfId="0" applyNumberFormat="1" applyFill="1"/>
    <xf numFmtId="167" fontId="21" fillId="12" borderId="16" xfId="0" applyNumberFormat="1" applyFont="1" applyFill="1" applyBorder="1"/>
    <xf numFmtId="167" fontId="21" fillId="12" borderId="0" xfId="0" applyNumberFormat="1" applyFont="1" applyFill="1"/>
    <xf numFmtId="0" fontId="30" fillId="0" borderId="0" xfId="0" applyFont="1"/>
    <xf numFmtId="167" fontId="22" fillId="12" borderId="0" xfId="0" applyNumberFormat="1" applyFont="1" applyFill="1"/>
    <xf numFmtId="0" fontId="0" fillId="13" borderId="0" xfId="0" applyFill="1"/>
    <xf numFmtId="0" fontId="0" fillId="14" borderId="0" xfId="0" applyFill="1"/>
    <xf numFmtId="0" fontId="0" fillId="8" borderId="0" xfId="0" applyFill="1" applyAlignment="1">
      <alignment horizontal="center"/>
    </xf>
    <xf numFmtId="16" fontId="0" fillId="0" borderId="0" xfId="0" quotePrefix="1" applyNumberFormat="1"/>
    <xf numFmtId="9" fontId="31" fillId="15" borderId="26" xfId="8" applyNumberFormat="1"/>
    <xf numFmtId="9" fontId="32" fillId="16" borderId="26" xfId="3" applyFont="1" applyFill="1" applyBorder="1"/>
    <xf numFmtId="43" fontId="0" fillId="0" borderId="0" xfId="1" applyFont="1"/>
    <xf numFmtId="0" fontId="11" fillId="0" borderId="0" xfId="9"/>
    <xf numFmtId="0" fontId="33" fillId="0" borderId="0" xfId="10"/>
    <xf numFmtId="0" fontId="34" fillId="7" borderId="0" xfId="10" applyFont="1" applyFill="1" applyAlignment="1">
      <alignment horizontal="center" vertical="top" wrapText="1"/>
    </xf>
    <xf numFmtId="0" fontId="34" fillId="7" borderId="0" xfId="10" applyFont="1" applyFill="1" applyAlignment="1">
      <alignment vertical="top" wrapText="1"/>
    </xf>
    <xf numFmtId="0" fontId="11" fillId="17" borderId="0" xfId="9" applyFill="1" applyAlignment="1">
      <alignment vertical="top"/>
    </xf>
    <xf numFmtId="0" fontId="35" fillId="7" borderId="0" xfId="9" applyFont="1" applyFill="1" applyAlignment="1">
      <alignment horizontal="center" wrapText="1"/>
    </xf>
    <xf numFmtId="0" fontId="35" fillId="7" borderId="0" xfId="9" applyFont="1" applyFill="1" applyAlignment="1">
      <alignment wrapText="1"/>
    </xf>
    <xf numFmtId="0" fontId="36" fillId="17" borderId="0" xfId="9" applyFont="1" applyFill="1" applyAlignment="1">
      <alignment horizontal="center" vertical="top"/>
    </xf>
    <xf numFmtId="0" fontId="11" fillId="17" borderId="0" xfId="9" applyFill="1" applyAlignment="1">
      <alignment horizontal="right" vertical="center"/>
    </xf>
    <xf numFmtId="0" fontId="37" fillId="17" borderId="0" xfId="9" applyFont="1" applyFill="1" applyAlignment="1">
      <alignment vertical="center"/>
    </xf>
    <xf numFmtId="0" fontId="11" fillId="17" borderId="0" xfId="9" applyFill="1" applyAlignment="1">
      <alignment vertical="center"/>
    </xf>
    <xf numFmtId="0" fontId="39" fillId="17" borderId="0" xfId="9" applyFont="1" applyFill="1" applyAlignment="1">
      <alignment vertical="center"/>
    </xf>
    <xf numFmtId="0" fontId="40" fillId="0" borderId="35" xfId="11" applyFont="1" applyBorder="1" applyAlignment="1">
      <alignment vertical="center" wrapText="1"/>
    </xf>
    <xf numFmtId="3" fontId="41" fillId="0" borderId="36" xfId="12" applyNumberFormat="1" applyFont="1" applyFill="1" applyBorder="1" applyAlignment="1">
      <alignment horizontal="center" vertical="center"/>
    </xf>
    <xf numFmtId="0" fontId="40" fillId="0" borderId="37" xfId="11" applyFont="1" applyBorder="1" applyAlignment="1">
      <alignment vertical="center" wrapText="1"/>
    </xf>
    <xf numFmtId="0" fontId="42" fillId="17" borderId="0" xfId="9" applyFont="1" applyFill="1" applyAlignment="1">
      <alignment vertical="center" wrapText="1"/>
    </xf>
    <xf numFmtId="0" fontId="42" fillId="17" borderId="0" xfId="9" applyFont="1" applyFill="1" applyAlignment="1">
      <alignment vertical="center" wrapText="1" readingOrder="1"/>
    </xf>
    <xf numFmtId="164" fontId="42" fillId="17" borderId="0" xfId="13" applyNumberFormat="1" applyFont="1" applyFill="1" applyAlignment="1">
      <alignment vertical="center" wrapText="1"/>
    </xf>
    <xf numFmtId="164" fontId="33" fillId="0" borderId="0" xfId="13" applyNumberFormat="1" applyFont="1"/>
    <xf numFmtId="0" fontId="43" fillId="3" borderId="38" xfId="9" applyFont="1" applyFill="1" applyBorder="1" applyAlignment="1">
      <alignment vertical="center" wrapText="1"/>
    </xf>
    <xf numFmtId="170" fontId="43" fillId="3" borderId="38" xfId="12" applyNumberFormat="1" applyFont="1" applyFill="1" applyBorder="1" applyAlignment="1">
      <alignment horizontal="center" vertical="center" wrapText="1"/>
    </xf>
    <xf numFmtId="0" fontId="43" fillId="3" borderId="39" xfId="9" applyFont="1" applyFill="1" applyBorder="1" applyAlignment="1">
      <alignment vertical="center" wrapText="1"/>
    </xf>
    <xf numFmtId="0" fontId="44" fillId="17" borderId="0" xfId="11" applyFont="1" applyFill="1" applyAlignment="1">
      <alignment horizontal="right" readingOrder="2"/>
    </xf>
    <xf numFmtId="0" fontId="11" fillId="17" borderId="0" xfId="11" applyFill="1"/>
    <xf numFmtId="3" fontId="11" fillId="17" borderId="0" xfId="11" applyNumberFormat="1" applyFill="1"/>
    <xf numFmtId="0" fontId="44" fillId="17" borderId="0" xfId="11" applyFont="1" applyFill="1"/>
    <xf numFmtId="171" fontId="0" fillId="0" borderId="0" xfId="1" applyNumberFormat="1" applyFont="1"/>
    <xf numFmtId="0" fontId="0" fillId="11" borderId="0" xfId="0" applyFill="1"/>
    <xf numFmtId="0" fontId="10" fillId="0" borderId="6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10" fontId="0" fillId="0" borderId="0" xfId="0" applyNumberFormat="1"/>
    <xf numFmtId="171" fontId="0" fillId="0" borderId="0" xfId="0" applyNumberFormat="1"/>
    <xf numFmtId="1" fontId="0" fillId="0" borderId="0" xfId="3" applyNumberFormat="1" applyFont="1"/>
    <xf numFmtId="0" fontId="45" fillId="0" borderId="0" xfId="0" applyFont="1"/>
    <xf numFmtId="9" fontId="45" fillId="0" borderId="0" xfId="0" applyNumberFormat="1" applyFont="1"/>
    <xf numFmtId="0" fontId="0" fillId="0" borderId="0" xfId="0" applyAlignment="1">
      <alignment horizontal="center" wrapText="1"/>
    </xf>
    <xf numFmtId="172" fontId="0" fillId="0" borderId="0" xfId="3" applyNumberFormat="1" applyFont="1"/>
    <xf numFmtId="173" fontId="0" fillId="0" borderId="0" xfId="1" applyNumberFormat="1" applyFont="1"/>
    <xf numFmtId="174" fontId="0" fillId="0" borderId="0" xfId="1" applyNumberFormat="1" applyFont="1"/>
    <xf numFmtId="173" fontId="0" fillId="0" borderId="0" xfId="0" applyNumberFormat="1"/>
    <xf numFmtId="0" fontId="10" fillId="0" borderId="17" xfId="0" applyFont="1" applyBorder="1" applyAlignment="1">
      <alignment vertical="center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164" fontId="21" fillId="6" borderId="0" xfId="1" applyNumberFormat="1" applyFont="1" applyFill="1"/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3" fontId="0" fillId="6" borderId="0" xfId="0" applyNumberFormat="1" applyFill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16" fillId="7" borderId="21" xfId="3" applyNumberFormat="1" applyFont="1" applyFill="1" applyBorder="1" applyAlignment="1">
      <alignment horizontal="center"/>
    </xf>
    <xf numFmtId="0" fontId="16" fillId="4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" fontId="24" fillId="5" borderId="0" xfId="0" applyNumberFormat="1" applyFont="1" applyFill="1" applyAlignment="1">
      <alignment horizontal="center" vertical="center"/>
    </xf>
    <xf numFmtId="0" fontId="27" fillId="9" borderId="22" xfId="0" applyFont="1" applyFill="1" applyBorder="1" applyAlignment="1">
      <alignment horizontal="center" vertical="center"/>
    </xf>
    <xf numFmtId="0" fontId="27" fillId="9" borderId="23" xfId="0" applyFont="1" applyFill="1" applyBorder="1" applyAlignment="1">
      <alignment horizontal="center" vertical="center" wrapText="1"/>
    </xf>
    <xf numFmtId="0" fontId="27" fillId="9" borderId="23" xfId="0" applyFont="1" applyFill="1" applyBorder="1" applyAlignment="1">
      <alignment horizontal="center" vertical="center"/>
    </xf>
    <xf numFmtId="0" fontId="27" fillId="9" borderId="24" xfId="0" applyFont="1" applyFill="1" applyBorder="1" applyAlignment="1">
      <alignment horizontal="center" vertical="center"/>
    </xf>
    <xf numFmtId="0" fontId="34" fillId="7" borderId="0" xfId="10" applyFont="1" applyFill="1" applyAlignment="1">
      <alignment horizontal="center" vertical="top" wrapText="1"/>
    </xf>
    <xf numFmtId="0" fontId="35" fillId="7" borderId="0" xfId="9" applyFont="1" applyFill="1" applyAlignment="1">
      <alignment horizontal="center" wrapText="1"/>
    </xf>
    <xf numFmtId="0" fontId="38" fillId="3" borderId="27" xfId="9" applyFont="1" applyFill="1" applyBorder="1" applyAlignment="1">
      <alignment horizontal="center" vertical="center" wrapText="1"/>
    </xf>
    <xf numFmtId="0" fontId="38" fillId="3" borderId="31" xfId="9" applyFont="1" applyFill="1" applyBorder="1" applyAlignment="1">
      <alignment horizontal="center" vertical="center" wrapText="1"/>
    </xf>
    <xf numFmtId="0" fontId="38" fillId="3" borderId="28" xfId="9" applyFont="1" applyFill="1" applyBorder="1" applyAlignment="1">
      <alignment horizontal="center" vertical="center" wrapText="1"/>
    </xf>
    <xf numFmtId="0" fontId="38" fillId="3" borderId="32" xfId="9" applyFont="1" applyFill="1" applyBorder="1" applyAlignment="1">
      <alignment horizontal="center" vertical="center" wrapText="1"/>
    </xf>
    <xf numFmtId="0" fontId="38" fillId="3" borderId="30" xfId="9" applyFont="1" applyFill="1" applyBorder="1" applyAlignment="1">
      <alignment horizontal="center" vertical="center" wrapText="1"/>
    </xf>
    <xf numFmtId="0" fontId="38" fillId="3" borderId="34" xfId="9" applyFont="1" applyFill="1" applyBorder="1" applyAlignment="1">
      <alignment horizontal="center" vertical="center" wrapText="1"/>
    </xf>
    <xf numFmtId="0" fontId="38" fillId="3" borderId="29" xfId="11" applyFont="1" applyFill="1" applyBorder="1" applyAlignment="1">
      <alignment horizontal="center" vertical="center" wrapText="1"/>
    </xf>
    <xf numFmtId="0" fontId="38" fillId="3" borderId="33" xfId="11" applyFont="1" applyFill="1" applyBorder="1" applyAlignment="1">
      <alignment horizontal="center" vertical="center" wrapText="1"/>
    </xf>
  </cellXfs>
  <cellStyles count="14">
    <cellStyle name="Comma" xfId="1" builtinId="3"/>
    <cellStyle name="Comma 2" xfId="13" xr:uid="{6756D3F8-BE95-4555-87A7-1A0043FC5DEB}"/>
    <cellStyle name="Comma 5" xfId="12" xr:uid="{285BC273-F9E5-4FD9-8303-050B7105B465}"/>
    <cellStyle name="Heading 1" xfId="2" builtinId="16"/>
    <cellStyle name="Heading 2" xfId="4" builtinId="17"/>
    <cellStyle name="Heading 3" xfId="5" builtinId="18"/>
    <cellStyle name="Hyperlink" xfId="7" builtinId="8"/>
    <cellStyle name="Input" xfId="8" builtinId="20"/>
    <cellStyle name="Normal" xfId="0" builtinId="0"/>
    <cellStyle name="Normal 2 2" xfId="6" xr:uid="{CE21BC95-C233-4C45-8C6C-A3A0C4D5053A}"/>
    <cellStyle name="Normal 3 2" xfId="9" xr:uid="{E5E8DE3D-1D5A-43B8-9810-1656FD72DBD4}"/>
    <cellStyle name="Normal 5" xfId="11" xr:uid="{EF0A5852-DB47-44CD-B365-034CCE5710B9}"/>
    <cellStyle name="Normal 7" xfId="10" xr:uid="{3229C33F-8B88-4BBB-A946-3A5505477DB4}"/>
    <cellStyle name="Percent" xfId="3" builtinId="5"/>
  </cellStyles>
  <dxfs count="2">
    <dxf>
      <font>
        <color theme="0"/>
      </font>
      <numFmt numFmtId="167" formatCode="0.0"/>
    </dxf>
    <dxf>
      <font>
        <color theme="0"/>
      </font>
      <numFmt numFmtId="167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7c0bc1b3-fdec-4803-8bfb-8c357eb01a63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176</xdr:row>
      <xdr:rowOff>25400</xdr:rowOff>
    </xdr:from>
    <xdr:to>
      <xdr:col>9</xdr:col>
      <xdr:colOff>539750</xdr:colOff>
      <xdr:row>201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516A1-DA5A-02E2-535A-D6EAFB82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800" y="32404050"/>
          <a:ext cx="8591550" cy="466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133350</xdr:rowOff>
    </xdr:from>
    <xdr:to>
      <xdr:col>1</xdr:col>
      <xdr:colOff>19050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02DE6-2C97-4625-808F-AFBAABE0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78" b="12320"/>
        <a:stretch>
          <a:fillRect/>
        </a:stretch>
      </xdr:blipFill>
      <xdr:spPr bwMode="auto">
        <a:xfrm>
          <a:off x="10411783850" y="133350"/>
          <a:ext cx="3540125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590550</xdr:colOff>
      <xdr:row>0</xdr:row>
      <xdr:rowOff>152400</xdr:rowOff>
    </xdr:from>
    <xdr:to>
      <xdr:col>18</xdr:col>
      <xdr:colOff>306614</xdr:colOff>
      <xdr:row>4</xdr:row>
      <xdr:rowOff>95250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D3E96CD-B6A7-4BA2-B0EE-C48CA59C1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546" b="16817"/>
        <a:stretch>
          <a:fillRect/>
        </a:stretch>
      </xdr:blipFill>
      <xdr:spPr bwMode="auto">
        <a:xfrm>
          <a:off x="10394503686" y="152400"/>
          <a:ext cx="2662464" cy="67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133350</xdr:rowOff>
    </xdr:from>
    <xdr:to>
      <xdr:col>1</xdr:col>
      <xdr:colOff>19050</xdr:colOff>
      <xdr:row>4</xdr:row>
      <xdr:rowOff>114300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9A5CD65-F0A6-437A-B237-CA1D155B6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78" b="12320"/>
        <a:stretch>
          <a:fillRect/>
        </a:stretch>
      </xdr:blipFill>
      <xdr:spPr bwMode="auto">
        <a:xfrm>
          <a:off x="10411783850" y="133350"/>
          <a:ext cx="3540125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133350</xdr:rowOff>
    </xdr:from>
    <xdr:to>
      <xdr:col>1</xdr:col>
      <xdr:colOff>19050</xdr:colOff>
      <xdr:row>4</xdr:row>
      <xdr:rowOff>114300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08AB2D8-EA99-4AC6-A51C-0A1D282E3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78" b="12320"/>
        <a:stretch>
          <a:fillRect/>
        </a:stretch>
      </xdr:blipFill>
      <xdr:spPr bwMode="auto">
        <a:xfrm>
          <a:off x="10411783850" y="133350"/>
          <a:ext cx="3540125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ter Griffin (MiddleEast)" id="{5FFEDEDB-1919-D54B-9BD1-12C1EA5E2A2E}" userId="S::peter.griffin@pwc.com::8eb9195e-2843-4dba-bef5-6f64259ba8bf" providerId="AD"/>
  <person displayName="Bob Scealy" id="{9EAFE070-A932-4E43-A2C5-1682DBD475EC}" userId="S::Bob.Scealy@qaive.com.au::144b44c8-55a3-4d39-a3fb-8d9b319865d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Q86" dT="2025-08-14T02:55:58.21" personId="{9EAFE070-A932-4E43-A2C5-1682DBD475EC}" id="{9F5E5579-95A9-6648-B49A-BDB960BB7384}">
    <text>Emirati labour is supplied exclusively by the Emirati household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17" dT="2025-08-26T11:23:48.79" personId="{5FFEDEDB-1919-D54B-9BD1-12C1EA5E2A2E}" id="{E27B2A01-F1EF-C345-8890-2DD2DEC8A5B1}">
    <text xml:space="preserve"> wage share increased for  Emirati labor </text>
  </threadedComment>
  <threadedComment ref="BQ348" dT="2025-08-14T02:55:58.21" personId="{9EAFE070-A932-4E43-A2C5-1682DBD475EC}" id="{C8DFCD15-4416-4438-90D2-AE8FA91C046C}">
    <text>Emirati labour is supplied exclusively by the Emirati household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9" dT="2025-08-21T06:16:23.23" personId="{5FFEDEDB-1919-D54B-9BD1-12C1EA5E2A2E}" id="{3DAEFA00-6A91-F542-957F-7CA992E45330}">
    <text>DSC_LFS_2019_05_02</text>
  </threadedComment>
  <threadedComment ref="H27" dT="2025-08-21T06:25:17.71" personId="{5FFEDEDB-1919-D54B-9BD1-12C1EA5E2A2E}" id="{E22CAE1B-E0CA-5947-9A26-5738A68D519E}">
    <text>https://www.dsc.gov.ae/en-us/Themes/Pages/National-Accounts.aspx?Theme=24&amp;year=2022#DSC_Tab1</text>
    <extLst>
      <x:ext xmlns:xltc2="http://schemas.microsoft.com/office/spreadsheetml/2020/threadedcomments2" uri="{F7C98A9C-CBB3-438F-8F68-D28B6AF4A901}">
        <xltc2:checksum>3346575590</xltc2:checksum>
        <xltc2:hyperlink startIndex="0" length="92" url="https://www.dsc.gov.ae/en-us/Themes/Pages/National-Accounts.aspx?Theme=24&amp;year=2022#DSC_Tab1"/>
      </x:ext>
    </extLs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ww.laboraccommodation.ae/labor-camp-regulations-in-dubai-version-2025/" TargetMode="Externa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7585-EBF2-4530-BA71-570DFB6CEC53}">
  <dimension ref="A1:EQ2183"/>
  <sheetViews>
    <sheetView topLeftCell="CW1" workbookViewId="0">
      <selection activeCell="DT1" sqref="DT1"/>
    </sheetView>
  </sheetViews>
  <sheetFormatPr defaultRowHeight="14.5" outlineLevelCol="1"/>
  <cols>
    <col min="8" max="14" width="8.7265625" outlineLevel="1"/>
    <col min="19" max="19" width="12.453125" bestFit="1" customWidth="1"/>
    <col min="53" max="53" width="12.453125" bestFit="1" customWidth="1"/>
  </cols>
  <sheetData>
    <row r="1" spans="1:147">
      <c r="A1" t="s">
        <v>477</v>
      </c>
      <c r="C1" t="s">
        <v>478</v>
      </c>
      <c r="E1" t="s">
        <v>481</v>
      </c>
      <c r="G1" t="s">
        <v>483</v>
      </c>
      <c r="Q1" t="s">
        <v>482</v>
      </c>
      <c r="R1" t="s">
        <v>145</v>
      </c>
      <c r="S1">
        <f ca="1">SUM(T6:T2183)-SUM('Calculations 2'!C45:AI77)</f>
        <v>-1.6298145055770874E-9</v>
      </c>
      <c r="Z1" t="s">
        <v>491</v>
      </c>
      <c r="AC1" t="s">
        <v>459</v>
      </c>
      <c r="AD1" t="s">
        <v>145</v>
      </c>
      <c r="AE1">
        <f ca="1">SUM(AF6:AF2183)-SUM('Calculations 2'!CE45:CE77)</f>
        <v>0</v>
      </c>
      <c r="AI1" t="s">
        <v>462</v>
      </c>
      <c r="AJ1" t="s">
        <v>145</v>
      </c>
      <c r="AK1">
        <f ca="1">SUM(AK6:AK71)-SUM('Calculations 2'!BY45:CB77)</f>
        <v>0</v>
      </c>
      <c r="AN1" t="s">
        <v>463</v>
      </c>
      <c r="AQ1" t="s">
        <v>464</v>
      </c>
      <c r="AU1" t="s">
        <v>492</v>
      </c>
      <c r="AY1" t="s">
        <v>493</v>
      </c>
      <c r="BE1" t="s">
        <v>494</v>
      </c>
      <c r="BK1" t="s">
        <v>495</v>
      </c>
      <c r="BP1" t="s">
        <v>496</v>
      </c>
      <c r="BT1" t="s">
        <v>497</v>
      </c>
      <c r="BX1" t="s">
        <v>458</v>
      </c>
      <c r="CA1" t="s">
        <v>498</v>
      </c>
      <c r="CD1" s="258" t="s">
        <v>499</v>
      </c>
      <c r="CH1" t="s">
        <v>500</v>
      </c>
      <c r="CL1" t="s">
        <v>501</v>
      </c>
      <c r="CP1" s="227" t="s">
        <v>502</v>
      </c>
      <c r="CT1" t="s">
        <v>454</v>
      </c>
      <c r="CY1" t="s">
        <v>503</v>
      </c>
      <c r="DC1" t="s">
        <v>504</v>
      </c>
      <c r="DG1" t="s">
        <v>505</v>
      </c>
      <c r="DK1" t="s">
        <v>506</v>
      </c>
      <c r="DP1" t="s">
        <v>507</v>
      </c>
      <c r="DU1" t="s">
        <v>508</v>
      </c>
      <c r="DZ1" t="s">
        <v>509</v>
      </c>
      <c r="ED1" t="s">
        <v>510</v>
      </c>
      <c r="EH1" t="s">
        <v>511</v>
      </c>
      <c r="EM1" t="s">
        <v>512</v>
      </c>
      <c r="EQ1" t="s">
        <v>513</v>
      </c>
    </row>
    <row r="3" spans="1:147">
      <c r="V3">
        <v>33</v>
      </c>
    </row>
    <row r="4" spans="1:147">
      <c r="A4" t="s">
        <v>212</v>
      </c>
      <c r="C4" t="s">
        <v>212</v>
      </c>
      <c r="E4" t="s">
        <v>212</v>
      </c>
      <c r="I4" t="s">
        <v>484</v>
      </c>
      <c r="J4" t="s">
        <v>485</v>
      </c>
      <c r="K4" t="s">
        <v>162</v>
      </c>
      <c r="M4" t="s">
        <v>486</v>
      </c>
      <c r="N4" t="s">
        <v>487</v>
      </c>
      <c r="Q4" t="s">
        <v>477</v>
      </c>
      <c r="R4" t="s">
        <v>488</v>
      </c>
      <c r="S4" t="s">
        <v>478</v>
      </c>
      <c r="T4" t="s">
        <v>212</v>
      </c>
      <c r="AC4" t="s">
        <v>477</v>
      </c>
      <c r="AD4" t="s">
        <v>488</v>
      </c>
      <c r="AE4" t="s">
        <v>478</v>
      </c>
      <c r="AF4" t="s">
        <v>212</v>
      </c>
      <c r="AI4" t="s">
        <v>477</v>
      </c>
      <c r="AJ4" t="s">
        <v>488</v>
      </c>
      <c r="AK4" t="s">
        <v>212</v>
      </c>
      <c r="AN4" t="s">
        <v>477</v>
      </c>
      <c r="AO4" t="s">
        <v>212</v>
      </c>
      <c r="AQ4" t="s">
        <v>477</v>
      </c>
      <c r="AR4" t="s">
        <v>488</v>
      </c>
      <c r="AS4" t="s">
        <v>212</v>
      </c>
      <c r="AU4" t="s">
        <v>477</v>
      </c>
      <c r="AV4" t="s">
        <v>212</v>
      </c>
      <c r="AY4" t="s">
        <v>477</v>
      </c>
      <c r="AZ4" t="s">
        <v>488</v>
      </c>
      <c r="BA4" t="s">
        <v>478</v>
      </c>
      <c r="BB4" t="s">
        <v>212</v>
      </c>
      <c r="BE4" t="s">
        <v>477</v>
      </c>
      <c r="BF4" t="s">
        <v>488</v>
      </c>
      <c r="BG4" t="s">
        <v>478</v>
      </c>
      <c r="BH4" t="s">
        <v>212</v>
      </c>
      <c r="BK4" t="s">
        <v>477</v>
      </c>
      <c r="BL4" t="s">
        <v>488</v>
      </c>
      <c r="BM4" t="s">
        <v>212</v>
      </c>
      <c r="BP4" t="s">
        <v>477</v>
      </c>
      <c r="BQ4" t="s">
        <v>212</v>
      </c>
      <c r="BT4" t="s">
        <v>477</v>
      </c>
      <c r="BU4" t="s">
        <v>488</v>
      </c>
      <c r="BV4" t="s">
        <v>212</v>
      </c>
      <c r="BX4" t="s">
        <v>477</v>
      </c>
      <c r="BY4" t="s">
        <v>212</v>
      </c>
      <c r="CA4" t="s">
        <v>478</v>
      </c>
      <c r="CB4" t="s">
        <v>212</v>
      </c>
      <c r="CD4" t="s">
        <v>478</v>
      </c>
      <c r="CE4" t="s">
        <v>481</v>
      </c>
      <c r="CF4" t="s">
        <v>212</v>
      </c>
      <c r="CH4" t="s">
        <v>478</v>
      </c>
      <c r="CI4" t="s">
        <v>212</v>
      </c>
      <c r="CL4" t="s">
        <v>478</v>
      </c>
      <c r="CM4" t="s">
        <v>212</v>
      </c>
      <c r="CP4" t="s">
        <v>478</v>
      </c>
      <c r="CQ4" t="s">
        <v>212</v>
      </c>
      <c r="CT4" t="s">
        <v>477</v>
      </c>
      <c r="CU4" t="s">
        <v>478</v>
      </c>
      <c r="CV4" t="s">
        <v>212</v>
      </c>
      <c r="CY4" t="s">
        <v>478</v>
      </c>
      <c r="CZ4" t="s">
        <v>212</v>
      </c>
      <c r="DC4" t="s">
        <v>478</v>
      </c>
      <c r="DD4" t="s">
        <v>212</v>
      </c>
      <c r="DG4" t="s">
        <v>477</v>
      </c>
      <c r="DH4" t="s">
        <v>212</v>
      </c>
      <c r="DK4" t="s">
        <v>478</v>
      </c>
      <c r="DL4" t="s">
        <v>212</v>
      </c>
      <c r="DP4" t="s">
        <v>477</v>
      </c>
      <c r="DQ4" t="s">
        <v>212</v>
      </c>
      <c r="DU4" t="s">
        <v>477</v>
      </c>
      <c r="DV4" t="s">
        <v>212</v>
      </c>
      <c r="DZ4" t="s">
        <v>212</v>
      </c>
      <c r="ED4" t="s">
        <v>477</v>
      </c>
      <c r="EE4" t="s">
        <v>212</v>
      </c>
      <c r="EH4" t="s">
        <v>477</v>
      </c>
      <c r="EI4" t="s">
        <v>212</v>
      </c>
      <c r="EM4" t="s">
        <v>212</v>
      </c>
      <c r="EQ4" t="s">
        <v>212</v>
      </c>
    </row>
    <row r="6" spans="1:147">
      <c r="A6" t="s">
        <v>217</v>
      </c>
      <c r="C6" t="s">
        <v>217</v>
      </c>
      <c r="E6" t="s">
        <v>479</v>
      </c>
      <c r="H6" t="s">
        <v>217</v>
      </c>
      <c r="I6" cm="1">
        <f t="array" aca="1" ref="I6:I38" ca="1">TRANSPOSE('Calculations 2'!C93:AI93)</f>
        <v>1512.2992146246634</v>
      </c>
      <c r="J6" cm="1">
        <f t="array" ref="J6:J38">TRANSPOSE('Calculations 2'!AJ91:BP91)+TRANSPOSE('Calculations 2'!AJ83:BP83)</f>
        <v>20356.80554446482</v>
      </c>
      <c r="K6" cm="1">
        <f t="array" ref="K6:K38">TRANSPOSE('Calculations 2'!AJ93:BP93)</f>
        <v>21869.104759089481</v>
      </c>
      <c r="M6" s="11">
        <f t="shared" ref="M6:M38" ca="1" si="0">I6/$K6</f>
        <v>6.9152314705342693E-2</v>
      </c>
      <c r="N6" s="11">
        <f t="shared" ref="N6:N38" si="1">J6/$K6</f>
        <v>0.93084768529465745</v>
      </c>
      <c r="Q6" t="s">
        <v>217</v>
      </c>
      <c r="R6" t="s">
        <v>489</v>
      </c>
      <c r="S6" t="s">
        <v>217</v>
      </c>
      <c r="T6">
        <f ca="1">OFFSET('Calculations 2'!$C$45,W6,X6)*OFFSET($M$6,W6,0)</f>
        <v>9.8941911968091762</v>
      </c>
      <c r="V6">
        <v>0</v>
      </c>
      <c r="W6">
        <f>MOD(V6,$V$3)</f>
        <v>0</v>
      </c>
      <c r="X6">
        <f>FLOOR(V6/$V$3,1)</f>
        <v>0</v>
      </c>
      <c r="Z6" t="s">
        <v>217</v>
      </c>
      <c r="AA6" s="11" cm="1">
        <f t="array" ref="AA6:AA38">TRANSPOSE('Calculations 2'!C82:AI82)/SUM('Calculations 2'!C82:AI82)</f>
        <v>1.6841187792857625E-3</v>
      </c>
      <c r="AC6" t="s">
        <v>217</v>
      </c>
      <c r="AD6" t="s">
        <v>489</v>
      </c>
      <c r="AE6" t="s">
        <v>217</v>
      </c>
      <c r="AF6">
        <f ca="1">OFFSET('Calculations 2'!$CE$45,W6,0)*OFFSET($AA$6,X6,0)*OFFSET($M$6,W6,)</f>
        <v>3.8198127542416083E-2</v>
      </c>
      <c r="AI6" t="s">
        <v>217</v>
      </c>
      <c r="AJ6" t="s">
        <v>489</v>
      </c>
      <c r="AK6">
        <f ca="1">SUM('Calculations 2'!BY45:CB45)*M6</f>
        <v>188.42553480404553</v>
      </c>
      <c r="AN6" t="s">
        <v>217</v>
      </c>
      <c r="AO6" cm="1">
        <f t="array" ref="AO6:AO38">'Calculations 2'!CD45:CD77</f>
        <v>13478.351902081989</v>
      </c>
      <c r="AQ6" t="s">
        <v>217</v>
      </c>
      <c r="AR6" t="s">
        <v>489</v>
      </c>
      <c r="AS6" cm="1">
        <f t="array" aca="1" ref="AS6:AS38" ca="1">'Calculations 2'!CC45:CC77*M6:M38</f>
        <v>0</v>
      </c>
      <c r="AU6" t="s">
        <v>217</v>
      </c>
      <c r="AV6">
        <v>0</v>
      </c>
      <c r="AY6" t="s">
        <v>217</v>
      </c>
      <c r="AZ6" t="s">
        <v>489</v>
      </c>
      <c r="BA6" t="s">
        <v>217</v>
      </c>
      <c r="BB6">
        <v>0</v>
      </c>
      <c r="BE6" t="s">
        <v>217</v>
      </c>
      <c r="BF6" t="s">
        <v>489</v>
      </c>
      <c r="BG6" t="s">
        <v>217</v>
      </c>
      <c r="BH6">
        <v>0</v>
      </c>
      <c r="BK6" t="s">
        <v>217</v>
      </c>
      <c r="BL6" t="s">
        <v>489</v>
      </c>
      <c r="BM6">
        <v>0</v>
      </c>
      <c r="BP6" t="s">
        <v>217</v>
      </c>
      <c r="BQ6">
        <v>0</v>
      </c>
      <c r="BT6" t="s">
        <v>217</v>
      </c>
      <c r="BU6" t="s">
        <v>489</v>
      </c>
      <c r="BV6">
        <v>0</v>
      </c>
      <c r="BX6" t="s">
        <v>217</v>
      </c>
      <c r="BY6" cm="1">
        <f t="array" ref="BY6:BY38">TRANSPOSE('Calculations 2'!AJ83:BP83)</f>
        <v>144.48319917074988</v>
      </c>
      <c r="CA6" t="s">
        <v>217</v>
      </c>
      <c r="CB6" cm="1">
        <f t="array" ref="CB6:CB38">TRANSPOSE('Calculations 2'!C82:AI82)</f>
        <v>414.32236557237968</v>
      </c>
      <c r="CD6" t="s">
        <v>217</v>
      </c>
      <c r="CE6" t="s">
        <v>479</v>
      </c>
      <c r="CF6" cm="1">
        <f t="array" aca="1" ref="CF6:CF38" ca="1">TRANSPOSE('Calculations 2'!C78:AI78)</f>
        <v>14.240860604754507</v>
      </c>
      <c r="CH6" t="s">
        <v>217</v>
      </c>
      <c r="CI6">
        <v>0</v>
      </c>
      <c r="CL6" t="s">
        <v>217</v>
      </c>
      <c r="CM6">
        <v>0</v>
      </c>
      <c r="CP6" t="s">
        <v>217</v>
      </c>
      <c r="CQ6">
        <v>0</v>
      </c>
      <c r="CT6" t="s">
        <v>217</v>
      </c>
      <c r="CU6" t="s">
        <v>217</v>
      </c>
      <c r="CV6">
        <f ca="1">OFFSET('Calculations 2'!$AJ$12,W6,X6)</f>
        <v>1512.2992146246634</v>
      </c>
      <c r="CY6" t="s">
        <v>217</v>
      </c>
      <c r="CZ6">
        <v>0.5</v>
      </c>
      <c r="DC6" t="s">
        <v>217</v>
      </c>
      <c r="DD6">
        <v>0.23</v>
      </c>
      <c r="DG6" t="s">
        <v>217</v>
      </c>
      <c r="DH6">
        <v>2</v>
      </c>
      <c r="DK6" t="s">
        <v>217</v>
      </c>
      <c r="DL6">
        <v>0.4</v>
      </c>
      <c r="DP6" t="s">
        <v>217</v>
      </c>
      <c r="DQ6">
        <v>2</v>
      </c>
      <c r="DU6" t="s">
        <v>217</v>
      </c>
      <c r="DV6">
        <v>2</v>
      </c>
      <c r="DZ6">
        <v>-1.1499999999999999</v>
      </c>
      <c r="ED6" t="s">
        <v>217</v>
      </c>
      <c r="EE6">
        <v>1</v>
      </c>
      <c r="EH6" t="s">
        <v>217</v>
      </c>
      <c r="EI6">
        <v>-4.4000000000000004</v>
      </c>
      <c r="EM6">
        <v>-2</v>
      </c>
      <c r="EQ6" t="s">
        <v>217</v>
      </c>
    </row>
    <row r="7" spans="1:147">
      <c r="A7" t="s">
        <v>232</v>
      </c>
      <c r="C7" t="s">
        <v>232</v>
      </c>
      <c r="E7" t="s">
        <v>569</v>
      </c>
      <c r="H7" t="s">
        <v>232</v>
      </c>
      <c r="I7">
        <f ca="1"/>
        <v>11448.728531581437</v>
      </c>
      <c r="J7">
        <v>139374.77639088937</v>
      </c>
      <c r="K7">
        <v>150823.50492247081</v>
      </c>
      <c r="M7" s="11">
        <f t="shared" ca="1" si="0"/>
        <v>7.5908118813884692E-2</v>
      </c>
      <c r="N7" s="11">
        <f t="shared" si="1"/>
        <v>0.92409188118611529</v>
      </c>
      <c r="Q7" t="s">
        <v>232</v>
      </c>
      <c r="R7" t="s">
        <v>489</v>
      </c>
      <c r="S7" t="s">
        <v>217</v>
      </c>
      <c r="T7">
        <f ca="1">OFFSET('Calculations 2'!$C$45,W7,X7)*OFFSET($M$6,W7,0)</f>
        <v>0</v>
      </c>
      <c r="V7">
        <f>V6+1</f>
        <v>1</v>
      </c>
      <c r="W7">
        <f>MOD(V7,$V$3)</f>
        <v>1</v>
      </c>
      <c r="X7">
        <f>FLOOR(V7/$V$3,1)</f>
        <v>0</v>
      </c>
      <c r="Z7" t="s">
        <v>232</v>
      </c>
      <c r="AA7" s="11">
        <v>2.9357277217978855E-2</v>
      </c>
      <c r="AC7" t="s">
        <v>232</v>
      </c>
      <c r="AD7" t="s">
        <v>489</v>
      </c>
      <c r="AE7" t="s">
        <v>217</v>
      </c>
      <c r="AF7">
        <f ca="1">OFFSET('Calculations 2'!$CE$45,W7,0)*OFFSET($AA$6,X7,0)*OFFSET($M$6,W7,)</f>
        <v>6.663350966060555E-2</v>
      </c>
      <c r="AI7" t="s">
        <v>232</v>
      </c>
      <c r="AJ7" t="s">
        <v>489</v>
      </c>
      <c r="AK7">
        <f ca="1">SUM('Calculations 2'!BY46:CB46)*M7</f>
        <v>39.022698424311685</v>
      </c>
      <c r="AN7" t="s">
        <v>232</v>
      </c>
      <c r="AO7">
        <v>125317.36036255097</v>
      </c>
      <c r="AQ7" t="s">
        <v>232</v>
      </c>
      <c r="AR7" t="s">
        <v>489</v>
      </c>
      <c r="AS7">
        <f ca="1"/>
        <v>0</v>
      </c>
      <c r="AU7" t="s">
        <v>232</v>
      </c>
      <c r="AV7">
        <v>0</v>
      </c>
      <c r="AY7" t="s">
        <v>232</v>
      </c>
      <c r="AZ7" t="s">
        <v>489</v>
      </c>
      <c r="BA7" t="s">
        <v>217</v>
      </c>
      <c r="BB7">
        <v>0</v>
      </c>
      <c r="BE7" t="s">
        <v>232</v>
      </c>
      <c r="BF7" t="s">
        <v>489</v>
      </c>
      <c r="BG7" t="s">
        <v>217</v>
      </c>
      <c r="BH7">
        <v>0</v>
      </c>
      <c r="BK7" t="s">
        <v>232</v>
      </c>
      <c r="BL7" t="s">
        <v>489</v>
      </c>
      <c r="BM7">
        <v>0</v>
      </c>
      <c r="BP7" t="s">
        <v>232</v>
      </c>
      <c r="BQ7">
        <v>0</v>
      </c>
      <c r="BT7" t="s">
        <v>232</v>
      </c>
      <c r="BU7" t="s">
        <v>489</v>
      </c>
      <c r="BV7">
        <v>0</v>
      </c>
      <c r="BX7" t="s">
        <v>232</v>
      </c>
      <c r="BY7">
        <v>273.09907150285983</v>
      </c>
      <c r="CA7" t="s">
        <v>232</v>
      </c>
      <c r="CB7">
        <v>7222.3982615262066</v>
      </c>
      <c r="CD7" t="s">
        <v>232</v>
      </c>
      <c r="CE7" t="s">
        <v>479</v>
      </c>
      <c r="CF7">
        <f ca="1"/>
        <v>90.36473365562405</v>
      </c>
      <c r="CH7" t="s">
        <v>232</v>
      </c>
      <c r="CI7">
        <v>0</v>
      </c>
      <c r="CL7" t="s">
        <v>232</v>
      </c>
      <c r="CM7">
        <v>0</v>
      </c>
      <c r="CP7" t="s">
        <v>232</v>
      </c>
      <c r="CQ7">
        <v>0</v>
      </c>
      <c r="CT7" t="s">
        <v>232</v>
      </c>
      <c r="CU7" t="s">
        <v>217</v>
      </c>
      <c r="CV7">
        <f ca="1">OFFSET('Calculations 2'!$AJ$12,W7,X7)</f>
        <v>0</v>
      </c>
      <c r="CY7" t="s">
        <v>232</v>
      </c>
      <c r="CZ7">
        <v>0.5</v>
      </c>
      <c r="DC7" t="s">
        <v>232</v>
      </c>
      <c r="DD7">
        <v>0.2</v>
      </c>
      <c r="DG7" t="s">
        <v>232</v>
      </c>
      <c r="DH7">
        <v>2</v>
      </c>
      <c r="DK7" t="s">
        <v>232</v>
      </c>
      <c r="DL7">
        <v>0.4</v>
      </c>
      <c r="DP7" t="s">
        <v>232</v>
      </c>
      <c r="DQ7">
        <v>2</v>
      </c>
      <c r="DU7" t="s">
        <v>232</v>
      </c>
      <c r="DV7">
        <v>2</v>
      </c>
      <c r="ED7" t="s">
        <v>232</v>
      </c>
      <c r="EE7">
        <v>1</v>
      </c>
      <c r="EH7" t="s">
        <v>232</v>
      </c>
      <c r="EI7">
        <v>-5.6</v>
      </c>
      <c r="EQ7" t="s">
        <v>232</v>
      </c>
    </row>
    <row r="8" spans="1:147">
      <c r="A8" t="s">
        <v>226</v>
      </c>
      <c r="C8" t="s">
        <v>226</v>
      </c>
      <c r="E8" t="s">
        <v>594</v>
      </c>
      <c r="H8" t="s">
        <v>226</v>
      </c>
      <c r="I8">
        <f ca="1"/>
        <v>25557.718999999986</v>
      </c>
      <c r="J8">
        <v>46238.282338162076</v>
      </c>
      <c r="K8">
        <v>71796.001338162067</v>
      </c>
      <c r="M8" s="11">
        <f t="shared" ca="1" si="0"/>
        <v>0.35597691408497945</v>
      </c>
      <c r="N8" s="11">
        <f t="shared" si="1"/>
        <v>0.64402308591502055</v>
      </c>
      <c r="Q8" t="s">
        <v>226</v>
      </c>
      <c r="R8" t="s">
        <v>489</v>
      </c>
      <c r="S8" t="s">
        <v>217</v>
      </c>
      <c r="T8">
        <f ca="1">OFFSET('Calculations 2'!$C$45,W8,X8)*OFFSET($M$6,W8,0)</f>
        <v>157.79694347940449</v>
      </c>
      <c r="V8">
        <f t="shared" ref="V8:V71" si="2">V7+1</f>
        <v>2</v>
      </c>
      <c r="W8">
        <f t="shared" ref="W8:W71" si="3">MOD(V8,$V$3)</f>
        <v>2</v>
      </c>
      <c r="X8">
        <f t="shared" ref="X8:X71" si="4">FLOOR(V8/$V$3,1)</f>
        <v>0</v>
      </c>
      <c r="Z8" t="s">
        <v>226</v>
      </c>
      <c r="AA8" s="11">
        <v>1.3820836635887153E-2</v>
      </c>
      <c r="AC8" t="s">
        <v>226</v>
      </c>
      <c r="AD8" t="s">
        <v>489</v>
      </c>
      <c r="AE8" t="s">
        <v>217</v>
      </c>
      <c r="AF8">
        <f ca="1">OFFSET('Calculations 2'!$CE$45,W8,0)*OFFSET($AA$6,X8,0)*OFFSET($M$6,W8,)</f>
        <v>0.11219679942673562</v>
      </c>
      <c r="AI8" t="s">
        <v>226</v>
      </c>
      <c r="AJ8" t="s">
        <v>489</v>
      </c>
      <c r="AK8">
        <f ca="1">SUM('Calculations 2'!BY47:CB47)*M8</f>
        <v>3252.1204773516602</v>
      </c>
      <c r="AN8" t="s">
        <v>226</v>
      </c>
      <c r="AO8">
        <v>40267.724701005194</v>
      </c>
      <c r="AQ8" t="s">
        <v>226</v>
      </c>
      <c r="AR8" t="s">
        <v>489</v>
      </c>
      <c r="AS8">
        <f ca="1"/>
        <v>0</v>
      </c>
      <c r="AU8" t="s">
        <v>226</v>
      </c>
      <c r="AV8">
        <v>0</v>
      </c>
      <c r="AY8" t="s">
        <v>226</v>
      </c>
      <c r="AZ8" t="s">
        <v>489</v>
      </c>
      <c r="BA8" t="s">
        <v>217</v>
      </c>
      <c r="BB8">
        <v>0</v>
      </c>
      <c r="BE8" t="s">
        <v>226</v>
      </c>
      <c r="BF8" t="s">
        <v>489</v>
      </c>
      <c r="BG8" t="s">
        <v>217</v>
      </c>
      <c r="BH8">
        <v>0</v>
      </c>
      <c r="BK8" t="s">
        <v>226</v>
      </c>
      <c r="BL8" t="s">
        <v>489</v>
      </c>
      <c r="BM8">
        <v>0</v>
      </c>
      <c r="BP8" t="s">
        <v>226</v>
      </c>
      <c r="BQ8">
        <v>0</v>
      </c>
      <c r="BT8" t="s">
        <v>226</v>
      </c>
      <c r="BU8" t="s">
        <v>489</v>
      </c>
      <c r="BV8">
        <v>0</v>
      </c>
      <c r="BX8" t="s">
        <v>226</v>
      </c>
      <c r="BY8">
        <v>470.15579411139271</v>
      </c>
      <c r="CA8" t="s">
        <v>226</v>
      </c>
      <c r="CB8">
        <v>3400.1650000000004</v>
      </c>
      <c r="CD8" t="s">
        <v>226</v>
      </c>
      <c r="CE8" t="s">
        <v>479</v>
      </c>
      <c r="CF8">
        <f ca="1"/>
        <v>69.178651884330151</v>
      </c>
      <c r="CH8" t="s">
        <v>226</v>
      </c>
      <c r="CI8">
        <v>0</v>
      </c>
      <c r="CL8" t="s">
        <v>226</v>
      </c>
      <c r="CM8">
        <v>0</v>
      </c>
      <c r="CP8" t="s">
        <v>226</v>
      </c>
      <c r="CQ8">
        <v>0</v>
      </c>
      <c r="CT8" t="s">
        <v>226</v>
      </c>
      <c r="CU8" t="s">
        <v>217</v>
      </c>
      <c r="CV8">
        <f ca="1">OFFSET('Calculations 2'!$AJ$12,W8,X8)</f>
        <v>0</v>
      </c>
      <c r="CY8" t="s">
        <v>226</v>
      </c>
      <c r="CZ8">
        <v>0.5</v>
      </c>
      <c r="DC8" t="s">
        <v>226</v>
      </c>
      <c r="DD8">
        <v>1.1200000000000001</v>
      </c>
      <c r="DG8" t="s">
        <v>226</v>
      </c>
      <c r="DH8">
        <v>2</v>
      </c>
      <c r="DK8" t="s">
        <v>226</v>
      </c>
      <c r="DL8">
        <v>0.4</v>
      </c>
      <c r="DP8" t="s">
        <v>226</v>
      </c>
      <c r="DQ8">
        <v>2</v>
      </c>
      <c r="DU8" t="s">
        <v>226</v>
      </c>
      <c r="DV8">
        <v>2</v>
      </c>
      <c r="ED8" t="s">
        <v>226</v>
      </c>
      <c r="EE8">
        <v>1</v>
      </c>
      <c r="EH8" t="s">
        <v>226</v>
      </c>
      <c r="EI8">
        <v>-4.7</v>
      </c>
      <c r="EQ8" t="s">
        <v>226</v>
      </c>
    </row>
    <row r="9" spans="1:147">
      <c r="A9" t="s">
        <v>243</v>
      </c>
      <c r="C9" t="s">
        <v>243</v>
      </c>
      <c r="E9" t="s">
        <v>480</v>
      </c>
      <c r="H9" t="s">
        <v>243</v>
      </c>
      <c r="I9">
        <f ca="1"/>
        <v>3421.0370000000003</v>
      </c>
      <c r="J9">
        <v>23317.559604017675</v>
      </c>
      <c r="K9">
        <v>26738.596604017672</v>
      </c>
      <c r="M9" s="11">
        <f t="shared" ca="1" si="0"/>
        <v>0.1279437754592537</v>
      </c>
      <c r="N9" s="11">
        <f t="shared" si="1"/>
        <v>0.87205622454074649</v>
      </c>
      <c r="Q9" t="s">
        <v>243</v>
      </c>
      <c r="R9" t="s">
        <v>489</v>
      </c>
      <c r="S9" t="s">
        <v>217</v>
      </c>
      <c r="T9">
        <f ca="1">OFFSET('Calculations 2'!$C$45,W9,X9)*OFFSET($M$6,W9,0)</f>
        <v>1.256590954720284</v>
      </c>
      <c r="V9">
        <f t="shared" si="2"/>
        <v>3</v>
      </c>
      <c r="W9">
        <f t="shared" si="3"/>
        <v>3</v>
      </c>
      <c r="X9">
        <f t="shared" si="4"/>
        <v>0</v>
      </c>
      <c r="Z9" t="s">
        <v>243</v>
      </c>
      <c r="AA9" s="11">
        <v>3.3036375050888873E-3</v>
      </c>
      <c r="AC9" t="s">
        <v>243</v>
      </c>
      <c r="AD9" t="s">
        <v>489</v>
      </c>
      <c r="AE9" t="s">
        <v>217</v>
      </c>
      <c r="AF9">
        <f ca="1">OFFSET('Calculations 2'!$CE$45,W9,0)*OFFSET($AA$6,X9,0)*OFFSET($M$6,W9,)</f>
        <v>0.58441687270391951</v>
      </c>
      <c r="AI9" t="s">
        <v>243</v>
      </c>
      <c r="AJ9" t="s">
        <v>489</v>
      </c>
      <c r="AK9">
        <f ca="1">SUM('Calculations 2'!BY48:CB48)*M9</f>
        <v>354.34700393649325</v>
      </c>
      <c r="AN9" t="s">
        <v>243</v>
      </c>
      <c r="AO9">
        <v>18250.608304205467</v>
      </c>
      <c r="AQ9" t="s">
        <v>243</v>
      </c>
      <c r="AR9" t="s">
        <v>489</v>
      </c>
      <c r="AS9">
        <f ca="1"/>
        <v>0</v>
      </c>
      <c r="AU9" t="s">
        <v>243</v>
      </c>
      <c r="AV9">
        <v>0</v>
      </c>
      <c r="AY9" t="s">
        <v>243</v>
      </c>
      <c r="AZ9" t="s">
        <v>489</v>
      </c>
      <c r="BA9" t="s">
        <v>217</v>
      </c>
      <c r="BB9">
        <v>0</v>
      </c>
      <c r="BE9" t="s">
        <v>243</v>
      </c>
      <c r="BF9" t="s">
        <v>489</v>
      </c>
      <c r="BG9" t="s">
        <v>217</v>
      </c>
      <c r="BH9">
        <v>0</v>
      </c>
      <c r="BK9" t="s">
        <v>243</v>
      </c>
      <c r="BL9" t="s">
        <v>489</v>
      </c>
      <c r="BM9">
        <v>0</v>
      </c>
      <c r="BP9" t="s">
        <v>243</v>
      </c>
      <c r="BQ9">
        <v>0</v>
      </c>
      <c r="BT9" t="s">
        <v>243</v>
      </c>
      <c r="BU9" t="s">
        <v>489</v>
      </c>
      <c r="BV9">
        <v>0</v>
      </c>
      <c r="BX9" t="s">
        <v>243</v>
      </c>
      <c r="BY9">
        <v>316.85345481780871</v>
      </c>
      <c r="CA9" t="s">
        <v>243</v>
      </c>
      <c r="CB9">
        <v>812.75200000000018</v>
      </c>
      <c r="CD9" t="s">
        <v>243</v>
      </c>
      <c r="CE9" t="s">
        <v>479</v>
      </c>
      <c r="CF9">
        <f ca="1"/>
        <v>21.6592214082422</v>
      </c>
      <c r="CH9" t="s">
        <v>243</v>
      </c>
      <c r="CI9">
        <v>0</v>
      </c>
      <c r="CL9" t="s">
        <v>243</v>
      </c>
      <c r="CM9">
        <v>0</v>
      </c>
      <c r="CP9" t="s">
        <v>243</v>
      </c>
      <c r="CQ9">
        <v>0</v>
      </c>
      <c r="CT9" t="s">
        <v>243</v>
      </c>
      <c r="CU9" t="s">
        <v>217</v>
      </c>
      <c r="CV9">
        <f ca="1">OFFSET('Calculations 2'!$AJ$12,W9,X9)</f>
        <v>0</v>
      </c>
      <c r="CY9" t="s">
        <v>243</v>
      </c>
      <c r="CZ9">
        <v>0.5</v>
      </c>
      <c r="DC9" t="s">
        <v>243</v>
      </c>
      <c r="DD9">
        <v>1.26</v>
      </c>
      <c r="DG9" t="s">
        <v>243</v>
      </c>
      <c r="DH9">
        <v>2</v>
      </c>
      <c r="DK9" t="s">
        <v>243</v>
      </c>
      <c r="DL9">
        <v>0.4</v>
      </c>
      <c r="DP9" t="s">
        <v>243</v>
      </c>
      <c r="DQ9">
        <v>2</v>
      </c>
      <c r="DU9" t="s">
        <v>243</v>
      </c>
      <c r="DV9">
        <v>2</v>
      </c>
      <c r="ED9" t="s">
        <v>243</v>
      </c>
      <c r="EE9">
        <v>1</v>
      </c>
      <c r="EH9" t="s">
        <v>243</v>
      </c>
      <c r="EI9">
        <v>-6.7</v>
      </c>
      <c r="EQ9" t="s">
        <v>243</v>
      </c>
    </row>
    <row r="10" spans="1:147">
      <c r="A10" t="s">
        <v>228</v>
      </c>
      <c r="C10" t="s">
        <v>228</v>
      </c>
      <c r="H10" t="s">
        <v>228</v>
      </c>
      <c r="I10">
        <f ca="1"/>
        <v>29.598000000000013</v>
      </c>
      <c r="J10">
        <v>14817.33025503424</v>
      </c>
      <c r="K10">
        <v>14846.92825503424</v>
      </c>
      <c r="M10" s="11">
        <f t="shared" ca="1" si="0"/>
        <v>1.9935436806575823E-3</v>
      </c>
      <c r="N10" s="11">
        <f t="shared" si="1"/>
        <v>0.99800645631934237</v>
      </c>
      <c r="Q10" t="s">
        <v>228</v>
      </c>
      <c r="R10" t="s">
        <v>489</v>
      </c>
      <c r="S10" t="s">
        <v>217</v>
      </c>
      <c r="T10">
        <f ca="1">OFFSET('Calculations 2'!$C$45,W10,X10)*OFFSET($M$6,W10,0)</f>
        <v>0</v>
      </c>
      <c r="V10">
        <f t="shared" si="2"/>
        <v>4</v>
      </c>
      <c r="W10">
        <f t="shared" si="3"/>
        <v>4</v>
      </c>
      <c r="X10">
        <f t="shared" si="4"/>
        <v>0</v>
      </c>
      <c r="Z10" t="s">
        <v>228</v>
      </c>
      <c r="AA10" s="11">
        <v>1.5498909638984497E-5</v>
      </c>
      <c r="AC10" t="s">
        <v>228</v>
      </c>
      <c r="AD10" t="s">
        <v>489</v>
      </c>
      <c r="AE10" t="s">
        <v>217</v>
      </c>
      <c r="AF10">
        <f ca="1">OFFSET('Calculations 2'!$CE$45,W10,0)*OFFSET($AA$6,X10,0)*OFFSET($M$6,W10,)</f>
        <v>4.146860666068247E-3</v>
      </c>
      <c r="AI10" t="s">
        <v>228</v>
      </c>
      <c r="AJ10" t="s">
        <v>489</v>
      </c>
      <c r="AK10">
        <f ca="1">SUM('Calculations 2'!BY49:CB49)*M10</f>
        <v>3.9002259655998692</v>
      </c>
      <c r="AN10" t="s">
        <v>228</v>
      </c>
      <c r="AO10">
        <v>11177.054523798743</v>
      </c>
      <c r="AQ10" t="s">
        <v>228</v>
      </c>
      <c r="AR10" t="s">
        <v>489</v>
      </c>
      <c r="AS10">
        <f ca="1"/>
        <v>0</v>
      </c>
      <c r="AU10" t="s">
        <v>228</v>
      </c>
      <c r="AV10">
        <v>0</v>
      </c>
      <c r="AY10" t="s">
        <v>228</v>
      </c>
      <c r="AZ10" t="s">
        <v>489</v>
      </c>
      <c r="BA10" t="s">
        <v>217</v>
      </c>
      <c r="BB10">
        <v>0</v>
      </c>
      <c r="BE10" t="s">
        <v>228</v>
      </c>
      <c r="BF10" t="s">
        <v>489</v>
      </c>
      <c r="BG10" t="s">
        <v>217</v>
      </c>
      <c r="BH10">
        <v>0</v>
      </c>
      <c r="BK10" t="s">
        <v>228</v>
      </c>
      <c r="BL10" t="s">
        <v>489</v>
      </c>
      <c r="BM10">
        <v>0</v>
      </c>
      <c r="BP10" t="s">
        <v>228</v>
      </c>
      <c r="BQ10">
        <v>0</v>
      </c>
      <c r="BT10" t="s">
        <v>228</v>
      </c>
      <c r="BU10" t="s">
        <v>489</v>
      </c>
      <c r="BV10">
        <v>0</v>
      </c>
      <c r="BX10" t="s">
        <v>228</v>
      </c>
      <c r="BY10">
        <v>123.97176356046</v>
      </c>
      <c r="CA10" t="s">
        <v>228</v>
      </c>
      <c r="CB10">
        <v>3.8130000000000006</v>
      </c>
      <c r="CD10" t="s">
        <v>228</v>
      </c>
      <c r="CE10" t="s">
        <v>479</v>
      </c>
      <c r="CF10">
        <f ca="1"/>
        <v>0.1931158784958236</v>
      </c>
      <c r="CH10" t="s">
        <v>228</v>
      </c>
      <c r="CI10">
        <v>0</v>
      </c>
      <c r="CL10" t="s">
        <v>228</v>
      </c>
      <c r="CM10">
        <v>0</v>
      </c>
      <c r="CP10" t="s">
        <v>228</v>
      </c>
      <c r="CQ10">
        <v>0</v>
      </c>
      <c r="CT10" t="s">
        <v>228</v>
      </c>
      <c r="CU10" t="s">
        <v>217</v>
      </c>
      <c r="CV10">
        <f ca="1">OFFSET('Calculations 2'!$AJ$12,W10,X10)</f>
        <v>0</v>
      </c>
      <c r="CY10" t="s">
        <v>228</v>
      </c>
      <c r="CZ10">
        <v>0.5</v>
      </c>
      <c r="DC10" t="s">
        <v>228</v>
      </c>
      <c r="DD10">
        <v>1.26</v>
      </c>
      <c r="DG10" t="s">
        <v>228</v>
      </c>
      <c r="DH10">
        <v>2</v>
      </c>
      <c r="DK10" t="s">
        <v>228</v>
      </c>
      <c r="DL10">
        <v>0.4</v>
      </c>
      <c r="DP10" t="s">
        <v>228</v>
      </c>
      <c r="DQ10">
        <v>2</v>
      </c>
      <c r="DU10" t="s">
        <v>228</v>
      </c>
      <c r="DV10">
        <v>2</v>
      </c>
      <c r="ED10" t="s">
        <v>228</v>
      </c>
      <c r="EE10">
        <v>1</v>
      </c>
      <c r="EH10" t="s">
        <v>228</v>
      </c>
      <c r="EI10">
        <v>-3.6</v>
      </c>
      <c r="EQ10" t="s">
        <v>228</v>
      </c>
    </row>
    <row r="11" spans="1:147">
      <c r="A11" t="s">
        <v>246</v>
      </c>
      <c r="C11" t="s">
        <v>246</v>
      </c>
      <c r="H11" t="s">
        <v>246</v>
      </c>
      <c r="I11">
        <f ca="1"/>
        <v>2673.8830000000003</v>
      </c>
      <c r="J11">
        <v>3892.1263427630533</v>
      </c>
      <c r="K11">
        <v>6566.0093427630527</v>
      </c>
      <c r="M11" s="11">
        <f t="shared" ca="1" si="0"/>
        <v>0.4072310684338441</v>
      </c>
      <c r="N11" s="11">
        <f t="shared" si="1"/>
        <v>0.59276893156615607</v>
      </c>
      <c r="Q11" t="s">
        <v>246</v>
      </c>
      <c r="R11" t="s">
        <v>489</v>
      </c>
      <c r="S11" t="s">
        <v>217</v>
      </c>
      <c r="T11">
        <f ca="1">OFFSET('Calculations 2'!$C$45,W11,X11)*OFFSET($M$6,W11,0)</f>
        <v>0</v>
      </c>
      <c r="V11">
        <f t="shared" si="2"/>
        <v>5</v>
      </c>
      <c r="W11">
        <f t="shared" si="3"/>
        <v>5</v>
      </c>
      <c r="X11">
        <f t="shared" si="4"/>
        <v>0</v>
      </c>
      <c r="Z11" t="s">
        <v>246</v>
      </c>
      <c r="AA11" s="11">
        <v>1.2514282211599983E-3</v>
      </c>
      <c r="AC11" t="s">
        <v>246</v>
      </c>
      <c r="AD11" t="s">
        <v>489</v>
      </c>
      <c r="AE11" t="s">
        <v>217</v>
      </c>
      <c r="AF11">
        <f ca="1">OFFSET('Calculations 2'!$CE$45,W11,0)*OFFSET($AA$6,X11,0)*OFFSET($M$6,W11,)</f>
        <v>2.5528020962521509E-2</v>
      </c>
      <c r="AI11" t="s">
        <v>246</v>
      </c>
      <c r="AJ11" t="s">
        <v>489</v>
      </c>
      <c r="AK11">
        <f ca="1">SUM('Calculations 2'!BY50:CB50)*M11</f>
        <v>0</v>
      </c>
      <c r="AN11" t="s">
        <v>246</v>
      </c>
      <c r="AO11">
        <v>2027.6278314589742</v>
      </c>
      <c r="AQ11" t="s">
        <v>246</v>
      </c>
      <c r="AR11" t="s">
        <v>489</v>
      </c>
      <c r="AS11">
        <f ca="1"/>
        <v>0</v>
      </c>
      <c r="AU11" t="s">
        <v>246</v>
      </c>
      <c r="AV11">
        <v>0</v>
      </c>
      <c r="AY11" t="s">
        <v>246</v>
      </c>
      <c r="AZ11" t="s">
        <v>489</v>
      </c>
      <c r="BA11" t="s">
        <v>217</v>
      </c>
      <c r="BB11">
        <v>0</v>
      </c>
      <c r="BE11" t="s">
        <v>246</v>
      </c>
      <c r="BF11" t="s">
        <v>489</v>
      </c>
      <c r="BG11" t="s">
        <v>217</v>
      </c>
      <c r="BH11">
        <v>0</v>
      </c>
      <c r="BK11" t="s">
        <v>246</v>
      </c>
      <c r="BL11" t="s">
        <v>489</v>
      </c>
      <c r="BM11">
        <v>0</v>
      </c>
      <c r="BP11" t="s">
        <v>246</v>
      </c>
      <c r="BQ11">
        <v>0</v>
      </c>
      <c r="BT11" t="s">
        <v>246</v>
      </c>
      <c r="BU11" t="s">
        <v>489</v>
      </c>
      <c r="BV11">
        <v>0</v>
      </c>
      <c r="BX11" t="s">
        <v>246</v>
      </c>
      <c r="BY11">
        <v>25.615142863249726</v>
      </c>
      <c r="CA11" t="s">
        <v>246</v>
      </c>
      <c r="CB11">
        <v>307.87300000000005</v>
      </c>
      <c r="CD11" t="s">
        <v>246</v>
      </c>
      <c r="CE11" t="s">
        <v>479</v>
      </c>
      <c r="CF11">
        <f ca="1"/>
        <v>16.314918473340981</v>
      </c>
      <c r="CH11" t="s">
        <v>246</v>
      </c>
      <c r="CI11">
        <v>0</v>
      </c>
      <c r="CL11" t="s">
        <v>246</v>
      </c>
      <c r="CM11">
        <v>0</v>
      </c>
      <c r="CP11" t="s">
        <v>246</v>
      </c>
      <c r="CQ11">
        <v>0</v>
      </c>
      <c r="CT11" t="s">
        <v>246</v>
      </c>
      <c r="CU11" t="s">
        <v>217</v>
      </c>
      <c r="CV11">
        <f ca="1">OFFSET('Calculations 2'!$AJ$12,W11,X11)</f>
        <v>0</v>
      </c>
      <c r="CY11" t="s">
        <v>246</v>
      </c>
      <c r="CZ11">
        <v>0.5</v>
      </c>
      <c r="DC11" t="s">
        <v>246</v>
      </c>
      <c r="DD11">
        <v>1.26</v>
      </c>
      <c r="DG11" t="s">
        <v>246</v>
      </c>
      <c r="DH11">
        <v>2</v>
      </c>
      <c r="DK11" t="s">
        <v>246</v>
      </c>
      <c r="DL11">
        <v>0.4</v>
      </c>
      <c r="DP11" t="s">
        <v>246</v>
      </c>
      <c r="DQ11">
        <v>2</v>
      </c>
      <c r="DU11" t="s">
        <v>246</v>
      </c>
      <c r="DV11">
        <v>2</v>
      </c>
      <c r="ED11" t="s">
        <v>246</v>
      </c>
      <c r="EE11">
        <v>1</v>
      </c>
      <c r="EH11" t="s">
        <v>246</v>
      </c>
      <c r="EI11">
        <v>-3.6</v>
      </c>
      <c r="EQ11" t="s">
        <v>246</v>
      </c>
    </row>
    <row r="12" spans="1:147">
      <c r="A12" t="s">
        <v>239</v>
      </c>
      <c r="C12" t="s">
        <v>239</v>
      </c>
      <c r="H12" t="s">
        <v>239</v>
      </c>
      <c r="I12">
        <f ca="1"/>
        <v>7097.443000000002</v>
      </c>
      <c r="J12">
        <v>7432.5428862445506</v>
      </c>
      <c r="K12">
        <v>14529.985886244551</v>
      </c>
      <c r="M12" s="11">
        <f t="shared" ca="1" si="0"/>
        <v>0.48846867819184242</v>
      </c>
      <c r="N12" s="11">
        <f t="shared" si="1"/>
        <v>0.51153132180815764</v>
      </c>
      <c r="Q12" t="s">
        <v>239</v>
      </c>
      <c r="R12" t="s">
        <v>489</v>
      </c>
      <c r="S12" t="s">
        <v>217</v>
      </c>
      <c r="T12">
        <f ca="1">OFFSET('Calculations 2'!$C$45,W12,X12)*OFFSET($M$6,W12,0)</f>
        <v>0</v>
      </c>
      <c r="V12">
        <f t="shared" si="2"/>
        <v>6</v>
      </c>
      <c r="W12">
        <f t="shared" si="3"/>
        <v>6</v>
      </c>
      <c r="X12">
        <f t="shared" si="4"/>
        <v>0</v>
      </c>
      <c r="Z12" t="s">
        <v>239</v>
      </c>
      <c r="AA12" s="11">
        <v>3.575252543089468E-3</v>
      </c>
      <c r="AC12" t="s">
        <v>239</v>
      </c>
      <c r="AD12" t="s">
        <v>489</v>
      </c>
      <c r="AE12" t="s">
        <v>217</v>
      </c>
      <c r="AF12">
        <f ca="1">OFFSET('Calculations 2'!$CE$45,W12,0)*OFFSET($AA$6,X12,0)*OFFSET($M$6,W12,)</f>
        <v>0.51095919641578902</v>
      </c>
      <c r="AI12" t="s">
        <v>239</v>
      </c>
      <c r="AJ12" t="s">
        <v>489</v>
      </c>
      <c r="AK12">
        <f ca="1">SUM('Calculations 2'!BY51:CB51)*M12</f>
        <v>125.19657644070618</v>
      </c>
      <c r="AN12" t="s">
        <v>239</v>
      </c>
      <c r="AO12">
        <v>3806.5155733022907</v>
      </c>
      <c r="AQ12" t="s">
        <v>239</v>
      </c>
      <c r="AR12" t="s">
        <v>489</v>
      </c>
      <c r="AS12">
        <f ca="1"/>
        <v>0</v>
      </c>
      <c r="AU12" t="s">
        <v>239</v>
      </c>
      <c r="AV12">
        <v>0</v>
      </c>
      <c r="AY12" t="s">
        <v>239</v>
      </c>
      <c r="AZ12" t="s">
        <v>489</v>
      </c>
      <c r="BA12" t="s">
        <v>217</v>
      </c>
      <c r="BB12">
        <v>0</v>
      </c>
      <c r="BE12" t="s">
        <v>239</v>
      </c>
      <c r="BF12" t="s">
        <v>489</v>
      </c>
      <c r="BG12" t="s">
        <v>217</v>
      </c>
      <c r="BH12">
        <v>0</v>
      </c>
      <c r="BK12" t="s">
        <v>239</v>
      </c>
      <c r="BL12" t="s">
        <v>489</v>
      </c>
      <c r="BM12">
        <v>0</v>
      </c>
      <c r="BP12" t="s">
        <v>239</v>
      </c>
      <c r="BQ12">
        <v>0</v>
      </c>
      <c r="BT12" t="s">
        <v>239</v>
      </c>
      <c r="BU12" t="s">
        <v>489</v>
      </c>
      <c r="BV12">
        <v>0</v>
      </c>
      <c r="BX12" t="s">
        <v>239</v>
      </c>
      <c r="BY12">
        <v>76.334952436394971</v>
      </c>
      <c r="CA12" t="s">
        <v>239</v>
      </c>
      <c r="CB12">
        <v>879.57399999999961</v>
      </c>
      <c r="CD12" t="s">
        <v>239</v>
      </c>
      <c r="CE12" t="s">
        <v>479</v>
      </c>
      <c r="CF12">
        <f ca="1"/>
        <v>33.47043771882548</v>
      </c>
      <c r="CH12" t="s">
        <v>239</v>
      </c>
      <c r="CI12">
        <v>0</v>
      </c>
      <c r="CL12" t="s">
        <v>239</v>
      </c>
      <c r="CM12">
        <v>0</v>
      </c>
      <c r="CP12" t="s">
        <v>239</v>
      </c>
      <c r="CQ12">
        <v>0</v>
      </c>
      <c r="CT12" t="s">
        <v>239</v>
      </c>
      <c r="CU12" t="s">
        <v>217</v>
      </c>
      <c r="CV12">
        <f ca="1">OFFSET('Calculations 2'!$AJ$12,W12,X12)</f>
        <v>0</v>
      </c>
      <c r="CY12" t="s">
        <v>239</v>
      </c>
      <c r="CZ12">
        <v>0.5</v>
      </c>
      <c r="DC12" t="s">
        <v>239</v>
      </c>
      <c r="DD12">
        <v>1.26</v>
      </c>
      <c r="DG12" t="s">
        <v>239</v>
      </c>
      <c r="DH12">
        <v>2</v>
      </c>
      <c r="DK12" t="s">
        <v>239</v>
      </c>
      <c r="DL12">
        <v>0.4</v>
      </c>
      <c r="DP12" t="s">
        <v>239</v>
      </c>
      <c r="DQ12">
        <v>2</v>
      </c>
      <c r="DU12" t="s">
        <v>239</v>
      </c>
      <c r="DV12">
        <v>2</v>
      </c>
      <c r="ED12" t="s">
        <v>239</v>
      </c>
      <c r="EE12">
        <v>1</v>
      </c>
      <c r="EH12" t="s">
        <v>239</v>
      </c>
      <c r="EI12">
        <v>-3.6</v>
      </c>
      <c r="EQ12" t="s">
        <v>239</v>
      </c>
    </row>
    <row r="13" spans="1:147">
      <c r="A13" t="s">
        <v>466</v>
      </c>
      <c r="C13" t="s">
        <v>466</v>
      </c>
      <c r="H13" t="s">
        <v>466</v>
      </c>
      <c r="I13">
        <f ca="1"/>
        <v>28389.412000000011</v>
      </c>
      <c r="J13">
        <v>49129.004666546709</v>
      </c>
      <c r="K13">
        <v>77518.41666654672</v>
      </c>
      <c r="M13" s="11">
        <f t="shared" ca="1" si="0"/>
        <v>0.36622796518303419</v>
      </c>
      <c r="N13" s="11">
        <f t="shared" si="1"/>
        <v>0.63377203481696576</v>
      </c>
      <c r="Q13" t="s">
        <v>466</v>
      </c>
      <c r="R13" t="s">
        <v>489</v>
      </c>
      <c r="S13" t="s">
        <v>217</v>
      </c>
      <c r="T13">
        <f ca="1">OFFSET('Calculations 2'!$C$45,W13,X13)*OFFSET($M$6,W13,0)</f>
        <v>13.401128404298598</v>
      </c>
      <c r="V13">
        <f t="shared" si="2"/>
        <v>7</v>
      </c>
      <c r="W13">
        <f t="shared" si="3"/>
        <v>7</v>
      </c>
      <c r="X13">
        <f t="shared" si="4"/>
        <v>0</v>
      </c>
      <c r="Z13" t="s">
        <v>466</v>
      </c>
      <c r="AA13" s="11">
        <v>7.8380136299576429E-3</v>
      </c>
      <c r="AC13" t="s">
        <v>466</v>
      </c>
      <c r="AD13" t="s">
        <v>489</v>
      </c>
      <c r="AE13" t="s">
        <v>217</v>
      </c>
      <c r="AF13">
        <f ca="1">OFFSET('Calculations 2'!$CE$45,W13,0)*OFFSET($AA$6,X13,0)*OFFSET($M$6,W13,)</f>
        <v>7.7860293242922249E-2</v>
      </c>
      <c r="AI13" t="s">
        <v>466</v>
      </c>
      <c r="AJ13" t="s">
        <v>489</v>
      </c>
      <c r="AK13">
        <f ca="1">SUM('Calculations 2'!BY52:CB52)*M13</f>
        <v>661.44050965241195</v>
      </c>
      <c r="AN13" t="s">
        <v>466</v>
      </c>
      <c r="AO13">
        <v>23605.032081154142</v>
      </c>
      <c r="AQ13" t="s">
        <v>466</v>
      </c>
      <c r="AR13" t="s">
        <v>489</v>
      </c>
      <c r="AS13">
        <f ca="1"/>
        <v>0</v>
      </c>
      <c r="AU13" t="s">
        <v>466</v>
      </c>
      <c r="AV13">
        <v>0</v>
      </c>
      <c r="AY13" t="s">
        <v>466</v>
      </c>
      <c r="AZ13" t="s">
        <v>489</v>
      </c>
      <c r="BA13" t="s">
        <v>217</v>
      </c>
      <c r="BB13">
        <v>0</v>
      </c>
      <c r="BE13" t="s">
        <v>466</v>
      </c>
      <c r="BF13" t="s">
        <v>489</v>
      </c>
      <c r="BG13" t="s">
        <v>217</v>
      </c>
      <c r="BH13">
        <v>0</v>
      </c>
      <c r="BK13" t="s">
        <v>466</v>
      </c>
      <c r="BL13" t="s">
        <v>489</v>
      </c>
      <c r="BM13">
        <v>0</v>
      </c>
      <c r="BP13" t="s">
        <v>466</v>
      </c>
      <c r="BQ13">
        <v>0</v>
      </c>
      <c r="BT13" t="s">
        <v>466</v>
      </c>
      <c r="BU13" t="s">
        <v>489</v>
      </c>
      <c r="BV13">
        <v>0</v>
      </c>
      <c r="BX13" t="s">
        <v>466</v>
      </c>
      <c r="BY13">
        <v>110.92151011683221</v>
      </c>
      <c r="CA13" t="s">
        <v>466</v>
      </c>
      <c r="CB13">
        <v>1928.287</v>
      </c>
      <c r="CD13" t="s">
        <v>466</v>
      </c>
      <c r="CE13" t="s">
        <v>479</v>
      </c>
      <c r="CF13">
        <f ca="1"/>
        <v>6.6922626232696052</v>
      </c>
      <c r="CH13" t="s">
        <v>466</v>
      </c>
      <c r="CI13">
        <v>0</v>
      </c>
      <c r="CL13" t="s">
        <v>466</v>
      </c>
      <c r="CM13">
        <v>0</v>
      </c>
      <c r="CP13" t="s">
        <v>466</v>
      </c>
      <c r="CQ13">
        <v>0</v>
      </c>
      <c r="CT13" t="s">
        <v>466</v>
      </c>
      <c r="CU13" t="s">
        <v>217</v>
      </c>
      <c r="CV13">
        <f ca="1">OFFSET('Calculations 2'!$AJ$12,W13,X13)</f>
        <v>0</v>
      </c>
      <c r="CY13" t="s">
        <v>466</v>
      </c>
      <c r="CZ13">
        <v>0.5</v>
      </c>
      <c r="DC13" t="s">
        <v>466</v>
      </c>
      <c r="DD13">
        <v>1.26</v>
      </c>
      <c r="DG13" t="s">
        <v>466</v>
      </c>
      <c r="DH13">
        <v>2</v>
      </c>
      <c r="DK13" t="s">
        <v>466</v>
      </c>
      <c r="DL13">
        <v>0.4</v>
      </c>
      <c r="DP13" t="s">
        <v>466</v>
      </c>
      <c r="DQ13">
        <v>2</v>
      </c>
      <c r="DU13" t="s">
        <v>466</v>
      </c>
      <c r="DV13">
        <v>2</v>
      </c>
      <c r="ED13" t="s">
        <v>466</v>
      </c>
      <c r="EE13">
        <v>1</v>
      </c>
      <c r="EH13" t="s">
        <v>466</v>
      </c>
      <c r="EI13">
        <v>-3.6</v>
      </c>
      <c r="EQ13" t="s">
        <v>466</v>
      </c>
    </row>
    <row r="14" spans="1:147">
      <c r="A14" t="s">
        <v>219</v>
      </c>
      <c r="C14" t="s">
        <v>219</v>
      </c>
      <c r="H14" t="s">
        <v>219</v>
      </c>
      <c r="I14">
        <f ca="1"/>
        <v>13147.266</v>
      </c>
      <c r="J14">
        <v>50085.109389612371</v>
      </c>
      <c r="K14">
        <v>63232.375389612367</v>
      </c>
      <c r="M14" s="11">
        <f t="shared" ca="1" si="0"/>
        <v>0.20791984990270973</v>
      </c>
      <c r="N14" s="11">
        <f t="shared" si="1"/>
        <v>0.79208015009729038</v>
      </c>
      <c r="Q14" t="s">
        <v>219</v>
      </c>
      <c r="R14" t="s">
        <v>489</v>
      </c>
      <c r="S14" t="s">
        <v>217</v>
      </c>
      <c r="T14">
        <f ca="1">OFFSET('Calculations 2'!$C$45,W14,X14)*OFFSET($M$6,W14,0)</f>
        <v>1.3170773341879272</v>
      </c>
      <c r="V14">
        <f t="shared" si="2"/>
        <v>8</v>
      </c>
      <c r="W14">
        <f t="shared" si="3"/>
        <v>8</v>
      </c>
      <c r="X14">
        <f t="shared" si="4"/>
        <v>0</v>
      </c>
      <c r="Z14" t="s">
        <v>219</v>
      </c>
      <c r="AA14" s="11">
        <v>9.9068599548391579E-3</v>
      </c>
      <c r="AC14" t="s">
        <v>219</v>
      </c>
      <c r="AD14" t="s">
        <v>489</v>
      </c>
      <c r="AE14" t="s">
        <v>217</v>
      </c>
      <c r="AF14">
        <f ca="1">OFFSET('Calculations 2'!$CE$45,W14,0)*OFFSET($AA$6,X14,0)*OFFSET($M$6,W14,)</f>
        <v>0.48485195637244677</v>
      </c>
      <c r="AI14" t="s">
        <v>219</v>
      </c>
      <c r="AJ14" t="s">
        <v>489</v>
      </c>
      <c r="AK14">
        <f ca="1">SUM('Calculations 2'!BY53:CB53)*M14</f>
        <v>527.86508752449345</v>
      </c>
      <c r="AN14" t="s">
        <v>219</v>
      </c>
      <c r="AO14">
        <v>44799.937548905371</v>
      </c>
      <c r="AQ14" t="s">
        <v>219</v>
      </c>
      <c r="AR14" t="s">
        <v>489</v>
      </c>
      <c r="AS14">
        <f ca="1"/>
        <v>0</v>
      </c>
      <c r="AU14" t="s">
        <v>219</v>
      </c>
      <c r="AV14">
        <v>0</v>
      </c>
      <c r="AY14" t="s">
        <v>219</v>
      </c>
      <c r="AZ14" t="s">
        <v>489</v>
      </c>
      <c r="BA14" t="s">
        <v>217</v>
      </c>
      <c r="BB14">
        <v>0</v>
      </c>
      <c r="BE14" t="s">
        <v>219</v>
      </c>
      <c r="BF14" t="s">
        <v>489</v>
      </c>
      <c r="BG14" t="s">
        <v>217</v>
      </c>
      <c r="BH14">
        <v>0</v>
      </c>
      <c r="BK14" t="s">
        <v>219</v>
      </c>
      <c r="BL14" t="s">
        <v>489</v>
      </c>
      <c r="BM14">
        <v>0</v>
      </c>
      <c r="BP14" t="s">
        <v>219</v>
      </c>
      <c r="BQ14">
        <v>0</v>
      </c>
      <c r="BT14" t="s">
        <v>219</v>
      </c>
      <c r="BU14" t="s">
        <v>489</v>
      </c>
      <c r="BV14">
        <v>0</v>
      </c>
      <c r="BX14" t="s">
        <v>219</v>
      </c>
      <c r="BY14">
        <v>341.30383999408031</v>
      </c>
      <c r="CA14" t="s">
        <v>219</v>
      </c>
      <c r="CB14">
        <v>2437.259</v>
      </c>
      <c r="CD14" t="s">
        <v>219</v>
      </c>
      <c r="CE14" t="s">
        <v>479</v>
      </c>
      <c r="CF14">
        <f ca="1"/>
        <v>40.239677866678207</v>
      </c>
      <c r="CH14" t="s">
        <v>219</v>
      </c>
      <c r="CI14">
        <v>0</v>
      </c>
      <c r="CL14" t="s">
        <v>219</v>
      </c>
      <c r="CM14">
        <v>0</v>
      </c>
      <c r="CP14" t="s">
        <v>219</v>
      </c>
      <c r="CQ14">
        <v>0</v>
      </c>
      <c r="CT14" t="s">
        <v>219</v>
      </c>
      <c r="CU14" t="s">
        <v>217</v>
      </c>
      <c r="CV14">
        <f ca="1">OFFSET('Calculations 2'!$AJ$12,W14,X14)</f>
        <v>0</v>
      </c>
      <c r="CY14" t="s">
        <v>219</v>
      </c>
      <c r="CZ14">
        <v>0.5</v>
      </c>
      <c r="DC14" t="s">
        <v>219</v>
      </c>
      <c r="DD14">
        <v>1.26</v>
      </c>
      <c r="DG14" t="s">
        <v>219</v>
      </c>
      <c r="DH14">
        <v>2</v>
      </c>
      <c r="DK14" t="s">
        <v>219</v>
      </c>
      <c r="DL14">
        <v>0.4</v>
      </c>
      <c r="DP14" t="s">
        <v>219</v>
      </c>
      <c r="DQ14">
        <v>2</v>
      </c>
      <c r="DU14" t="s">
        <v>219</v>
      </c>
      <c r="DV14">
        <v>2</v>
      </c>
      <c r="ED14" t="s">
        <v>219</v>
      </c>
      <c r="EE14">
        <v>1</v>
      </c>
      <c r="EH14" t="s">
        <v>219</v>
      </c>
      <c r="EI14">
        <v>-3.6</v>
      </c>
      <c r="EQ14" t="s">
        <v>219</v>
      </c>
    </row>
    <row r="15" spans="1:147">
      <c r="A15" t="s">
        <v>242</v>
      </c>
      <c r="C15" t="s">
        <v>242</v>
      </c>
      <c r="H15" t="s">
        <v>242</v>
      </c>
      <c r="I15">
        <f ca="1"/>
        <v>6406.5290000000023</v>
      </c>
      <c r="J15">
        <v>11940.514899078169</v>
      </c>
      <c r="K15">
        <v>18347.043899078169</v>
      </c>
      <c r="M15" s="11">
        <f t="shared" ca="1" si="0"/>
        <v>0.34918589802479799</v>
      </c>
      <c r="N15" s="11">
        <f t="shared" si="1"/>
        <v>0.65081410197520206</v>
      </c>
      <c r="Q15" t="s">
        <v>242</v>
      </c>
      <c r="R15" t="s">
        <v>489</v>
      </c>
      <c r="S15" t="s">
        <v>217</v>
      </c>
      <c r="T15">
        <f ca="1">OFFSET('Calculations 2'!$C$45,W15,X15)*OFFSET($M$6,W15,0)</f>
        <v>0</v>
      </c>
      <c r="V15">
        <f t="shared" si="2"/>
        <v>9</v>
      </c>
      <c r="W15">
        <f t="shared" si="3"/>
        <v>9</v>
      </c>
      <c r="X15">
        <f t="shared" si="4"/>
        <v>0</v>
      </c>
      <c r="Z15" t="s">
        <v>242</v>
      </c>
      <c r="AA15" s="11">
        <v>4.8881317256767344E-3</v>
      </c>
      <c r="AC15" t="s">
        <v>242</v>
      </c>
      <c r="AD15" t="s">
        <v>489</v>
      </c>
      <c r="AE15" t="s">
        <v>217</v>
      </c>
      <c r="AF15">
        <f ca="1">OFFSET('Calculations 2'!$CE$45,W15,0)*OFFSET($AA$6,X15,0)*OFFSET($M$6,W15,)</f>
        <v>0.75898898372878998</v>
      </c>
      <c r="AI15" t="s">
        <v>242</v>
      </c>
      <c r="AJ15" t="s">
        <v>489</v>
      </c>
      <c r="AK15">
        <f ca="1">SUM('Calculations 2'!BY54:CB54)*M15</f>
        <v>2.6051403351742528</v>
      </c>
      <c r="AN15" t="s">
        <v>242</v>
      </c>
      <c r="AO15">
        <v>11455.931012608735</v>
      </c>
      <c r="AQ15" t="s">
        <v>242</v>
      </c>
      <c r="AR15" t="s">
        <v>489</v>
      </c>
      <c r="AS15">
        <f ca="1"/>
        <v>0</v>
      </c>
      <c r="AU15" t="s">
        <v>242</v>
      </c>
      <c r="AV15">
        <v>0</v>
      </c>
      <c r="AY15" t="s">
        <v>242</v>
      </c>
      <c r="AZ15" t="s">
        <v>489</v>
      </c>
      <c r="BA15" t="s">
        <v>217</v>
      </c>
      <c r="BB15">
        <v>0</v>
      </c>
      <c r="BE15" t="s">
        <v>242</v>
      </c>
      <c r="BF15" t="s">
        <v>489</v>
      </c>
      <c r="BG15" t="s">
        <v>217</v>
      </c>
      <c r="BH15">
        <v>0</v>
      </c>
      <c r="BK15" t="s">
        <v>242</v>
      </c>
      <c r="BL15" t="s">
        <v>489</v>
      </c>
      <c r="BM15">
        <v>0</v>
      </c>
      <c r="BP15" t="s">
        <v>242</v>
      </c>
      <c r="BQ15">
        <v>0</v>
      </c>
      <c r="BT15" t="s">
        <v>242</v>
      </c>
      <c r="BU15" t="s">
        <v>489</v>
      </c>
      <c r="BV15">
        <v>0</v>
      </c>
      <c r="BX15" t="s">
        <v>242</v>
      </c>
      <c r="BY15">
        <v>117.91219445275921</v>
      </c>
      <c r="CA15" t="s">
        <v>242</v>
      </c>
      <c r="CB15">
        <v>1202.5650000000001</v>
      </c>
      <c r="CD15" t="s">
        <v>242</v>
      </c>
      <c r="CE15" t="s">
        <v>479</v>
      </c>
      <c r="CF15">
        <f ca="1"/>
        <v>18.177603966620001</v>
      </c>
      <c r="CH15" t="s">
        <v>242</v>
      </c>
      <c r="CI15">
        <v>0</v>
      </c>
      <c r="CL15" t="s">
        <v>242</v>
      </c>
      <c r="CM15">
        <v>0</v>
      </c>
      <c r="CP15" t="s">
        <v>242</v>
      </c>
      <c r="CQ15">
        <v>0</v>
      </c>
      <c r="CT15" t="s">
        <v>242</v>
      </c>
      <c r="CU15" t="s">
        <v>217</v>
      </c>
      <c r="CV15">
        <f ca="1">OFFSET('Calculations 2'!$AJ$12,W15,X15)</f>
        <v>0</v>
      </c>
      <c r="CY15" t="s">
        <v>242</v>
      </c>
      <c r="CZ15">
        <v>0.5</v>
      </c>
      <c r="DC15" t="s">
        <v>242</v>
      </c>
      <c r="DD15">
        <v>1.26</v>
      </c>
      <c r="DG15" t="s">
        <v>242</v>
      </c>
      <c r="DH15">
        <v>2</v>
      </c>
      <c r="DK15" t="s">
        <v>242</v>
      </c>
      <c r="DL15">
        <v>0.4</v>
      </c>
      <c r="DP15" t="s">
        <v>242</v>
      </c>
      <c r="DQ15">
        <v>2</v>
      </c>
      <c r="DU15" t="s">
        <v>242</v>
      </c>
      <c r="DV15">
        <v>2</v>
      </c>
      <c r="ED15" t="s">
        <v>242</v>
      </c>
      <c r="EE15">
        <v>1</v>
      </c>
      <c r="EH15" t="s">
        <v>242</v>
      </c>
      <c r="EI15">
        <v>-3.6</v>
      </c>
      <c r="EQ15" t="s">
        <v>242</v>
      </c>
    </row>
    <row r="16" spans="1:147">
      <c r="A16" t="s">
        <v>467</v>
      </c>
      <c r="C16" t="s">
        <v>467</v>
      </c>
      <c r="H16" t="s">
        <v>467</v>
      </c>
      <c r="I16">
        <f ca="1"/>
        <v>8147.143</v>
      </c>
      <c r="J16">
        <v>6187.580281667867</v>
      </c>
      <c r="K16">
        <v>14334.723281667866</v>
      </c>
      <c r="M16" s="11">
        <f t="shared" ca="1" si="0"/>
        <v>0.56835021087704374</v>
      </c>
      <c r="N16" s="11">
        <f t="shared" si="1"/>
        <v>0.43164978912295632</v>
      </c>
      <c r="Q16" t="s">
        <v>467</v>
      </c>
      <c r="R16" t="s">
        <v>489</v>
      </c>
      <c r="S16" t="s">
        <v>217</v>
      </c>
      <c r="T16">
        <f ca="1">OFFSET('Calculations 2'!$C$45,W16,X16)*OFFSET($M$6,W16,0)</f>
        <v>0</v>
      </c>
      <c r="V16">
        <f t="shared" si="2"/>
        <v>10</v>
      </c>
      <c r="W16">
        <f t="shared" si="3"/>
        <v>10</v>
      </c>
      <c r="X16">
        <f t="shared" si="4"/>
        <v>0</v>
      </c>
      <c r="Z16" t="s">
        <v>467</v>
      </c>
      <c r="AA16" s="11">
        <v>3.4431520803678969E-3</v>
      </c>
      <c r="AC16" t="s">
        <v>467</v>
      </c>
      <c r="AD16" t="s">
        <v>489</v>
      </c>
      <c r="AE16" t="s">
        <v>217</v>
      </c>
      <c r="AF16">
        <f ca="1">OFFSET('Calculations 2'!$CE$45,W16,0)*OFFSET($AA$6,X16,0)*OFFSET($M$6,W16,)</f>
        <v>0.70310895305929055</v>
      </c>
      <c r="AI16" t="s">
        <v>467</v>
      </c>
      <c r="AJ16" t="s">
        <v>489</v>
      </c>
      <c r="AK16">
        <f ca="1">SUM('Calculations 2'!BY55:CB55)*M16</f>
        <v>50.778096765980564</v>
      </c>
      <c r="AN16" t="s">
        <v>467</v>
      </c>
      <c r="AO16">
        <v>4728.6532694254747</v>
      </c>
      <c r="AQ16" t="s">
        <v>467</v>
      </c>
      <c r="AR16" t="s">
        <v>489</v>
      </c>
      <c r="AS16">
        <f ca="1"/>
        <v>0</v>
      </c>
      <c r="AU16" t="s">
        <v>467</v>
      </c>
      <c r="AV16">
        <v>0</v>
      </c>
      <c r="AY16" t="s">
        <v>467</v>
      </c>
      <c r="AZ16" t="s">
        <v>489</v>
      </c>
      <c r="BA16" t="s">
        <v>217</v>
      </c>
      <c r="BB16">
        <v>0</v>
      </c>
      <c r="BE16" t="s">
        <v>467</v>
      </c>
      <c r="BF16" t="s">
        <v>489</v>
      </c>
      <c r="BG16" t="s">
        <v>217</v>
      </c>
      <c r="BH16">
        <v>0</v>
      </c>
      <c r="BK16" t="s">
        <v>467</v>
      </c>
      <c r="BL16" t="s">
        <v>489</v>
      </c>
      <c r="BM16">
        <v>0</v>
      </c>
      <c r="BP16" t="s">
        <v>467</v>
      </c>
      <c r="BQ16">
        <v>0</v>
      </c>
      <c r="BT16" t="s">
        <v>467</v>
      </c>
      <c r="BU16" t="s">
        <v>489</v>
      </c>
      <c r="BV16">
        <v>0</v>
      </c>
      <c r="BX16" t="s">
        <v>467</v>
      </c>
      <c r="BY16">
        <v>78.717071856171785</v>
      </c>
      <c r="CA16" t="s">
        <v>467</v>
      </c>
      <c r="CB16">
        <v>847.07500000000005</v>
      </c>
      <c r="CD16" t="s">
        <v>467</v>
      </c>
      <c r="CE16" t="s">
        <v>479</v>
      </c>
      <c r="CF16">
        <f ca="1"/>
        <v>44.044585402310204</v>
      </c>
      <c r="CH16" t="s">
        <v>467</v>
      </c>
      <c r="CI16">
        <v>0</v>
      </c>
      <c r="CL16" t="s">
        <v>467</v>
      </c>
      <c r="CM16">
        <v>0</v>
      </c>
      <c r="CP16" t="s">
        <v>467</v>
      </c>
      <c r="CQ16">
        <v>0</v>
      </c>
      <c r="CT16" t="s">
        <v>467</v>
      </c>
      <c r="CU16" t="s">
        <v>217</v>
      </c>
      <c r="CV16">
        <f ca="1">OFFSET('Calculations 2'!$AJ$12,W16,X16)</f>
        <v>0</v>
      </c>
      <c r="CY16" t="s">
        <v>467</v>
      </c>
      <c r="CZ16">
        <v>0.5</v>
      </c>
      <c r="DC16" t="s">
        <v>467</v>
      </c>
      <c r="DD16">
        <v>1.26</v>
      </c>
      <c r="DG16" t="s">
        <v>467</v>
      </c>
      <c r="DH16">
        <v>2</v>
      </c>
      <c r="DK16" t="s">
        <v>467</v>
      </c>
      <c r="DL16">
        <v>0.4</v>
      </c>
      <c r="DP16" t="s">
        <v>467</v>
      </c>
      <c r="DQ16">
        <v>2</v>
      </c>
      <c r="DU16" t="s">
        <v>467</v>
      </c>
      <c r="DV16">
        <v>2</v>
      </c>
      <c r="ED16" t="s">
        <v>467</v>
      </c>
      <c r="EE16">
        <v>1</v>
      </c>
      <c r="EH16" t="s">
        <v>467</v>
      </c>
      <c r="EI16">
        <v>-3.6</v>
      </c>
      <c r="EQ16" t="s">
        <v>467</v>
      </c>
    </row>
    <row r="17" spans="1:147">
      <c r="A17" t="s">
        <v>231</v>
      </c>
      <c r="C17" t="s">
        <v>231</v>
      </c>
      <c r="H17" t="s">
        <v>231</v>
      </c>
      <c r="I17">
        <f ca="1"/>
        <v>38703.505000000012</v>
      </c>
      <c r="J17">
        <v>125797.1140975829</v>
      </c>
      <c r="K17">
        <v>164500.61909758291</v>
      </c>
      <c r="M17" s="11">
        <f t="shared" ca="1" si="0"/>
        <v>0.23527878017918477</v>
      </c>
      <c r="N17" s="11">
        <f t="shared" si="1"/>
        <v>0.76472121982081531</v>
      </c>
      <c r="Q17" t="s">
        <v>231</v>
      </c>
      <c r="R17" t="s">
        <v>489</v>
      </c>
      <c r="S17" t="s">
        <v>217</v>
      </c>
      <c r="T17">
        <f ca="1">OFFSET('Calculations 2'!$C$45,W17,X17)*OFFSET($M$6,W17,0)</f>
        <v>0</v>
      </c>
      <c r="V17">
        <f t="shared" si="2"/>
        <v>11</v>
      </c>
      <c r="W17">
        <f t="shared" si="3"/>
        <v>11</v>
      </c>
      <c r="X17">
        <f t="shared" si="4"/>
        <v>0</v>
      </c>
      <c r="Z17" t="s">
        <v>231</v>
      </c>
      <c r="AA17" s="11">
        <v>2.9767970839466581E-2</v>
      </c>
      <c r="AC17" t="s">
        <v>231</v>
      </c>
      <c r="AD17" t="s">
        <v>489</v>
      </c>
      <c r="AE17" t="s">
        <v>217</v>
      </c>
      <c r="AF17">
        <f ca="1">OFFSET('Calculations 2'!$CE$45,W17,0)*OFFSET($AA$6,X17,0)*OFFSET($M$6,W17,)</f>
        <v>2.0564721249812301</v>
      </c>
      <c r="AI17" t="s">
        <v>231</v>
      </c>
      <c r="AJ17" t="s">
        <v>489</v>
      </c>
      <c r="AK17">
        <f ca="1">SUM('Calculations 2'!BY56:CB56)*M17</f>
        <v>22.327323522355243</v>
      </c>
      <c r="AN17" t="s">
        <v>231</v>
      </c>
      <c r="AO17">
        <v>129405.85466863023</v>
      </c>
      <c r="AQ17" t="s">
        <v>231</v>
      </c>
      <c r="AR17" t="s">
        <v>489</v>
      </c>
      <c r="AS17">
        <f ca="1"/>
        <v>0</v>
      </c>
      <c r="AU17" t="s">
        <v>231</v>
      </c>
      <c r="AV17">
        <v>0</v>
      </c>
      <c r="AY17" t="s">
        <v>231</v>
      </c>
      <c r="AZ17" t="s">
        <v>489</v>
      </c>
      <c r="BA17" t="s">
        <v>217</v>
      </c>
      <c r="BB17">
        <v>0</v>
      </c>
      <c r="BE17" t="s">
        <v>231</v>
      </c>
      <c r="BF17" t="s">
        <v>489</v>
      </c>
      <c r="BG17" t="s">
        <v>217</v>
      </c>
      <c r="BH17">
        <v>0</v>
      </c>
      <c r="BK17" t="s">
        <v>231</v>
      </c>
      <c r="BL17" t="s">
        <v>489</v>
      </c>
      <c r="BM17">
        <v>0</v>
      </c>
      <c r="BP17" t="s">
        <v>231</v>
      </c>
      <c r="BQ17">
        <v>0</v>
      </c>
      <c r="BT17" t="s">
        <v>231</v>
      </c>
      <c r="BU17" t="s">
        <v>489</v>
      </c>
      <c r="BV17">
        <v>0</v>
      </c>
      <c r="BX17" t="s">
        <v>231</v>
      </c>
      <c r="BY17">
        <v>767.68664665032475</v>
      </c>
      <c r="CA17" t="s">
        <v>231</v>
      </c>
      <c r="CB17">
        <v>7323.4360000000015</v>
      </c>
      <c r="CD17" t="s">
        <v>231</v>
      </c>
      <c r="CE17" t="s">
        <v>479</v>
      </c>
      <c r="CF17">
        <f ca="1"/>
        <v>104.69835124567608</v>
      </c>
      <c r="CH17" t="s">
        <v>231</v>
      </c>
      <c r="CI17">
        <v>0</v>
      </c>
      <c r="CL17" t="s">
        <v>231</v>
      </c>
      <c r="CM17">
        <v>0</v>
      </c>
      <c r="CP17" t="s">
        <v>231</v>
      </c>
      <c r="CQ17">
        <v>0</v>
      </c>
      <c r="CT17" t="s">
        <v>231</v>
      </c>
      <c r="CU17" t="s">
        <v>217</v>
      </c>
      <c r="CV17">
        <f ca="1">OFFSET('Calculations 2'!$AJ$12,W17,X17)</f>
        <v>0</v>
      </c>
      <c r="CY17" t="s">
        <v>231</v>
      </c>
      <c r="CZ17">
        <v>0.5</v>
      </c>
      <c r="DC17" t="s">
        <v>231</v>
      </c>
      <c r="DD17">
        <v>1.26</v>
      </c>
      <c r="DG17" t="s">
        <v>231</v>
      </c>
      <c r="DH17">
        <v>2</v>
      </c>
      <c r="DK17" t="s">
        <v>231</v>
      </c>
      <c r="DL17">
        <v>0.4</v>
      </c>
      <c r="DP17" t="s">
        <v>231</v>
      </c>
      <c r="DQ17">
        <v>2</v>
      </c>
      <c r="DU17" t="s">
        <v>231</v>
      </c>
      <c r="DV17">
        <v>2</v>
      </c>
      <c r="ED17" t="s">
        <v>231</v>
      </c>
      <c r="EE17">
        <v>1</v>
      </c>
      <c r="EH17" t="s">
        <v>231</v>
      </c>
      <c r="EI17">
        <v>-3.6</v>
      </c>
      <c r="EQ17" t="s">
        <v>231</v>
      </c>
    </row>
    <row r="18" spans="1:147">
      <c r="A18" t="s">
        <v>468</v>
      </c>
      <c r="C18" t="s">
        <v>468</v>
      </c>
      <c r="H18" t="s">
        <v>468</v>
      </c>
      <c r="I18">
        <f ca="1"/>
        <v>7111.3469999999998</v>
      </c>
      <c r="J18">
        <v>61173.541316943803</v>
      </c>
      <c r="K18">
        <v>68284.888316943805</v>
      </c>
      <c r="M18" s="11">
        <f t="shared" ca="1" si="0"/>
        <v>0.10414232453588758</v>
      </c>
      <c r="N18" s="11">
        <f t="shared" si="1"/>
        <v>0.89585767546411244</v>
      </c>
      <c r="Q18" t="s">
        <v>468</v>
      </c>
      <c r="R18" t="s">
        <v>489</v>
      </c>
      <c r="S18" t="s">
        <v>217</v>
      </c>
      <c r="T18">
        <f ca="1">OFFSET('Calculations 2'!$C$45,W18,X18)*OFFSET($M$6,W18,0)</f>
        <v>0</v>
      </c>
      <c r="V18">
        <f t="shared" si="2"/>
        <v>12</v>
      </c>
      <c r="W18">
        <f t="shared" si="3"/>
        <v>12</v>
      </c>
      <c r="X18">
        <f t="shared" si="4"/>
        <v>0</v>
      </c>
      <c r="Z18" t="s">
        <v>468</v>
      </c>
      <c r="AA18" s="11">
        <v>3.9926052958018671E-3</v>
      </c>
      <c r="AC18" t="s">
        <v>468</v>
      </c>
      <c r="AD18" t="s">
        <v>489</v>
      </c>
      <c r="AE18" t="s">
        <v>217</v>
      </c>
      <c r="AF18">
        <f ca="1">OFFSET('Calculations 2'!$CE$45,W18,0)*OFFSET($AA$6,X18,0)*OFFSET($M$6,W18,)</f>
        <v>2.9765813060067559</v>
      </c>
      <c r="AI18" t="s">
        <v>468</v>
      </c>
      <c r="AJ18" t="s">
        <v>489</v>
      </c>
      <c r="AK18">
        <f ca="1">SUM('Calculations 2'!BY57:CB57)*M18</f>
        <v>2.4711649374008906</v>
      </c>
      <c r="AN18" t="s">
        <v>468</v>
      </c>
      <c r="AO18">
        <v>40306.887845423233</v>
      </c>
      <c r="AQ18" t="s">
        <v>468</v>
      </c>
      <c r="AR18" t="s">
        <v>489</v>
      </c>
      <c r="AS18">
        <f ca="1"/>
        <v>0</v>
      </c>
      <c r="AU18" t="s">
        <v>468</v>
      </c>
      <c r="AV18">
        <v>0</v>
      </c>
      <c r="AY18" t="s">
        <v>468</v>
      </c>
      <c r="AZ18" t="s">
        <v>489</v>
      </c>
      <c r="BA18" t="s">
        <v>217</v>
      </c>
      <c r="BB18">
        <v>0</v>
      </c>
      <c r="BE18" t="s">
        <v>468</v>
      </c>
      <c r="BF18" t="s">
        <v>489</v>
      </c>
      <c r="BG18" t="s">
        <v>217</v>
      </c>
      <c r="BH18">
        <v>0</v>
      </c>
      <c r="BK18" t="s">
        <v>468</v>
      </c>
      <c r="BL18" t="s">
        <v>489</v>
      </c>
      <c r="BM18">
        <v>0</v>
      </c>
      <c r="BP18" t="s">
        <v>468</v>
      </c>
      <c r="BQ18">
        <v>0</v>
      </c>
      <c r="BT18" t="s">
        <v>468</v>
      </c>
      <c r="BU18" t="s">
        <v>489</v>
      </c>
      <c r="BV18">
        <v>0</v>
      </c>
      <c r="BX18" t="s">
        <v>468</v>
      </c>
      <c r="BY18">
        <v>552.83398678655647</v>
      </c>
      <c r="CA18" t="s">
        <v>468</v>
      </c>
      <c r="CB18">
        <v>982.25</v>
      </c>
      <c r="CD18" t="s">
        <v>468</v>
      </c>
      <c r="CE18" t="s">
        <v>479</v>
      </c>
      <c r="CF18">
        <f ca="1"/>
        <v>34.173652479162627</v>
      </c>
      <c r="CH18" t="s">
        <v>468</v>
      </c>
      <c r="CI18">
        <v>0</v>
      </c>
      <c r="CL18" t="s">
        <v>468</v>
      </c>
      <c r="CM18">
        <v>0</v>
      </c>
      <c r="CP18" t="s">
        <v>468</v>
      </c>
      <c r="CQ18">
        <v>0</v>
      </c>
      <c r="CT18" t="s">
        <v>468</v>
      </c>
      <c r="CU18" t="s">
        <v>217</v>
      </c>
      <c r="CV18">
        <f ca="1">OFFSET('Calculations 2'!$AJ$12,W18,X18)</f>
        <v>0</v>
      </c>
      <c r="CY18" t="s">
        <v>468</v>
      </c>
      <c r="CZ18">
        <v>0.5</v>
      </c>
      <c r="DC18" t="s">
        <v>468</v>
      </c>
      <c r="DD18">
        <v>1.26</v>
      </c>
      <c r="DG18" t="s">
        <v>468</v>
      </c>
      <c r="DH18">
        <v>2</v>
      </c>
      <c r="DK18" t="s">
        <v>468</v>
      </c>
      <c r="DL18">
        <v>0.4</v>
      </c>
      <c r="DP18" t="s">
        <v>468</v>
      </c>
      <c r="DQ18">
        <v>2</v>
      </c>
      <c r="DU18" t="s">
        <v>468</v>
      </c>
      <c r="DV18">
        <v>2</v>
      </c>
      <c r="ED18" t="s">
        <v>468</v>
      </c>
      <c r="EE18">
        <v>1</v>
      </c>
      <c r="EH18" t="s">
        <v>468</v>
      </c>
      <c r="EI18">
        <v>-3.6</v>
      </c>
      <c r="EQ18" t="s">
        <v>468</v>
      </c>
    </row>
    <row r="19" spans="1:147">
      <c r="A19" t="s">
        <v>469</v>
      </c>
      <c r="C19" t="s">
        <v>469</v>
      </c>
      <c r="H19" t="s">
        <v>469</v>
      </c>
      <c r="I19">
        <f ca="1"/>
        <v>6245.6820000000007</v>
      </c>
      <c r="J19">
        <v>138479.37230610233</v>
      </c>
      <c r="K19">
        <v>144725.05430610233</v>
      </c>
      <c r="M19" s="11">
        <f t="shared" ca="1" si="0"/>
        <v>4.3155499439578728E-2</v>
      </c>
      <c r="N19" s="11">
        <f t="shared" si="1"/>
        <v>0.95684450056042125</v>
      </c>
      <c r="Q19" t="s">
        <v>469</v>
      </c>
      <c r="R19" t="s">
        <v>489</v>
      </c>
      <c r="S19" t="s">
        <v>217</v>
      </c>
      <c r="T19">
        <f ca="1">OFFSET('Calculations 2'!$C$45,W19,X19)*OFFSET($M$6,W19,0)</f>
        <v>0</v>
      </c>
      <c r="V19">
        <f t="shared" si="2"/>
        <v>13</v>
      </c>
      <c r="W19">
        <f t="shared" si="3"/>
        <v>13</v>
      </c>
      <c r="X19">
        <f t="shared" si="4"/>
        <v>0</v>
      </c>
      <c r="Z19" t="s">
        <v>469</v>
      </c>
      <c r="AA19" s="11">
        <v>2.7857674336084727E-3</v>
      </c>
      <c r="AC19" t="s">
        <v>469</v>
      </c>
      <c r="AD19" t="s">
        <v>489</v>
      </c>
      <c r="AE19" t="s">
        <v>217</v>
      </c>
      <c r="AF19">
        <f ca="1">OFFSET('Calculations 2'!$CE$45,W19,0)*OFFSET($AA$6,X19,0)*OFFSET($M$6,W19,)</f>
        <v>0.61919349479139063</v>
      </c>
      <c r="AI19" t="s">
        <v>469</v>
      </c>
      <c r="AJ19" t="s">
        <v>489</v>
      </c>
      <c r="AK19">
        <f ca="1">SUM('Calculations 2'!BY58:CB58)*M19</f>
        <v>15.92787354495764</v>
      </c>
      <c r="AN19" t="s">
        <v>469</v>
      </c>
      <c r="AO19">
        <v>127465.50584737753</v>
      </c>
      <c r="AQ19" t="s">
        <v>469</v>
      </c>
      <c r="AR19" t="s">
        <v>489</v>
      </c>
      <c r="AS19">
        <f ca="1"/>
        <v>0</v>
      </c>
      <c r="AU19" t="s">
        <v>469</v>
      </c>
      <c r="AV19">
        <v>0</v>
      </c>
      <c r="AY19" t="s">
        <v>469</v>
      </c>
      <c r="AZ19" t="s">
        <v>489</v>
      </c>
      <c r="BA19" t="s">
        <v>217</v>
      </c>
      <c r="BB19">
        <v>0</v>
      </c>
      <c r="BE19" t="s">
        <v>469</v>
      </c>
      <c r="BF19" t="s">
        <v>489</v>
      </c>
      <c r="BG19" t="s">
        <v>217</v>
      </c>
      <c r="BH19">
        <v>0</v>
      </c>
      <c r="BK19" t="s">
        <v>469</v>
      </c>
      <c r="BL19" t="s">
        <v>489</v>
      </c>
      <c r="BM19">
        <v>0</v>
      </c>
      <c r="BP19" t="s">
        <v>469</v>
      </c>
      <c r="BQ19">
        <v>0</v>
      </c>
      <c r="BT19" t="s">
        <v>469</v>
      </c>
      <c r="BU19" t="s">
        <v>489</v>
      </c>
      <c r="BV19">
        <v>0</v>
      </c>
      <c r="BX19" t="s">
        <v>469</v>
      </c>
      <c r="BY19">
        <v>901.72973205814549</v>
      </c>
      <c r="CA19" t="s">
        <v>469</v>
      </c>
      <c r="CB19">
        <v>685.34699999999998</v>
      </c>
      <c r="CD19" t="s">
        <v>469</v>
      </c>
      <c r="CE19" t="s">
        <v>479</v>
      </c>
      <c r="CF19">
        <f ca="1"/>
        <v>19.647828158439758</v>
      </c>
      <c r="CH19" t="s">
        <v>469</v>
      </c>
      <c r="CI19">
        <v>0</v>
      </c>
      <c r="CL19" t="s">
        <v>469</v>
      </c>
      <c r="CM19">
        <v>0</v>
      </c>
      <c r="CP19" t="s">
        <v>469</v>
      </c>
      <c r="CQ19">
        <v>0</v>
      </c>
      <c r="CT19" t="s">
        <v>469</v>
      </c>
      <c r="CU19" t="s">
        <v>217</v>
      </c>
      <c r="CV19">
        <f ca="1">OFFSET('Calculations 2'!$AJ$12,W19,X19)</f>
        <v>0</v>
      </c>
      <c r="CY19" t="s">
        <v>469</v>
      </c>
      <c r="CZ19">
        <v>0.5</v>
      </c>
      <c r="DC19" t="s">
        <v>469</v>
      </c>
      <c r="DD19">
        <v>1.26</v>
      </c>
      <c r="DG19" t="s">
        <v>469</v>
      </c>
      <c r="DH19">
        <v>2</v>
      </c>
      <c r="DK19" t="s">
        <v>469</v>
      </c>
      <c r="DL19">
        <v>0.4</v>
      </c>
      <c r="DP19" t="s">
        <v>469</v>
      </c>
      <c r="DQ19">
        <v>2</v>
      </c>
      <c r="DU19" t="s">
        <v>469</v>
      </c>
      <c r="DV19">
        <v>2</v>
      </c>
      <c r="ED19" t="s">
        <v>469</v>
      </c>
      <c r="EE19">
        <v>1</v>
      </c>
      <c r="EH19" t="s">
        <v>469</v>
      </c>
      <c r="EI19">
        <v>-3.6</v>
      </c>
      <c r="EQ19" t="s">
        <v>469</v>
      </c>
    </row>
    <row r="20" spans="1:147">
      <c r="A20" t="s">
        <v>245</v>
      </c>
      <c r="C20" t="s">
        <v>245</v>
      </c>
      <c r="H20" t="s">
        <v>245</v>
      </c>
      <c r="I20">
        <f ca="1"/>
        <v>2014.7719999999999</v>
      </c>
      <c r="J20">
        <v>49352.989395550729</v>
      </c>
      <c r="K20">
        <v>51367.761395550733</v>
      </c>
      <c r="M20" s="11">
        <f t="shared" ca="1" si="0"/>
        <v>3.9222499584622962E-2</v>
      </c>
      <c r="N20" s="11">
        <f t="shared" si="1"/>
        <v>0.96077750041537691</v>
      </c>
      <c r="Q20" t="s">
        <v>245</v>
      </c>
      <c r="R20" t="s">
        <v>489</v>
      </c>
      <c r="S20" t="s">
        <v>217</v>
      </c>
      <c r="T20">
        <f ca="1">OFFSET('Calculations 2'!$C$45,W20,X20)*OFFSET($M$6,W20,0)</f>
        <v>0</v>
      </c>
      <c r="V20">
        <f t="shared" si="2"/>
        <v>14</v>
      </c>
      <c r="W20">
        <f t="shared" si="3"/>
        <v>14</v>
      </c>
      <c r="X20">
        <f t="shared" si="4"/>
        <v>0</v>
      </c>
      <c r="Z20" t="s">
        <v>245</v>
      </c>
      <c r="AA20" s="11">
        <v>2.4970438431110406E-3</v>
      </c>
      <c r="AC20" t="s">
        <v>245</v>
      </c>
      <c r="AD20" t="s">
        <v>489</v>
      </c>
      <c r="AE20" t="s">
        <v>217</v>
      </c>
      <c r="AF20">
        <f ca="1">OFFSET('Calculations 2'!$CE$45,W20,0)*OFFSET($AA$6,X20,0)*OFFSET($M$6,W20,)</f>
        <v>0.89442993399971227</v>
      </c>
      <c r="AI20" t="s">
        <v>245</v>
      </c>
      <c r="AJ20" t="s">
        <v>489</v>
      </c>
      <c r="AK20">
        <f ca="1">SUM('Calculations 2'!BY59:CB59)*M20</f>
        <v>21.395992908481666</v>
      </c>
      <c r="AN20" t="s">
        <v>245</v>
      </c>
      <c r="AO20">
        <v>32111.616276144228</v>
      </c>
      <c r="AQ20" t="s">
        <v>245</v>
      </c>
      <c r="AR20" t="s">
        <v>489</v>
      </c>
      <c r="AS20">
        <f ca="1"/>
        <v>0</v>
      </c>
      <c r="AU20" t="s">
        <v>245</v>
      </c>
      <c r="AV20">
        <v>0</v>
      </c>
      <c r="AY20" t="s">
        <v>245</v>
      </c>
      <c r="AZ20" t="s">
        <v>489</v>
      </c>
      <c r="BA20" t="s">
        <v>217</v>
      </c>
      <c r="BB20">
        <v>0</v>
      </c>
      <c r="BE20" t="s">
        <v>245</v>
      </c>
      <c r="BF20" t="s">
        <v>489</v>
      </c>
      <c r="BG20" t="s">
        <v>217</v>
      </c>
      <c r="BH20">
        <v>0</v>
      </c>
      <c r="BK20" t="s">
        <v>245</v>
      </c>
      <c r="BL20" t="s">
        <v>489</v>
      </c>
      <c r="BM20">
        <v>0</v>
      </c>
      <c r="BP20" t="s">
        <v>245</v>
      </c>
      <c r="BQ20">
        <v>0</v>
      </c>
      <c r="BT20" t="s">
        <v>245</v>
      </c>
      <c r="BU20" t="s">
        <v>489</v>
      </c>
      <c r="BV20">
        <v>0</v>
      </c>
      <c r="BX20" t="s">
        <v>245</v>
      </c>
      <c r="BY20">
        <v>798.31084508367542</v>
      </c>
      <c r="CA20" t="s">
        <v>245</v>
      </c>
      <c r="CB20">
        <v>614.31600000000003</v>
      </c>
      <c r="CD20" t="s">
        <v>245</v>
      </c>
      <c r="CE20" t="s">
        <v>479</v>
      </c>
      <c r="CF20">
        <f ca="1"/>
        <v>7.7914024151849324</v>
      </c>
      <c r="CH20" t="s">
        <v>245</v>
      </c>
      <c r="CI20">
        <v>0</v>
      </c>
      <c r="CL20" t="s">
        <v>245</v>
      </c>
      <c r="CM20">
        <v>0</v>
      </c>
      <c r="CP20" t="s">
        <v>245</v>
      </c>
      <c r="CQ20">
        <v>0</v>
      </c>
      <c r="CT20" t="s">
        <v>245</v>
      </c>
      <c r="CU20" t="s">
        <v>217</v>
      </c>
      <c r="CV20">
        <f ca="1">OFFSET('Calculations 2'!$AJ$12,W20,X20)</f>
        <v>0</v>
      </c>
      <c r="CY20" t="s">
        <v>245</v>
      </c>
      <c r="CZ20">
        <v>0.5</v>
      </c>
      <c r="DC20" t="s">
        <v>245</v>
      </c>
      <c r="DD20">
        <v>1.26</v>
      </c>
      <c r="DG20" t="s">
        <v>245</v>
      </c>
      <c r="DH20">
        <v>2</v>
      </c>
      <c r="DK20" t="s">
        <v>245</v>
      </c>
      <c r="DL20">
        <v>0.4</v>
      </c>
      <c r="DP20" t="s">
        <v>245</v>
      </c>
      <c r="DQ20">
        <v>2</v>
      </c>
      <c r="DU20" t="s">
        <v>245</v>
      </c>
      <c r="DV20">
        <v>2</v>
      </c>
      <c r="ED20" t="s">
        <v>245</v>
      </c>
      <c r="EE20">
        <v>1</v>
      </c>
      <c r="EH20" t="s">
        <v>245</v>
      </c>
      <c r="EI20">
        <v>-3.6</v>
      </c>
      <c r="EQ20" t="s">
        <v>245</v>
      </c>
    </row>
    <row r="21" spans="1:147">
      <c r="A21" t="s">
        <v>470</v>
      </c>
      <c r="C21" t="s">
        <v>470</v>
      </c>
      <c r="H21" t="s">
        <v>470</v>
      </c>
      <c r="I21">
        <f ca="1"/>
        <v>13743.499999999996</v>
      </c>
      <c r="J21">
        <v>46912.071515339652</v>
      </c>
      <c r="K21">
        <v>60655.571515339652</v>
      </c>
      <c r="M21" s="11">
        <f t="shared" ca="1" si="0"/>
        <v>0.22658264783679924</v>
      </c>
      <c r="N21" s="11">
        <f t="shared" si="1"/>
        <v>0.77341735216320073</v>
      </c>
      <c r="Q21" t="s">
        <v>470</v>
      </c>
      <c r="R21" t="s">
        <v>489</v>
      </c>
      <c r="S21" t="s">
        <v>217</v>
      </c>
      <c r="T21">
        <f ca="1">OFFSET('Calculations 2'!$C$45,W21,X21)*OFFSET($M$6,W21,0)</f>
        <v>0</v>
      </c>
      <c r="V21">
        <f t="shared" si="2"/>
        <v>15</v>
      </c>
      <c r="W21">
        <f t="shared" si="3"/>
        <v>15</v>
      </c>
      <c r="X21">
        <f t="shared" si="4"/>
        <v>0</v>
      </c>
      <c r="Z21" t="s">
        <v>470</v>
      </c>
      <c r="AA21" s="11">
        <v>8.1449839042655649E-3</v>
      </c>
      <c r="AC21" t="s">
        <v>470</v>
      </c>
      <c r="AD21" t="s">
        <v>489</v>
      </c>
      <c r="AE21" t="s">
        <v>217</v>
      </c>
      <c r="AF21">
        <f ca="1">OFFSET('Calculations 2'!$CE$45,W21,0)*OFFSET($AA$6,X21,0)*OFFSET($M$6,W21,)</f>
        <v>2.4354747308357174</v>
      </c>
      <c r="AI21" t="s">
        <v>470</v>
      </c>
      <c r="AJ21" t="s">
        <v>489</v>
      </c>
      <c r="AK21">
        <f ca="1">SUM('Calculations 2'!BY60:CB60)*M21</f>
        <v>93.284317849165745</v>
      </c>
      <c r="AN21" t="s">
        <v>470</v>
      </c>
      <c r="AO21">
        <v>45765.019005968468</v>
      </c>
      <c r="AQ21" t="s">
        <v>470</v>
      </c>
      <c r="AR21" t="s">
        <v>489</v>
      </c>
      <c r="AS21">
        <f ca="1"/>
        <v>0</v>
      </c>
      <c r="AU21" t="s">
        <v>470</v>
      </c>
      <c r="AV21">
        <v>0</v>
      </c>
      <c r="AY21" t="s">
        <v>470</v>
      </c>
      <c r="AZ21" t="s">
        <v>489</v>
      </c>
      <c r="BA21" t="s">
        <v>217</v>
      </c>
      <c r="BB21">
        <v>0</v>
      </c>
      <c r="BE21" t="s">
        <v>470</v>
      </c>
      <c r="BF21" t="s">
        <v>489</v>
      </c>
      <c r="BG21" t="s">
        <v>217</v>
      </c>
      <c r="BH21">
        <v>0</v>
      </c>
      <c r="BK21" t="s">
        <v>470</v>
      </c>
      <c r="BL21" t="s">
        <v>489</v>
      </c>
      <c r="BM21">
        <v>0</v>
      </c>
      <c r="BP21" t="s">
        <v>470</v>
      </c>
      <c r="BQ21">
        <v>0</v>
      </c>
      <c r="BT21" t="s">
        <v>470</v>
      </c>
      <c r="BU21" t="s">
        <v>489</v>
      </c>
      <c r="BV21">
        <v>0</v>
      </c>
      <c r="BX21" t="s">
        <v>470</v>
      </c>
      <c r="BY21">
        <v>364.30453778586281</v>
      </c>
      <c r="CA21" t="s">
        <v>470</v>
      </c>
      <c r="CB21">
        <v>2003.8069999999998</v>
      </c>
      <c r="CD21" t="s">
        <v>470</v>
      </c>
      <c r="CE21" t="s">
        <v>479</v>
      </c>
      <c r="CF21">
        <f ca="1"/>
        <v>74.58780928839829</v>
      </c>
      <c r="CH21" t="s">
        <v>470</v>
      </c>
      <c r="CI21">
        <v>0</v>
      </c>
      <c r="CL21" t="s">
        <v>470</v>
      </c>
      <c r="CM21">
        <v>0</v>
      </c>
      <c r="CP21" t="s">
        <v>470</v>
      </c>
      <c r="CQ21">
        <v>0</v>
      </c>
      <c r="CT21" t="s">
        <v>470</v>
      </c>
      <c r="CU21" t="s">
        <v>217</v>
      </c>
      <c r="CV21">
        <f ca="1">OFFSET('Calculations 2'!$AJ$12,W21,X21)</f>
        <v>0</v>
      </c>
      <c r="CY21" t="s">
        <v>470</v>
      </c>
      <c r="CZ21">
        <v>0.5</v>
      </c>
      <c r="DC21" t="s">
        <v>470</v>
      </c>
      <c r="DD21">
        <v>1.26</v>
      </c>
      <c r="DG21" t="s">
        <v>470</v>
      </c>
      <c r="DH21">
        <v>2</v>
      </c>
      <c r="DK21" t="s">
        <v>470</v>
      </c>
      <c r="DL21">
        <v>0.4</v>
      </c>
      <c r="DP21" t="s">
        <v>470</v>
      </c>
      <c r="DQ21">
        <v>2</v>
      </c>
      <c r="DU21" t="s">
        <v>470</v>
      </c>
      <c r="DV21">
        <v>2</v>
      </c>
      <c r="ED21" t="s">
        <v>470</v>
      </c>
      <c r="EE21">
        <v>1</v>
      </c>
      <c r="EH21" t="s">
        <v>470</v>
      </c>
      <c r="EI21">
        <v>-3.6</v>
      </c>
      <c r="EQ21" t="s">
        <v>470</v>
      </c>
    </row>
    <row r="22" spans="1:147">
      <c r="A22" t="s">
        <v>471</v>
      </c>
      <c r="C22" t="s">
        <v>471</v>
      </c>
      <c r="H22" t="s">
        <v>471</v>
      </c>
      <c r="I22">
        <f ca="1"/>
        <v>32516.284247284777</v>
      </c>
      <c r="J22">
        <v>251.03150737018399</v>
      </c>
      <c r="K22">
        <v>32767.315754654956</v>
      </c>
      <c r="M22" s="11">
        <f t="shared" ca="1" si="0"/>
        <v>0.9923389663880382</v>
      </c>
      <c r="N22" s="11">
        <f t="shared" si="1"/>
        <v>7.6610336119620117E-3</v>
      </c>
      <c r="Q22" t="s">
        <v>471</v>
      </c>
      <c r="R22" t="s">
        <v>489</v>
      </c>
      <c r="S22" t="s">
        <v>217</v>
      </c>
      <c r="T22">
        <f ca="1">OFFSET('Calculations 2'!$C$45,W22,X22)*OFFSET($M$6,W22,0)</f>
        <v>16.283438955322257</v>
      </c>
      <c r="V22">
        <f t="shared" si="2"/>
        <v>16</v>
      </c>
      <c r="W22">
        <f t="shared" si="3"/>
        <v>16</v>
      </c>
      <c r="X22">
        <f t="shared" si="4"/>
        <v>0</v>
      </c>
      <c r="Z22" t="s">
        <v>471</v>
      </c>
      <c r="AA22" s="11">
        <v>5.8301964630209972E-2</v>
      </c>
      <c r="AC22" t="s">
        <v>471</v>
      </c>
      <c r="AD22" t="s">
        <v>489</v>
      </c>
      <c r="AE22" t="s">
        <v>217</v>
      </c>
      <c r="AF22">
        <f ca="1">OFFSET('Calculations 2'!$CE$45,W22,0)*OFFSET($AA$6,X22,0)*OFFSET($M$6,W22,)</f>
        <v>0</v>
      </c>
      <c r="AI22" t="s">
        <v>471</v>
      </c>
      <c r="AJ22" t="s">
        <v>489</v>
      </c>
      <c r="AK22">
        <f ca="1">SUM('Calculations 2'!BY61:CB61)*M22</f>
        <v>5175.5940133953191</v>
      </c>
      <c r="AN22" t="s">
        <v>471</v>
      </c>
      <c r="AO22">
        <v>0</v>
      </c>
      <c r="AQ22" t="s">
        <v>471</v>
      </c>
      <c r="AR22" t="s">
        <v>489</v>
      </c>
      <c r="AS22">
        <f ca="1"/>
        <v>4682.9203569903157</v>
      </c>
      <c r="AU22" t="s">
        <v>471</v>
      </c>
      <c r="AV22">
        <v>0</v>
      </c>
      <c r="AY22" t="s">
        <v>471</v>
      </c>
      <c r="AZ22" t="s">
        <v>489</v>
      </c>
      <c r="BA22" t="s">
        <v>217</v>
      </c>
      <c r="BB22">
        <v>0</v>
      </c>
      <c r="BE22" t="s">
        <v>471</v>
      </c>
      <c r="BF22" t="s">
        <v>489</v>
      </c>
      <c r="BG22" t="s">
        <v>217</v>
      </c>
      <c r="BH22">
        <v>0</v>
      </c>
      <c r="BK22" t="s">
        <v>471</v>
      </c>
      <c r="BL22" t="s">
        <v>489</v>
      </c>
      <c r="BM22">
        <v>0</v>
      </c>
      <c r="BP22" t="s">
        <v>471</v>
      </c>
      <c r="BQ22">
        <v>0</v>
      </c>
      <c r="BT22" t="s">
        <v>471</v>
      </c>
      <c r="BU22" t="s">
        <v>489</v>
      </c>
      <c r="BV22">
        <v>0</v>
      </c>
      <c r="BX22" t="s">
        <v>471</v>
      </c>
      <c r="BY22">
        <v>251.03150737018399</v>
      </c>
      <c r="CA22" t="s">
        <v>471</v>
      </c>
      <c r="CB22">
        <v>14343.292290434718</v>
      </c>
      <c r="CD22" t="s">
        <v>471</v>
      </c>
      <c r="CE22" t="s">
        <v>479</v>
      </c>
      <c r="CF22">
        <f ca="1"/>
        <v>48.108216370243397</v>
      </c>
      <c r="CH22" t="s">
        <v>471</v>
      </c>
      <c r="CI22">
        <v>0</v>
      </c>
      <c r="CL22" t="s">
        <v>471</v>
      </c>
      <c r="CM22">
        <v>0</v>
      </c>
      <c r="CP22" t="s">
        <v>471</v>
      </c>
      <c r="CQ22">
        <v>0</v>
      </c>
      <c r="CT22" t="s">
        <v>471</v>
      </c>
      <c r="CU22" t="s">
        <v>217</v>
      </c>
      <c r="CV22">
        <f ca="1">OFFSET('Calculations 2'!$AJ$12,W22,X22)</f>
        <v>0</v>
      </c>
      <c r="CY22" t="s">
        <v>471</v>
      </c>
      <c r="CZ22">
        <v>0.5</v>
      </c>
      <c r="DC22" t="s">
        <v>471</v>
      </c>
      <c r="DD22">
        <v>1.26</v>
      </c>
      <c r="DG22" t="s">
        <v>471</v>
      </c>
      <c r="DH22">
        <v>2</v>
      </c>
      <c r="DK22" t="s">
        <v>471</v>
      </c>
      <c r="DL22">
        <v>0.4</v>
      </c>
      <c r="DP22" t="s">
        <v>471</v>
      </c>
      <c r="DQ22">
        <v>2</v>
      </c>
      <c r="DU22" t="s">
        <v>471</v>
      </c>
      <c r="DV22">
        <v>2</v>
      </c>
      <c r="ED22" t="s">
        <v>471</v>
      </c>
      <c r="EE22">
        <v>1</v>
      </c>
      <c r="EH22" t="s">
        <v>471</v>
      </c>
      <c r="EI22">
        <v>-4</v>
      </c>
      <c r="EQ22" t="s">
        <v>471</v>
      </c>
    </row>
    <row r="23" spans="1:147">
      <c r="A23" t="s">
        <v>221</v>
      </c>
      <c r="C23" t="s">
        <v>221</v>
      </c>
      <c r="H23" t="s">
        <v>221</v>
      </c>
      <c r="I23">
        <f ca="1"/>
        <v>89406.357042682357</v>
      </c>
      <c r="J23">
        <v>1798.419359134663</v>
      </c>
      <c r="K23">
        <v>91204.776401817013</v>
      </c>
      <c r="M23" s="11">
        <f t="shared" ca="1" si="0"/>
        <v>0.98028152219559828</v>
      </c>
      <c r="N23" s="11">
        <f t="shared" si="1"/>
        <v>1.9718477804401856E-2</v>
      </c>
      <c r="Q23" t="s">
        <v>221</v>
      </c>
      <c r="R23" t="s">
        <v>489</v>
      </c>
      <c r="S23" t="s">
        <v>217</v>
      </c>
      <c r="T23">
        <f ca="1">OFFSET('Calculations 2'!$C$45,W23,X23)*OFFSET($M$6,W23,0)</f>
        <v>0</v>
      </c>
      <c r="V23">
        <f t="shared" si="2"/>
        <v>17</v>
      </c>
      <c r="W23">
        <f t="shared" si="3"/>
        <v>17</v>
      </c>
      <c r="X23">
        <f t="shared" si="4"/>
        <v>0</v>
      </c>
      <c r="Z23" t="s">
        <v>221</v>
      </c>
      <c r="AA23" s="11">
        <v>2.5793549763483716E-2</v>
      </c>
      <c r="AC23" t="s">
        <v>221</v>
      </c>
      <c r="AD23" t="s">
        <v>489</v>
      </c>
      <c r="AE23" t="s">
        <v>217</v>
      </c>
      <c r="AF23">
        <f ca="1">OFFSET('Calculations 2'!$CE$45,W23,0)*OFFSET($AA$6,X23,0)*OFFSET($M$6,W23,)</f>
        <v>80.902672352594251</v>
      </c>
      <c r="AI23" t="s">
        <v>221</v>
      </c>
      <c r="AJ23" t="s">
        <v>489</v>
      </c>
      <c r="AK23">
        <f ca="1">SUM('Calculations 2'!BY62:CB62)*M23</f>
        <v>541.67109269934224</v>
      </c>
      <c r="AN23" t="s">
        <v>221</v>
      </c>
      <c r="AO23">
        <v>10439.045282394723</v>
      </c>
      <c r="AQ23" t="s">
        <v>221</v>
      </c>
      <c r="AR23" t="s">
        <v>489</v>
      </c>
      <c r="AS23">
        <f ca="1"/>
        <v>0</v>
      </c>
      <c r="AU23" t="s">
        <v>221</v>
      </c>
      <c r="AV23">
        <v>0</v>
      </c>
      <c r="AY23" t="s">
        <v>221</v>
      </c>
      <c r="AZ23" t="s">
        <v>489</v>
      </c>
      <c r="BA23" t="s">
        <v>217</v>
      </c>
      <c r="BB23">
        <v>0</v>
      </c>
      <c r="BE23" t="s">
        <v>221</v>
      </c>
      <c r="BF23" t="s">
        <v>489</v>
      </c>
      <c r="BG23" t="s">
        <v>217</v>
      </c>
      <c r="BH23">
        <v>0</v>
      </c>
      <c r="BK23" t="s">
        <v>221</v>
      </c>
      <c r="BL23" t="s">
        <v>489</v>
      </c>
      <c r="BM23">
        <v>0</v>
      </c>
      <c r="BP23" t="s">
        <v>221</v>
      </c>
      <c r="BQ23">
        <v>0</v>
      </c>
      <c r="BT23" t="s">
        <v>221</v>
      </c>
      <c r="BU23" t="s">
        <v>489</v>
      </c>
      <c r="BV23">
        <v>0</v>
      </c>
      <c r="BX23" t="s">
        <v>221</v>
      </c>
      <c r="BY23">
        <v>1798.419359134663</v>
      </c>
      <c r="CA23" t="s">
        <v>221</v>
      </c>
      <c r="CB23">
        <v>6345.6596327770749</v>
      </c>
      <c r="CD23" t="s">
        <v>221</v>
      </c>
      <c r="CE23" t="s">
        <v>479</v>
      </c>
      <c r="CF23">
        <f ca="1"/>
        <v>1047.764845876356</v>
      </c>
      <c r="CH23" t="s">
        <v>221</v>
      </c>
      <c r="CI23">
        <v>0</v>
      </c>
      <c r="CL23" t="s">
        <v>221</v>
      </c>
      <c r="CM23">
        <v>0</v>
      </c>
      <c r="CP23" t="s">
        <v>221</v>
      </c>
      <c r="CQ23">
        <v>0</v>
      </c>
      <c r="CT23" t="s">
        <v>221</v>
      </c>
      <c r="CU23" t="s">
        <v>217</v>
      </c>
      <c r="CV23">
        <f ca="1">OFFSET('Calculations 2'!$AJ$12,W23,X23)</f>
        <v>0</v>
      </c>
      <c r="CY23" t="s">
        <v>221</v>
      </c>
      <c r="CZ23">
        <v>0.5</v>
      </c>
      <c r="DC23" t="s">
        <v>221</v>
      </c>
      <c r="DD23">
        <v>1.4</v>
      </c>
      <c r="DG23" t="s">
        <v>221</v>
      </c>
      <c r="DH23">
        <v>2</v>
      </c>
      <c r="DK23" t="s">
        <v>221</v>
      </c>
      <c r="DL23">
        <v>0.4</v>
      </c>
      <c r="DP23" t="s">
        <v>221</v>
      </c>
      <c r="DQ23">
        <v>2</v>
      </c>
      <c r="DU23" t="s">
        <v>221</v>
      </c>
      <c r="DV23">
        <v>2</v>
      </c>
      <c r="ED23" t="s">
        <v>221</v>
      </c>
      <c r="EE23">
        <v>1</v>
      </c>
      <c r="EH23" t="s">
        <v>221</v>
      </c>
      <c r="EI23">
        <v>-4</v>
      </c>
      <c r="EQ23" t="s">
        <v>221</v>
      </c>
    </row>
    <row r="24" spans="1:147">
      <c r="A24" t="s">
        <v>244</v>
      </c>
      <c r="C24" t="s">
        <v>244</v>
      </c>
      <c r="H24" t="s">
        <v>244</v>
      </c>
      <c r="I24">
        <f ca="1"/>
        <v>190466.70173842867</v>
      </c>
      <c r="J24">
        <v>2096.455468597982</v>
      </c>
      <c r="K24">
        <v>192563.15720702661</v>
      </c>
      <c r="M24" s="11">
        <f t="shared" ca="1" si="0"/>
        <v>0.98911289418492443</v>
      </c>
      <c r="N24" s="11">
        <f t="shared" si="1"/>
        <v>1.0887105815075836E-2</v>
      </c>
      <c r="Q24" t="s">
        <v>244</v>
      </c>
      <c r="R24" t="s">
        <v>489</v>
      </c>
      <c r="S24" t="s">
        <v>217</v>
      </c>
      <c r="T24">
        <f ca="1">OFFSET('Calculations 2'!$C$45,W24,X24)*OFFSET($M$6,W24,0)</f>
        <v>87.576305086710121</v>
      </c>
      <c r="V24">
        <f t="shared" si="2"/>
        <v>18</v>
      </c>
      <c r="W24">
        <f t="shared" si="3"/>
        <v>18</v>
      </c>
      <c r="X24">
        <f t="shared" si="4"/>
        <v>0</v>
      </c>
      <c r="Z24" t="s">
        <v>244</v>
      </c>
      <c r="AA24" s="11">
        <v>0.22082474440163491</v>
      </c>
      <c r="AC24" t="s">
        <v>244</v>
      </c>
      <c r="AD24" t="s">
        <v>489</v>
      </c>
      <c r="AE24" t="s">
        <v>217</v>
      </c>
      <c r="AF24">
        <f ca="1">OFFSET('Calculations 2'!$CE$45,W24,0)*OFFSET($AA$6,X24,0)*OFFSET($M$6,W24,)</f>
        <v>12.935797879638098</v>
      </c>
      <c r="AI24" t="s">
        <v>244</v>
      </c>
      <c r="AJ24" t="s">
        <v>489</v>
      </c>
      <c r="AK24">
        <f ca="1">SUM('Calculations 2'!BY63:CB63)*M24</f>
        <v>4919.0920022474311</v>
      </c>
      <c r="AN24" t="s">
        <v>244</v>
      </c>
      <c r="AO24">
        <v>120060.02418812897</v>
      </c>
      <c r="AQ24" t="s">
        <v>244</v>
      </c>
      <c r="AR24" t="s">
        <v>489</v>
      </c>
      <c r="AS24">
        <f ca="1"/>
        <v>0</v>
      </c>
      <c r="AU24" t="s">
        <v>244</v>
      </c>
      <c r="AV24">
        <v>0</v>
      </c>
      <c r="AY24" t="s">
        <v>244</v>
      </c>
      <c r="AZ24" t="s">
        <v>489</v>
      </c>
      <c r="BA24" t="s">
        <v>217</v>
      </c>
      <c r="BB24">
        <v>0</v>
      </c>
      <c r="BE24" t="s">
        <v>244</v>
      </c>
      <c r="BF24" t="s">
        <v>489</v>
      </c>
      <c r="BG24" t="s">
        <v>217</v>
      </c>
      <c r="BH24">
        <v>0</v>
      </c>
      <c r="BK24" t="s">
        <v>244</v>
      </c>
      <c r="BL24" t="s">
        <v>489</v>
      </c>
      <c r="BM24">
        <v>0</v>
      </c>
      <c r="BP24" t="s">
        <v>244</v>
      </c>
      <c r="BQ24">
        <v>0</v>
      </c>
      <c r="BT24" t="s">
        <v>244</v>
      </c>
      <c r="BU24" t="s">
        <v>489</v>
      </c>
      <c r="BV24">
        <v>0</v>
      </c>
      <c r="BX24" t="s">
        <v>244</v>
      </c>
      <c r="BY24">
        <v>2096.455468597982</v>
      </c>
      <c r="CA24" t="s">
        <v>244</v>
      </c>
      <c r="CB24">
        <v>54326.708782502654</v>
      </c>
      <c r="CD24" t="s">
        <v>244</v>
      </c>
      <c r="CE24" t="s">
        <v>479</v>
      </c>
      <c r="CF24">
        <f ca="1"/>
        <v>964.44286510162874</v>
      </c>
      <c r="CH24" t="s">
        <v>244</v>
      </c>
      <c r="CI24">
        <v>0</v>
      </c>
      <c r="CL24" t="s">
        <v>244</v>
      </c>
      <c r="CM24">
        <v>0</v>
      </c>
      <c r="CP24" t="s">
        <v>244</v>
      </c>
      <c r="CQ24">
        <v>0</v>
      </c>
      <c r="CT24" t="s">
        <v>244</v>
      </c>
      <c r="CU24" t="s">
        <v>217</v>
      </c>
      <c r="CV24">
        <f ca="1">OFFSET('Calculations 2'!$AJ$12,W24,X24)</f>
        <v>0</v>
      </c>
      <c r="CY24" t="s">
        <v>244</v>
      </c>
      <c r="CZ24">
        <v>0.5</v>
      </c>
      <c r="DC24" t="s">
        <v>244</v>
      </c>
      <c r="DD24">
        <v>1.68</v>
      </c>
      <c r="DG24" t="s">
        <v>244</v>
      </c>
      <c r="DH24">
        <v>2</v>
      </c>
      <c r="DK24" t="s">
        <v>244</v>
      </c>
      <c r="DL24">
        <v>0.4</v>
      </c>
      <c r="DP24" t="s">
        <v>244</v>
      </c>
      <c r="DQ24">
        <v>2</v>
      </c>
      <c r="DU24" t="s">
        <v>244</v>
      </c>
      <c r="DV24">
        <v>2</v>
      </c>
      <c r="ED24" t="s">
        <v>244</v>
      </c>
      <c r="EE24">
        <v>1</v>
      </c>
      <c r="EH24" t="s">
        <v>244</v>
      </c>
      <c r="EI24">
        <v>-4</v>
      </c>
      <c r="EQ24" t="s">
        <v>244</v>
      </c>
    </row>
    <row r="25" spans="1:147">
      <c r="A25" t="s">
        <v>472</v>
      </c>
      <c r="C25" t="s">
        <v>472</v>
      </c>
      <c r="H25" t="s">
        <v>472</v>
      </c>
      <c r="I25">
        <f ca="1"/>
        <v>61824.290783745382</v>
      </c>
      <c r="J25">
        <v>1335.0257806124275</v>
      </c>
      <c r="K25">
        <v>63159.316564357796</v>
      </c>
      <c r="M25" s="11">
        <f t="shared" ca="1" si="0"/>
        <v>0.97886256765853297</v>
      </c>
      <c r="N25" s="11">
        <f t="shared" si="1"/>
        <v>2.1137432341467297E-2</v>
      </c>
      <c r="Q25" t="s">
        <v>472</v>
      </c>
      <c r="R25" t="s">
        <v>489</v>
      </c>
      <c r="S25" t="s">
        <v>217</v>
      </c>
      <c r="T25">
        <f ca="1">OFFSET('Calculations 2'!$C$45,W25,X25)*OFFSET($M$6,W25,0)</f>
        <v>0</v>
      </c>
      <c r="V25">
        <f t="shared" si="2"/>
        <v>19</v>
      </c>
      <c r="W25">
        <f t="shared" si="3"/>
        <v>19</v>
      </c>
      <c r="X25">
        <f t="shared" si="4"/>
        <v>0</v>
      </c>
      <c r="Z25" t="s">
        <v>472</v>
      </c>
      <c r="AA25" s="11">
        <v>6.0321501036910689E-2</v>
      </c>
      <c r="AC25" t="s">
        <v>472</v>
      </c>
      <c r="AD25" t="s">
        <v>489</v>
      </c>
      <c r="AE25" t="s">
        <v>217</v>
      </c>
      <c r="AF25">
        <f ca="1">OFFSET('Calculations 2'!$CE$45,W25,0)*OFFSET($AA$6,X25,0)*OFFSET($M$6,W25,)</f>
        <v>0</v>
      </c>
      <c r="AI25" t="s">
        <v>472</v>
      </c>
      <c r="AJ25" t="s">
        <v>489</v>
      </c>
      <c r="AK25">
        <f ca="1">SUM('Calculations 2'!BY64:CB64)*M25</f>
        <v>5736.0724562131081</v>
      </c>
      <c r="AN25" t="s">
        <v>472</v>
      </c>
      <c r="AO25">
        <v>53293.127960201848</v>
      </c>
      <c r="AQ25" t="s">
        <v>472</v>
      </c>
      <c r="AR25" t="s">
        <v>489</v>
      </c>
      <c r="AS25">
        <f ca="1"/>
        <v>0</v>
      </c>
      <c r="AU25" t="s">
        <v>472</v>
      </c>
      <c r="AV25">
        <v>0</v>
      </c>
      <c r="AY25" t="s">
        <v>472</v>
      </c>
      <c r="AZ25" t="s">
        <v>489</v>
      </c>
      <c r="BA25" t="s">
        <v>217</v>
      </c>
      <c r="BB25">
        <v>0</v>
      </c>
      <c r="BE25" t="s">
        <v>472</v>
      </c>
      <c r="BF25" t="s">
        <v>489</v>
      </c>
      <c r="BG25" t="s">
        <v>217</v>
      </c>
      <c r="BH25">
        <v>0</v>
      </c>
      <c r="BK25" t="s">
        <v>472</v>
      </c>
      <c r="BL25" t="s">
        <v>489</v>
      </c>
      <c r="BM25">
        <v>0</v>
      </c>
      <c r="BP25" t="s">
        <v>472</v>
      </c>
      <c r="BQ25">
        <v>0</v>
      </c>
      <c r="BT25" t="s">
        <v>472</v>
      </c>
      <c r="BU25" t="s">
        <v>489</v>
      </c>
      <c r="BV25">
        <v>0</v>
      </c>
      <c r="BX25" t="s">
        <v>472</v>
      </c>
      <c r="BY25">
        <v>1115.9617426456637</v>
      </c>
      <c r="CA25" t="s">
        <v>472</v>
      </c>
      <c r="CB25">
        <v>14840.133197189909</v>
      </c>
      <c r="CD25" t="s">
        <v>472</v>
      </c>
      <c r="CE25" t="s">
        <v>479</v>
      </c>
      <c r="CF25">
        <f ca="1"/>
        <v>161.51725173174293</v>
      </c>
      <c r="CH25" t="s">
        <v>472</v>
      </c>
      <c r="CI25">
        <v>0</v>
      </c>
      <c r="CL25" t="s">
        <v>472</v>
      </c>
      <c r="CM25">
        <v>0</v>
      </c>
      <c r="CP25" t="s">
        <v>472</v>
      </c>
      <c r="CQ25">
        <v>0</v>
      </c>
      <c r="CT25" t="s">
        <v>472</v>
      </c>
      <c r="CU25" t="s">
        <v>217</v>
      </c>
      <c r="CV25">
        <f ca="1">OFFSET('Calculations 2'!$AJ$12,W25,X25)</f>
        <v>0</v>
      </c>
      <c r="CY25" t="s">
        <v>472</v>
      </c>
      <c r="CZ25">
        <v>0.5</v>
      </c>
      <c r="DC25" t="s">
        <v>472</v>
      </c>
      <c r="DD25">
        <v>1.68</v>
      </c>
      <c r="DG25" t="s">
        <v>472</v>
      </c>
      <c r="DH25">
        <v>2</v>
      </c>
      <c r="DK25" t="s">
        <v>472</v>
      </c>
      <c r="DL25">
        <v>0.4</v>
      </c>
      <c r="DP25" t="s">
        <v>472</v>
      </c>
      <c r="DQ25">
        <v>2</v>
      </c>
      <c r="DU25" t="s">
        <v>472</v>
      </c>
      <c r="DV25">
        <v>2</v>
      </c>
      <c r="ED25" t="s">
        <v>472</v>
      </c>
      <c r="EE25">
        <v>1</v>
      </c>
      <c r="EH25" t="s">
        <v>472</v>
      </c>
      <c r="EI25">
        <v>-4</v>
      </c>
      <c r="EQ25" t="s">
        <v>472</v>
      </c>
    </row>
    <row r="26" spans="1:147">
      <c r="A26" t="s">
        <v>238</v>
      </c>
      <c r="C26" t="s">
        <v>238</v>
      </c>
      <c r="H26" t="s">
        <v>238</v>
      </c>
      <c r="I26">
        <f ca="1"/>
        <v>15857.388999999996</v>
      </c>
      <c r="J26">
        <v>304.84349057504454</v>
      </c>
      <c r="K26">
        <v>16162.232490575039</v>
      </c>
      <c r="M26" s="11">
        <f t="shared" ca="1" si="0"/>
        <v>0.98113852830957526</v>
      </c>
      <c r="N26" s="11">
        <f t="shared" si="1"/>
        <v>1.8861471690424771E-2</v>
      </c>
      <c r="Q26" t="s">
        <v>238</v>
      </c>
      <c r="R26" t="s">
        <v>489</v>
      </c>
      <c r="S26" t="s">
        <v>217</v>
      </c>
      <c r="T26">
        <f ca="1">OFFSET('Calculations 2'!$C$45,W26,X26)*OFFSET($M$6,W26,0)</f>
        <v>13.423351966047665</v>
      </c>
      <c r="V26">
        <f t="shared" si="2"/>
        <v>20</v>
      </c>
      <c r="W26">
        <f t="shared" si="3"/>
        <v>20</v>
      </c>
      <c r="X26">
        <f t="shared" si="4"/>
        <v>0</v>
      </c>
      <c r="Z26" t="s">
        <v>238</v>
      </c>
      <c r="AA26" s="11">
        <v>1.6777368478843483E-2</v>
      </c>
      <c r="AC26" t="s">
        <v>238</v>
      </c>
      <c r="AD26" t="s">
        <v>489</v>
      </c>
      <c r="AE26" t="s">
        <v>217</v>
      </c>
      <c r="AF26">
        <f ca="1">OFFSET('Calculations 2'!$CE$45,W26,0)*OFFSET($AA$6,X26,0)*OFFSET($M$6,W26,)</f>
        <v>0</v>
      </c>
      <c r="AI26" t="s">
        <v>238</v>
      </c>
      <c r="AJ26" t="s">
        <v>489</v>
      </c>
      <c r="AK26">
        <f ca="1">SUM('Calculations 2'!BY65:CB65)*M26</f>
        <v>1025.7777042125567</v>
      </c>
      <c r="AN26" t="s">
        <v>238</v>
      </c>
      <c r="AO26">
        <v>5980.5938984171889</v>
      </c>
      <c r="AQ26" t="s">
        <v>238</v>
      </c>
      <c r="AR26" t="s">
        <v>489</v>
      </c>
      <c r="AS26">
        <f ca="1"/>
        <v>0</v>
      </c>
      <c r="AU26" t="s">
        <v>238</v>
      </c>
      <c r="AV26">
        <v>0</v>
      </c>
      <c r="AY26" t="s">
        <v>238</v>
      </c>
      <c r="AZ26" t="s">
        <v>489</v>
      </c>
      <c r="BA26" t="s">
        <v>217</v>
      </c>
      <c r="BB26">
        <v>0</v>
      </c>
      <c r="BE26" t="s">
        <v>238</v>
      </c>
      <c r="BF26" t="s">
        <v>489</v>
      </c>
      <c r="BG26" t="s">
        <v>217</v>
      </c>
      <c r="BH26">
        <v>0</v>
      </c>
      <c r="BK26" t="s">
        <v>238</v>
      </c>
      <c r="BL26" t="s">
        <v>489</v>
      </c>
      <c r="BM26">
        <v>0</v>
      </c>
      <c r="BP26" t="s">
        <v>238</v>
      </c>
      <c r="BQ26">
        <v>0</v>
      </c>
      <c r="BT26" t="s">
        <v>238</v>
      </c>
      <c r="BU26" t="s">
        <v>489</v>
      </c>
      <c r="BV26">
        <v>0</v>
      </c>
      <c r="BX26" t="s">
        <v>238</v>
      </c>
      <c r="BY26">
        <v>304.84349057504454</v>
      </c>
      <c r="CA26" t="s">
        <v>238</v>
      </c>
      <c r="CB26">
        <v>4127.5230000000001</v>
      </c>
      <c r="CD26" t="s">
        <v>238</v>
      </c>
      <c r="CE26" t="s">
        <v>479</v>
      </c>
      <c r="CF26">
        <f ca="1"/>
        <v>57.049090282828814</v>
      </c>
      <c r="CH26" t="s">
        <v>238</v>
      </c>
      <c r="CI26">
        <v>0</v>
      </c>
      <c r="CL26" t="s">
        <v>238</v>
      </c>
      <c r="CM26">
        <v>0</v>
      </c>
      <c r="CP26" t="s">
        <v>238</v>
      </c>
      <c r="CQ26">
        <v>0</v>
      </c>
      <c r="CT26" t="s">
        <v>238</v>
      </c>
      <c r="CU26" t="s">
        <v>217</v>
      </c>
      <c r="CV26">
        <f ca="1">OFFSET('Calculations 2'!$AJ$12,W26,X26)</f>
        <v>0</v>
      </c>
      <c r="CY26" t="s">
        <v>238</v>
      </c>
      <c r="CZ26">
        <v>0.5</v>
      </c>
      <c r="DC26" t="s">
        <v>238</v>
      </c>
      <c r="DD26">
        <v>1.68</v>
      </c>
      <c r="DG26" t="s">
        <v>238</v>
      </c>
      <c r="DH26">
        <v>2</v>
      </c>
      <c r="DK26" t="s">
        <v>238</v>
      </c>
      <c r="DL26">
        <v>0.4</v>
      </c>
      <c r="DP26" t="s">
        <v>238</v>
      </c>
      <c r="DQ26">
        <v>2</v>
      </c>
      <c r="DU26" t="s">
        <v>238</v>
      </c>
      <c r="DV26">
        <v>2</v>
      </c>
      <c r="ED26" t="s">
        <v>238</v>
      </c>
      <c r="EE26">
        <v>1</v>
      </c>
      <c r="EH26" t="s">
        <v>238</v>
      </c>
      <c r="EI26">
        <v>-4</v>
      </c>
      <c r="EQ26" t="s">
        <v>238</v>
      </c>
    </row>
    <row r="27" spans="1:147">
      <c r="A27" t="s">
        <v>247</v>
      </c>
      <c r="C27" t="s">
        <v>247</v>
      </c>
      <c r="H27" t="s">
        <v>247</v>
      </c>
      <c r="I27">
        <f ca="1"/>
        <v>2289.5280000000002</v>
      </c>
      <c r="J27">
        <v>11.783962240474239</v>
      </c>
      <c r="K27">
        <v>2301.3119622404738</v>
      </c>
      <c r="M27" s="11">
        <f t="shared" ca="1" si="0"/>
        <v>0.99487945900693919</v>
      </c>
      <c r="N27" s="11">
        <f t="shared" si="1"/>
        <v>5.1205409930611063E-3</v>
      </c>
      <c r="Q27" t="s">
        <v>247</v>
      </c>
      <c r="R27" t="s">
        <v>489</v>
      </c>
      <c r="S27" t="s">
        <v>217</v>
      </c>
      <c r="T27">
        <f ca="1">OFFSET('Calculations 2'!$C$45,W27,X27)*OFFSET($M$6,W27,0)</f>
        <v>0</v>
      </c>
      <c r="V27">
        <f t="shared" si="2"/>
        <v>21</v>
      </c>
      <c r="W27">
        <f t="shared" si="3"/>
        <v>21</v>
      </c>
      <c r="X27">
        <f t="shared" si="4"/>
        <v>0</v>
      </c>
      <c r="Z27" t="s">
        <v>247</v>
      </c>
      <c r="AA27" s="11">
        <v>1.4755506653441907E-3</v>
      </c>
      <c r="AC27" t="s">
        <v>247</v>
      </c>
      <c r="AD27" t="s">
        <v>489</v>
      </c>
      <c r="AE27" t="s">
        <v>217</v>
      </c>
      <c r="AF27">
        <f ca="1">OFFSET('Calculations 2'!$CE$45,W27,0)*OFFSET($AA$6,X27,0)*OFFSET($M$6,W27,)</f>
        <v>0</v>
      </c>
      <c r="AI27" t="s">
        <v>247</v>
      </c>
      <c r="AJ27" t="s">
        <v>489</v>
      </c>
      <c r="AK27">
        <f ca="1">SUM('Calculations 2'!BY66:CB66)*M27</f>
        <v>1358.6492333213296</v>
      </c>
      <c r="AN27" t="s">
        <v>247</v>
      </c>
      <c r="AO27">
        <v>0</v>
      </c>
      <c r="AQ27" t="s">
        <v>247</v>
      </c>
      <c r="AR27" t="s">
        <v>489</v>
      </c>
      <c r="AS27">
        <f ca="1"/>
        <v>0</v>
      </c>
      <c r="AU27" t="s">
        <v>247</v>
      </c>
      <c r="AV27">
        <v>0</v>
      </c>
      <c r="AY27" t="s">
        <v>247</v>
      </c>
      <c r="AZ27" t="s">
        <v>489</v>
      </c>
      <c r="BA27" t="s">
        <v>217</v>
      </c>
      <c r="BB27">
        <v>0</v>
      </c>
      <c r="BE27" t="s">
        <v>247</v>
      </c>
      <c r="BF27" t="s">
        <v>489</v>
      </c>
      <c r="BG27" t="s">
        <v>217</v>
      </c>
      <c r="BH27">
        <v>0</v>
      </c>
      <c r="BK27" t="s">
        <v>247</v>
      </c>
      <c r="BL27" t="s">
        <v>489</v>
      </c>
      <c r="BM27">
        <v>0</v>
      </c>
      <c r="BP27" t="s">
        <v>247</v>
      </c>
      <c r="BQ27">
        <v>0</v>
      </c>
      <c r="BT27" t="s">
        <v>247</v>
      </c>
      <c r="BU27" t="s">
        <v>489</v>
      </c>
      <c r="BV27">
        <v>0</v>
      </c>
      <c r="BX27" t="s">
        <v>247</v>
      </c>
      <c r="BY27">
        <v>11.783962240474239</v>
      </c>
      <c r="CA27" t="s">
        <v>247</v>
      </c>
      <c r="CB27">
        <v>363.01099999999997</v>
      </c>
      <c r="CD27" t="s">
        <v>247</v>
      </c>
      <c r="CE27" t="s">
        <v>479</v>
      </c>
      <c r="CF27">
        <f ca="1"/>
        <v>1.9528972935735414</v>
      </c>
      <c r="CH27" t="s">
        <v>247</v>
      </c>
      <c r="CI27">
        <v>0</v>
      </c>
      <c r="CL27" t="s">
        <v>247</v>
      </c>
      <c r="CM27">
        <v>0</v>
      </c>
      <c r="CP27" t="s">
        <v>247</v>
      </c>
      <c r="CQ27">
        <v>0</v>
      </c>
      <c r="CT27" t="s">
        <v>247</v>
      </c>
      <c r="CU27" t="s">
        <v>217</v>
      </c>
      <c r="CV27">
        <f ca="1">OFFSET('Calculations 2'!$AJ$12,W27,X27)</f>
        <v>0</v>
      </c>
      <c r="CY27" t="s">
        <v>247</v>
      </c>
      <c r="CZ27">
        <v>0.5</v>
      </c>
      <c r="DC27" t="s">
        <v>247</v>
      </c>
      <c r="DD27">
        <v>1.68</v>
      </c>
      <c r="DG27" t="s">
        <v>247</v>
      </c>
      <c r="DH27">
        <v>2</v>
      </c>
      <c r="DK27" t="s">
        <v>247</v>
      </c>
      <c r="DL27">
        <v>0.4</v>
      </c>
      <c r="DP27" t="s">
        <v>247</v>
      </c>
      <c r="DQ27">
        <v>2</v>
      </c>
      <c r="DU27" t="s">
        <v>247</v>
      </c>
      <c r="DV27">
        <v>2</v>
      </c>
      <c r="ED27" t="s">
        <v>247</v>
      </c>
      <c r="EE27">
        <v>1</v>
      </c>
      <c r="EH27" t="s">
        <v>247</v>
      </c>
      <c r="EI27">
        <v>-4</v>
      </c>
      <c r="EQ27" t="s">
        <v>247</v>
      </c>
    </row>
    <row r="28" spans="1:147">
      <c r="A28" t="s">
        <v>218</v>
      </c>
      <c r="C28" t="s">
        <v>218</v>
      </c>
      <c r="H28" t="s">
        <v>218</v>
      </c>
      <c r="I28">
        <f ca="1"/>
        <v>102307.00899999999</v>
      </c>
      <c r="J28">
        <v>1717.8932022486185</v>
      </c>
      <c r="K28">
        <v>104024.90220224863</v>
      </c>
      <c r="M28" s="11">
        <f t="shared" ca="1" si="0"/>
        <v>0.98348575037438002</v>
      </c>
      <c r="N28" s="11">
        <f t="shared" si="1"/>
        <v>1.651424962561978E-2</v>
      </c>
      <c r="Q28" t="s">
        <v>218</v>
      </c>
      <c r="R28" t="s">
        <v>489</v>
      </c>
      <c r="S28" t="s">
        <v>217</v>
      </c>
      <c r="T28">
        <f ca="1">OFFSET('Calculations 2'!$C$45,W28,X28)*OFFSET($M$6,W28,0)</f>
        <v>0</v>
      </c>
      <c r="V28">
        <f t="shared" si="2"/>
        <v>22</v>
      </c>
      <c r="W28">
        <f t="shared" si="3"/>
        <v>22</v>
      </c>
      <c r="X28">
        <f t="shared" si="4"/>
        <v>0</v>
      </c>
      <c r="Z28" t="s">
        <v>218</v>
      </c>
      <c r="AA28" s="11">
        <v>6.8878601488317301E-2</v>
      </c>
      <c r="AC28" t="s">
        <v>218</v>
      </c>
      <c r="AD28" t="s">
        <v>489</v>
      </c>
      <c r="AE28" t="s">
        <v>217</v>
      </c>
      <c r="AF28">
        <f ca="1">OFFSET('Calculations 2'!$CE$45,W28,0)*OFFSET($AA$6,X28,0)*OFFSET($M$6,W28,)</f>
        <v>0</v>
      </c>
      <c r="AI28" t="s">
        <v>218</v>
      </c>
      <c r="AJ28" t="s">
        <v>489</v>
      </c>
      <c r="AK28">
        <f ca="1">SUM('Calculations 2'!BY67:CB67)*M28</f>
        <v>3131.2807271530542</v>
      </c>
      <c r="AN28" t="s">
        <v>218</v>
      </c>
      <c r="AO28">
        <v>86575.175357681437</v>
      </c>
      <c r="AQ28" t="s">
        <v>218</v>
      </c>
      <c r="AR28" t="s">
        <v>489</v>
      </c>
      <c r="AS28">
        <f ca="1"/>
        <v>0</v>
      </c>
      <c r="AU28" t="s">
        <v>218</v>
      </c>
      <c r="AV28">
        <v>0</v>
      </c>
      <c r="AY28" t="s">
        <v>218</v>
      </c>
      <c r="AZ28" t="s">
        <v>489</v>
      </c>
      <c r="BA28" t="s">
        <v>217</v>
      </c>
      <c r="BB28">
        <v>0</v>
      </c>
      <c r="BE28" t="s">
        <v>218</v>
      </c>
      <c r="BF28" t="s">
        <v>489</v>
      </c>
      <c r="BG28" t="s">
        <v>217</v>
      </c>
      <c r="BH28">
        <v>0</v>
      </c>
      <c r="BK28" t="s">
        <v>218</v>
      </c>
      <c r="BL28" t="s">
        <v>489</v>
      </c>
      <c r="BM28">
        <v>0</v>
      </c>
      <c r="BP28" t="s">
        <v>218</v>
      </c>
      <c r="BQ28">
        <v>0</v>
      </c>
      <c r="BT28" t="s">
        <v>218</v>
      </c>
      <c r="BU28" t="s">
        <v>489</v>
      </c>
      <c r="BV28">
        <v>0</v>
      </c>
      <c r="BX28" t="s">
        <v>218</v>
      </c>
      <c r="BY28">
        <v>1717.8932022486185</v>
      </c>
      <c r="CA28" t="s">
        <v>218</v>
      </c>
      <c r="CB28">
        <v>16945.328000000001</v>
      </c>
      <c r="CD28" t="s">
        <v>218</v>
      </c>
      <c r="CE28" t="s">
        <v>479</v>
      </c>
      <c r="CF28">
        <f ca="1"/>
        <v>190.14758692186052</v>
      </c>
      <c r="CH28" t="s">
        <v>218</v>
      </c>
      <c r="CI28">
        <v>0</v>
      </c>
      <c r="CL28" t="s">
        <v>218</v>
      </c>
      <c r="CM28">
        <v>0</v>
      </c>
      <c r="CP28" t="s">
        <v>218</v>
      </c>
      <c r="CQ28">
        <v>0</v>
      </c>
      <c r="CT28" t="s">
        <v>218</v>
      </c>
      <c r="CU28" t="s">
        <v>217</v>
      </c>
      <c r="CV28">
        <f ca="1">OFFSET('Calculations 2'!$AJ$12,W28,X28)</f>
        <v>0</v>
      </c>
      <c r="CY28" t="s">
        <v>218</v>
      </c>
      <c r="CZ28">
        <v>0.5</v>
      </c>
      <c r="DC28" t="s">
        <v>218</v>
      </c>
      <c r="DD28">
        <v>1.68</v>
      </c>
      <c r="DG28" t="s">
        <v>218</v>
      </c>
      <c r="DH28">
        <v>2</v>
      </c>
      <c r="DK28" t="s">
        <v>218</v>
      </c>
      <c r="DL28">
        <v>0.4</v>
      </c>
      <c r="DP28" t="s">
        <v>218</v>
      </c>
      <c r="DQ28">
        <v>2</v>
      </c>
      <c r="DU28" t="s">
        <v>218</v>
      </c>
      <c r="DV28">
        <v>2</v>
      </c>
      <c r="ED28" t="s">
        <v>218</v>
      </c>
      <c r="EE28">
        <v>1</v>
      </c>
      <c r="EH28" t="s">
        <v>218</v>
      </c>
      <c r="EI28">
        <v>-4</v>
      </c>
      <c r="EQ28" t="s">
        <v>218</v>
      </c>
    </row>
    <row r="29" spans="1:147">
      <c r="A29" t="s">
        <v>257</v>
      </c>
      <c r="C29" t="s">
        <v>257</v>
      </c>
      <c r="H29" t="s">
        <v>257</v>
      </c>
      <c r="I29">
        <f ca="1"/>
        <v>51951.452999999994</v>
      </c>
      <c r="J29">
        <v>230.70108520244324</v>
      </c>
      <c r="K29">
        <v>52182.154085202441</v>
      </c>
      <c r="M29" s="11">
        <f t="shared" ca="1" si="0"/>
        <v>0.99557892752327237</v>
      </c>
      <c r="N29" s="11">
        <f t="shared" si="1"/>
        <v>4.4210724767275236E-3</v>
      </c>
      <c r="Q29" t="s">
        <v>257</v>
      </c>
      <c r="R29" t="s">
        <v>489</v>
      </c>
      <c r="S29" t="s">
        <v>217</v>
      </c>
      <c r="T29">
        <f ca="1">OFFSET('Calculations 2'!$C$45,W29,X29)*OFFSET($M$6,W29,0)</f>
        <v>0</v>
      </c>
      <c r="V29">
        <f t="shared" si="2"/>
        <v>23</v>
      </c>
      <c r="W29">
        <f t="shared" si="3"/>
        <v>23</v>
      </c>
      <c r="X29">
        <f t="shared" si="4"/>
        <v>0</v>
      </c>
      <c r="Z29" t="s">
        <v>257</v>
      </c>
      <c r="AA29" s="11">
        <v>4.0134257822830637E-2</v>
      </c>
      <c r="AC29" t="s">
        <v>257</v>
      </c>
      <c r="AD29" t="s">
        <v>489</v>
      </c>
      <c r="AE29" t="s">
        <v>217</v>
      </c>
      <c r="AF29">
        <f ca="1">OFFSET('Calculations 2'!$CE$45,W29,0)*OFFSET($AA$6,X29,0)*OFFSET($M$6,W29,)</f>
        <v>0</v>
      </c>
      <c r="AI29" t="s">
        <v>257</v>
      </c>
      <c r="AJ29" t="s">
        <v>489</v>
      </c>
      <c r="AK29">
        <f ca="1">SUM('Calculations 2'!BY68:CB68)*M29</f>
        <v>1398.6911996287706</v>
      </c>
      <c r="AN29" t="s">
        <v>257</v>
      </c>
      <c r="AO29">
        <v>6757.0071099840179</v>
      </c>
      <c r="AQ29" t="s">
        <v>257</v>
      </c>
      <c r="AR29" t="s">
        <v>489</v>
      </c>
      <c r="AS29">
        <f ca="1"/>
        <v>0</v>
      </c>
      <c r="AU29" t="s">
        <v>257</v>
      </c>
      <c r="AV29">
        <v>0</v>
      </c>
      <c r="AY29" t="s">
        <v>257</v>
      </c>
      <c r="AZ29" t="s">
        <v>489</v>
      </c>
      <c r="BA29" t="s">
        <v>217</v>
      </c>
      <c r="BB29">
        <v>0</v>
      </c>
      <c r="BE29" t="s">
        <v>257</v>
      </c>
      <c r="BF29" t="s">
        <v>489</v>
      </c>
      <c r="BG29" t="s">
        <v>217</v>
      </c>
      <c r="BH29">
        <v>0</v>
      </c>
      <c r="BK29" t="s">
        <v>257</v>
      </c>
      <c r="BL29" t="s">
        <v>489</v>
      </c>
      <c r="BM29">
        <v>0</v>
      </c>
      <c r="BP29" t="s">
        <v>257</v>
      </c>
      <c r="BQ29">
        <v>0</v>
      </c>
      <c r="BT29" t="s">
        <v>257</v>
      </c>
      <c r="BU29" t="s">
        <v>489</v>
      </c>
      <c r="BV29">
        <v>0</v>
      </c>
      <c r="BX29" t="s">
        <v>257</v>
      </c>
      <c r="BY29">
        <v>230.70108520244324</v>
      </c>
      <c r="CA29" t="s">
        <v>257</v>
      </c>
      <c r="CB29">
        <v>9873.7219999999979</v>
      </c>
      <c r="CD29" t="s">
        <v>257</v>
      </c>
      <c r="CE29" t="s">
        <v>479</v>
      </c>
      <c r="CF29">
        <f ca="1"/>
        <v>120.23245711524216</v>
      </c>
      <c r="CH29" t="s">
        <v>257</v>
      </c>
      <c r="CI29">
        <v>0</v>
      </c>
      <c r="CL29" t="s">
        <v>257</v>
      </c>
      <c r="CM29">
        <v>0</v>
      </c>
      <c r="CP29" t="s">
        <v>257</v>
      </c>
      <c r="CQ29">
        <v>0</v>
      </c>
      <c r="CT29" t="s">
        <v>257</v>
      </c>
      <c r="CU29" t="s">
        <v>217</v>
      </c>
      <c r="CV29">
        <f ca="1">OFFSET('Calculations 2'!$AJ$12,W29,X29)</f>
        <v>0</v>
      </c>
      <c r="CY29" t="s">
        <v>257</v>
      </c>
      <c r="CZ29">
        <v>0.5</v>
      </c>
      <c r="DC29" t="s">
        <v>257</v>
      </c>
      <c r="DD29">
        <v>1.68</v>
      </c>
      <c r="DG29" t="s">
        <v>257</v>
      </c>
      <c r="DH29">
        <v>2</v>
      </c>
      <c r="DK29" t="s">
        <v>257</v>
      </c>
      <c r="DL29">
        <v>0.4</v>
      </c>
      <c r="DP29" t="s">
        <v>257</v>
      </c>
      <c r="DQ29">
        <v>2</v>
      </c>
      <c r="DU29" t="s">
        <v>257</v>
      </c>
      <c r="DV29">
        <v>2</v>
      </c>
      <c r="ED29" t="s">
        <v>257</v>
      </c>
      <c r="EE29">
        <v>1</v>
      </c>
      <c r="EH29" t="s">
        <v>257</v>
      </c>
      <c r="EI29">
        <v>-4</v>
      </c>
      <c r="EQ29" t="s">
        <v>257</v>
      </c>
    </row>
    <row r="30" spans="1:147">
      <c r="A30" t="s">
        <v>220</v>
      </c>
      <c r="C30" t="s">
        <v>220</v>
      </c>
      <c r="H30" t="s">
        <v>220</v>
      </c>
      <c r="I30">
        <f ca="1"/>
        <v>33978.014777243785</v>
      </c>
      <c r="J30">
        <v>873.73889883210711</v>
      </c>
      <c r="K30">
        <v>34851.753676075889</v>
      </c>
      <c r="M30" s="11">
        <f t="shared" ca="1" si="0"/>
        <v>0.97492984407749084</v>
      </c>
      <c r="N30" s="11">
        <f t="shared" si="1"/>
        <v>2.5070155922509239E-2</v>
      </c>
      <c r="Q30" t="s">
        <v>220</v>
      </c>
      <c r="R30" t="s">
        <v>489</v>
      </c>
      <c r="S30" t="s">
        <v>217</v>
      </c>
      <c r="T30">
        <f ca="1">OFFSET('Calculations 2'!$C$45,W30,X30)*OFFSET($M$6,W30,0)</f>
        <v>0.98745423891412742</v>
      </c>
      <c r="V30">
        <f t="shared" si="2"/>
        <v>24</v>
      </c>
      <c r="W30">
        <f t="shared" si="3"/>
        <v>24</v>
      </c>
      <c r="X30">
        <f t="shared" si="4"/>
        <v>0</v>
      </c>
      <c r="Z30" t="s">
        <v>220</v>
      </c>
      <c r="AA30" s="11">
        <v>3.9322351659811551E-2</v>
      </c>
      <c r="AC30" t="s">
        <v>220</v>
      </c>
      <c r="AD30" t="s">
        <v>489</v>
      </c>
      <c r="AE30" t="s">
        <v>217</v>
      </c>
      <c r="AF30">
        <f ca="1">OFFSET('Calculations 2'!$CE$45,W30,0)*OFFSET($AA$6,X30,0)*OFFSET($M$6,W30,)</f>
        <v>0</v>
      </c>
      <c r="AI30" t="s">
        <v>220</v>
      </c>
      <c r="AJ30" t="s">
        <v>489</v>
      </c>
      <c r="AK30">
        <f ca="1">SUM('Calculations 2'!BY69:CB69)*M30</f>
        <v>4404.4309808604448</v>
      </c>
      <c r="AN30" t="s">
        <v>220</v>
      </c>
      <c r="AO30">
        <v>13336.454154241277</v>
      </c>
      <c r="AQ30" t="s">
        <v>220</v>
      </c>
      <c r="AR30" t="s">
        <v>489</v>
      </c>
      <c r="AS30">
        <f ca="1"/>
        <v>0</v>
      </c>
      <c r="AU30" t="s">
        <v>220</v>
      </c>
      <c r="AV30">
        <v>0</v>
      </c>
      <c r="AY30" t="s">
        <v>220</v>
      </c>
      <c r="AZ30" t="s">
        <v>489</v>
      </c>
      <c r="BA30" t="s">
        <v>217</v>
      </c>
      <c r="BB30">
        <v>0</v>
      </c>
      <c r="BE30" t="s">
        <v>220</v>
      </c>
      <c r="BF30" t="s">
        <v>489</v>
      </c>
      <c r="BG30" t="s">
        <v>217</v>
      </c>
      <c r="BH30">
        <v>0</v>
      </c>
      <c r="BK30" t="s">
        <v>220</v>
      </c>
      <c r="BL30" t="s">
        <v>489</v>
      </c>
      <c r="BM30">
        <v>0</v>
      </c>
      <c r="BP30" t="s">
        <v>220</v>
      </c>
      <c r="BQ30">
        <v>0</v>
      </c>
      <c r="BT30" t="s">
        <v>220</v>
      </c>
      <c r="BU30" t="s">
        <v>489</v>
      </c>
      <c r="BV30">
        <v>0</v>
      </c>
      <c r="BX30" t="s">
        <v>220</v>
      </c>
      <c r="BY30">
        <v>873.73889883210711</v>
      </c>
      <c r="CA30" t="s">
        <v>220</v>
      </c>
      <c r="CB30">
        <v>9673.9790328041054</v>
      </c>
      <c r="CD30" t="s">
        <v>220</v>
      </c>
      <c r="CE30" t="s">
        <v>479</v>
      </c>
      <c r="CF30">
        <f ca="1"/>
        <v>170.06176809459561</v>
      </c>
      <c r="CH30" t="s">
        <v>220</v>
      </c>
      <c r="CI30">
        <v>0</v>
      </c>
      <c r="CL30" t="s">
        <v>220</v>
      </c>
      <c r="CM30">
        <v>0</v>
      </c>
      <c r="CP30" t="s">
        <v>220</v>
      </c>
      <c r="CQ30">
        <v>0</v>
      </c>
      <c r="CT30" t="s">
        <v>220</v>
      </c>
      <c r="CU30" t="s">
        <v>217</v>
      </c>
      <c r="CV30">
        <f ca="1">OFFSET('Calculations 2'!$AJ$12,W30,X30)</f>
        <v>0</v>
      </c>
      <c r="CY30" t="s">
        <v>220</v>
      </c>
      <c r="CZ30">
        <v>0.5</v>
      </c>
      <c r="DC30" t="s">
        <v>220</v>
      </c>
      <c r="DD30">
        <v>1.26</v>
      </c>
      <c r="DG30" t="s">
        <v>220</v>
      </c>
      <c r="DH30">
        <v>2</v>
      </c>
      <c r="DK30" t="s">
        <v>220</v>
      </c>
      <c r="DL30">
        <v>0.4</v>
      </c>
      <c r="DP30" t="s">
        <v>220</v>
      </c>
      <c r="DQ30">
        <v>2</v>
      </c>
      <c r="DU30" t="s">
        <v>220</v>
      </c>
      <c r="DV30">
        <v>2</v>
      </c>
      <c r="ED30" t="s">
        <v>220</v>
      </c>
      <c r="EE30">
        <v>1</v>
      </c>
      <c r="EH30" t="s">
        <v>220</v>
      </c>
      <c r="EI30">
        <v>-4</v>
      </c>
      <c r="EQ30" t="s">
        <v>220</v>
      </c>
    </row>
    <row r="31" spans="1:147">
      <c r="A31" t="s">
        <v>235</v>
      </c>
      <c r="C31" t="s">
        <v>235</v>
      </c>
      <c r="H31" t="s">
        <v>235</v>
      </c>
      <c r="I31">
        <f ca="1"/>
        <v>68358.296123052933</v>
      </c>
      <c r="J31">
        <v>646.64652197217947</v>
      </c>
      <c r="K31">
        <v>69004.94264502509</v>
      </c>
      <c r="M31" s="11">
        <f t="shared" ca="1" si="0"/>
        <v>0.99062898254551657</v>
      </c>
      <c r="N31" s="11">
        <f t="shared" si="1"/>
        <v>9.3710174544837394E-3</v>
      </c>
      <c r="Q31" t="s">
        <v>235</v>
      </c>
      <c r="R31" t="s">
        <v>489</v>
      </c>
      <c r="S31" t="s">
        <v>217</v>
      </c>
      <c r="T31">
        <f ca="1">OFFSET('Calculations 2'!$C$45,W31,X31)*OFFSET($M$6,W31,0)</f>
        <v>80.067345711866352</v>
      </c>
      <c r="V31">
        <f t="shared" si="2"/>
        <v>25</v>
      </c>
      <c r="W31">
        <f t="shared" si="3"/>
        <v>25</v>
      </c>
      <c r="X31">
        <f t="shared" si="4"/>
        <v>0</v>
      </c>
      <c r="Z31" t="s">
        <v>235</v>
      </c>
      <c r="AA31" s="11">
        <v>0.17244894693261392</v>
      </c>
      <c r="AC31" t="s">
        <v>235</v>
      </c>
      <c r="AD31" t="s">
        <v>489</v>
      </c>
      <c r="AE31" t="s">
        <v>217</v>
      </c>
      <c r="AF31">
        <f ca="1">OFFSET('Calculations 2'!$CE$45,W31,0)*OFFSET($AA$6,X31,0)*OFFSET($M$6,W31,)</f>
        <v>0</v>
      </c>
      <c r="AI31" t="s">
        <v>235</v>
      </c>
      <c r="AJ31" t="s">
        <v>489</v>
      </c>
      <c r="AK31">
        <f ca="1">SUM('Calculations 2'!BY70:CB70)*M31</f>
        <v>3368.3930974564073</v>
      </c>
      <c r="AN31" t="s">
        <v>235</v>
      </c>
      <c r="AO31">
        <v>14947.814660519402</v>
      </c>
      <c r="AQ31" t="s">
        <v>235</v>
      </c>
      <c r="AR31" t="s">
        <v>489</v>
      </c>
      <c r="AS31">
        <f ca="1"/>
        <v>0</v>
      </c>
      <c r="AU31" t="s">
        <v>235</v>
      </c>
      <c r="AV31">
        <v>0</v>
      </c>
      <c r="AY31" t="s">
        <v>235</v>
      </c>
      <c r="AZ31" t="s">
        <v>489</v>
      </c>
      <c r="BA31" t="s">
        <v>217</v>
      </c>
      <c r="BB31">
        <v>0</v>
      </c>
      <c r="BE31" t="s">
        <v>235</v>
      </c>
      <c r="BF31" t="s">
        <v>489</v>
      </c>
      <c r="BG31" t="s">
        <v>217</v>
      </c>
      <c r="BH31">
        <v>0</v>
      </c>
      <c r="BK31" t="s">
        <v>235</v>
      </c>
      <c r="BL31" t="s">
        <v>489</v>
      </c>
      <c r="BM31">
        <v>0</v>
      </c>
      <c r="BP31" t="s">
        <v>235</v>
      </c>
      <c r="BQ31">
        <v>0</v>
      </c>
      <c r="BT31" t="s">
        <v>235</v>
      </c>
      <c r="BU31" t="s">
        <v>489</v>
      </c>
      <c r="BV31">
        <v>0</v>
      </c>
      <c r="BX31" t="s">
        <v>235</v>
      </c>
      <c r="BY31">
        <v>646.64652197217947</v>
      </c>
      <c r="CA31" t="s">
        <v>235</v>
      </c>
      <c r="CB31">
        <v>42425.425398966334</v>
      </c>
      <c r="CD31" t="s">
        <v>235</v>
      </c>
      <c r="CE31" t="s">
        <v>479</v>
      </c>
      <c r="CF31">
        <f ca="1"/>
        <v>1001.5208876216442</v>
      </c>
      <c r="CH31" t="s">
        <v>235</v>
      </c>
      <c r="CI31">
        <v>0</v>
      </c>
      <c r="CL31" t="s">
        <v>235</v>
      </c>
      <c r="CM31">
        <v>0</v>
      </c>
      <c r="CP31" t="s">
        <v>235</v>
      </c>
      <c r="CQ31">
        <v>0</v>
      </c>
      <c r="CT31" t="s">
        <v>235</v>
      </c>
      <c r="CU31" t="s">
        <v>217</v>
      </c>
      <c r="CV31">
        <f ca="1">OFFSET('Calculations 2'!$AJ$12,W31,X31)</f>
        <v>0</v>
      </c>
      <c r="CY31" t="s">
        <v>235</v>
      </c>
      <c r="CZ31">
        <v>0.5</v>
      </c>
      <c r="DC31" t="s">
        <v>235</v>
      </c>
      <c r="DD31">
        <v>1.26</v>
      </c>
      <c r="DG31" t="s">
        <v>235</v>
      </c>
      <c r="DH31">
        <v>2</v>
      </c>
      <c r="DK31" t="s">
        <v>235</v>
      </c>
      <c r="DL31">
        <v>0.4</v>
      </c>
      <c r="DP31" t="s">
        <v>235</v>
      </c>
      <c r="DQ31">
        <v>2</v>
      </c>
      <c r="DU31" t="s">
        <v>235</v>
      </c>
      <c r="DV31">
        <v>2</v>
      </c>
      <c r="ED31" t="s">
        <v>235</v>
      </c>
      <c r="EE31">
        <v>1</v>
      </c>
      <c r="EH31" t="s">
        <v>235</v>
      </c>
      <c r="EI31">
        <v>-4</v>
      </c>
      <c r="EQ31" t="s">
        <v>235</v>
      </c>
    </row>
    <row r="32" spans="1:147">
      <c r="A32" t="s">
        <v>473</v>
      </c>
      <c r="C32" t="s">
        <v>473</v>
      </c>
      <c r="H32" t="s">
        <v>473</v>
      </c>
      <c r="I32">
        <f ca="1"/>
        <v>51738.011936033472</v>
      </c>
      <c r="J32">
        <v>1383.7912020421388</v>
      </c>
      <c r="K32">
        <v>53121.8031380756</v>
      </c>
      <c r="M32" s="11">
        <f t="shared" ca="1" si="0"/>
        <v>0.97395059805396023</v>
      </c>
      <c r="N32" s="11">
        <f t="shared" si="1"/>
        <v>2.6049401946039972E-2</v>
      </c>
      <c r="Q32" t="s">
        <v>473</v>
      </c>
      <c r="R32" t="s">
        <v>489</v>
      </c>
      <c r="S32" t="s">
        <v>217</v>
      </c>
      <c r="T32">
        <f ca="1">OFFSET('Calculations 2'!$C$45,W32,X32)*OFFSET($M$6,W32,0)</f>
        <v>0</v>
      </c>
      <c r="V32">
        <f t="shared" si="2"/>
        <v>26</v>
      </c>
      <c r="W32">
        <f t="shared" si="3"/>
        <v>26</v>
      </c>
      <c r="X32">
        <f t="shared" si="4"/>
        <v>0</v>
      </c>
      <c r="Z32" t="s">
        <v>473</v>
      </c>
      <c r="AA32" s="11">
        <v>0.1080093073922008</v>
      </c>
      <c r="AC32" t="s">
        <v>473</v>
      </c>
      <c r="AD32" t="s">
        <v>489</v>
      </c>
      <c r="AE32" t="s">
        <v>217</v>
      </c>
      <c r="AF32">
        <f ca="1">OFFSET('Calculations 2'!$CE$45,W32,0)*OFFSET($AA$6,X32,0)*OFFSET($M$6,W32,)</f>
        <v>0</v>
      </c>
      <c r="AI32" t="s">
        <v>473</v>
      </c>
      <c r="AJ32" t="s">
        <v>489</v>
      </c>
      <c r="AK32">
        <f ca="1">SUM('Calculations 2'!BY71:CB71)*M32</f>
        <v>39468.382395462017</v>
      </c>
      <c r="AN32" t="s">
        <v>473</v>
      </c>
      <c r="AO32">
        <v>0</v>
      </c>
      <c r="AQ32" t="s">
        <v>473</v>
      </c>
      <c r="AR32" t="s">
        <v>489</v>
      </c>
      <c r="AS32">
        <f ca="1"/>
        <v>0</v>
      </c>
      <c r="AU32" t="s">
        <v>473</v>
      </c>
      <c r="AV32">
        <v>0</v>
      </c>
      <c r="AY32" t="s">
        <v>473</v>
      </c>
      <c r="AZ32" t="s">
        <v>489</v>
      </c>
      <c r="BA32" t="s">
        <v>217</v>
      </c>
      <c r="BB32">
        <v>0</v>
      </c>
      <c r="BE32" t="s">
        <v>473</v>
      </c>
      <c r="BF32" t="s">
        <v>489</v>
      </c>
      <c r="BG32" t="s">
        <v>217</v>
      </c>
      <c r="BH32">
        <v>0</v>
      </c>
      <c r="BK32" t="s">
        <v>473</v>
      </c>
      <c r="BL32" t="s">
        <v>489</v>
      </c>
      <c r="BM32">
        <v>0</v>
      </c>
      <c r="BP32" t="s">
        <v>473</v>
      </c>
      <c r="BQ32">
        <v>0</v>
      </c>
      <c r="BT32" t="s">
        <v>473</v>
      </c>
      <c r="BU32" t="s">
        <v>489</v>
      </c>
      <c r="BV32">
        <v>0</v>
      </c>
      <c r="BX32" t="s">
        <v>473</v>
      </c>
      <c r="BY32">
        <v>1383.7912020421388</v>
      </c>
      <c r="CA32" t="s">
        <v>473</v>
      </c>
      <c r="CB32">
        <v>26572.158860166492</v>
      </c>
      <c r="CD32" t="s">
        <v>473</v>
      </c>
      <c r="CE32" t="s">
        <v>479</v>
      </c>
      <c r="CF32">
        <f ca="1"/>
        <v>129.87664871536109</v>
      </c>
      <c r="CH32" t="s">
        <v>473</v>
      </c>
      <c r="CI32">
        <v>0</v>
      </c>
      <c r="CL32" t="s">
        <v>473</v>
      </c>
      <c r="CM32">
        <v>0</v>
      </c>
      <c r="CP32" t="s">
        <v>473</v>
      </c>
      <c r="CQ32">
        <v>0</v>
      </c>
      <c r="CT32" t="s">
        <v>473</v>
      </c>
      <c r="CU32" t="s">
        <v>217</v>
      </c>
      <c r="CV32">
        <f ca="1">OFFSET('Calculations 2'!$AJ$12,W32,X32)</f>
        <v>0</v>
      </c>
      <c r="CY32" t="s">
        <v>473</v>
      </c>
      <c r="CZ32">
        <v>0.5</v>
      </c>
      <c r="DC32" t="s">
        <v>473</v>
      </c>
      <c r="DD32">
        <v>1.26</v>
      </c>
      <c r="DG32" t="s">
        <v>473</v>
      </c>
      <c r="DH32">
        <v>2</v>
      </c>
      <c r="DK32" t="s">
        <v>473</v>
      </c>
      <c r="DL32">
        <v>0.4</v>
      </c>
      <c r="DP32" t="s">
        <v>473</v>
      </c>
      <c r="DQ32">
        <v>2</v>
      </c>
      <c r="DU32" t="s">
        <v>473</v>
      </c>
      <c r="DV32">
        <v>2</v>
      </c>
      <c r="ED32" t="s">
        <v>473</v>
      </c>
      <c r="EE32">
        <v>1</v>
      </c>
      <c r="EH32" t="s">
        <v>473</v>
      </c>
      <c r="EI32">
        <v>-4</v>
      </c>
      <c r="EQ32" t="s">
        <v>473</v>
      </c>
    </row>
    <row r="33" spans="1:147">
      <c r="A33" t="s">
        <v>233</v>
      </c>
      <c r="C33" t="s">
        <v>233</v>
      </c>
      <c r="H33" t="s">
        <v>233</v>
      </c>
      <c r="I33">
        <f ca="1"/>
        <v>92686.29159503273</v>
      </c>
      <c r="J33">
        <v>565.91719738690153</v>
      </c>
      <c r="K33">
        <v>93252.208792419609</v>
      </c>
      <c r="M33" s="11">
        <f t="shared" ca="1" si="0"/>
        <v>0.99393132661718908</v>
      </c>
      <c r="N33" s="11">
        <f t="shared" si="1"/>
        <v>6.0686733828111154E-3</v>
      </c>
      <c r="Q33" t="s">
        <v>233</v>
      </c>
      <c r="R33" t="s">
        <v>489</v>
      </c>
      <c r="S33" t="s">
        <v>217</v>
      </c>
      <c r="T33">
        <f ca="1">OFFSET('Calculations 2'!$C$45,W33,X33)*OFFSET($M$6,W33,0)</f>
        <v>25.249166070502017</v>
      </c>
      <c r="V33">
        <f t="shared" si="2"/>
        <v>27</v>
      </c>
      <c r="W33">
        <f t="shared" si="3"/>
        <v>27</v>
      </c>
      <c r="X33">
        <f t="shared" si="4"/>
        <v>0</v>
      </c>
      <c r="Z33" t="s">
        <v>233</v>
      </c>
      <c r="AA33" s="11">
        <v>1.8376840735656569E-2</v>
      </c>
      <c r="AC33" t="s">
        <v>233</v>
      </c>
      <c r="AD33" t="s">
        <v>489</v>
      </c>
      <c r="AE33" t="s">
        <v>217</v>
      </c>
      <c r="AF33">
        <f ca="1">OFFSET('Calculations 2'!$CE$45,W33,0)*OFFSET($AA$6,X33,0)*OFFSET($M$6,W33,)</f>
        <v>0</v>
      </c>
      <c r="AI33" t="s">
        <v>233</v>
      </c>
      <c r="AJ33" t="s">
        <v>489</v>
      </c>
      <c r="AK33">
        <f ca="1">SUM('Calculations 2'!BY72:CB72)*M33</f>
        <v>1425.7262232703956</v>
      </c>
      <c r="AN33" t="s">
        <v>233</v>
      </c>
      <c r="AO33">
        <v>20041.790776604397</v>
      </c>
      <c r="AQ33" t="s">
        <v>233</v>
      </c>
      <c r="AR33" t="s">
        <v>489</v>
      </c>
      <c r="AS33">
        <f ca="1"/>
        <v>0</v>
      </c>
      <c r="AU33" t="s">
        <v>233</v>
      </c>
      <c r="AV33">
        <v>0</v>
      </c>
      <c r="AY33" t="s">
        <v>233</v>
      </c>
      <c r="AZ33" t="s">
        <v>489</v>
      </c>
      <c r="BA33" t="s">
        <v>217</v>
      </c>
      <c r="BB33">
        <v>0</v>
      </c>
      <c r="BE33" t="s">
        <v>233</v>
      </c>
      <c r="BF33" t="s">
        <v>489</v>
      </c>
      <c r="BG33" t="s">
        <v>217</v>
      </c>
      <c r="BH33">
        <v>0</v>
      </c>
      <c r="BK33" t="s">
        <v>233</v>
      </c>
      <c r="BL33" t="s">
        <v>489</v>
      </c>
      <c r="BM33">
        <v>0</v>
      </c>
      <c r="BP33" t="s">
        <v>233</v>
      </c>
      <c r="BQ33">
        <v>0</v>
      </c>
      <c r="BT33" t="s">
        <v>233</v>
      </c>
      <c r="BU33" t="s">
        <v>489</v>
      </c>
      <c r="BV33">
        <v>0</v>
      </c>
      <c r="BX33" t="s">
        <v>233</v>
      </c>
      <c r="BY33">
        <v>565.91719738690153</v>
      </c>
      <c r="CA33" t="s">
        <v>233</v>
      </c>
      <c r="CB33">
        <v>4521.020856125826</v>
      </c>
      <c r="CD33" t="s">
        <v>233</v>
      </c>
      <c r="CE33" t="s">
        <v>479</v>
      </c>
      <c r="CF33">
        <f ca="1"/>
        <v>1671.9806048934861</v>
      </c>
      <c r="CH33" t="s">
        <v>233</v>
      </c>
      <c r="CI33">
        <v>0</v>
      </c>
      <c r="CL33" t="s">
        <v>233</v>
      </c>
      <c r="CM33">
        <v>0</v>
      </c>
      <c r="CP33" t="s">
        <v>233</v>
      </c>
      <c r="CQ33">
        <v>0</v>
      </c>
      <c r="CT33" t="s">
        <v>233</v>
      </c>
      <c r="CU33" t="s">
        <v>217</v>
      </c>
      <c r="CV33">
        <f ca="1">OFFSET('Calculations 2'!$AJ$12,W33,X33)</f>
        <v>0</v>
      </c>
      <c r="CY33" t="s">
        <v>233</v>
      </c>
      <c r="CZ33">
        <v>0.5</v>
      </c>
      <c r="DC33" t="s">
        <v>233</v>
      </c>
      <c r="DD33">
        <v>1.26</v>
      </c>
      <c r="DG33" t="s">
        <v>233</v>
      </c>
      <c r="DH33">
        <v>2</v>
      </c>
      <c r="DK33" t="s">
        <v>233</v>
      </c>
      <c r="DL33">
        <v>0.4</v>
      </c>
      <c r="DP33" t="s">
        <v>233</v>
      </c>
      <c r="DQ33">
        <v>2</v>
      </c>
      <c r="DU33" t="s">
        <v>233</v>
      </c>
      <c r="DV33">
        <v>2</v>
      </c>
      <c r="ED33" t="s">
        <v>233</v>
      </c>
      <c r="EE33">
        <v>1</v>
      </c>
      <c r="EH33" t="s">
        <v>233</v>
      </c>
      <c r="EI33">
        <v>-4</v>
      </c>
      <c r="EQ33" t="s">
        <v>233</v>
      </c>
    </row>
    <row r="34" spans="1:147">
      <c r="A34" t="s">
        <v>474</v>
      </c>
      <c r="C34" t="s">
        <v>474</v>
      </c>
      <c r="H34" t="s">
        <v>474</v>
      </c>
      <c r="I34">
        <f ca="1"/>
        <v>48821.366518956798</v>
      </c>
      <c r="J34">
        <v>742.85724814210334</v>
      </c>
      <c r="K34">
        <v>49564.223767098898</v>
      </c>
      <c r="M34" s="11">
        <f t="shared" ca="1" si="0"/>
        <v>0.98501222874723571</v>
      </c>
      <c r="N34" s="11">
        <f t="shared" si="1"/>
        <v>1.4987771252764329E-2</v>
      </c>
      <c r="Q34" t="s">
        <v>474</v>
      </c>
      <c r="R34" t="s">
        <v>489</v>
      </c>
      <c r="S34" t="s">
        <v>217</v>
      </c>
      <c r="T34">
        <f ca="1">OFFSET('Calculations 2'!$C$45,W34,X34)*OFFSET($M$6,W34,0)</f>
        <v>0</v>
      </c>
      <c r="V34">
        <f t="shared" si="2"/>
        <v>28</v>
      </c>
      <c r="W34">
        <f t="shared" si="3"/>
        <v>28</v>
      </c>
      <c r="X34">
        <f t="shared" si="4"/>
        <v>0</v>
      </c>
      <c r="Z34" t="s">
        <v>474</v>
      </c>
      <c r="AA34" s="11">
        <v>3.0071137799079401E-2</v>
      </c>
      <c r="AC34" t="s">
        <v>474</v>
      </c>
      <c r="AD34" t="s">
        <v>489</v>
      </c>
      <c r="AE34" t="s">
        <v>217</v>
      </c>
      <c r="AF34">
        <f ca="1">OFFSET('Calculations 2'!$CE$45,W34,0)*OFFSET($AA$6,X34,0)*OFFSET($M$6,W34,)</f>
        <v>0</v>
      </c>
      <c r="AI34" t="s">
        <v>474</v>
      </c>
      <c r="AJ34" t="s">
        <v>489</v>
      </c>
      <c r="AK34">
        <f ca="1">SUM('Calculations 2'!BY73:CB73)*M34</f>
        <v>823.99028236594813</v>
      </c>
      <c r="AN34" t="s">
        <v>474</v>
      </c>
      <c r="AO34">
        <v>3714.1774867520612</v>
      </c>
      <c r="AQ34" t="s">
        <v>474</v>
      </c>
      <c r="AR34" t="s">
        <v>489</v>
      </c>
      <c r="AS34">
        <f ca="1"/>
        <v>35809.413824931071</v>
      </c>
      <c r="AU34" t="s">
        <v>474</v>
      </c>
      <c r="AV34">
        <v>0</v>
      </c>
      <c r="AY34" t="s">
        <v>474</v>
      </c>
      <c r="AZ34" t="s">
        <v>489</v>
      </c>
      <c r="BA34" t="s">
        <v>217</v>
      </c>
      <c r="BB34">
        <v>0</v>
      </c>
      <c r="BE34" t="s">
        <v>474</v>
      </c>
      <c r="BF34" t="s">
        <v>489</v>
      </c>
      <c r="BG34" t="s">
        <v>217</v>
      </c>
      <c r="BH34">
        <v>0</v>
      </c>
      <c r="BK34" t="s">
        <v>474</v>
      </c>
      <c r="BL34" t="s">
        <v>489</v>
      </c>
      <c r="BM34">
        <v>0</v>
      </c>
      <c r="BP34" t="s">
        <v>474</v>
      </c>
      <c r="BQ34">
        <v>0</v>
      </c>
      <c r="BT34" t="s">
        <v>474</v>
      </c>
      <c r="BU34" t="s">
        <v>489</v>
      </c>
      <c r="BV34">
        <v>0</v>
      </c>
      <c r="BX34" t="s">
        <v>474</v>
      </c>
      <c r="BY34">
        <v>742.85724814210334</v>
      </c>
      <c r="CA34" t="s">
        <v>474</v>
      </c>
      <c r="CB34">
        <v>7398.0203187636944</v>
      </c>
      <c r="CD34" t="s">
        <v>474</v>
      </c>
      <c r="CE34" t="s">
        <v>479</v>
      </c>
      <c r="CF34">
        <f ca="1"/>
        <v>9787.3551065403699</v>
      </c>
      <c r="CH34" t="s">
        <v>474</v>
      </c>
      <c r="CI34">
        <v>0</v>
      </c>
      <c r="CL34" t="s">
        <v>474</v>
      </c>
      <c r="CM34">
        <v>0</v>
      </c>
      <c r="CP34" t="s">
        <v>474</v>
      </c>
      <c r="CQ34">
        <v>0</v>
      </c>
      <c r="CT34" t="s">
        <v>474</v>
      </c>
      <c r="CU34" t="s">
        <v>217</v>
      </c>
      <c r="CV34">
        <f ca="1">OFFSET('Calculations 2'!$AJ$12,W34,X34)</f>
        <v>0</v>
      </c>
      <c r="CY34" t="s">
        <v>474</v>
      </c>
      <c r="CZ34">
        <v>0.5</v>
      </c>
      <c r="DC34" t="s">
        <v>474</v>
      </c>
      <c r="DD34">
        <v>1.26</v>
      </c>
      <c r="DG34" t="s">
        <v>474</v>
      </c>
      <c r="DH34">
        <v>2</v>
      </c>
      <c r="DK34" t="s">
        <v>474</v>
      </c>
      <c r="DL34">
        <v>0.4</v>
      </c>
      <c r="DP34" t="s">
        <v>474</v>
      </c>
      <c r="DQ34">
        <v>2</v>
      </c>
      <c r="DU34" t="s">
        <v>474</v>
      </c>
      <c r="DV34">
        <v>2</v>
      </c>
      <c r="ED34" t="s">
        <v>474</v>
      </c>
      <c r="EE34">
        <v>1</v>
      </c>
      <c r="EH34" t="s">
        <v>474</v>
      </c>
      <c r="EI34">
        <v>-4</v>
      </c>
      <c r="EQ34" t="s">
        <v>474</v>
      </c>
    </row>
    <row r="35" spans="1:147">
      <c r="A35" t="s">
        <v>223</v>
      </c>
      <c r="C35" t="s">
        <v>223</v>
      </c>
      <c r="H35" t="s">
        <v>223</v>
      </c>
      <c r="I35">
        <f ca="1"/>
        <v>12497.736973482995</v>
      </c>
      <c r="J35">
        <v>4299.3178491385479</v>
      </c>
      <c r="K35">
        <v>16797.05482262154</v>
      </c>
      <c r="M35" s="11">
        <f t="shared" ca="1" si="0"/>
        <v>0.74404335197213201</v>
      </c>
      <c r="N35" s="11">
        <f t="shared" si="1"/>
        <v>0.25595664802786822</v>
      </c>
      <c r="Q35" t="s">
        <v>223</v>
      </c>
      <c r="R35" t="s">
        <v>489</v>
      </c>
      <c r="S35" t="s">
        <v>217</v>
      </c>
      <c r="T35">
        <f ca="1">OFFSET('Calculations 2'!$C$45,W35,X35)*OFFSET($M$6,W35,0)</f>
        <v>0</v>
      </c>
      <c r="V35">
        <f t="shared" si="2"/>
        <v>29</v>
      </c>
      <c r="W35">
        <f t="shared" si="3"/>
        <v>29</v>
      </c>
      <c r="X35">
        <f t="shared" si="4"/>
        <v>0</v>
      </c>
      <c r="Z35" t="s">
        <v>223</v>
      </c>
      <c r="AA35" s="11">
        <v>7.1210927178923661E-3</v>
      </c>
      <c r="AC35" t="s">
        <v>223</v>
      </c>
      <c r="AD35" t="s">
        <v>489</v>
      </c>
      <c r="AE35" t="s">
        <v>217</v>
      </c>
      <c r="AF35">
        <f ca="1">OFFSET('Calculations 2'!$CE$45,W35,0)*OFFSET($AA$6,X35,0)*OFFSET($M$6,W35,)</f>
        <v>0</v>
      </c>
      <c r="AI35" t="s">
        <v>223</v>
      </c>
      <c r="AJ35" t="s">
        <v>489</v>
      </c>
      <c r="AK35">
        <f ca="1">SUM('Calculations 2'!BY74:CB74)*M35</f>
        <v>6416.9311317764059</v>
      </c>
      <c r="AN35" t="s">
        <v>223</v>
      </c>
      <c r="AO35">
        <v>0</v>
      </c>
      <c r="AQ35" t="s">
        <v>223</v>
      </c>
      <c r="AR35" t="s">
        <v>489</v>
      </c>
      <c r="AS35">
        <f ca="1"/>
        <v>4822.6353823717964</v>
      </c>
      <c r="AU35" t="s">
        <v>223</v>
      </c>
      <c r="AV35">
        <v>0</v>
      </c>
      <c r="AY35" t="s">
        <v>223</v>
      </c>
      <c r="AZ35" t="s">
        <v>489</v>
      </c>
      <c r="BA35" t="s">
        <v>217</v>
      </c>
      <c r="BB35">
        <v>0</v>
      </c>
      <c r="BE35" t="s">
        <v>223</v>
      </c>
      <c r="BF35" t="s">
        <v>489</v>
      </c>
      <c r="BG35" t="s">
        <v>217</v>
      </c>
      <c r="BH35">
        <v>0</v>
      </c>
      <c r="BK35" t="s">
        <v>223</v>
      </c>
      <c r="BL35" t="s">
        <v>489</v>
      </c>
      <c r="BM35">
        <v>0</v>
      </c>
      <c r="BP35" t="s">
        <v>223</v>
      </c>
      <c r="BQ35">
        <v>0</v>
      </c>
      <c r="BT35" t="s">
        <v>223</v>
      </c>
      <c r="BU35" t="s">
        <v>489</v>
      </c>
      <c r="BV35">
        <v>0</v>
      </c>
      <c r="BX35" t="s">
        <v>223</v>
      </c>
      <c r="BY35">
        <v>276.62232084941786</v>
      </c>
      <c r="CA35" t="s">
        <v>223</v>
      </c>
      <c r="CB35">
        <v>1751.9120483821771</v>
      </c>
      <c r="CD35" t="s">
        <v>223</v>
      </c>
      <c r="CE35" t="s">
        <v>479</v>
      </c>
      <c r="CF35">
        <f ca="1"/>
        <v>392.06383868580497</v>
      </c>
      <c r="CH35" t="s">
        <v>223</v>
      </c>
      <c r="CI35">
        <v>0</v>
      </c>
      <c r="CL35" t="s">
        <v>223</v>
      </c>
      <c r="CM35">
        <v>0</v>
      </c>
      <c r="CP35" t="s">
        <v>223</v>
      </c>
      <c r="CQ35">
        <v>0</v>
      </c>
      <c r="CT35" t="s">
        <v>223</v>
      </c>
      <c r="CU35" t="s">
        <v>217</v>
      </c>
      <c r="CV35">
        <f ca="1">OFFSET('Calculations 2'!$AJ$12,W35,X35)</f>
        <v>0</v>
      </c>
      <c r="CY35" t="s">
        <v>223</v>
      </c>
      <c r="CZ35">
        <v>0.5</v>
      </c>
      <c r="DC35" t="s">
        <v>223</v>
      </c>
      <c r="DD35">
        <v>1.26</v>
      </c>
      <c r="DG35" t="s">
        <v>223</v>
      </c>
      <c r="DH35">
        <v>2</v>
      </c>
      <c r="DK35" t="s">
        <v>223</v>
      </c>
      <c r="DL35">
        <v>0.4</v>
      </c>
      <c r="DP35" t="s">
        <v>223</v>
      </c>
      <c r="DQ35">
        <v>2</v>
      </c>
      <c r="DU35" t="s">
        <v>223</v>
      </c>
      <c r="DV35">
        <v>2</v>
      </c>
      <c r="ED35" t="s">
        <v>223</v>
      </c>
      <c r="EE35">
        <v>1</v>
      </c>
      <c r="EH35" t="s">
        <v>223</v>
      </c>
      <c r="EI35">
        <v>-4</v>
      </c>
      <c r="EQ35" t="s">
        <v>223</v>
      </c>
    </row>
    <row r="36" spans="1:147">
      <c r="A36" t="s">
        <v>475</v>
      </c>
      <c r="C36" t="s">
        <v>475</v>
      </c>
      <c r="H36" t="s">
        <v>475</v>
      </c>
      <c r="I36">
        <f ca="1"/>
        <v>11654.900466501786</v>
      </c>
      <c r="J36">
        <v>387.24213199420188</v>
      </c>
      <c r="K36">
        <v>12042.142598495986</v>
      </c>
      <c r="M36" s="11">
        <f t="shared" ca="1" si="0"/>
        <v>0.96784275482316862</v>
      </c>
      <c r="N36" s="11">
        <f t="shared" si="1"/>
        <v>3.2157245176831474E-2</v>
      </c>
      <c r="Q36" t="s">
        <v>475</v>
      </c>
      <c r="R36" t="s">
        <v>489</v>
      </c>
      <c r="S36" t="s">
        <v>217</v>
      </c>
      <c r="T36">
        <f ca="1">OFFSET('Calculations 2'!$C$45,W36,X36)*OFFSET($M$6,W36,0)</f>
        <v>0</v>
      </c>
      <c r="V36">
        <f t="shared" si="2"/>
        <v>30</v>
      </c>
      <c r="W36">
        <f t="shared" si="3"/>
        <v>30</v>
      </c>
      <c r="X36">
        <f t="shared" si="4"/>
        <v>0</v>
      </c>
      <c r="Z36" t="s">
        <v>475</v>
      </c>
      <c r="AA36" s="11">
        <v>4.6671995253509992E-3</v>
      </c>
      <c r="AC36" t="s">
        <v>475</v>
      </c>
      <c r="AD36" t="s">
        <v>489</v>
      </c>
      <c r="AE36" t="s">
        <v>217</v>
      </c>
      <c r="AF36">
        <f ca="1">OFFSET('Calculations 2'!$CE$45,W36,0)*OFFSET($AA$6,X36,0)*OFFSET($M$6,W36,)</f>
        <v>0</v>
      </c>
      <c r="AI36" t="s">
        <v>475</v>
      </c>
      <c r="AJ36" t="s">
        <v>489</v>
      </c>
      <c r="AK36">
        <f ca="1">SUM('Calculations 2'!BY75:CB75)*M36</f>
        <v>620.29643254735481</v>
      </c>
      <c r="AN36" t="s">
        <v>475</v>
      </c>
      <c r="AO36">
        <v>4894.6398789555178</v>
      </c>
      <c r="AQ36" t="s">
        <v>475</v>
      </c>
      <c r="AR36" t="s">
        <v>489</v>
      </c>
      <c r="AS36">
        <f ca="1"/>
        <v>6067.0465409454337</v>
      </c>
      <c r="AU36" t="s">
        <v>475</v>
      </c>
      <c r="AV36">
        <v>0</v>
      </c>
      <c r="AY36" t="s">
        <v>475</v>
      </c>
      <c r="AZ36" t="s">
        <v>489</v>
      </c>
      <c r="BA36" t="s">
        <v>217</v>
      </c>
      <c r="BB36">
        <v>0</v>
      </c>
      <c r="BE36" t="s">
        <v>475</v>
      </c>
      <c r="BF36" t="s">
        <v>489</v>
      </c>
      <c r="BG36" t="s">
        <v>217</v>
      </c>
      <c r="BH36">
        <v>0</v>
      </c>
      <c r="BK36" t="s">
        <v>475</v>
      </c>
      <c r="BL36" t="s">
        <v>489</v>
      </c>
      <c r="BM36">
        <v>0</v>
      </c>
      <c r="BP36" t="s">
        <v>475</v>
      </c>
      <c r="BQ36">
        <v>0</v>
      </c>
      <c r="BT36" t="s">
        <v>475</v>
      </c>
      <c r="BU36" t="s">
        <v>489</v>
      </c>
      <c r="BV36">
        <v>0</v>
      </c>
      <c r="BX36" t="s">
        <v>475</v>
      </c>
      <c r="BY36">
        <v>348.84260849367001</v>
      </c>
      <c r="CA36" t="s">
        <v>475</v>
      </c>
      <c r="CB36">
        <v>1148.211855200504</v>
      </c>
      <c r="CD36" t="s">
        <v>475</v>
      </c>
      <c r="CE36" t="s">
        <v>479</v>
      </c>
      <c r="CF36">
        <f ca="1"/>
        <v>380.6193652543476</v>
      </c>
      <c r="CH36" t="s">
        <v>475</v>
      </c>
      <c r="CI36">
        <v>0</v>
      </c>
      <c r="CL36" t="s">
        <v>475</v>
      </c>
      <c r="CM36">
        <v>0</v>
      </c>
      <c r="CP36" t="s">
        <v>475</v>
      </c>
      <c r="CQ36">
        <v>0</v>
      </c>
      <c r="CT36" t="s">
        <v>475</v>
      </c>
      <c r="CU36" t="s">
        <v>217</v>
      </c>
      <c r="CV36">
        <f ca="1">OFFSET('Calculations 2'!$AJ$12,W36,X36)</f>
        <v>0</v>
      </c>
      <c r="CY36" t="s">
        <v>475</v>
      </c>
      <c r="CZ36">
        <v>0.5</v>
      </c>
      <c r="DC36" t="s">
        <v>475</v>
      </c>
      <c r="DD36">
        <v>1.26</v>
      </c>
      <c r="DG36" t="s">
        <v>475</v>
      </c>
      <c r="DH36">
        <v>2</v>
      </c>
      <c r="DK36" t="s">
        <v>475</v>
      </c>
      <c r="DL36">
        <v>0.4</v>
      </c>
      <c r="DP36" t="s">
        <v>475</v>
      </c>
      <c r="DQ36">
        <v>2</v>
      </c>
      <c r="DU36" t="s">
        <v>475</v>
      </c>
      <c r="DV36">
        <v>2</v>
      </c>
      <c r="ED36" t="s">
        <v>475</v>
      </c>
      <c r="EE36">
        <v>1</v>
      </c>
      <c r="EH36" t="s">
        <v>475</v>
      </c>
      <c r="EI36">
        <v>-4</v>
      </c>
      <c r="EQ36" t="s">
        <v>475</v>
      </c>
    </row>
    <row r="37" spans="1:147">
      <c r="A37" t="s">
        <v>476</v>
      </c>
      <c r="C37" t="s">
        <v>476</v>
      </c>
      <c r="H37" t="s">
        <v>476</v>
      </c>
      <c r="I37">
        <f ca="1"/>
        <v>7820.8397258647356</v>
      </c>
      <c r="J37">
        <v>649.87561893559234</v>
      </c>
      <c r="K37">
        <v>8470.7153448003264</v>
      </c>
      <c r="M37" s="11">
        <f t="shared" ca="1" si="0"/>
        <v>0.92327972402773384</v>
      </c>
      <c r="N37" s="11">
        <f t="shared" si="1"/>
        <v>7.6720275972266355E-2</v>
      </c>
      <c r="Q37" t="s">
        <v>476</v>
      </c>
      <c r="R37" t="s">
        <v>489</v>
      </c>
      <c r="S37" t="s">
        <v>217</v>
      </c>
      <c r="T37">
        <f ca="1">OFFSET('Calculations 2'!$C$45,W37,X37)*OFFSET($M$6,W37,0)</f>
        <v>0</v>
      </c>
      <c r="V37">
        <f t="shared" si="2"/>
        <v>31</v>
      </c>
      <c r="W37">
        <f t="shared" si="3"/>
        <v>31</v>
      </c>
      <c r="X37">
        <f t="shared" si="4"/>
        <v>0</v>
      </c>
      <c r="Z37" t="s">
        <v>476</v>
      </c>
      <c r="AA37" s="11">
        <v>1.2016165958960772E-3</v>
      </c>
      <c r="AC37" t="s">
        <v>476</v>
      </c>
      <c r="AD37" t="s">
        <v>489</v>
      </c>
      <c r="AE37" t="s">
        <v>217</v>
      </c>
      <c r="AF37">
        <f ca="1">OFFSET('Calculations 2'!$CE$45,W37,0)*OFFSET($AA$6,X37,0)*OFFSET($M$6,W37,)</f>
        <v>0</v>
      </c>
      <c r="AI37" t="s">
        <v>476</v>
      </c>
      <c r="AJ37" t="s">
        <v>489</v>
      </c>
      <c r="AK37">
        <f ca="1">SUM('Calculations 2'!BY76:CB76)*M37</f>
        <v>1637.8856174073833</v>
      </c>
      <c r="AN37" t="s">
        <v>476</v>
      </c>
      <c r="AO37">
        <v>3516.9781825325385</v>
      </c>
      <c r="AQ37" t="s">
        <v>476</v>
      </c>
      <c r="AR37" t="s">
        <v>489</v>
      </c>
      <c r="AS37">
        <f ca="1"/>
        <v>855.2854046109768</v>
      </c>
      <c r="AU37" t="s">
        <v>476</v>
      </c>
      <c r="AV37">
        <v>0</v>
      </c>
      <c r="AY37" t="s">
        <v>476</v>
      </c>
      <c r="AZ37" t="s">
        <v>489</v>
      </c>
      <c r="BA37" t="s">
        <v>217</v>
      </c>
      <c r="BB37">
        <v>0</v>
      </c>
      <c r="BE37" t="s">
        <v>476</v>
      </c>
      <c r="BF37" t="s">
        <v>489</v>
      </c>
      <c r="BG37" t="s">
        <v>217</v>
      </c>
      <c r="BH37">
        <v>0</v>
      </c>
      <c r="BK37" t="s">
        <v>476</v>
      </c>
      <c r="BL37" t="s">
        <v>489</v>
      </c>
      <c r="BM37">
        <v>0</v>
      </c>
      <c r="BP37" t="s">
        <v>476</v>
      </c>
      <c r="BQ37">
        <v>0</v>
      </c>
      <c r="BT37" t="s">
        <v>476</v>
      </c>
      <c r="BU37" t="s">
        <v>489</v>
      </c>
      <c r="BV37">
        <v>0</v>
      </c>
      <c r="BX37" t="s">
        <v>476</v>
      </c>
      <c r="BY37">
        <v>200.26044101909014</v>
      </c>
      <c r="CA37" t="s">
        <v>476</v>
      </c>
      <c r="CB37">
        <v>295.61847813004897</v>
      </c>
      <c r="CD37" t="s">
        <v>476</v>
      </c>
      <c r="CE37" t="s">
        <v>479</v>
      </c>
      <c r="CF37">
        <f ca="1"/>
        <v>66.802582473212055</v>
      </c>
      <c r="CH37" t="s">
        <v>476</v>
      </c>
      <c r="CI37">
        <v>0</v>
      </c>
      <c r="CL37" t="s">
        <v>476</v>
      </c>
      <c r="CM37">
        <v>0</v>
      </c>
      <c r="CP37" t="s">
        <v>476</v>
      </c>
      <c r="CQ37">
        <v>0</v>
      </c>
      <c r="CT37" t="s">
        <v>476</v>
      </c>
      <c r="CU37" t="s">
        <v>217</v>
      </c>
      <c r="CV37">
        <f ca="1">OFFSET('Calculations 2'!$AJ$12,W37,X37)</f>
        <v>0</v>
      </c>
      <c r="CY37" t="s">
        <v>476</v>
      </c>
      <c r="CZ37">
        <v>0.5</v>
      </c>
      <c r="DC37" t="s">
        <v>476</v>
      </c>
      <c r="DD37">
        <v>1.26</v>
      </c>
      <c r="DG37" t="s">
        <v>476</v>
      </c>
      <c r="DH37">
        <v>2</v>
      </c>
      <c r="DK37" t="s">
        <v>476</v>
      </c>
      <c r="DL37">
        <v>0.4</v>
      </c>
      <c r="DP37" t="s">
        <v>476</v>
      </c>
      <c r="DQ37">
        <v>2</v>
      </c>
      <c r="DU37" t="s">
        <v>476</v>
      </c>
      <c r="DV37">
        <v>2</v>
      </c>
      <c r="ED37" t="s">
        <v>476</v>
      </c>
      <c r="EE37">
        <v>1</v>
      </c>
      <c r="EH37" t="s">
        <v>476</v>
      </c>
      <c r="EI37">
        <v>-4</v>
      </c>
      <c r="EQ37" t="s">
        <v>476</v>
      </c>
    </row>
    <row r="38" spans="1:147">
      <c r="A38" t="s">
        <v>222</v>
      </c>
      <c r="C38" t="s">
        <v>222</v>
      </c>
      <c r="H38" t="s">
        <v>222</v>
      </c>
      <c r="I38">
        <f ca="1"/>
        <v>1945.3419233888928</v>
      </c>
      <c r="J38">
        <v>0</v>
      </c>
      <c r="K38">
        <v>1945.3419233888926</v>
      </c>
      <c r="M38" s="11">
        <f t="shared" ca="1" si="0"/>
        <v>1.0000000000000002</v>
      </c>
      <c r="N38" s="11">
        <f t="shared" si="1"/>
        <v>0</v>
      </c>
      <c r="Q38" t="s">
        <v>222</v>
      </c>
      <c r="R38" t="s">
        <v>489</v>
      </c>
      <c r="S38" t="s">
        <v>217</v>
      </c>
      <c r="T38">
        <f ca="1">OFFSET('Calculations 2'!$C$45,W38,X38)*OFFSET($M$6,W38,0)</f>
        <v>0</v>
      </c>
      <c r="V38">
        <f t="shared" si="2"/>
        <v>32</v>
      </c>
      <c r="W38">
        <f t="shared" si="3"/>
        <v>32</v>
      </c>
      <c r="X38">
        <f t="shared" si="4"/>
        <v>0</v>
      </c>
      <c r="Z38" t="s">
        <v>222</v>
      </c>
      <c r="AA38" s="11">
        <v>1.3898346991612689E-6</v>
      </c>
      <c r="AC38" t="s">
        <v>222</v>
      </c>
      <c r="AD38" t="s">
        <v>489</v>
      </c>
      <c r="AE38" t="s">
        <v>217</v>
      </c>
      <c r="AF38">
        <f ca="1">OFFSET('Calculations 2'!$CE$45,W38,0)*OFFSET($AA$6,X38,0)*OFFSET($M$6,W38,)</f>
        <v>0</v>
      </c>
      <c r="AI38" t="s">
        <v>222</v>
      </c>
      <c r="AJ38" t="s">
        <v>489</v>
      </c>
      <c r="AK38">
        <f ca="1">SUM('Calculations 2'!BY77:CB77)*M38</f>
        <v>1945.3419233888931</v>
      </c>
      <c r="AN38" t="s">
        <v>222</v>
      </c>
      <c r="AO38">
        <v>0</v>
      </c>
      <c r="AQ38" t="s">
        <v>222</v>
      </c>
      <c r="AR38" t="s">
        <v>489</v>
      </c>
      <c r="AS38">
        <f ca="1"/>
        <v>0</v>
      </c>
      <c r="AU38" t="s">
        <v>222</v>
      </c>
      <c r="AV38">
        <v>0</v>
      </c>
      <c r="AY38" t="s">
        <v>222</v>
      </c>
      <c r="AZ38" t="s">
        <v>489</v>
      </c>
      <c r="BA38" t="s">
        <v>217</v>
      </c>
      <c r="BB38">
        <v>0</v>
      </c>
      <c r="BE38" t="s">
        <v>222</v>
      </c>
      <c r="BF38" t="s">
        <v>489</v>
      </c>
      <c r="BG38" t="s">
        <v>217</v>
      </c>
      <c r="BH38">
        <v>0</v>
      </c>
      <c r="BK38" t="s">
        <v>222</v>
      </c>
      <c r="BL38" t="s">
        <v>489</v>
      </c>
      <c r="BM38">
        <v>0</v>
      </c>
      <c r="BP38" t="s">
        <v>222</v>
      </c>
      <c r="BQ38">
        <v>0</v>
      </c>
      <c r="BT38" t="s">
        <v>222</v>
      </c>
      <c r="BU38" t="s">
        <v>489</v>
      </c>
      <c r="BV38">
        <v>0</v>
      </c>
      <c r="BX38" t="s">
        <v>222</v>
      </c>
      <c r="BY38">
        <v>0</v>
      </c>
      <c r="CA38" t="s">
        <v>222</v>
      </c>
      <c r="CB38">
        <v>0.34192338889261009</v>
      </c>
      <c r="CD38" t="s">
        <v>222</v>
      </c>
      <c r="CE38" t="s">
        <v>479</v>
      </c>
      <c r="CF38">
        <f ca="1"/>
        <v>147.79424060352491</v>
      </c>
      <c r="CH38" t="s">
        <v>222</v>
      </c>
      <c r="CI38">
        <v>0</v>
      </c>
      <c r="CL38" t="s">
        <v>222</v>
      </c>
      <c r="CM38">
        <v>0</v>
      </c>
      <c r="CP38" t="s">
        <v>222</v>
      </c>
      <c r="CQ38">
        <v>0</v>
      </c>
      <c r="CT38" t="s">
        <v>222</v>
      </c>
      <c r="CU38" t="s">
        <v>217</v>
      </c>
      <c r="CV38">
        <f ca="1">OFFSET('Calculations 2'!$AJ$12,W38,X38)</f>
        <v>0</v>
      </c>
      <c r="CY38" t="s">
        <v>222</v>
      </c>
      <c r="CZ38">
        <v>0.5</v>
      </c>
      <c r="DC38" t="s">
        <v>222</v>
      </c>
      <c r="DD38">
        <v>1.26</v>
      </c>
      <c r="DG38" t="s">
        <v>222</v>
      </c>
      <c r="DH38">
        <v>2</v>
      </c>
      <c r="DK38" t="s">
        <v>222</v>
      </c>
      <c r="DL38">
        <v>0.4</v>
      </c>
      <c r="DP38" t="s">
        <v>222</v>
      </c>
      <c r="DQ38">
        <v>2</v>
      </c>
      <c r="DU38" t="s">
        <v>222</v>
      </c>
      <c r="DV38">
        <v>2</v>
      </c>
      <c r="ED38" t="s">
        <v>222</v>
      </c>
      <c r="EE38">
        <v>1</v>
      </c>
      <c r="EH38" t="s">
        <v>222</v>
      </c>
      <c r="EI38">
        <v>-4</v>
      </c>
      <c r="EQ38" t="s">
        <v>222</v>
      </c>
    </row>
    <row r="39" spans="1:147">
      <c r="Q39" t="s">
        <v>217</v>
      </c>
      <c r="R39" t="s">
        <v>489</v>
      </c>
      <c r="S39" t="s">
        <v>232</v>
      </c>
      <c r="T39">
        <f ca="1">OFFSET('Calculations 2'!$C$45,W39,X39)*OFFSET($M$6,W39,0)</f>
        <v>0</v>
      </c>
      <c r="V39">
        <f t="shared" si="2"/>
        <v>33</v>
      </c>
      <c r="W39">
        <f t="shared" si="3"/>
        <v>0</v>
      </c>
      <c r="X39">
        <f t="shared" si="4"/>
        <v>1</v>
      </c>
      <c r="AC39" t="s">
        <v>217</v>
      </c>
      <c r="AD39" t="s">
        <v>489</v>
      </c>
      <c r="AE39" t="s">
        <v>232</v>
      </c>
      <c r="AF39">
        <f ca="1">OFFSET('Calculations 2'!$CE$45,W39,0)*OFFSET($AA$6,X39,0)*OFFSET($M$6,W39,)</f>
        <v>0.66586337808429807</v>
      </c>
      <c r="AI39" t="s">
        <v>217</v>
      </c>
      <c r="AJ39" t="s">
        <v>490</v>
      </c>
      <c r="AK39">
        <f ca="1">SUM('Calculations 2'!BY45:CB45)*N6</f>
        <v>2536.364453888666</v>
      </c>
      <c r="AQ39" t="s">
        <v>217</v>
      </c>
      <c r="AR39" t="s">
        <v>490</v>
      </c>
      <c r="AS39" cm="1">
        <f t="array" ref="AS39:AS71">'Calculations 2'!CC45:CC77*N6:N38</f>
        <v>0</v>
      </c>
      <c r="AY39" t="s">
        <v>217</v>
      </c>
      <c r="AZ39" t="s">
        <v>489</v>
      </c>
      <c r="BA39" t="s">
        <v>232</v>
      </c>
      <c r="BB39">
        <v>0</v>
      </c>
      <c r="BE39" t="s">
        <v>217</v>
      </c>
      <c r="BF39" t="s">
        <v>489</v>
      </c>
      <c r="BG39" t="s">
        <v>232</v>
      </c>
      <c r="BH39">
        <v>0</v>
      </c>
      <c r="BK39" t="s">
        <v>217</v>
      </c>
      <c r="BL39" t="s">
        <v>490</v>
      </c>
      <c r="BM39">
        <v>0</v>
      </c>
      <c r="BT39" t="s">
        <v>217</v>
      </c>
      <c r="BU39" t="s">
        <v>490</v>
      </c>
      <c r="BV39">
        <v>0</v>
      </c>
      <c r="CD39" t="s">
        <v>217</v>
      </c>
      <c r="CE39" t="s">
        <v>569</v>
      </c>
      <c r="CF39" cm="1">
        <f t="array" aca="1" ref="CF39:CF71" ca="1">TRANSPOSE('Calculations 2'!C79:AI79)</f>
        <v>23.695214501089801</v>
      </c>
      <c r="CT39" t="s">
        <v>217</v>
      </c>
      <c r="CU39" t="s">
        <v>232</v>
      </c>
      <c r="CV39">
        <f ca="1">OFFSET('Calculations 2'!$AJ$12,W39,X39)</f>
        <v>0</v>
      </c>
    </row>
    <row r="40" spans="1:147">
      <c r="Q40" t="s">
        <v>232</v>
      </c>
      <c r="R40" t="s">
        <v>489</v>
      </c>
      <c r="S40" t="s">
        <v>232</v>
      </c>
      <c r="T40">
        <f ca="1">OFFSET('Calculations 2'!$C$45,W40,X40)*OFFSET($M$6,W40,0)</f>
        <v>49.580861241847956</v>
      </c>
      <c r="V40">
        <f t="shared" si="2"/>
        <v>34</v>
      </c>
      <c r="W40">
        <f t="shared" si="3"/>
        <v>1</v>
      </c>
      <c r="X40">
        <f t="shared" si="4"/>
        <v>1</v>
      </c>
      <c r="AC40" t="s">
        <v>232</v>
      </c>
      <c r="AD40" t="s">
        <v>489</v>
      </c>
      <c r="AE40" t="s">
        <v>232</v>
      </c>
      <c r="AF40">
        <f ca="1">OFFSET('Calculations 2'!$CE$45,W40,0)*OFFSET($AA$6,X40,0)*OFFSET($M$6,W40,)</f>
        <v>1.1615442088609023</v>
      </c>
      <c r="AI40" t="s">
        <v>232</v>
      </c>
      <c r="AJ40" t="s">
        <v>490</v>
      </c>
      <c r="AK40">
        <f ca="1">SUM('Calculations 2'!BY46:CB46)*N7</f>
        <v>475.05536113068115</v>
      </c>
      <c r="AQ40" t="s">
        <v>232</v>
      </c>
      <c r="AR40" t="s">
        <v>490</v>
      </c>
      <c r="AS40">
        <v>0</v>
      </c>
      <c r="AY40" t="s">
        <v>232</v>
      </c>
      <c r="AZ40" t="s">
        <v>489</v>
      </c>
      <c r="BA40" t="s">
        <v>232</v>
      </c>
      <c r="BB40">
        <v>0</v>
      </c>
      <c r="BE40" t="s">
        <v>232</v>
      </c>
      <c r="BF40" t="s">
        <v>489</v>
      </c>
      <c r="BG40" t="s">
        <v>232</v>
      </c>
      <c r="BH40">
        <v>0</v>
      </c>
      <c r="BK40" t="s">
        <v>232</v>
      </c>
      <c r="BL40" t="s">
        <v>490</v>
      </c>
      <c r="BM40">
        <v>0</v>
      </c>
      <c r="BT40" t="s">
        <v>232</v>
      </c>
      <c r="BU40" t="s">
        <v>490</v>
      </c>
      <c r="BV40">
        <v>0</v>
      </c>
      <c r="CD40" t="s">
        <v>232</v>
      </c>
      <c r="CE40" t="s">
        <v>569</v>
      </c>
      <c r="CF40">
        <f ca="1"/>
        <v>650.11793256884937</v>
      </c>
      <c r="CT40" t="s">
        <v>232</v>
      </c>
      <c r="CU40" t="s">
        <v>232</v>
      </c>
      <c r="CV40">
        <f ca="1">OFFSET('Calculations 2'!$AJ$12,W40,X40)</f>
        <v>11448.728531581437</v>
      </c>
    </row>
    <row r="41" spans="1:147">
      <c r="Q41" t="s">
        <v>226</v>
      </c>
      <c r="R41" t="s">
        <v>489</v>
      </c>
      <c r="S41" t="s">
        <v>232</v>
      </c>
      <c r="T41">
        <f ca="1">OFFSET('Calculations 2'!$C$45,W41,X41)*OFFSET($M$6,W41,0)</f>
        <v>0</v>
      </c>
      <c r="V41">
        <f t="shared" si="2"/>
        <v>35</v>
      </c>
      <c r="W41">
        <f t="shared" si="3"/>
        <v>2</v>
      </c>
      <c r="X41">
        <f t="shared" si="4"/>
        <v>1</v>
      </c>
      <c r="AC41" t="s">
        <v>226</v>
      </c>
      <c r="AD41" t="s">
        <v>489</v>
      </c>
      <c r="AE41" t="s">
        <v>232</v>
      </c>
      <c r="AF41">
        <f ca="1">OFFSET('Calculations 2'!$CE$45,W41,0)*OFFSET($AA$6,X41,0)*OFFSET($M$6,W41,)</f>
        <v>1.9557958644327638</v>
      </c>
      <c r="AI41" t="s">
        <v>226</v>
      </c>
      <c r="AJ41" t="s">
        <v>490</v>
      </c>
      <c r="AK41">
        <f ca="1">SUM('Calculations 2'!BY47:CB47)*N8</f>
        <v>5883.6418394577613</v>
      </c>
      <c r="AQ41" t="s">
        <v>226</v>
      </c>
      <c r="AR41" t="s">
        <v>490</v>
      </c>
      <c r="AS41">
        <v>0</v>
      </c>
      <c r="AY41" t="s">
        <v>226</v>
      </c>
      <c r="AZ41" t="s">
        <v>489</v>
      </c>
      <c r="BA41" t="s">
        <v>232</v>
      </c>
      <c r="BB41">
        <v>0</v>
      </c>
      <c r="BE41" t="s">
        <v>226</v>
      </c>
      <c r="BF41" t="s">
        <v>489</v>
      </c>
      <c r="BG41" t="s">
        <v>232</v>
      </c>
      <c r="BH41">
        <v>0</v>
      </c>
      <c r="BK41" t="s">
        <v>226</v>
      </c>
      <c r="BL41" t="s">
        <v>490</v>
      </c>
      <c r="BM41">
        <v>0</v>
      </c>
      <c r="BT41" t="s">
        <v>226</v>
      </c>
      <c r="BU41" t="s">
        <v>490</v>
      </c>
      <c r="BV41">
        <v>0</v>
      </c>
      <c r="CD41" t="s">
        <v>226</v>
      </c>
      <c r="CE41" t="s">
        <v>569</v>
      </c>
      <c r="CF41">
        <f ca="1"/>
        <v>861.60637587709584</v>
      </c>
      <c r="CT41" t="s">
        <v>226</v>
      </c>
      <c r="CU41" t="s">
        <v>232</v>
      </c>
      <c r="CV41">
        <f ca="1">OFFSET('Calculations 2'!$AJ$12,W41,X41)</f>
        <v>0</v>
      </c>
    </row>
    <row r="42" spans="1:147">
      <c r="Q42" t="s">
        <v>243</v>
      </c>
      <c r="R42" t="s">
        <v>489</v>
      </c>
      <c r="S42" t="s">
        <v>232</v>
      </c>
      <c r="T42">
        <f ca="1">OFFSET('Calculations 2'!$C$45,W42,X42)*OFFSET($M$6,W42,0)</f>
        <v>0</v>
      </c>
      <c r="V42">
        <f t="shared" si="2"/>
        <v>36</v>
      </c>
      <c r="W42">
        <f t="shared" si="3"/>
        <v>3</v>
      </c>
      <c r="X42">
        <f t="shared" si="4"/>
        <v>1</v>
      </c>
      <c r="AC42" t="s">
        <v>243</v>
      </c>
      <c r="AD42" t="s">
        <v>489</v>
      </c>
      <c r="AE42" t="s">
        <v>232</v>
      </c>
      <c r="AF42">
        <f ca="1">OFFSET('Calculations 2'!$CE$45,W42,0)*OFFSET($AA$6,X42,0)*OFFSET($M$6,W42,)</f>
        <v>10.187457294496468</v>
      </c>
      <c r="AI42" t="s">
        <v>243</v>
      </c>
      <c r="AJ42" t="s">
        <v>490</v>
      </c>
      <c r="AK42">
        <f ca="1">SUM('Calculations 2'!BY48:CB48)*N9</f>
        <v>2415.2055019557711</v>
      </c>
      <c r="AQ42" t="s">
        <v>243</v>
      </c>
      <c r="AR42" t="s">
        <v>490</v>
      </c>
      <c r="AS42">
        <v>0</v>
      </c>
      <c r="AY42" t="s">
        <v>243</v>
      </c>
      <c r="AZ42" t="s">
        <v>489</v>
      </c>
      <c r="BA42" t="s">
        <v>232</v>
      </c>
      <c r="BB42">
        <v>0</v>
      </c>
      <c r="BE42" t="s">
        <v>243</v>
      </c>
      <c r="BF42" t="s">
        <v>489</v>
      </c>
      <c r="BG42" t="s">
        <v>232</v>
      </c>
      <c r="BH42">
        <v>0</v>
      </c>
      <c r="BK42" t="s">
        <v>243</v>
      </c>
      <c r="BL42" t="s">
        <v>490</v>
      </c>
      <c r="BM42">
        <v>0</v>
      </c>
      <c r="BT42" t="s">
        <v>243</v>
      </c>
      <c r="BU42" t="s">
        <v>490</v>
      </c>
      <c r="BV42">
        <v>0</v>
      </c>
      <c r="CD42" t="s">
        <v>243</v>
      </c>
      <c r="CE42" t="s">
        <v>569</v>
      </c>
      <c r="CF42">
        <f ca="1"/>
        <v>269.76130579297063</v>
      </c>
      <c r="CT42" t="s">
        <v>243</v>
      </c>
      <c r="CU42" t="s">
        <v>232</v>
      </c>
      <c r="CV42">
        <f ca="1">OFFSET('Calculations 2'!$AJ$12,W42,X42)</f>
        <v>0</v>
      </c>
    </row>
    <row r="43" spans="1:147">
      <c r="Q43" t="s">
        <v>228</v>
      </c>
      <c r="R43" t="s">
        <v>489</v>
      </c>
      <c r="S43" t="s">
        <v>232</v>
      </c>
      <c r="T43">
        <f ca="1">OFFSET('Calculations 2'!$C$45,W43,X43)*OFFSET($M$6,W43,0)</f>
        <v>0</v>
      </c>
      <c r="V43">
        <f t="shared" si="2"/>
        <v>37</v>
      </c>
      <c r="W43">
        <f t="shared" si="3"/>
        <v>4</v>
      </c>
      <c r="X43">
        <f t="shared" si="4"/>
        <v>1</v>
      </c>
      <c r="AC43" t="s">
        <v>228</v>
      </c>
      <c r="AD43" t="s">
        <v>489</v>
      </c>
      <c r="AE43" t="s">
        <v>232</v>
      </c>
      <c r="AF43">
        <f ca="1">OFFSET('Calculations 2'!$CE$45,W43,0)*OFFSET($AA$6,X43,0)*OFFSET($M$6,W43,)</f>
        <v>7.2287382372001288E-2</v>
      </c>
      <c r="AI43" t="s">
        <v>228</v>
      </c>
      <c r="AJ43" t="s">
        <v>490</v>
      </c>
      <c r="AK43">
        <f ca="1">SUM('Calculations 2'!BY49:CB49)*N10</f>
        <v>1952.5284208917171</v>
      </c>
      <c r="AQ43" t="s">
        <v>228</v>
      </c>
      <c r="AR43" t="s">
        <v>490</v>
      </c>
      <c r="AS43">
        <v>0</v>
      </c>
      <c r="AY43" t="s">
        <v>228</v>
      </c>
      <c r="AZ43" t="s">
        <v>489</v>
      </c>
      <c r="BA43" t="s">
        <v>232</v>
      </c>
      <c r="BB43">
        <v>0</v>
      </c>
      <c r="BE43" t="s">
        <v>228</v>
      </c>
      <c r="BF43" t="s">
        <v>489</v>
      </c>
      <c r="BG43" t="s">
        <v>232</v>
      </c>
      <c r="BH43">
        <v>0</v>
      </c>
      <c r="BK43" t="s">
        <v>228</v>
      </c>
      <c r="BL43" t="s">
        <v>490</v>
      </c>
      <c r="BM43">
        <v>0</v>
      </c>
      <c r="BT43" t="s">
        <v>228</v>
      </c>
      <c r="BU43" t="s">
        <v>490</v>
      </c>
      <c r="BV43">
        <v>0</v>
      </c>
      <c r="CD43" t="s">
        <v>228</v>
      </c>
      <c r="CE43" t="s">
        <v>569</v>
      </c>
      <c r="CF43">
        <f ca="1"/>
        <v>2.4052201262293695</v>
      </c>
      <c r="CT43" t="s">
        <v>228</v>
      </c>
      <c r="CU43" t="s">
        <v>232</v>
      </c>
      <c r="CV43">
        <f ca="1">OFFSET('Calculations 2'!$AJ$12,W43,X43)</f>
        <v>0</v>
      </c>
    </row>
    <row r="44" spans="1:147">
      <c r="Q44" t="s">
        <v>246</v>
      </c>
      <c r="R44" t="s">
        <v>489</v>
      </c>
      <c r="S44" t="s">
        <v>232</v>
      </c>
      <c r="T44">
        <f ca="1">OFFSET('Calculations 2'!$C$45,W44,X44)*OFFSET($M$6,W44,0)</f>
        <v>0</v>
      </c>
      <c r="V44">
        <f t="shared" si="2"/>
        <v>38</v>
      </c>
      <c r="W44">
        <f t="shared" si="3"/>
        <v>5</v>
      </c>
      <c r="X44">
        <f t="shared" si="4"/>
        <v>1</v>
      </c>
      <c r="AC44" t="s">
        <v>246</v>
      </c>
      <c r="AD44" t="s">
        <v>489</v>
      </c>
      <c r="AE44" t="s">
        <v>232</v>
      </c>
      <c r="AF44">
        <f ca="1">OFFSET('Calculations 2'!$CE$45,W44,0)*OFFSET($AA$6,X44,0)*OFFSET($M$6,W44,)</f>
        <v>0.44500019680378794</v>
      </c>
      <c r="AI44" t="s">
        <v>246</v>
      </c>
      <c r="AJ44" t="s">
        <v>490</v>
      </c>
      <c r="AK44">
        <f ca="1">SUM('Calculations 2'!BY50:CB50)*N11</f>
        <v>0</v>
      </c>
      <c r="AQ44" t="s">
        <v>246</v>
      </c>
      <c r="AR44" t="s">
        <v>490</v>
      </c>
      <c r="AS44">
        <v>0</v>
      </c>
      <c r="AY44" t="s">
        <v>246</v>
      </c>
      <c r="AZ44" t="s">
        <v>489</v>
      </c>
      <c r="BA44" t="s">
        <v>232</v>
      </c>
      <c r="BB44">
        <v>0</v>
      </c>
      <c r="BE44" t="s">
        <v>246</v>
      </c>
      <c r="BF44" t="s">
        <v>489</v>
      </c>
      <c r="BG44" t="s">
        <v>232</v>
      </c>
      <c r="BH44">
        <v>0</v>
      </c>
      <c r="BK44" t="s">
        <v>246</v>
      </c>
      <c r="BL44" t="s">
        <v>490</v>
      </c>
      <c r="BM44">
        <v>0</v>
      </c>
      <c r="BT44" t="s">
        <v>246</v>
      </c>
      <c r="BU44" t="s">
        <v>490</v>
      </c>
      <c r="BV44">
        <v>0</v>
      </c>
      <c r="CD44" t="s">
        <v>246</v>
      </c>
      <c r="CE44" t="s">
        <v>569</v>
      </c>
      <c r="CF44">
        <f ca="1"/>
        <v>203.19906845972943</v>
      </c>
      <c r="CT44" t="s">
        <v>246</v>
      </c>
      <c r="CU44" t="s">
        <v>232</v>
      </c>
      <c r="CV44">
        <f ca="1">OFFSET('Calculations 2'!$AJ$12,W44,X44)</f>
        <v>0</v>
      </c>
    </row>
    <row r="45" spans="1:147">
      <c r="Q45" t="s">
        <v>239</v>
      </c>
      <c r="R45" t="s">
        <v>489</v>
      </c>
      <c r="S45" t="s">
        <v>232</v>
      </c>
      <c r="T45">
        <f ca="1">OFFSET('Calculations 2'!$C$45,W45,X45)*OFFSET($M$6,W45,0)</f>
        <v>0</v>
      </c>
      <c r="V45">
        <f t="shared" si="2"/>
        <v>39</v>
      </c>
      <c r="W45">
        <f t="shared" si="3"/>
        <v>6</v>
      </c>
      <c r="X45">
        <f t="shared" si="4"/>
        <v>1</v>
      </c>
      <c r="AC45" t="s">
        <v>239</v>
      </c>
      <c r="AD45" t="s">
        <v>489</v>
      </c>
      <c r="AE45" t="s">
        <v>232</v>
      </c>
      <c r="AF45">
        <f ca="1">OFFSET('Calculations 2'!$CE$45,W45,0)*OFFSET($AA$6,X45,0)*OFFSET($M$6,W45,)</f>
        <v>8.9069553530040828</v>
      </c>
      <c r="AI45" t="s">
        <v>239</v>
      </c>
      <c r="AJ45" t="s">
        <v>490</v>
      </c>
      <c r="AK45">
        <f ca="1">SUM('Calculations 2'!BY51:CB51)*N12</f>
        <v>131.10762898786822</v>
      </c>
      <c r="AQ45" t="s">
        <v>239</v>
      </c>
      <c r="AR45" t="s">
        <v>490</v>
      </c>
      <c r="AS45">
        <v>0</v>
      </c>
      <c r="AY45" t="s">
        <v>239</v>
      </c>
      <c r="AZ45" t="s">
        <v>489</v>
      </c>
      <c r="BA45" t="s">
        <v>232</v>
      </c>
      <c r="BB45">
        <v>0</v>
      </c>
      <c r="BE45" t="s">
        <v>239</v>
      </c>
      <c r="BF45" t="s">
        <v>489</v>
      </c>
      <c r="BG45" t="s">
        <v>232</v>
      </c>
      <c r="BH45">
        <v>0</v>
      </c>
      <c r="BK45" t="s">
        <v>239</v>
      </c>
      <c r="BL45" t="s">
        <v>490</v>
      </c>
      <c r="BM45">
        <v>0</v>
      </c>
      <c r="BT45" t="s">
        <v>239</v>
      </c>
      <c r="BU45" t="s">
        <v>490</v>
      </c>
      <c r="BV45">
        <v>0</v>
      </c>
      <c r="CD45" t="s">
        <v>239</v>
      </c>
      <c r="CE45" t="s">
        <v>569</v>
      </c>
      <c r="CF45">
        <f ca="1"/>
        <v>416.86764754990122</v>
      </c>
      <c r="CT45" t="s">
        <v>239</v>
      </c>
      <c r="CU45" t="s">
        <v>232</v>
      </c>
      <c r="CV45">
        <f ca="1">OFFSET('Calculations 2'!$AJ$12,W45,X45)</f>
        <v>0</v>
      </c>
    </row>
    <row r="46" spans="1:147">
      <c r="Q46" t="s">
        <v>466</v>
      </c>
      <c r="R46" t="s">
        <v>489</v>
      </c>
      <c r="S46" t="s">
        <v>232</v>
      </c>
      <c r="T46">
        <f ca="1">OFFSET('Calculations 2'!$C$45,W46,X46)*OFFSET($M$6,W46,0)</f>
        <v>181.03496130974764</v>
      </c>
      <c r="V46">
        <f t="shared" si="2"/>
        <v>40</v>
      </c>
      <c r="W46">
        <f t="shared" si="3"/>
        <v>7</v>
      </c>
      <c r="X46">
        <f t="shared" si="4"/>
        <v>1</v>
      </c>
      <c r="AC46" t="s">
        <v>466</v>
      </c>
      <c r="AD46" t="s">
        <v>489</v>
      </c>
      <c r="AE46" t="s">
        <v>232</v>
      </c>
      <c r="AF46">
        <f ca="1">OFFSET('Calculations 2'!$CE$45,W46,0)*OFFSET($AA$6,X46,0)*OFFSET($M$6,W46,)</f>
        <v>1.3572476247637304</v>
      </c>
      <c r="AI46" t="s">
        <v>466</v>
      </c>
      <c r="AJ46" t="s">
        <v>490</v>
      </c>
      <c r="AK46">
        <f ca="1">SUM('Calculations 2'!BY52:CB52)*N13</f>
        <v>1144.6490644243131</v>
      </c>
      <c r="AQ46" t="s">
        <v>466</v>
      </c>
      <c r="AR46" t="s">
        <v>490</v>
      </c>
      <c r="AS46">
        <v>0</v>
      </c>
      <c r="AY46" t="s">
        <v>466</v>
      </c>
      <c r="AZ46" t="s">
        <v>489</v>
      </c>
      <c r="BA46" t="s">
        <v>232</v>
      </c>
      <c r="BB46">
        <v>0</v>
      </c>
      <c r="BE46" t="s">
        <v>466</v>
      </c>
      <c r="BF46" t="s">
        <v>489</v>
      </c>
      <c r="BG46" t="s">
        <v>232</v>
      </c>
      <c r="BH46">
        <v>0</v>
      </c>
      <c r="BK46" t="s">
        <v>466</v>
      </c>
      <c r="BL46" t="s">
        <v>490</v>
      </c>
      <c r="BM46">
        <v>0</v>
      </c>
      <c r="BT46" t="s">
        <v>466</v>
      </c>
      <c r="BU46" t="s">
        <v>490</v>
      </c>
      <c r="BV46">
        <v>0</v>
      </c>
      <c r="CD46" t="s">
        <v>466</v>
      </c>
      <c r="CE46" t="s">
        <v>569</v>
      </c>
      <c r="CF46">
        <f ca="1"/>
        <v>83.350803298693037</v>
      </c>
      <c r="CT46" t="s">
        <v>466</v>
      </c>
      <c r="CU46" t="s">
        <v>232</v>
      </c>
      <c r="CV46">
        <f ca="1">OFFSET('Calculations 2'!$AJ$12,W46,X46)</f>
        <v>0</v>
      </c>
    </row>
    <row r="47" spans="1:147">
      <c r="Q47" t="s">
        <v>219</v>
      </c>
      <c r="R47" t="s">
        <v>489</v>
      </c>
      <c r="S47" t="s">
        <v>232</v>
      </c>
      <c r="T47">
        <f ca="1">OFFSET('Calculations 2'!$C$45,W47,X47)*OFFSET($M$6,W47,0)</f>
        <v>0</v>
      </c>
      <c r="V47">
        <f t="shared" si="2"/>
        <v>41</v>
      </c>
      <c r="W47">
        <f t="shared" si="3"/>
        <v>8</v>
      </c>
      <c r="X47">
        <f t="shared" si="4"/>
        <v>1</v>
      </c>
      <c r="AC47" t="s">
        <v>219</v>
      </c>
      <c r="AD47" t="s">
        <v>489</v>
      </c>
      <c r="AE47" t="s">
        <v>232</v>
      </c>
      <c r="AF47">
        <f ca="1">OFFSET('Calculations 2'!$CE$45,W47,0)*OFFSET($AA$6,X47,0)*OFFSET($M$6,W47,)</f>
        <v>8.4518583059455832</v>
      </c>
      <c r="AI47" t="s">
        <v>219</v>
      </c>
      <c r="AJ47" t="s">
        <v>490</v>
      </c>
      <c r="AK47">
        <f ca="1">SUM('Calculations 2'!BY53:CB53)*N14</f>
        <v>2010.9261234709609</v>
      </c>
      <c r="AQ47" t="s">
        <v>219</v>
      </c>
      <c r="AR47" t="s">
        <v>490</v>
      </c>
      <c r="AS47">
        <v>0</v>
      </c>
      <c r="AY47" t="s">
        <v>219</v>
      </c>
      <c r="AZ47" t="s">
        <v>489</v>
      </c>
      <c r="BA47" t="s">
        <v>232</v>
      </c>
      <c r="BB47">
        <v>0</v>
      </c>
      <c r="BE47" t="s">
        <v>219</v>
      </c>
      <c r="BF47" t="s">
        <v>489</v>
      </c>
      <c r="BG47" t="s">
        <v>232</v>
      </c>
      <c r="BH47">
        <v>0</v>
      </c>
      <c r="BK47" t="s">
        <v>219</v>
      </c>
      <c r="BL47" t="s">
        <v>490</v>
      </c>
      <c r="BM47">
        <v>0</v>
      </c>
      <c r="BT47" t="s">
        <v>219</v>
      </c>
      <c r="BU47" t="s">
        <v>490</v>
      </c>
      <c r="BV47">
        <v>0</v>
      </c>
      <c r="CD47" t="s">
        <v>219</v>
      </c>
      <c r="CE47" t="s">
        <v>569</v>
      </c>
      <c r="CF47">
        <f ca="1"/>
        <v>501.17719065670144</v>
      </c>
      <c r="CT47" t="s">
        <v>219</v>
      </c>
      <c r="CU47" t="s">
        <v>232</v>
      </c>
      <c r="CV47">
        <f ca="1">OFFSET('Calculations 2'!$AJ$12,W47,X47)</f>
        <v>0</v>
      </c>
    </row>
    <row r="48" spans="1:147">
      <c r="Q48" t="s">
        <v>242</v>
      </c>
      <c r="R48" t="s">
        <v>489</v>
      </c>
      <c r="S48" t="s">
        <v>232</v>
      </c>
      <c r="T48">
        <f ca="1">OFFSET('Calculations 2'!$C$45,W48,X48)*OFFSET($M$6,W48,0)</f>
        <v>0</v>
      </c>
      <c r="V48">
        <f t="shared" si="2"/>
        <v>42</v>
      </c>
      <c r="W48">
        <f t="shared" si="3"/>
        <v>9</v>
      </c>
      <c r="X48">
        <f t="shared" si="4"/>
        <v>1</v>
      </c>
      <c r="AC48" t="s">
        <v>242</v>
      </c>
      <c r="AD48" t="s">
        <v>489</v>
      </c>
      <c r="AE48" t="s">
        <v>232</v>
      </c>
      <c r="AF48">
        <f ca="1">OFFSET('Calculations 2'!$CE$45,W48,0)*OFFSET($AA$6,X48,0)*OFFSET($M$6,W48,)</f>
        <v>13.230569170523649</v>
      </c>
      <c r="AI48" t="s">
        <v>242</v>
      </c>
      <c r="AJ48" t="s">
        <v>490</v>
      </c>
      <c r="AK48">
        <f ca="1">SUM('Calculations 2'!BY54:CB54)*N15</f>
        <v>4.8554711898342537</v>
      </c>
      <c r="AQ48" t="s">
        <v>242</v>
      </c>
      <c r="AR48" t="s">
        <v>490</v>
      </c>
      <c r="AS48">
        <v>0</v>
      </c>
      <c r="AY48" t="s">
        <v>242</v>
      </c>
      <c r="AZ48" t="s">
        <v>489</v>
      </c>
      <c r="BA48" t="s">
        <v>232</v>
      </c>
      <c r="BB48">
        <v>0</v>
      </c>
      <c r="BE48" t="s">
        <v>242</v>
      </c>
      <c r="BF48" t="s">
        <v>489</v>
      </c>
      <c r="BG48" t="s">
        <v>232</v>
      </c>
      <c r="BH48">
        <v>0</v>
      </c>
      <c r="BK48" t="s">
        <v>242</v>
      </c>
      <c r="BL48" t="s">
        <v>490</v>
      </c>
      <c r="BM48">
        <v>0</v>
      </c>
      <c r="BT48" t="s">
        <v>242</v>
      </c>
      <c r="BU48" t="s">
        <v>490</v>
      </c>
      <c r="BV48">
        <v>0</v>
      </c>
      <c r="CD48" t="s">
        <v>242</v>
      </c>
      <c r="CE48" t="s">
        <v>569</v>
      </c>
      <c r="CF48">
        <f ca="1"/>
        <v>226.3984344063816</v>
      </c>
      <c r="CT48" t="s">
        <v>242</v>
      </c>
      <c r="CU48" t="s">
        <v>232</v>
      </c>
      <c r="CV48">
        <f ca="1">OFFSET('Calculations 2'!$AJ$12,W48,X48)</f>
        <v>0</v>
      </c>
    </row>
    <row r="49" spans="17:100">
      <c r="Q49" t="s">
        <v>467</v>
      </c>
      <c r="R49" t="s">
        <v>489</v>
      </c>
      <c r="S49" t="s">
        <v>232</v>
      </c>
      <c r="T49">
        <f ca="1">OFFSET('Calculations 2'!$C$45,W49,X49)*OFFSET($M$6,W49,0)</f>
        <v>0</v>
      </c>
      <c r="V49">
        <f t="shared" si="2"/>
        <v>43</v>
      </c>
      <c r="W49">
        <f t="shared" si="3"/>
        <v>10</v>
      </c>
      <c r="X49">
        <f t="shared" si="4"/>
        <v>1</v>
      </c>
      <c r="AC49" t="s">
        <v>467</v>
      </c>
      <c r="AD49" t="s">
        <v>489</v>
      </c>
      <c r="AE49" t="s">
        <v>232</v>
      </c>
      <c r="AF49">
        <f ca="1">OFFSET('Calculations 2'!$CE$45,W49,0)*OFFSET($AA$6,X49,0)*OFFSET($M$6,W49,)</f>
        <v>12.256477811000073</v>
      </c>
      <c r="AI49" t="s">
        <v>467</v>
      </c>
      <c r="AJ49" t="s">
        <v>490</v>
      </c>
      <c r="AK49">
        <f ca="1">SUM('Calculations 2'!BY55:CB55)*N16</f>
        <v>38.564874863471061</v>
      </c>
      <c r="AQ49" t="s">
        <v>467</v>
      </c>
      <c r="AR49" t="s">
        <v>490</v>
      </c>
      <c r="AS49">
        <v>0</v>
      </c>
      <c r="AY49" t="s">
        <v>467</v>
      </c>
      <c r="AZ49" t="s">
        <v>489</v>
      </c>
      <c r="BA49" t="s">
        <v>232</v>
      </c>
      <c r="BB49">
        <v>0</v>
      </c>
      <c r="BE49" t="s">
        <v>467</v>
      </c>
      <c r="BF49" t="s">
        <v>489</v>
      </c>
      <c r="BG49" t="s">
        <v>232</v>
      </c>
      <c r="BH49">
        <v>0</v>
      </c>
      <c r="BK49" t="s">
        <v>467</v>
      </c>
      <c r="BL49" t="s">
        <v>490</v>
      </c>
      <c r="BM49">
        <v>0</v>
      </c>
      <c r="BT49" t="s">
        <v>467</v>
      </c>
      <c r="BU49" t="s">
        <v>490</v>
      </c>
      <c r="BV49">
        <v>0</v>
      </c>
      <c r="CD49" t="s">
        <v>467</v>
      </c>
      <c r="CE49" t="s">
        <v>569</v>
      </c>
      <c r="CF49">
        <f ca="1"/>
        <v>548.5665627765303</v>
      </c>
      <c r="CT49" t="s">
        <v>467</v>
      </c>
      <c r="CU49" t="s">
        <v>232</v>
      </c>
      <c r="CV49">
        <f ca="1">OFFSET('Calculations 2'!$AJ$12,W49,X49)</f>
        <v>0</v>
      </c>
    </row>
    <row r="50" spans="17:100">
      <c r="Q50" t="s">
        <v>231</v>
      </c>
      <c r="R50" t="s">
        <v>489</v>
      </c>
      <c r="S50" t="s">
        <v>232</v>
      </c>
      <c r="T50">
        <f ca="1">OFFSET('Calculations 2'!$C$45,W50,X50)*OFFSET($M$6,W50,0)</f>
        <v>0</v>
      </c>
      <c r="V50">
        <f t="shared" si="2"/>
        <v>44</v>
      </c>
      <c r="W50">
        <f t="shared" si="3"/>
        <v>11</v>
      </c>
      <c r="X50">
        <f t="shared" si="4"/>
        <v>1</v>
      </c>
      <c r="AC50" t="s">
        <v>231</v>
      </c>
      <c r="AD50" t="s">
        <v>489</v>
      </c>
      <c r="AE50" t="s">
        <v>232</v>
      </c>
      <c r="AF50">
        <f ca="1">OFFSET('Calculations 2'!$CE$45,W50,0)*OFFSET($AA$6,X50,0)*OFFSET($M$6,W50,)</f>
        <v>35.848078536196873</v>
      </c>
      <c r="AI50" t="s">
        <v>231</v>
      </c>
      <c r="AJ50" t="s">
        <v>490</v>
      </c>
      <c r="AK50">
        <f ca="1">SUM('Calculations 2'!BY56:CB56)*N17</f>
        <v>72.569987256590025</v>
      </c>
      <c r="AQ50" t="s">
        <v>231</v>
      </c>
      <c r="AR50" t="s">
        <v>490</v>
      </c>
      <c r="AS50">
        <v>0</v>
      </c>
      <c r="AY50" t="s">
        <v>231</v>
      </c>
      <c r="AZ50" t="s">
        <v>489</v>
      </c>
      <c r="BA50" t="s">
        <v>232</v>
      </c>
      <c r="BB50">
        <v>0</v>
      </c>
      <c r="BE50" t="s">
        <v>231</v>
      </c>
      <c r="BF50" t="s">
        <v>489</v>
      </c>
      <c r="BG50" t="s">
        <v>232</v>
      </c>
      <c r="BH50">
        <v>0</v>
      </c>
      <c r="BK50" t="s">
        <v>231</v>
      </c>
      <c r="BL50" t="s">
        <v>490</v>
      </c>
      <c r="BM50">
        <v>0</v>
      </c>
      <c r="BT50" t="s">
        <v>231</v>
      </c>
      <c r="BU50" t="s">
        <v>490</v>
      </c>
      <c r="BV50">
        <v>0</v>
      </c>
      <c r="CD50" t="s">
        <v>231</v>
      </c>
      <c r="CE50" t="s">
        <v>569</v>
      </c>
      <c r="CF50">
        <f ca="1"/>
        <v>1303.9972023722537</v>
      </c>
      <c r="CT50" t="s">
        <v>231</v>
      </c>
      <c r="CU50" t="s">
        <v>232</v>
      </c>
      <c r="CV50">
        <f ca="1">OFFSET('Calculations 2'!$AJ$12,W50,X50)</f>
        <v>0</v>
      </c>
    </row>
    <row r="51" spans="17:100">
      <c r="Q51" t="s">
        <v>468</v>
      </c>
      <c r="R51" t="s">
        <v>489</v>
      </c>
      <c r="S51" t="s">
        <v>232</v>
      </c>
      <c r="T51">
        <f ca="1">OFFSET('Calculations 2'!$C$45,W51,X51)*OFFSET($M$6,W51,0)</f>
        <v>0</v>
      </c>
      <c r="V51">
        <f t="shared" si="2"/>
        <v>45</v>
      </c>
      <c r="W51">
        <f t="shared" si="3"/>
        <v>12</v>
      </c>
      <c r="X51">
        <f t="shared" si="4"/>
        <v>1</v>
      </c>
      <c r="AC51" t="s">
        <v>468</v>
      </c>
      <c r="AD51" t="s">
        <v>489</v>
      </c>
      <c r="AE51" t="s">
        <v>232</v>
      </c>
      <c r="AF51">
        <f ca="1">OFFSET('Calculations 2'!$CE$45,W51,0)*OFFSET($AA$6,X51,0)*OFFSET($M$6,W51,)</f>
        <v>51.887268069864831</v>
      </c>
      <c r="AI51" t="s">
        <v>468</v>
      </c>
      <c r="AJ51" t="s">
        <v>490</v>
      </c>
      <c r="AK51">
        <f ca="1">SUM('Calculations 2'!BY57:CB57)*N18</f>
        <v>21.257563496630983</v>
      </c>
      <c r="AQ51" t="s">
        <v>468</v>
      </c>
      <c r="AR51" t="s">
        <v>490</v>
      </c>
      <c r="AS51">
        <v>0</v>
      </c>
      <c r="AY51" t="s">
        <v>468</v>
      </c>
      <c r="AZ51" t="s">
        <v>489</v>
      </c>
      <c r="BA51" t="s">
        <v>232</v>
      </c>
      <c r="BB51">
        <v>0</v>
      </c>
      <c r="BE51" t="s">
        <v>468</v>
      </c>
      <c r="BF51" t="s">
        <v>489</v>
      </c>
      <c r="BG51" t="s">
        <v>232</v>
      </c>
      <c r="BH51">
        <v>0</v>
      </c>
      <c r="BK51" t="s">
        <v>468</v>
      </c>
      <c r="BL51" t="s">
        <v>490</v>
      </c>
      <c r="BM51">
        <v>0</v>
      </c>
      <c r="BT51" t="s">
        <v>468</v>
      </c>
      <c r="BU51" t="s">
        <v>490</v>
      </c>
      <c r="BV51">
        <v>0</v>
      </c>
      <c r="CD51" t="s">
        <v>468</v>
      </c>
      <c r="CE51" t="s">
        <v>569</v>
      </c>
      <c r="CF51">
        <f ca="1"/>
        <v>425.62606060160988</v>
      </c>
      <c r="CT51" t="s">
        <v>468</v>
      </c>
      <c r="CU51" t="s">
        <v>232</v>
      </c>
      <c r="CV51">
        <f ca="1">OFFSET('Calculations 2'!$AJ$12,W51,X51)</f>
        <v>0</v>
      </c>
    </row>
    <row r="52" spans="17:100">
      <c r="Q52" t="s">
        <v>469</v>
      </c>
      <c r="R52" t="s">
        <v>489</v>
      </c>
      <c r="S52" t="s">
        <v>232</v>
      </c>
      <c r="T52">
        <f ca="1">OFFSET('Calculations 2'!$C$45,W52,X52)*OFFSET($M$6,W52,0)</f>
        <v>0</v>
      </c>
      <c r="V52">
        <f t="shared" si="2"/>
        <v>46</v>
      </c>
      <c r="W52">
        <f t="shared" si="3"/>
        <v>13</v>
      </c>
      <c r="X52">
        <f t="shared" si="4"/>
        <v>1</v>
      </c>
      <c r="AC52" t="s">
        <v>469</v>
      </c>
      <c r="AD52" t="s">
        <v>489</v>
      </c>
      <c r="AE52" t="s">
        <v>232</v>
      </c>
      <c r="AF52">
        <f ca="1">OFFSET('Calculations 2'!$CE$45,W52,0)*OFFSET($AA$6,X52,0)*OFFSET($M$6,W52,)</f>
        <v>10.793677561073958</v>
      </c>
      <c r="AI52" t="s">
        <v>469</v>
      </c>
      <c r="AJ52" t="s">
        <v>490</v>
      </c>
      <c r="AK52">
        <f ca="1">SUM('Calculations 2'!BY58:CB58)*N19</f>
        <v>353.15309531876693</v>
      </c>
      <c r="AQ52" t="s">
        <v>469</v>
      </c>
      <c r="AR52" t="s">
        <v>490</v>
      </c>
      <c r="AS52">
        <v>0</v>
      </c>
      <c r="AY52" t="s">
        <v>469</v>
      </c>
      <c r="AZ52" t="s">
        <v>489</v>
      </c>
      <c r="BA52" t="s">
        <v>232</v>
      </c>
      <c r="BB52">
        <v>0</v>
      </c>
      <c r="BE52" t="s">
        <v>469</v>
      </c>
      <c r="BF52" t="s">
        <v>489</v>
      </c>
      <c r="BG52" t="s">
        <v>232</v>
      </c>
      <c r="BH52">
        <v>0</v>
      </c>
      <c r="BK52" t="s">
        <v>469</v>
      </c>
      <c r="BL52" t="s">
        <v>490</v>
      </c>
      <c r="BM52">
        <v>0</v>
      </c>
      <c r="BT52" t="s">
        <v>469</v>
      </c>
      <c r="BU52" t="s">
        <v>490</v>
      </c>
      <c r="BV52">
        <v>0</v>
      </c>
      <c r="CD52" t="s">
        <v>469</v>
      </c>
      <c r="CE52" t="s">
        <v>569</v>
      </c>
      <c r="CF52">
        <f ca="1"/>
        <v>244.70980849352847</v>
      </c>
      <c r="CT52" t="s">
        <v>469</v>
      </c>
      <c r="CU52" t="s">
        <v>232</v>
      </c>
      <c r="CV52">
        <f ca="1">OFFSET('Calculations 2'!$AJ$12,W52,X52)</f>
        <v>0</v>
      </c>
    </row>
    <row r="53" spans="17:100">
      <c r="Q53" t="s">
        <v>245</v>
      </c>
      <c r="R53" t="s">
        <v>489</v>
      </c>
      <c r="S53" t="s">
        <v>232</v>
      </c>
      <c r="T53">
        <f ca="1">OFFSET('Calculations 2'!$C$45,W53,X53)*OFFSET($M$6,W53,0)</f>
        <v>0</v>
      </c>
      <c r="V53">
        <f t="shared" si="2"/>
        <v>47</v>
      </c>
      <c r="W53">
        <f t="shared" si="3"/>
        <v>14</v>
      </c>
      <c r="X53">
        <f t="shared" si="4"/>
        <v>1</v>
      </c>
      <c r="AC53" t="s">
        <v>245</v>
      </c>
      <c r="AD53" t="s">
        <v>489</v>
      </c>
      <c r="AE53" t="s">
        <v>232</v>
      </c>
      <c r="AF53">
        <f ca="1">OFFSET('Calculations 2'!$CE$45,W53,0)*OFFSET($AA$6,X53,0)*OFFSET($M$6,W53,)</f>
        <v>15.591553189392116</v>
      </c>
      <c r="AI53" t="s">
        <v>245</v>
      </c>
      <c r="AJ53" t="s">
        <v>490</v>
      </c>
      <c r="AK53">
        <f ca="1">SUM('Calculations 2'!BY59:CB59)*N20</f>
        <v>524.1070508819729</v>
      </c>
      <c r="AQ53" t="s">
        <v>245</v>
      </c>
      <c r="AR53" t="s">
        <v>490</v>
      </c>
      <c r="AS53">
        <v>0</v>
      </c>
      <c r="AY53" t="s">
        <v>245</v>
      </c>
      <c r="AZ53" t="s">
        <v>489</v>
      </c>
      <c r="BA53" t="s">
        <v>232</v>
      </c>
      <c r="BB53">
        <v>0</v>
      </c>
      <c r="BE53" t="s">
        <v>245</v>
      </c>
      <c r="BF53" t="s">
        <v>489</v>
      </c>
      <c r="BG53" t="s">
        <v>232</v>
      </c>
      <c r="BH53">
        <v>0</v>
      </c>
      <c r="BK53" t="s">
        <v>245</v>
      </c>
      <c r="BL53" t="s">
        <v>490</v>
      </c>
      <c r="BM53">
        <v>0</v>
      </c>
      <c r="BT53" t="s">
        <v>245</v>
      </c>
      <c r="BU53" t="s">
        <v>490</v>
      </c>
      <c r="BV53">
        <v>0</v>
      </c>
      <c r="CD53" t="s">
        <v>245</v>
      </c>
      <c r="CE53" t="s">
        <v>569</v>
      </c>
      <c r="CF53">
        <f ca="1"/>
        <v>97.040366937894348</v>
      </c>
      <c r="CT53" t="s">
        <v>245</v>
      </c>
      <c r="CU53" t="s">
        <v>232</v>
      </c>
      <c r="CV53">
        <f ca="1">OFFSET('Calculations 2'!$AJ$12,W53,X53)</f>
        <v>0</v>
      </c>
    </row>
    <row r="54" spans="17:100">
      <c r="Q54" t="s">
        <v>470</v>
      </c>
      <c r="R54" t="s">
        <v>489</v>
      </c>
      <c r="S54" t="s">
        <v>232</v>
      </c>
      <c r="T54">
        <f ca="1">OFFSET('Calculations 2'!$C$45,W54,X54)*OFFSET($M$6,W54,0)</f>
        <v>9.9325250190935748</v>
      </c>
      <c r="V54">
        <f t="shared" si="2"/>
        <v>48</v>
      </c>
      <c r="W54">
        <f t="shared" si="3"/>
        <v>15</v>
      </c>
      <c r="X54">
        <f t="shared" si="4"/>
        <v>1</v>
      </c>
      <c r="AC54" t="s">
        <v>470</v>
      </c>
      <c r="AD54" t="s">
        <v>489</v>
      </c>
      <c r="AE54" t="s">
        <v>232</v>
      </c>
      <c r="AF54">
        <f ca="1">OFFSET('Calculations 2'!$CE$45,W54,0)*OFFSET($AA$6,X54,0)*OFFSET($M$6,W54,)</f>
        <v>42.454788646706611</v>
      </c>
      <c r="AI54" t="s">
        <v>470</v>
      </c>
      <c r="AJ54" t="s">
        <v>490</v>
      </c>
      <c r="AK54">
        <f ca="1">SUM('Calculations 2'!BY60:CB60)*N21</f>
        <v>318.41674902315572</v>
      </c>
      <c r="AQ54" t="s">
        <v>470</v>
      </c>
      <c r="AR54" t="s">
        <v>490</v>
      </c>
      <c r="AS54">
        <v>0</v>
      </c>
      <c r="AY54" t="s">
        <v>470</v>
      </c>
      <c r="AZ54" t="s">
        <v>489</v>
      </c>
      <c r="BA54" t="s">
        <v>232</v>
      </c>
      <c r="BB54">
        <v>0</v>
      </c>
      <c r="BE54" t="s">
        <v>470</v>
      </c>
      <c r="BF54" t="s">
        <v>489</v>
      </c>
      <c r="BG54" t="s">
        <v>232</v>
      </c>
      <c r="BH54">
        <v>0</v>
      </c>
      <c r="BK54" t="s">
        <v>470</v>
      </c>
      <c r="BL54" t="s">
        <v>490</v>
      </c>
      <c r="BM54">
        <v>0</v>
      </c>
      <c r="BT54" t="s">
        <v>470</v>
      </c>
      <c r="BU54" t="s">
        <v>490</v>
      </c>
      <c r="BV54">
        <v>0</v>
      </c>
      <c r="CD54" t="s">
        <v>470</v>
      </c>
      <c r="CE54" t="s">
        <v>569</v>
      </c>
      <c r="CF54">
        <f ca="1"/>
        <v>928.97634974504285</v>
      </c>
      <c r="CT54" t="s">
        <v>470</v>
      </c>
      <c r="CU54" t="s">
        <v>232</v>
      </c>
      <c r="CV54">
        <f ca="1">OFFSET('Calculations 2'!$AJ$12,W54,X54)</f>
        <v>0</v>
      </c>
    </row>
    <row r="55" spans="17:100">
      <c r="Q55" t="s">
        <v>471</v>
      </c>
      <c r="R55" t="s">
        <v>489</v>
      </c>
      <c r="S55" t="s">
        <v>232</v>
      </c>
      <c r="T55">
        <f ca="1">OFFSET('Calculations 2'!$C$45,W55,X55)*OFFSET($M$6,W55,0)</f>
        <v>155.85374831780305</v>
      </c>
      <c r="V55">
        <f t="shared" si="2"/>
        <v>49</v>
      </c>
      <c r="W55">
        <f t="shared" si="3"/>
        <v>16</v>
      </c>
      <c r="X55">
        <f t="shared" si="4"/>
        <v>1</v>
      </c>
      <c r="AC55" t="s">
        <v>471</v>
      </c>
      <c r="AD55" t="s">
        <v>489</v>
      </c>
      <c r="AE55" t="s">
        <v>232</v>
      </c>
      <c r="AF55">
        <f ca="1">OFFSET('Calculations 2'!$CE$45,W55,0)*OFFSET($AA$6,X55,0)*OFFSET($M$6,W55,)</f>
        <v>0</v>
      </c>
      <c r="AI55" t="s">
        <v>471</v>
      </c>
      <c r="AJ55" t="s">
        <v>490</v>
      </c>
      <c r="AK55">
        <f ca="1">SUM('Calculations 2'!BY61:CB61)*N22</f>
        <v>39.956507848132063</v>
      </c>
      <c r="AQ55" t="s">
        <v>471</v>
      </c>
      <c r="AR55" t="s">
        <v>490</v>
      </c>
      <c r="AS55">
        <v>36.152979447765851</v>
      </c>
      <c r="AY55" t="s">
        <v>471</v>
      </c>
      <c r="AZ55" t="s">
        <v>489</v>
      </c>
      <c r="BA55" t="s">
        <v>232</v>
      </c>
      <c r="BB55">
        <v>0</v>
      </c>
      <c r="BE55" t="s">
        <v>471</v>
      </c>
      <c r="BF55" t="s">
        <v>489</v>
      </c>
      <c r="BG55" t="s">
        <v>232</v>
      </c>
      <c r="BH55">
        <v>0</v>
      </c>
      <c r="BK55" t="s">
        <v>471</v>
      </c>
      <c r="BL55" t="s">
        <v>490</v>
      </c>
      <c r="BM55">
        <v>0</v>
      </c>
      <c r="BT55" t="s">
        <v>471</v>
      </c>
      <c r="BU55" t="s">
        <v>490</v>
      </c>
      <c r="BV55">
        <v>0</v>
      </c>
      <c r="CD55" t="s">
        <v>471</v>
      </c>
      <c r="CE55" t="s">
        <v>569</v>
      </c>
      <c r="CF55">
        <f ca="1"/>
        <v>2299.7807553671419</v>
      </c>
      <c r="CT55" t="s">
        <v>471</v>
      </c>
      <c r="CU55" t="s">
        <v>232</v>
      </c>
      <c r="CV55">
        <f ca="1">OFFSET('Calculations 2'!$AJ$12,W55,X55)</f>
        <v>0</v>
      </c>
    </row>
    <row r="56" spans="17:100">
      <c r="Q56" t="s">
        <v>221</v>
      </c>
      <c r="R56" t="s">
        <v>489</v>
      </c>
      <c r="S56" t="s">
        <v>232</v>
      </c>
      <c r="T56">
        <f ca="1">OFFSET('Calculations 2'!$C$45,W56,X56)*OFFSET($M$6,W56,0)</f>
        <v>96.438633006605031</v>
      </c>
      <c r="V56">
        <f t="shared" si="2"/>
        <v>50</v>
      </c>
      <c r="W56">
        <f t="shared" si="3"/>
        <v>17</v>
      </c>
      <c r="X56">
        <f t="shared" si="4"/>
        <v>1</v>
      </c>
      <c r="AC56" t="s">
        <v>221</v>
      </c>
      <c r="AD56" t="s">
        <v>489</v>
      </c>
      <c r="AE56" t="s">
        <v>232</v>
      </c>
      <c r="AF56">
        <f ca="1">OFFSET('Calculations 2'!$CE$45,W56,0)*OFFSET($AA$6,X56,0)*OFFSET($M$6,W56,)</f>
        <v>1410.2818691551549</v>
      </c>
      <c r="AI56" t="s">
        <v>221</v>
      </c>
      <c r="AJ56" t="s">
        <v>490</v>
      </c>
      <c r="AK56">
        <f ca="1">SUM('Calculations 2'!BY62:CB62)*N23</f>
        <v>10.895777566790537</v>
      </c>
      <c r="AQ56" t="s">
        <v>221</v>
      </c>
      <c r="AR56" t="s">
        <v>490</v>
      </c>
      <c r="AS56">
        <v>0</v>
      </c>
      <c r="AY56" t="s">
        <v>221</v>
      </c>
      <c r="AZ56" t="s">
        <v>489</v>
      </c>
      <c r="BA56" t="s">
        <v>232</v>
      </c>
      <c r="BB56">
        <v>0</v>
      </c>
      <c r="BE56" t="s">
        <v>221</v>
      </c>
      <c r="BF56" t="s">
        <v>489</v>
      </c>
      <c r="BG56" t="s">
        <v>232</v>
      </c>
      <c r="BH56">
        <v>0</v>
      </c>
      <c r="BK56" t="s">
        <v>221</v>
      </c>
      <c r="BL56" t="s">
        <v>490</v>
      </c>
      <c r="BM56">
        <v>0</v>
      </c>
      <c r="BT56" t="s">
        <v>221</v>
      </c>
      <c r="BU56" t="s">
        <v>490</v>
      </c>
      <c r="BV56">
        <v>0</v>
      </c>
      <c r="CD56" t="s">
        <v>221</v>
      </c>
      <c r="CE56" t="s">
        <v>569</v>
      </c>
      <c r="CF56">
        <f ca="1"/>
        <v>5638.21659125519</v>
      </c>
      <c r="CT56" t="s">
        <v>221</v>
      </c>
      <c r="CU56" t="s">
        <v>232</v>
      </c>
      <c r="CV56">
        <f ca="1">OFFSET('Calculations 2'!$AJ$12,W56,X56)</f>
        <v>0</v>
      </c>
    </row>
    <row r="57" spans="17:100">
      <c r="Q57" t="s">
        <v>244</v>
      </c>
      <c r="R57" t="s">
        <v>489</v>
      </c>
      <c r="S57" t="s">
        <v>232</v>
      </c>
      <c r="T57">
        <f ca="1">OFFSET('Calculations 2'!$C$45,W57,X57)*OFFSET($M$6,W57,0)</f>
        <v>257.18548878338493</v>
      </c>
      <c r="V57">
        <f t="shared" si="2"/>
        <v>51</v>
      </c>
      <c r="W57">
        <f t="shared" si="3"/>
        <v>18</v>
      </c>
      <c r="X57">
        <f t="shared" si="4"/>
        <v>1</v>
      </c>
      <c r="AC57" t="s">
        <v>244</v>
      </c>
      <c r="AD57" t="s">
        <v>489</v>
      </c>
      <c r="AE57" t="s">
        <v>232</v>
      </c>
      <c r="AF57">
        <f ca="1">OFFSET('Calculations 2'!$CE$45,W57,0)*OFFSET($AA$6,X57,0)*OFFSET($M$6,W57,)</f>
        <v>225.49466763225303</v>
      </c>
      <c r="AI57" t="s">
        <v>244</v>
      </c>
      <c r="AJ57" t="s">
        <v>490</v>
      </c>
      <c r="AK57">
        <f ca="1">SUM('Calculations 2'!BY63:CB63)*N24</f>
        <v>54.144148213427769</v>
      </c>
      <c r="AQ57" t="s">
        <v>244</v>
      </c>
      <c r="AR57" t="s">
        <v>490</v>
      </c>
      <c r="AS57">
        <v>0</v>
      </c>
      <c r="AY57" t="s">
        <v>244</v>
      </c>
      <c r="AZ57" t="s">
        <v>489</v>
      </c>
      <c r="BA57" t="s">
        <v>232</v>
      </c>
      <c r="BB57">
        <v>0</v>
      </c>
      <c r="BE57" t="s">
        <v>244</v>
      </c>
      <c r="BF57" t="s">
        <v>489</v>
      </c>
      <c r="BG57" t="s">
        <v>232</v>
      </c>
      <c r="BH57">
        <v>0</v>
      </c>
      <c r="BK57" t="s">
        <v>244</v>
      </c>
      <c r="BL57" t="s">
        <v>490</v>
      </c>
      <c r="BM57">
        <v>0</v>
      </c>
      <c r="BT57" t="s">
        <v>244</v>
      </c>
      <c r="BU57" t="s">
        <v>490</v>
      </c>
      <c r="BV57">
        <v>0</v>
      </c>
      <c r="CD57" t="s">
        <v>244</v>
      </c>
      <c r="CE57" t="s">
        <v>569</v>
      </c>
      <c r="CF57">
        <f ca="1"/>
        <v>32822.971513793796</v>
      </c>
      <c r="CT57" t="s">
        <v>244</v>
      </c>
      <c r="CU57" t="s">
        <v>232</v>
      </c>
      <c r="CV57">
        <f ca="1">OFFSET('Calculations 2'!$AJ$12,W57,X57)</f>
        <v>0</v>
      </c>
    </row>
    <row r="58" spans="17:100">
      <c r="Q58" t="s">
        <v>472</v>
      </c>
      <c r="R58" t="s">
        <v>489</v>
      </c>
      <c r="S58" t="s">
        <v>232</v>
      </c>
      <c r="T58">
        <f ca="1">OFFSET('Calculations 2'!$C$45,W58,X58)*OFFSET($M$6,W58,0)</f>
        <v>0</v>
      </c>
      <c r="V58">
        <f t="shared" si="2"/>
        <v>52</v>
      </c>
      <c r="W58">
        <f t="shared" si="3"/>
        <v>19</v>
      </c>
      <c r="X58">
        <f t="shared" si="4"/>
        <v>1</v>
      </c>
      <c r="AC58" t="s">
        <v>472</v>
      </c>
      <c r="AD58" t="s">
        <v>489</v>
      </c>
      <c r="AE58" t="s">
        <v>232</v>
      </c>
      <c r="AF58">
        <f ca="1">OFFSET('Calculations 2'!$CE$45,W58,0)*OFFSET($AA$6,X58,0)*OFFSET($M$6,W58,)</f>
        <v>0</v>
      </c>
      <c r="AI58" t="s">
        <v>472</v>
      </c>
      <c r="AJ58" t="s">
        <v>490</v>
      </c>
      <c r="AK58">
        <f ca="1">SUM('Calculations 2'!BY64:CB64)*N25</f>
        <v>123.86401059239829</v>
      </c>
      <c r="AQ58" t="s">
        <v>472</v>
      </c>
      <c r="AR58" t="s">
        <v>490</v>
      </c>
      <c r="AS58">
        <v>0</v>
      </c>
      <c r="AY58" t="s">
        <v>472</v>
      </c>
      <c r="AZ58" t="s">
        <v>489</v>
      </c>
      <c r="BA58" t="s">
        <v>232</v>
      </c>
      <c r="BB58">
        <v>0</v>
      </c>
      <c r="BE58" t="s">
        <v>472</v>
      </c>
      <c r="BF58" t="s">
        <v>489</v>
      </c>
      <c r="BG58" t="s">
        <v>232</v>
      </c>
      <c r="BH58">
        <v>0</v>
      </c>
      <c r="BK58" t="s">
        <v>472</v>
      </c>
      <c r="BL58" t="s">
        <v>490</v>
      </c>
      <c r="BM58">
        <v>0</v>
      </c>
      <c r="BT58" t="s">
        <v>472</v>
      </c>
      <c r="BU58" t="s">
        <v>490</v>
      </c>
      <c r="BV58">
        <v>0</v>
      </c>
      <c r="CD58" t="s">
        <v>472</v>
      </c>
      <c r="CE58" t="s">
        <v>569</v>
      </c>
      <c r="CF58">
        <f ca="1"/>
        <v>9162.783823727952</v>
      </c>
      <c r="CT58" t="s">
        <v>472</v>
      </c>
      <c r="CU58" t="s">
        <v>232</v>
      </c>
      <c r="CV58">
        <f ca="1">OFFSET('Calculations 2'!$AJ$12,W58,X58)</f>
        <v>0</v>
      </c>
    </row>
    <row r="59" spans="17:100">
      <c r="Q59" t="s">
        <v>238</v>
      </c>
      <c r="R59" t="s">
        <v>489</v>
      </c>
      <c r="S59" t="s">
        <v>232</v>
      </c>
      <c r="T59">
        <f ca="1">OFFSET('Calculations 2'!$C$45,W59,X59)*OFFSET($M$6,W59,0)</f>
        <v>2.8260058704709645</v>
      </c>
      <c r="V59">
        <f t="shared" si="2"/>
        <v>53</v>
      </c>
      <c r="W59">
        <f t="shared" si="3"/>
        <v>20</v>
      </c>
      <c r="X59">
        <f t="shared" si="4"/>
        <v>1</v>
      </c>
      <c r="AC59" t="s">
        <v>238</v>
      </c>
      <c r="AD59" t="s">
        <v>489</v>
      </c>
      <c r="AE59" t="s">
        <v>232</v>
      </c>
      <c r="AF59">
        <f ca="1">OFFSET('Calculations 2'!$CE$45,W59,0)*OFFSET($AA$6,X59,0)*OFFSET($M$6,W59,)</f>
        <v>0</v>
      </c>
      <c r="AI59" t="s">
        <v>238</v>
      </c>
      <c r="AJ59" t="s">
        <v>490</v>
      </c>
      <c r="AK59">
        <f ca="1">SUM('Calculations 2'!BY65:CB65)*N26</f>
        <v>19.719618148120819</v>
      </c>
      <c r="AQ59" t="s">
        <v>238</v>
      </c>
      <c r="AR59" t="s">
        <v>490</v>
      </c>
      <c r="AS59">
        <v>0</v>
      </c>
      <c r="AY59" t="s">
        <v>238</v>
      </c>
      <c r="AZ59" t="s">
        <v>489</v>
      </c>
      <c r="BA59" t="s">
        <v>232</v>
      </c>
      <c r="BB59">
        <v>0</v>
      </c>
      <c r="BE59" t="s">
        <v>238</v>
      </c>
      <c r="BF59" t="s">
        <v>489</v>
      </c>
      <c r="BG59" t="s">
        <v>232</v>
      </c>
      <c r="BH59">
        <v>0</v>
      </c>
      <c r="BK59" t="s">
        <v>238</v>
      </c>
      <c r="BL59" t="s">
        <v>490</v>
      </c>
      <c r="BM59">
        <v>0</v>
      </c>
      <c r="BT59" t="s">
        <v>238</v>
      </c>
      <c r="BU59" t="s">
        <v>490</v>
      </c>
      <c r="BV59">
        <v>0</v>
      </c>
      <c r="CD59" t="s">
        <v>238</v>
      </c>
      <c r="CE59" t="s">
        <v>569</v>
      </c>
      <c r="CF59">
        <f ca="1"/>
        <v>2625.2029880392015</v>
      </c>
      <c r="CT59" t="s">
        <v>238</v>
      </c>
      <c r="CU59" t="s">
        <v>232</v>
      </c>
      <c r="CV59">
        <f ca="1">OFFSET('Calculations 2'!$AJ$12,W59,X59)</f>
        <v>0</v>
      </c>
    </row>
    <row r="60" spans="17:100">
      <c r="Q60" t="s">
        <v>247</v>
      </c>
      <c r="R60" t="s">
        <v>489</v>
      </c>
      <c r="S60" t="s">
        <v>232</v>
      </c>
      <c r="T60">
        <f ca="1">OFFSET('Calculations 2'!$C$45,W60,X60)*OFFSET($M$6,W60,0)</f>
        <v>0</v>
      </c>
      <c r="V60">
        <f t="shared" si="2"/>
        <v>54</v>
      </c>
      <c r="W60">
        <f t="shared" si="3"/>
        <v>21</v>
      </c>
      <c r="X60">
        <f t="shared" si="4"/>
        <v>1</v>
      </c>
      <c r="AC60" t="s">
        <v>247</v>
      </c>
      <c r="AD60" t="s">
        <v>489</v>
      </c>
      <c r="AE60" t="s">
        <v>232</v>
      </c>
      <c r="AF60">
        <f ca="1">OFFSET('Calculations 2'!$CE$45,W60,0)*OFFSET($AA$6,X60,0)*OFFSET($M$6,W60,)</f>
        <v>0</v>
      </c>
      <c r="AI60" t="s">
        <v>247</v>
      </c>
      <c r="AJ60" t="s">
        <v>490</v>
      </c>
      <c r="AK60">
        <f ca="1">SUM('Calculations 2'!BY66:CB66)*N27</f>
        <v>6.9928261473578051</v>
      </c>
      <c r="AQ60" t="s">
        <v>247</v>
      </c>
      <c r="AR60" t="s">
        <v>490</v>
      </c>
      <c r="AS60">
        <v>0</v>
      </c>
      <c r="AY60" t="s">
        <v>247</v>
      </c>
      <c r="AZ60" t="s">
        <v>489</v>
      </c>
      <c r="BA60" t="s">
        <v>232</v>
      </c>
      <c r="BB60">
        <v>0</v>
      </c>
      <c r="BE60" t="s">
        <v>247</v>
      </c>
      <c r="BF60" t="s">
        <v>489</v>
      </c>
      <c r="BG60" t="s">
        <v>232</v>
      </c>
      <c r="BH60">
        <v>0</v>
      </c>
      <c r="BK60" t="s">
        <v>247</v>
      </c>
      <c r="BL60" t="s">
        <v>490</v>
      </c>
      <c r="BM60">
        <v>0</v>
      </c>
      <c r="BT60" t="s">
        <v>247</v>
      </c>
      <c r="BU60" t="s">
        <v>490</v>
      </c>
      <c r="BV60">
        <v>0</v>
      </c>
      <c r="CD60" t="s">
        <v>247</v>
      </c>
      <c r="CE60" t="s">
        <v>569</v>
      </c>
      <c r="CF60">
        <f ca="1"/>
        <v>89.865619522866382</v>
      </c>
      <c r="CT60" t="s">
        <v>247</v>
      </c>
      <c r="CU60" t="s">
        <v>232</v>
      </c>
      <c r="CV60">
        <f ca="1">OFFSET('Calculations 2'!$AJ$12,W60,X60)</f>
        <v>0</v>
      </c>
    </row>
    <row r="61" spans="17:100">
      <c r="Q61" t="s">
        <v>218</v>
      </c>
      <c r="R61" t="s">
        <v>489</v>
      </c>
      <c r="S61" t="s">
        <v>232</v>
      </c>
      <c r="T61">
        <f ca="1">OFFSET('Calculations 2'!$C$45,W61,X61)*OFFSET($M$6,W61,0)</f>
        <v>9.2280421779442889</v>
      </c>
      <c r="V61">
        <f t="shared" si="2"/>
        <v>55</v>
      </c>
      <c r="W61">
        <f t="shared" si="3"/>
        <v>22</v>
      </c>
      <c r="X61">
        <f t="shared" si="4"/>
        <v>1</v>
      </c>
      <c r="AC61" t="s">
        <v>218</v>
      </c>
      <c r="AD61" t="s">
        <v>489</v>
      </c>
      <c r="AE61" t="s">
        <v>232</v>
      </c>
      <c r="AF61">
        <f ca="1">OFFSET('Calculations 2'!$CE$45,W61,0)*OFFSET($AA$6,X61,0)*OFFSET($M$6,W61,)</f>
        <v>0</v>
      </c>
      <c r="AI61" t="s">
        <v>218</v>
      </c>
      <c r="AJ61" t="s">
        <v>490</v>
      </c>
      <c r="AK61">
        <f ca="1">SUM('Calculations 2'!BY67:CB67)*N28</f>
        <v>52.579055219064642</v>
      </c>
      <c r="AQ61" t="s">
        <v>218</v>
      </c>
      <c r="AR61" t="s">
        <v>490</v>
      </c>
      <c r="AS61">
        <v>0</v>
      </c>
      <c r="AY61" t="s">
        <v>218</v>
      </c>
      <c r="AZ61" t="s">
        <v>489</v>
      </c>
      <c r="BA61" t="s">
        <v>232</v>
      </c>
      <c r="BB61">
        <v>0</v>
      </c>
      <c r="BE61" t="s">
        <v>218</v>
      </c>
      <c r="BF61" t="s">
        <v>489</v>
      </c>
      <c r="BG61" t="s">
        <v>232</v>
      </c>
      <c r="BH61">
        <v>0</v>
      </c>
      <c r="BK61" t="s">
        <v>218</v>
      </c>
      <c r="BL61" t="s">
        <v>490</v>
      </c>
      <c r="BM61">
        <v>0</v>
      </c>
      <c r="BT61" t="s">
        <v>218</v>
      </c>
      <c r="BU61" t="s">
        <v>490</v>
      </c>
      <c r="BV61">
        <v>0</v>
      </c>
      <c r="CD61" t="s">
        <v>218</v>
      </c>
      <c r="CE61" t="s">
        <v>569</v>
      </c>
      <c r="CF61">
        <f ca="1"/>
        <v>8749.9382183733942</v>
      </c>
      <c r="CT61" t="s">
        <v>218</v>
      </c>
      <c r="CU61" t="s">
        <v>232</v>
      </c>
      <c r="CV61">
        <f ca="1">OFFSET('Calculations 2'!$AJ$12,W61,X61)</f>
        <v>0</v>
      </c>
    </row>
    <row r="62" spans="17:100">
      <c r="Q62" t="s">
        <v>257</v>
      </c>
      <c r="R62" t="s">
        <v>489</v>
      </c>
      <c r="S62" t="s">
        <v>232</v>
      </c>
      <c r="T62">
        <f ca="1">OFFSET('Calculations 2'!$C$45,W62,X62)*OFFSET($M$6,W62,0)</f>
        <v>0</v>
      </c>
      <c r="V62">
        <f t="shared" si="2"/>
        <v>56</v>
      </c>
      <c r="W62">
        <f t="shared" si="3"/>
        <v>23</v>
      </c>
      <c r="X62">
        <f t="shared" si="4"/>
        <v>1</v>
      </c>
      <c r="AC62" t="s">
        <v>257</v>
      </c>
      <c r="AD62" t="s">
        <v>489</v>
      </c>
      <c r="AE62" t="s">
        <v>232</v>
      </c>
      <c r="AF62">
        <f ca="1">OFFSET('Calculations 2'!$CE$45,W62,0)*OFFSET($AA$6,X62,0)*OFFSET($M$6,W62,)</f>
        <v>0</v>
      </c>
      <c r="AI62" t="s">
        <v>257</v>
      </c>
      <c r="AJ62" t="s">
        <v>490</v>
      </c>
      <c r="AK62">
        <f ca="1">SUM('Calculations 2'!BY68:CB68)*N29</f>
        <v>6.2111752219416196</v>
      </c>
      <c r="AQ62" t="s">
        <v>257</v>
      </c>
      <c r="AR62" t="s">
        <v>490</v>
      </c>
      <c r="AS62">
        <v>0</v>
      </c>
      <c r="AY62" t="s">
        <v>257</v>
      </c>
      <c r="AZ62" t="s">
        <v>489</v>
      </c>
      <c r="BA62" t="s">
        <v>232</v>
      </c>
      <c r="BB62">
        <v>0</v>
      </c>
      <c r="BE62" t="s">
        <v>257</v>
      </c>
      <c r="BF62" t="s">
        <v>489</v>
      </c>
      <c r="BG62" t="s">
        <v>232</v>
      </c>
      <c r="BH62">
        <v>0</v>
      </c>
      <c r="BK62" t="s">
        <v>257</v>
      </c>
      <c r="BL62" t="s">
        <v>490</v>
      </c>
      <c r="BM62">
        <v>0</v>
      </c>
      <c r="BT62" t="s">
        <v>257</v>
      </c>
      <c r="BU62" t="s">
        <v>490</v>
      </c>
      <c r="BV62">
        <v>0</v>
      </c>
      <c r="CD62" t="s">
        <v>257</v>
      </c>
      <c r="CE62" t="s">
        <v>569</v>
      </c>
      <c r="CF62">
        <f ca="1"/>
        <v>5532.6842958917605</v>
      </c>
      <c r="CT62" t="s">
        <v>257</v>
      </c>
      <c r="CU62" t="s">
        <v>232</v>
      </c>
      <c r="CV62">
        <f ca="1">OFFSET('Calculations 2'!$AJ$12,W62,X62)</f>
        <v>0</v>
      </c>
    </row>
    <row r="63" spans="17:100">
      <c r="Q63" t="s">
        <v>220</v>
      </c>
      <c r="R63" t="s">
        <v>489</v>
      </c>
      <c r="S63" t="s">
        <v>232</v>
      </c>
      <c r="T63">
        <f ca="1">OFFSET('Calculations 2'!$C$45,W63,X63)*OFFSET($M$6,W63,0)</f>
        <v>27.413955989126368</v>
      </c>
      <c r="V63">
        <f t="shared" si="2"/>
        <v>57</v>
      </c>
      <c r="W63">
        <f t="shared" si="3"/>
        <v>24</v>
      </c>
      <c r="X63">
        <f t="shared" si="4"/>
        <v>1</v>
      </c>
      <c r="AC63" t="s">
        <v>220</v>
      </c>
      <c r="AD63" t="s">
        <v>489</v>
      </c>
      <c r="AE63" t="s">
        <v>232</v>
      </c>
      <c r="AF63">
        <f ca="1">OFFSET('Calculations 2'!$CE$45,W63,0)*OFFSET($AA$6,X63,0)*OFFSET($M$6,W63,)</f>
        <v>0</v>
      </c>
      <c r="AI63" t="s">
        <v>220</v>
      </c>
      <c r="AJ63" t="s">
        <v>490</v>
      </c>
      <c r="AK63">
        <f ca="1">SUM('Calculations 2'!BY69:CB69)*N30</f>
        <v>113.25919717288406</v>
      </c>
      <c r="AQ63" t="s">
        <v>220</v>
      </c>
      <c r="AR63" t="s">
        <v>490</v>
      </c>
      <c r="AS63">
        <v>0</v>
      </c>
      <c r="AY63" t="s">
        <v>220</v>
      </c>
      <c r="AZ63" t="s">
        <v>489</v>
      </c>
      <c r="BA63" t="s">
        <v>232</v>
      </c>
      <c r="BB63">
        <v>0</v>
      </c>
      <c r="BE63" t="s">
        <v>220</v>
      </c>
      <c r="BF63" t="s">
        <v>489</v>
      </c>
      <c r="BG63" t="s">
        <v>232</v>
      </c>
      <c r="BH63">
        <v>0</v>
      </c>
      <c r="BK63" t="s">
        <v>220</v>
      </c>
      <c r="BL63" t="s">
        <v>490</v>
      </c>
      <c r="BM63">
        <v>0</v>
      </c>
      <c r="BT63" t="s">
        <v>220</v>
      </c>
      <c r="BU63" t="s">
        <v>490</v>
      </c>
      <c r="BV63">
        <v>0</v>
      </c>
      <c r="CD63" t="s">
        <v>220</v>
      </c>
      <c r="CE63" t="s">
        <v>569</v>
      </c>
      <c r="CF63">
        <f ca="1"/>
        <v>2994.2459982927548</v>
      </c>
      <c r="CT63" t="s">
        <v>220</v>
      </c>
      <c r="CU63" t="s">
        <v>232</v>
      </c>
      <c r="CV63">
        <f ca="1">OFFSET('Calculations 2'!$AJ$12,W63,X63)</f>
        <v>0</v>
      </c>
    </row>
    <row r="64" spans="17:100">
      <c r="Q64" t="s">
        <v>235</v>
      </c>
      <c r="R64" t="s">
        <v>489</v>
      </c>
      <c r="S64" t="s">
        <v>232</v>
      </c>
      <c r="T64">
        <f ca="1">OFFSET('Calculations 2'!$C$45,W64,X64)*OFFSET($M$6,W64,0)</f>
        <v>941.25299233376438</v>
      </c>
      <c r="V64">
        <f t="shared" si="2"/>
        <v>58</v>
      </c>
      <c r="W64">
        <f t="shared" si="3"/>
        <v>25</v>
      </c>
      <c r="X64">
        <f t="shared" si="4"/>
        <v>1</v>
      </c>
      <c r="AC64" t="s">
        <v>235</v>
      </c>
      <c r="AD64" t="s">
        <v>489</v>
      </c>
      <c r="AE64" t="s">
        <v>232</v>
      </c>
      <c r="AF64">
        <f ca="1">OFFSET('Calculations 2'!$CE$45,W64,0)*OFFSET($AA$6,X64,0)*OFFSET($M$6,W64,)</f>
        <v>0</v>
      </c>
      <c r="AI64" t="s">
        <v>235</v>
      </c>
      <c r="AJ64" t="s">
        <v>490</v>
      </c>
      <c r="AK64">
        <f ca="1">SUM('Calculations 2'!BY70:CB70)*N31</f>
        <v>31.863867367090894</v>
      </c>
      <c r="AQ64" t="s">
        <v>235</v>
      </c>
      <c r="AR64" t="s">
        <v>490</v>
      </c>
      <c r="AS64">
        <v>0</v>
      </c>
      <c r="AY64" t="s">
        <v>235</v>
      </c>
      <c r="AZ64" t="s">
        <v>489</v>
      </c>
      <c r="BA64" t="s">
        <v>232</v>
      </c>
      <c r="BB64">
        <v>0</v>
      </c>
      <c r="BE64" t="s">
        <v>235</v>
      </c>
      <c r="BF64" t="s">
        <v>489</v>
      </c>
      <c r="BG64" t="s">
        <v>232</v>
      </c>
      <c r="BH64">
        <v>0</v>
      </c>
      <c r="BK64" t="s">
        <v>235</v>
      </c>
      <c r="BL64" t="s">
        <v>490</v>
      </c>
      <c r="BM64">
        <v>0</v>
      </c>
      <c r="BT64" t="s">
        <v>235</v>
      </c>
      <c r="BU64" t="s">
        <v>490</v>
      </c>
      <c r="BV64">
        <v>0</v>
      </c>
      <c r="CD64" t="s">
        <v>235</v>
      </c>
      <c r="CE64" t="s">
        <v>569</v>
      </c>
      <c r="CF64">
        <f ca="1"/>
        <v>7840.3078999054869</v>
      </c>
      <c r="CT64" t="s">
        <v>235</v>
      </c>
      <c r="CU64" t="s">
        <v>232</v>
      </c>
      <c r="CV64">
        <f ca="1">OFFSET('Calculations 2'!$AJ$12,W64,X64)</f>
        <v>0</v>
      </c>
    </row>
    <row r="65" spans="17:100">
      <c r="Q65" t="s">
        <v>473</v>
      </c>
      <c r="R65" t="s">
        <v>489</v>
      </c>
      <c r="S65" t="s">
        <v>232</v>
      </c>
      <c r="T65">
        <f ca="1">OFFSET('Calculations 2'!$C$45,W65,X65)*OFFSET($M$6,W65,0)</f>
        <v>0</v>
      </c>
      <c r="V65">
        <f t="shared" si="2"/>
        <v>59</v>
      </c>
      <c r="W65">
        <f t="shared" si="3"/>
        <v>26</v>
      </c>
      <c r="X65">
        <f t="shared" si="4"/>
        <v>1</v>
      </c>
      <c r="AC65" t="s">
        <v>473</v>
      </c>
      <c r="AD65" t="s">
        <v>489</v>
      </c>
      <c r="AE65" t="s">
        <v>232</v>
      </c>
      <c r="AF65">
        <f ca="1">OFFSET('Calculations 2'!$CE$45,W65,0)*OFFSET($AA$6,X65,0)*OFFSET($M$6,W65,)</f>
        <v>0</v>
      </c>
      <c r="AI65" t="s">
        <v>473</v>
      </c>
      <c r="AJ65" t="s">
        <v>490</v>
      </c>
      <c r="AK65">
        <f ca="1">SUM('Calculations 2'!BY71:CB71)*N32</f>
        <v>1055.6261880568568</v>
      </c>
      <c r="AQ65" t="s">
        <v>473</v>
      </c>
      <c r="AR65" t="s">
        <v>490</v>
      </c>
      <c r="AS65">
        <v>0</v>
      </c>
      <c r="AY65" t="s">
        <v>473</v>
      </c>
      <c r="AZ65" t="s">
        <v>489</v>
      </c>
      <c r="BA65" t="s">
        <v>232</v>
      </c>
      <c r="BB65">
        <v>0</v>
      </c>
      <c r="BE65" t="s">
        <v>473</v>
      </c>
      <c r="BF65" t="s">
        <v>489</v>
      </c>
      <c r="BG65" t="s">
        <v>232</v>
      </c>
      <c r="BH65">
        <v>0</v>
      </c>
      <c r="BK65" t="s">
        <v>473</v>
      </c>
      <c r="BL65" t="s">
        <v>490</v>
      </c>
      <c r="BM65">
        <v>0</v>
      </c>
      <c r="BT65" t="s">
        <v>473</v>
      </c>
      <c r="BU65" t="s">
        <v>490</v>
      </c>
      <c r="BV65">
        <v>0</v>
      </c>
      <c r="CD65" t="s">
        <v>473</v>
      </c>
      <c r="CE65" t="s">
        <v>569</v>
      </c>
      <c r="CF65">
        <f ca="1"/>
        <v>4789.0262609570482</v>
      </c>
      <c r="CT65" t="s">
        <v>473</v>
      </c>
      <c r="CU65" t="s">
        <v>232</v>
      </c>
      <c r="CV65">
        <f ca="1">OFFSET('Calculations 2'!$AJ$12,W65,X65)</f>
        <v>0</v>
      </c>
    </row>
    <row r="66" spans="17:100">
      <c r="Q66" t="s">
        <v>233</v>
      </c>
      <c r="R66" t="s">
        <v>489</v>
      </c>
      <c r="S66" t="s">
        <v>232</v>
      </c>
      <c r="T66">
        <f ca="1">OFFSET('Calculations 2'!$C$45,W66,X66)*OFFSET($M$6,W66,0)</f>
        <v>261.06346149912252</v>
      </c>
      <c r="V66">
        <f t="shared" si="2"/>
        <v>60</v>
      </c>
      <c r="W66">
        <f t="shared" si="3"/>
        <v>27</v>
      </c>
      <c r="X66">
        <f t="shared" si="4"/>
        <v>1</v>
      </c>
      <c r="AC66" t="s">
        <v>233</v>
      </c>
      <c r="AD66" t="s">
        <v>489</v>
      </c>
      <c r="AE66" t="s">
        <v>232</v>
      </c>
      <c r="AF66">
        <f ca="1">OFFSET('Calculations 2'!$CE$45,W66,0)*OFFSET($AA$6,X66,0)*OFFSET($M$6,W66,)</f>
        <v>0</v>
      </c>
      <c r="AI66" t="s">
        <v>233</v>
      </c>
      <c r="AJ66" t="s">
        <v>490</v>
      </c>
      <c r="AK66">
        <f ca="1">SUM('Calculations 2'!BY72:CB72)*N33</f>
        <v>8.705095161639143</v>
      </c>
      <c r="AQ66" t="s">
        <v>233</v>
      </c>
      <c r="AR66" t="s">
        <v>490</v>
      </c>
      <c r="AS66">
        <v>0</v>
      </c>
      <c r="AY66" t="s">
        <v>233</v>
      </c>
      <c r="AZ66" t="s">
        <v>489</v>
      </c>
      <c r="BA66" t="s">
        <v>232</v>
      </c>
      <c r="BB66">
        <v>0</v>
      </c>
      <c r="BE66" t="s">
        <v>233</v>
      </c>
      <c r="BF66" t="s">
        <v>489</v>
      </c>
      <c r="BG66" t="s">
        <v>232</v>
      </c>
      <c r="BH66">
        <v>0</v>
      </c>
      <c r="BK66" t="s">
        <v>233</v>
      </c>
      <c r="BL66" t="s">
        <v>490</v>
      </c>
      <c r="BM66">
        <v>0</v>
      </c>
      <c r="BT66" t="s">
        <v>233</v>
      </c>
      <c r="BU66" t="s">
        <v>490</v>
      </c>
      <c r="BV66">
        <v>0</v>
      </c>
      <c r="CD66" t="s">
        <v>233</v>
      </c>
      <c r="CE66" t="s">
        <v>569</v>
      </c>
      <c r="CF66">
        <f ca="1"/>
        <v>24970.453195367012</v>
      </c>
      <c r="CT66" t="s">
        <v>233</v>
      </c>
      <c r="CU66" t="s">
        <v>232</v>
      </c>
      <c r="CV66">
        <f ca="1">OFFSET('Calculations 2'!$AJ$12,W66,X66)</f>
        <v>0</v>
      </c>
    </row>
    <row r="67" spans="17:100">
      <c r="Q67" t="s">
        <v>474</v>
      </c>
      <c r="R67" t="s">
        <v>489</v>
      </c>
      <c r="S67" t="s">
        <v>232</v>
      </c>
      <c r="T67">
        <f ca="1">OFFSET('Calculations 2'!$C$45,W67,X67)*OFFSET($M$6,W67,0)</f>
        <v>15.916262731056126</v>
      </c>
      <c r="V67">
        <f t="shared" si="2"/>
        <v>61</v>
      </c>
      <c r="W67">
        <f t="shared" si="3"/>
        <v>28</v>
      </c>
      <c r="X67">
        <f t="shared" si="4"/>
        <v>1</v>
      </c>
      <c r="AC67" t="s">
        <v>474</v>
      </c>
      <c r="AD67" t="s">
        <v>489</v>
      </c>
      <c r="AE67" t="s">
        <v>232</v>
      </c>
      <c r="AF67">
        <f ca="1">OFFSET('Calculations 2'!$CE$45,W67,0)*OFFSET($AA$6,X67,0)*OFFSET($M$6,W67,)</f>
        <v>0</v>
      </c>
      <c r="AI67" t="s">
        <v>474</v>
      </c>
      <c r="AJ67" t="s">
        <v>490</v>
      </c>
      <c r="AK67">
        <f ca="1">SUM('Calculations 2'!BY73:CB73)*N34</f>
        <v>12.537689894782616</v>
      </c>
      <c r="AQ67" t="s">
        <v>474</v>
      </c>
      <c r="AR67" t="s">
        <v>490</v>
      </c>
      <c r="AS67">
        <v>544.86968530962974</v>
      </c>
      <c r="AY67" t="s">
        <v>474</v>
      </c>
      <c r="AZ67" t="s">
        <v>489</v>
      </c>
      <c r="BA67" t="s">
        <v>232</v>
      </c>
      <c r="BB67">
        <v>0</v>
      </c>
      <c r="BE67" t="s">
        <v>474</v>
      </c>
      <c r="BF67" t="s">
        <v>489</v>
      </c>
      <c r="BG67" t="s">
        <v>232</v>
      </c>
      <c r="BH67">
        <v>0</v>
      </c>
      <c r="BK67" t="s">
        <v>474</v>
      </c>
      <c r="BL67" t="s">
        <v>490</v>
      </c>
      <c r="BM67">
        <v>0</v>
      </c>
      <c r="BT67" t="s">
        <v>474</v>
      </c>
      <c r="BU67" t="s">
        <v>490</v>
      </c>
      <c r="BV67">
        <v>0</v>
      </c>
      <c r="CD67" t="s">
        <v>474</v>
      </c>
      <c r="CE67" t="s">
        <v>569</v>
      </c>
      <c r="CF67">
        <f ca="1"/>
        <v>9677.64279508455</v>
      </c>
      <c r="CT67" t="s">
        <v>474</v>
      </c>
      <c r="CU67" t="s">
        <v>232</v>
      </c>
      <c r="CV67">
        <f ca="1">OFFSET('Calculations 2'!$AJ$12,W67,X67)</f>
        <v>0</v>
      </c>
    </row>
    <row r="68" spans="17:100">
      <c r="Q68" t="s">
        <v>223</v>
      </c>
      <c r="R68" t="s">
        <v>489</v>
      </c>
      <c r="S68" t="s">
        <v>232</v>
      </c>
      <c r="T68">
        <f ca="1">OFFSET('Calculations 2'!$C$45,W68,X68)*OFFSET($M$6,W68,0)</f>
        <v>7.207341451165556</v>
      </c>
      <c r="V68">
        <f t="shared" si="2"/>
        <v>62</v>
      </c>
      <c r="W68">
        <f t="shared" si="3"/>
        <v>29</v>
      </c>
      <c r="X68">
        <f t="shared" si="4"/>
        <v>1</v>
      </c>
      <c r="AC68" t="s">
        <v>223</v>
      </c>
      <c r="AD68" t="s">
        <v>489</v>
      </c>
      <c r="AE68" t="s">
        <v>232</v>
      </c>
      <c r="AF68">
        <f ca="1">OFFSET('Calculations 2'!$CE$45,W68,0)*OFFSET($AA$6,X68,0)*OFFSET($M$6,W68,)</f>
        <v>0</v>
      </c>
      <c r="AI68" t="s">
        <v>223</v>
      </c>
      <c r="AJ68" t="s">
        <v>490</v>
      </c>
      <c r="AK68">
        <f ca="1">SUM('Calculations 2'!BY74:CB74)*N35</f>
        <v>2207.4737698572721</v>
      </c>
      <c r="AQ68" t="s">
        <v>223</v>
      </c>
      <c r="AR68" t="s">
        <v>490</v>
      </c>
      <c r="AS68">
        <v>1659.0237435233682</v>
      </c>
      <c r="AY68" t="s">
        <v>223</v>
      </c>
      <c r="AZ68" t="s">
        <v>489</v>
      </c>
      <c r="BA68" t="s">
        <v>232</v>
      </c>
      <c r="BB68">
        <v>0</v>
      </c>
      <c r="BE68" t="s">
        <v>223</v>
      </c>
      <c r="BF68" t="s">
        <v>489</v>
      </c>
      <c r="BG68" t="s">
        <v>232</v>
      </c>
      <c r="BH68">
        <v>0</v>
      </c>
      <c r="BK68" t="s">
        <v>223</v>
      </c>
      <c r="BL68" t="s">
        <v>490</v>
      </c>
      <c r="BM68">
        <v>0</v>
      </c>
      <c r="BT68" t="s">
        <v>223</v>
      </c>
      <c r="BU68" t="s">
        <v>490</v>
      </c>
      <c r="BV68">
        <v>0</v>
      </c>
      <c r="CD68" t="s">
        <v>223</v>
      </c>
      <c r="CE68" t="s">
        <v>569</v>
      </c>
      <c r="CF68">
        <f ca="1"/>
        <v>4325.5945516202864</v>
      </c>
      <c r="CT68" t="s">
        <v>223</v>
      </c>
      <c r="CU68" t="s">
        <v>232</v>
      </c>
      <c r="CV68">
        <f ca="1">OFFSET('Calculations 2'!$AJ$12,W68,X68)</f>
        <v>0</v>
      </c>
    </row>
    <row r="69" spans="17:100">
      <c r="Q69" t="s">
        <v>475</v>
      </c>
      <c r="R69" t="s">
        <v>489</v>
      </c>
      <c r="S69" t="s">
        <v>232</v>
      </c>
      <c r="T69">
        <f ca="1">OFFSET('Calculations 2'!$C$45,W69,X69)*OFFSET($M$6,W69,0)</f>
        <v>0</v>
      </c>
      <c r="V69">
        <f t="shared" si="2"/>
        <v>63</v>
      </c>
      <c r="W69">
        <f t="shared" si="3"/>
        <v>30</v>
      </c>
      <c r="X69">
        <f t="shared" si="4"/>
        <v>1</v>
      </c>
      <c r="AC69" t="s">
        <v>475</v>
      </c>
      <c r="AD69" t="s">
        <v>489</v>
      </c>
      <c r="AE69" t="s">
        <v>232</v>
      </c>
      <c r="AF69">
        <f ca="1">OFFSET('Calculations 2'!$CE$45,W69,0)*OFFSET($AA$6,X69,0)*OFFSET($M$6,W69,)</f>
        <v>0</v>
      </c>
      <c r="AI69" t="s">
        <v>475</v>
      </c>
      <c r="AJ69" t="s">
        <v>490</v>
      </c>
      <c r="AK69">
        <f ca="1">SUM('Calculations 2'!BY75:CB75)*N36</f>
        <v>20.609778152840182</v>
      </c>
      <c r="AQ69" t="s">
        <v>475</v>
      </c>
      <c r="AR69" t="s">
        <v>490</v>
      </c>
      <c r="AS69">
        <v>201.58181909630105</v>
      </c>
      <c r="AY69" t="s">
        <v>475</v>
      </c>
      <c r="AZ69" t="s">
        <v>489</v>
      </c>
      <c r="BA69" t="s">
        <v>232</v>
      </c>
      <c r="BB69">
        <v>0</v>
      </c>
      <c r="BE69" t="s">
        <v>475</v>
      </c>
      <c r="BF69" t="s">
        <v>489</v>
      </c>
      <c r="BG69" t="s">
        <v>232</v>
      </c>
      <c r="BH69">
        <v>0</v>
      </c>
      <c r="BK69" t="s">
        <v>475</v>
      </c>
      <c r="BL69" t="s">
        <v>490</v>
      </c>
      <c r="BM69">
        <v>0</v>
      </c>
      <c r="BT69" t="s">
        <v>475</v>
      </c>
      <c r="BU69" t="s">
        <v>490</v>
      </c>
      <c r="BV69">
        <v>0</v>
      </c>
      <c r="CD69" t="s">
        <v>475</v>
      </c>
      <c r="CE69" t="s">
        <v>569</v>
      </c>
      <c r="CF69">
        <f ca="1"/>
        <v>3330.8359016111908</v>
      </c>
      <c r="CT69" t="s">
        <v>475</v>
      </c>
      <c r="CU69" t="s">
        <v>232</v>
      </c>
      <c r="CV69">
        <f ca="1">OFFSET('Calculations 2'!$AJ$12,W69,X69)</f>
        <v>0</v>
      </c>
    </row>
    <row r="70" spans="17:100">
      <c r="Q70" t="s">
        <v>476</v>
      </c>
      <c r="R70" t="s">
        <v>489</v>
      </c>
      <c r="S70" t="s">
        <v>232</v>
      </c>
      <c r="T70">
        <f ca="1">OFFSET('Calculations 2'!$C$45,W70,X70)*OFFSET($M$6,W70,0)</f>
        <v>2.3155317310676544</v>
      </c>
      <c r="V70">
        <f t="shared" si="2"/>
        <v>64</v>
      </c>
      <c r="W70">
        <f t="shared" si="3"/>
        <v>31</v>
      </c>
      <c r="X70">
        <f t="shared" si="4"/>
        <v>1</v>
      </c>
      <c r="AC70" t="s">
        <v>476</v>
      </c>
      <c r="AD70" t="s">
        <v>489</v>
      </c>
      <c r="AE70" t="s">
        <v>232</v>
      </c>
      <c r="AF70">
        <f ca="1">OFFSET('Calculations 2'!$CE$45,W70,0)*OFFSET($AA$6,X70,0)*OFFSET($M$6,W70,)</f>
        <v>0</v>
      </c>
      <c r="AI70" t="s">
        <v>476</v>
      </c>
      <c r="AJ70" t="s">
        <v>490</v>
      </c>
      <c r="AK70">
        <f ca="1">SUM('Calculations 2'!BY76:CB76)*N37</f>
        <v>136.10072149134049</v>
      </c>
      <c r="AQ70" t="s">
        <v>476</v>
      </c>
      <c r="AR70" t="s">
        <v>490</v>
      </c>
      <c r="AS70">
        <v>71.070262423346122</v>
      </c>
      <c r="AY70" t="s">
        <v>476</v>
      </c>
      <c r="AZ70" t="s">
        <v>489</v>
      </c>
      <c r="BA70" t="s">
        <v>232</v>
      </c>
      <c r="BB70">
        <v>0</v>
      </c>
      <c r="BE70" t="s">
        <v>476</v>
      </c>
      <c r="BF70" t="s">
        <v>489</v>
      </c>
      <c r="BG70" t="s">
        <v>232</v>
      </c>
      <c r="BH70">
        <v>0</v>
      </c>
      <c r="BK70" t="s">
        <v>476</v>
      </c>
      <c r="BL70" t="s">
        <v>490</v>
      </c>
      <c r="BM70">
        <v>0</v>
      </c>
      <c r="BT70" t="s">
        <v>476</v>
      </c>
      <c r="BU70" t="s">
        <v>490</v>
      </c>
      <c r="BV70">
        <v>0</v>
      </c>
      <c r="CD70" t="s">
        <v>476</v>
      </c>
      <c r="CE70" t="s">
        <v>569</v>
      </c>
      <c r="CF70">
        <f ca="1"/>
        <v>1789.1050264442863</v>
      </c>
      <c r="CT70" t="s">
        <v>476</v>
      </c>
      <c r="CU70" t="s">
        <v>232</v>
      </c>
      <c r="CV70">
        <f ca="1">OFFSET('Calculations 2'!$AJ$12,W70,X70)</f>
        <v>0</v>
      </c>
    </row>
    <row r="71" spans="17:100">
      <c r="Q71" t="s">
        <v>222</v>
      </c>
      <c r="R71" t="s">
        <v>489</v>
      </c>
      <c r="S71" t="s">
        <v>232</v>
      </c>
      <c r="T71">
        <f ca="1">OFFSET('Calculations 2'!$C$45,W71,X71)*OFFSET($M$6,W71,0)</f>
        <v>0</v>
      </c>
      <c r="V71">
        <f t="shared" si="2"/>
        <v>65</v>
      </c>
      <c r="W71">
        <f t="shared" si="3"/>
        <v>32</v>
      </c>
      <c r="X71">
        <f t="shared" si="4"/>
        <v>1</v>
      </c>
      <c r="AC71" t="s">
        <v>222</v>
      </c>
      <c r="AD71" t="s">
        <v>489</v>
      </c>
      <c r="AE71" t="s">
        <v>232</v>
      </c>
      <c r="AF71">
        <f ca="1">OFFSET('Calculations 2'!$CE$45,W71,0)*OFFSET($AA$6,X71,0)*OFFSET($M$6,W71,)</f>
        <v>0</v>
      </c>
      <c r="AI71" t="s">
        <v>222</v>
      </c>
      <c r="AJ71" t="s">
        <v>490</v>
      </c>
      <c r="AK71">
        <f ca="1">SUM('Calculations 2'!BY77:CB77)*N38</f>
        <v>0</v>
      </c>
      <c r="AQ71" t="s">
        <v>222</v>
      </c>
      <c r="AR71" t="s">
        <v>490</v>
      </c>
      <c r="AS71">
        <v>0</v>
      </c>
      <c r="AY71" t="s">
        <v>222</v>
      </c>
      <c r="AZ71" t="s">
        <v>489</v>
      </c>
      <c r="BA71" t="s">
        <v>232</v>
      </c>
      <c r="BB71">
        <v>0</v>
      </c>
      <c r="BE71" t="s">
        <v>222</v>
      </c>
      <c r="BF71" t="s">
        <v>489</v>
      </c>
      <c r="BG71" t="s">
        <v>232</v>
      </c>
      <c r="BH71">
        <v>0</v>
      </c>
      <c r="BK71" t="s">
        <v>222</v>
      </c>
      <c r="BL71" t="s">
        <v>490</v>
      </c>
      <c r="BM71">
        <v>0</v>
      </c>
      <c r="BT71" t="s">
        <v>222</v>
      </c>
      <c r="BU71" t="s">
        <v>490</v>
      </c>
      <c r="BV71">
        <v>0</v>
      </c>
      <c r="CD71" t="s">
        <v>222</v>
      </c>
      <c r="CE71" t="s">
        <v>569</v>
      </c>
      <c r="CF71">
        <f ca="1"/>
        <v>1275.7364597126548</v>
      </c>
      <c r="CT71" t="s">
        <v>222</v>
      </c>
      <c r="CU71" t="s">
        <v>232</v>
      </c>
      <c r="CV71">
        <f ca="1">OFFSET('Calculations 2'!$AJ$12,W71,X71)</f>
        <v>0</v>
      </c>
    </row>
    <row r="72" spans="17:100">
      <c r="Q72" t="s">
        <v>217</v>
      </c>
      <c r="R72" t="s">
        <v>489</v>
      </c>
      <c r="S72" t="s">
        <v>226</v>
      </c>
      <c r="T72">
        <f ca="1">OFFSET('Calculations 2'!$C$45,W72,X72)*OFFSET($M$6,W72,0)</f>
        <v>203.88011096991946</v>
      </c>
      <c r="V72">
        <f t="shared" ref="V72:V135" si="5">V71+1</f>
        <v>66</v>
      </c>
      <c r="W72">
        <f t="shared" ref="W72:W135" si="6">MOD(V72,$V$3)</f>
        <v>0</v>
      </c>
      <c r="X72">
        <f t="shared" ref="X72:X135" si="7">FLOOR(V72/$V$3,1)</f>
        <v>2</v>
      </c>
      <c r="AC72" t="s">
        <v>217</v>
      </c>
      <c r="AD72" t="s">
        <v>489</v>
      </c>
      <c r="AE72" t="s">
        <v>226</v>
      </c>
      <c r="AF72">
        <f ca="1">OFFSET('Calculations 2'!$CE$45,W72,0)*OFFSET($AA$6,X72,0)*OFFSET($M$6,W72,)</f>
        <v>0.31347556185105324</v>
      </c>
      <c r="AY72" t="s">
        <v>217</v>
      </c>
      <c r="AZ72" t="s">
        <v>489</v>
      </c>
      <c r="BA72" t="s">
        <v>226</v>
      </c>
      <c r="BB72">
        <v>0</v>
      </c>
      <c r="BE72" t="s">
        <v>217</v>
      </c>
      <c r="BF72" t="s">
        <v>489</v>
      </c>
      <c r="BG72" t="s">
        <v>226</v>
      </c>
      <c r="BH72">
        <v>0</v>
      </c>
      <c r="CD72" t="s">
        <v>217</v>
      </c>
      <c r="CE72" t="s">
        <v>594</v>
      </c>
      <c r="CF72" cm="1">
        <f t="array" aca="1" ref="CF72:CF104" ca="1">TRANSPOSE('Calculations 2'!C80:AI80)</f>
        <v>132.08054157543083</v>
      </c>
      <c r="CT72" t="s">
        <v>217</v>
      </c>
      <c r="CU72" t="s">
        <v>226</v>
      </c>
      <c r="CV72">
        <f ca="1">OFFSET('Calculations 2'!$AJ$12,W72,X72)</f>
        <v>0</v>
      </c>
    </row>
    <row r="73" spans="17:100">
      <c r="Q73" t="s">
        <v>232</v>
      </c>
      <c r="R73" t="s">
        <v>489</v>
      </c>
      <c r="S73" t="s">
        <v>226</v>
      </c>
      <c r="T73">
        <f ca="1">OFFSET('Calculations 2'!$C$45,W73,X73)*OFFSET($M$6,W73,0)</f>
        <v>7.7002251883314567</v>
      </c>
      <c r="V73">
        <f t="shared" si="5"/>
        <v>67</v>
      </c>
      <c r="W73">
        <f t="shared" si="6"/>
        <v>1</v>
      </c>
      <c r="X73">
        <f t="shared" si="7"/>
        <v>2</v>
      </c>
      <c r="AC73" t="s">
        <v>232</v>
      </c>
      <c r="AD73" t="s">
        <v>489</v>
      </c>
      <c r="AE73" t="s">
        <v>226</v>
      </c>
      <c r="AF73">
        <f ca="1">OFFSET('Calculations 2'!$CE$45,W73,0)*OFFSET($AA$6,X73,0)*OFFSET($M$6,W73,)</f>
        <v>0.54683248166474696</v>
      </c>
      <c r="AY73" t="s">
        <v>232</v>
      </c>
      <c r="AZ73" t="s">
        <v>489</v>
      </c>
      <c r="BA73" t="s">
        <v>226</v>
      </c>
      <c r="BB73">
        <v>0</v>
      </c>
      <c r="BE73" t="s">
        <v>232</v>
      </c>
      <c r="BF73" t="s">
        <v>489</v>
      </c>
      <c r="BG73" t="s">
        <v>226</v>
      </c>
      <c r="BH73">
        <v>0</v>
      </c>
      <c r="CD73" t="s">
        <v>232</v>
      </c>
      <c r="CE73" t="s">
        <v>594</v>
      </c>
      <c r="CF73">
        <f ca="1"/>
        <v>167.09935859937389</v>
      </c>
      <c r="CT73" t="s">
        <v>232</v>
      </c>
      <c r="CU73" t="s">
        <v>226</v>
      </c>
      <c r="CV73">
        <f ca="1">OFFSET('Calculations 2'!$AJ$12,W73,X73)</f>
        <v>0</v>
      </c>
    </row>
    <row r="74" spans="17:100">
      <c r="Q74" t="s">
        <v>226</v>
      </c>
      <c r="R74" t="s">
        <v>489</v>
      </c>
      <c r="S74" t="s">
        <v>226</v>
      </c>
      <c r="T74">
        <f ca="1">OFFSET('Calculations 2'!$C$45,W74,X74)*OFFSET($M$6,W74,0)</f>
        <v>3134.564265737451</v>
      </c>
      <c r="V74">
        <f t="shared" si="5"/>
        <v>68</v>
      </c>
      <c r="W74">
        <f t="shared" si="6"/>
        <v>2</v>
      </c>
      <c r="X74">
        <f t="shared" si="7"/>
        <v>2</v>
      </c>
      <c r="AC74" t="s">
        <v>226</v>
      </c>
      <c r="AD74" t="s">
        <v>489</v>
      </c>
      <c r="AE74" t="s">
        <v>226</v>
      </c>
      <c r="AF74">
        <f ca="1">OFFSET('Calculations 2'!$CE$45,W74,0)*OFFSET($AA$6,X74,0)*OFFSET($M$6,W74,)</f>
        <v>0.92075075405545026</v>
      </c>
      <c r="AY74" t="s">
        <v>226</v>
      </c>
      <c r="AZ74" t="s">
        <v>489</v>
      </c>
      <c r="BA74" t="s">
        <v>226</v>
      </c>
      <c r="BB74">
        <v>0</v>
      </c>
      <c r="BE74" t="s">
        <v>226</v>
      </c>
      <c r="BF74" t="s">
        <v>489</v>
      </c>
      <c r="BG74" t="s">
        <v>226</v>
      </c>
      <c r="BH74">
        <v>0</v>
      </c>
      <c r="CD74" t="s">
        <v>226</v>
      </c>
      <c r="CE74" t="s">
        <v>594</v>
      </c>
      <c r="CF74">
        <f ca="1"/>
        <v>994.8848820406522</v>
      </c>
      <c r="CT74" t="s">
        <v>226</v>
      </c>
      <c r="CU74" t="s">
        <v>226</v>
      </c>
      <c r="CV74">
        <f ca="1">OFFSET('Calculations 2'!$AJ$12,W74,X74)</f>
        <v>25557.71899999999</v>
      </c>
    </row>
    <row r="75" spans="17:100">
      <c r="Q75" t="s">
        <v>243</v>
      </c>
      <c r="R75" t="s">
        <v>489</v>
      </c>
      <c r="S75" t="s">
        <v>226</v>
      </c>
      <c r="T75">
        <f ca="1">OFFSET('Calculations 2'!$C$45,W75,X75)*OFFSET($M$6,W75,0)</f>
        <v>5.2170991579200372</v>
      </c>
      <c r="V75">
        <f t="shared" si="5"/>
        <v>69</v>
      </c>
      <c r="W75">
        <f t="shared" si="6"/>
        <v>3</v>
      </c>
      <c r="X75">
        <f t="shared" si="7"/>
        <v>2</v>
      </c>
      <c r="AC75" t="s">
        <v>243</v>
      </c>
      <c r="AD75" t="s">
        <v>489</v>
      </c>
      <c r="AE75" t="s">
        <v>226</v>
      </c>
      <c r="AF75">
        <f ca="1">OFFSET('Calculations 2'!$CE$45,W75,0)*OFFSET($AA$6,X75,0)*OFFSET($M$6,W75,)</f>
        <v>4.796057275914027</v>
      </c>
      <c r="AY75" t="s">
        <v>243</v>
      </c>
      <c r="AZ75" t="s">
        <v>489</v>
      </c>
      <c r="BA75" t="s">
        <v>226</v>
      </c>
      <c r="BB75">
        <v>0</v>
      </c>
      <c r="BE75" t="s">
        <v>243</v>
      </c>
      <c r="BF75" t="s">
        <v>489</v>
      </c>
      <c r="BG75" t="s">
        <v>226</v>
      </c>
      <c r="BH75">
        <v>0</v>
      </c>
      <c r="CD75" t="s">
        <v>243</v>
      </c>
      <c r="CE75" t="s">
        <v>594</v>
      </c>
      <c r="CF75">
        <f ca="1"/>
        <v>311.48961631143487</v>
      </c>
      <c r="CT75" t="s">
        <v>243</v>
      </c>
      <c r="CU75" t="s">
        <v>226</v>
      </c>
      <c r="CV75">
        <f ca="1">OFFSET('Calculations 2'!$AJ$12,W75,X75)</f>
        <v>0</v>
      </c>
    </row>
    <row r="76" spans="17:100">
      <c r="Q76" t="s">
        <v>228</v>
      </c>
      <c r="R76" t="s">
        <v>489</v>
      </c>
      <c r="S76" t="s">
        <v>226</v>
      </c>
      <c r="T76">
        <f ca="1">OFFSET('Calculations 2'!$C$45,W76,X76)*OFFSET($M$6,W76,0)</f>
        <v>0</v>
      </c>
      <c r="V76">
        <f t="shared" si="5"/>
        <v>70</v>
      </c>
      <c r="W76">
        <f t="shared" si="6"/>
        <v>4</v>
      </c>
      <c r="X76">
        <f t="shared" si="7"/>
        <v>2</v>
      </c>
      <c r="AC76" t="s">
        <v>228</v>
      </c>
      <c r="AD76" t="s">
        <v>489</v>
      </c>
      <c r="AE76" t="s">
        <v>226</v>
      </c>
      <c r="AF76">
        <f ca="1">OFFSET('Calculations 2'!$CE$45,W76,0)*OFFSET($AA$6,X76,0)*OFFSET($M$6,W76,)</f>
        <v>3.4031497375631665E-2</v>
      </c>
      <c r="AY76" t="s">
        <v>228</v>
      </c>
      <c r="AZ76" t="s">
        <v>489</v>
      </c>
      <c r="BA76" t="s">
        <v>226</v>
      </c>
      <c r="BB76">
        <v>0</v>
      </c>
      <c r="BE76" t="s">
        <v>228</v>
      </c>
      <c r="BF76" t="s">
        <v>489</v>
      </c>
      <c r="BG76" t="s">
        <v>226</v>
      </c>
      <c r="BH76">
        <v>0</v>
      </c>
      <c r="CD76" t="s">
        <v>228</v>
      </c>
      <c r="CE76" t="s">
        <v>594</v>
      </c>
      <c r="CF76">
        <f ca="1"/>
        <v>2.7772737563062528</v>
      </c>
      <c r="CT76" t="s">
        <v>228</v>
      </c>
      <c r="CU76" t="s">
        <v>226</v>
      </c>
      <c r="CV76">
        <f ca="1">OFFSET('Calculations 2'!$AJ$12,W76,X76)</f>
        <v>0</v>
      </c>
    </row>
    <row r="77" spans="17:100">
      <c r="Q77" t="s">
        <v>246</v>
      </c>
      <c r="R77" t="s">
        <v>489</v>
      </c>
      <c r="S77" t="s">
        <v>226</v>
      </c>
      <c r="T77">
        <f ca="1">OFFSET('Calculations 2'!$C$45,W77,X77)*OFFSET($M$6,W77,0)</f>
        <v>0</v>
      </c>
      <c r="V77">
        <f t="shared" si="5"/>
        <v>71</v>
      </c>
      <c r="W77">
        <f t="shared" si="6"/>
        <v>5</v>
      </c>
      <c r="X77">
        <f t="shared" si="7"/>
        <v>2</v>
      </c>
      <c r="AC77" t="s">
        <v>246</v>
      </c>
      <c r="AD77" t="s">
        <v>489</v>
      </c>
      <c r="AE77" t="s">
        <v>226</v>
      </c>
      <c r="AF77">
        <f ca="1">OFFSET('Calculations 2'!$CE$45,W77,0)*OFFSET($AA$6,X77,0)*OFFSET($M$6,W77,)</f>
        <v>0.20949746045236989</v>
      </c>
      <c r="AY77" t="s">
        <v>246</v>
      </c>
      <c r="AZ77" t="s">
        <v>489</v>
      </c>
      <c r="BA77" t="s">
        <v>226</v>
      </c>
      <c r="BB77">
        <v>0</v>
      </c>
      <c r="BE77" t="s">
        <v>246</v>
      </c>
      <c r="BF77" t="s">
        <v>489</v>
      </c>
      <c r="BG77" t="s">
        <v>226</v>
      </c>
      <c r="BH77">
        <v>0</v>
      </c>
      <c r="CD77" t="s">
        <v>246</v>
      </c>
      <c r="CE77" t="s">
        <v>594</v>
      </c>
      <c r="CF77">
        <f ca="1"/>
        <v>234.63113918933036</v>
      </c>
      <c r="CT77" t="s">
        <v>246</v>
      </c>
      <c r="CU77" t="s">
        <v>226</v>
      </c>
      <c r="CV77">
        <f ca="1">OFFSET('Calculations 2'!$AJ$12,W77,X77)</f>
        <v>0</v>
      </c>
    </row>
    <row r="78" spans="17:100">
      <c r="Q78" t="s">
        <v>239</v>
      </c>
      <c r="R78" t="s">
        <v>489</v>
      </c>
      <c r="S78" t="s">
        <v>226</v>
      </c>
      <c r="T78">
        <f ca="1">OFFSET('Calculations 2'!$C$45,W78,X78)*OFFSET($M$6,W78,0)</f>
        <v>113.43712975050853</v>
      </c>
      <c r="V78">
        <f t="shared" si="5"/>
        <v>72</v>
      </c>
      <c r="W78">
        <f t="shared" si="6"/>
        <v>6</v>
      </c>
      <c r="X78">
        <f t="shared" si="7"/>
        <v>2</v>
      </c>
      <c r="AC78" t="s">
        <v>239</v>
      </c>
      <c r="AD78" t="s">
        <v>489</v>
      </c>
      <c r="AE78" t="s">
        <v>226</v>
      </c>
      <c r="AF78">
        <f ca="1">OFFSET('Calculations 2'!$CE$45,W78,0)*OFFSET($AA$6,X78,0)*OFFSET($M$6,W78,)</f>
        <v>4.1932218012922773</v>
      </c>
      <c r="AY78" t="s">
        <v>239</v>
      </c>
      <c r="AZ78" t="s">
        <v>489</v>
      </c>
      <c r="BA78" t="s">
        <v>226</v>
      </c>
      <c r="BB78">
        <v>0</v>
      </c>
      <c r="BE78" t="s">
        <v>239</v>
      </c>
      <c r="BF78" t="s">
        <v>489</v>
      </c>
      <c r="BG78" t="s">
        <v>226</v>
      </c>
      <c r="BH78">
        <v>0</v>
      </c>
      <c r="CD78" t="s">
        <v>239</v>
      </c>
      <c r="CE78" t="s">
        <v>594</v>
      </c>
      <c r="CF78">
        <f ca="1"/>
        <v>481.35128749926378</v>
      </c>
      <c r="CT78" t="s">
        <v>239</v>
      </c>
      <c r="CU78" t="s">
        <v>226</v>
      </c>
      <c r="CV78">
        <f ca="1">OFFSET('Calculations 2'!$AJ$12,W78,X78)</f>
        <v>0</v>
      </c>
    </row>
    <row r="79" spans="17:100">
      <c r="Q79" t="s">
        <v>466</v>
      </c>
      <c r="R79" t="s">
        <v>489</v>
      </c>
      <c r="S79" t="s">
        <v>226</v>
      </c>
      <c r="T79">
        <f ca="1">OFFSET('Calculations 2'!$C$45,W79,X79)*OFFSET($M$6,W79,0)</f>
        <v>151.3628066684399</v>
      </c>
      <c r="V79">
        <f t="shared" si="5"/>
        <v>73</v>
      </c>
      <c r="W79">
        <f t="shared" si="6"/>
        <v>7</v>
      </c>
      <c r="X79">
        <f t="shared" si="7"/>
        <v>2</v>
      </c>
      <c r="AC79" t="s">
        <v>466</v>
      </c>
      <c r="AD79" t="s">
        <v>489</v>
      </c>
      <c r="AE79" t="s">
        <v>226</v>
      </c>
      <c r="AF79">
        <f ca="1">OFFSET('Calculations 2'!$CE$45,W79,0)*OFFSET($AA$6,X79,0)*OFFSET($M$6,W79,)</f>
        <v>0.63896585357778046</v>
      </c>
      <c r="AY79" t="s">
        <v>466</v>
      </c>
      <c r="AZ79" t="s">
        <v>489</v>
      </c>
      <c r="BA79" t="s">
        <v>226</v>
      </c>
      <c r="BB79">
        <v>0</v>
      </c>
      <c r="BE79" t="s">
        <v>466</v>
      </c>
      <c r="BF79" t="s">
        <v>489</v>
      </c>
      <c r="BG79" t="s">
        <v>226</v>
      </c>
      <c r="BH79">
        <v>0</v>
      </c>
      <c r="CD79" t="s">
        <v>466</v>
      </c>
      <c r="CE79" t="s">
        <v>594</v>
      </c>
      <c r="CF79">
        <f ca="1"/>
        <v>96.244009802947303</v>
      </c>
      <c r="CT79" t="s">
        <v>466</v>
      </c>
      <c r="CU79" t="s">
        <v>226</v>
      </c>
      <c r="CV79">
        <f ca="1">OFFSET('Calculations 2'!$AJ$12,W79,X79)</f>
        <v>0</v>
      </c>
    </row>
    <row r="80" spans="17:100">
      <c r="Q80" t="s">
        <v>219</v>
      </c>
      <c r="R80" t="s">
        <v>489</v>
      </c>
      <c r="S80" t="s">
        <v>226</v>
      </c>
      <c r="T80">
        <f ca="1">OFFSET('Calculations 2'!$C$45,W80,X80)*OFFSET($M$6,W80,0)</f>
        <v>20.027406135016037</v>
      </c>
      <c r="V80">
        <f t="shared" si="5"/>
        <v>74</v>
      </c>
      <c r="W80">
        <f t="shared" si="6"/>
        <v>8</v>
      </c>
      <c r="X80">
        <f t="shared" si="7"/>
        <v>2</v>
      </c>
      <c r="AC80" t="s">
        <v>219</v>
      </c>
      <c r="AD80" t="s">
        <v>489</v>
      </c>
      <c r="AE80" t="s">
        <v>226</v>
      </c>
      <c r="AF80">
        <f ca="1">OFFSET('Calculations 2'!$CE$45,W80,0)*OFFSET($AA$6,X80,0)*OFFSET($M$6,W80,)</f>
        <v>3.97897093960071</v>
      </c>
      <c r="AY80" t="s">
        <v>219</v>
      </c>
      <c r="AZ80" t="s">
        <v>489</v>
      </c>
      <c r="BA80" t="s">
        <v>226</v>
      </c>
      <c r="BB80">
        <v>0</v>
      </c>
      <c r="BE80" t="s">
        <v>219</v>
      </c>
      <c r="BF80" t="s">
        <v>489</v>
      </c>
      <c r="BG80" t="s">
        <v>226</v>
      </c>
      <c r="BH80">
        <v>0</v>
      </c>
      <c r="CD80" t="s">
        <v>219</v>
      </c>
      <c r="CE80" t="s">
        <v>594</v>
      </c>
      <c r="CF80">
        <f ca="1"/>
        <v>578.70234076035854</v>
      </c>
      <c r="CT80" t="s">
        <v>219</v>
      </c>
      <c r="CU80" t="s">
        <v>226</v>
      </c>
      <c r="CV80">
        <f ca="1">OFFSET('Calculations 2'!$AJ$12,W80,X80)</f>
        <v>0</v>
      </c>
    </row>
    <row r="81" spans="17:100">
      <c r="Q81" t="s">
        <v>242</v>
      </c>
      <c r="R81" t="s">
        <v>489</v>
      </c>
      <c r="S81" t="s">
        <v>226</v>
      </c>
      <c r="T81">
        <f ca="1">OFFSET('Calculations 2'!$C$45,W81,X81)*OFFSET($M$6,W81,0)</f>
        <v>453.56767785436273</v>
      </c>
      <c r="V81">
        <f t="shared" si="5"/>
        <v>75</v>
      </c>
      <c r="W81">
        <f t="shared" si="6"/>
        <v>9</v>
      </c>
      <c r="X81">
        <f t="shared" si="7"/>
        <v>2</v>
      </c>
      <c r="AC81" t="s">
        <v>242</v>
      </c>
      <c r="AD81" t="s">
        <v>489</v>
      </c>
      <c r="AE81" t="s">
        <v>226</v>
      </c>
      <c r="AF81">
        <f ca="1">OFFSET('Calculations 2'!$CE$45,W81,0)*OFFSET($AA$6,X81,0)*OFFSET($M$6,W81,)</f>
        <v>6.2286953162545862</v>
      </c>
      <c r="AY81" t="s">
        <v>242</v>
      </c>
      <c r="AZ81" t="s">
        <v>489</v>
      </c>
      <c r="BA81" t="s">
        <v>226</v>
      </c>
      <c r="BB81">
        <v>0</v>
      </c>
      <c r="BE81" t="s">
        <v>242</v>
      </c>
      <c r="BF81" t="s">
        <v>489</v>
      </c>
      <c r="BG81" t="s">
        <v>226</v>
      </c>
      <c r="BH81">
        <v>0</v>
      </c>
      <c r="CD81" t="s">
        <v>242</v>
      </c>
      <c r="CE81" t="s">
        <v>594</v>
      </c>
      <c r="CF81">
        <f ca="1"/>
        <v>261.41914998868265</v>
      </c>
      <c r="CT81" t="s">
        <v>242</v>
      </c>
      <c r="CU81" t="s">
        <v>226</v>
      </c>
      <c r="CV81">
        <f ca="1">OFFSET('Calculations 2'!$AJ$12,W81,X81)</f>
        <v>0</v>
      </c>
    </row>
    <row r="82" spans="17:100">
      <c r="Q82" t="s">
        <v>467</v>
      </c>
      <c r="R82" t="s">
        <v>489</v>
      </c>
      <c r="S82" t="s">
        <v>226</v>
      </c>
      <c r="T82">
        <f ca="1">OFFSET('Calculations 2'!$C$45,W82,X82)*OFFSET($M$6,W82,0)</f>
        <v>2.0643591960190402</v>
      </c>
      <c r="V82">
        <f t="shared" si="5"/>
        <v>76</v>
      </c>
      <c r="W82">
        <f t="shared" si="6"/>
        <v>10</v>
      </c>
      <c r="X82">
        <f t="shared" si="7"/>
        <v>2</v>
      </c>
      <c r="AC82" t="s">
        <v>467</v>
      </c>
      <c r="AD82" t="s">
        <v>489</v>
      </c>
      <c r="AE82" t="s">
        <v>226</v>
      </c>
      <c r="AF82">
        <f ca="1">OFFSET('Calculations 2'!$CE$45,W82,0)*OFFSET($AA$6,X82,0)*OFFSET($M$6,W82,)</f>
        <v>5.7701119998099752</v>
      </c>
      <c r="AY82" t="s">
        <v>467</v>
      </c>
      <c r="AZ82" t="s">
        <v>489</v>
      </c>
      <c r="BA82" t="s">
        <v>226</v>
      </c>
      <c r="BB82">
        <v>0</v>
      </c>
      <c r="BE82" t="s">
        <v>467</v>
      </c>
      <c r="BF82" t="s">
        <v>489</v>
      </c>
      <c r="BG82" t="s">
        <v>226</v>
      </c>
      <c r="BH82">
        <v>0</v>
      </c>
      <c r="CD82" t="s">
        <v>467</v>
      </c>
      <c r="CE82" t="s">
        <v>594</v>
      </c>
      <c r="CF82">
        <f ca="1"/>
        <v>633.4221798592904</v>
      </c>
      <c r="CT82" t="s">
        <v>467</v>
      </c>
      <c r="CU82" t="s">
        <v>226</v>
      </c>
      <c r="CV82">
        <f ca="1">OFFSET('Calculations 2'!$AJ$12,W82,X82)</f>
        <v>0</v>
      </c>
    </row>
    <row r="83" spans="17:100">
      <c r="Q83" t="s">
        <v>231</v>
      </c>
      <c r="R83" t="s">
        <v>489</v>
      </c>
      <c r="S83" t="s">
        <v>226</v>
      </c>
      <c r="T83">
        <f ca="1">OFFSET('Calculations 2'!$C$45,W83,X83)*OFFSET($M$6,W83,0)</f>
        <v>3.5473463366358344</v>
      </c>
      <c r="V83">
        <f t="shared" si="5"/>
        <v>77</v>
      </c>
      <c r="W83">
        <f t="shared" si="6"/>
        <v>11</v>
      </c>
      <c r="X83">
        <f t="shared" si="7"/>
        <v>2</v>
      </c>
      <c r="AC83" t="s">
        <v>231</v>
      </c>
      <c r="AD83" t="s">
        <v>489</v>
      </c>
      <c r="AE83" t="s">
        <v>226</v>
      </c>
      <c r="AF83">
        <f ca="1">OFFSET('Calculations 2'!$CE$45,W83,0)*OFFSET($AA$6,X83,0)*OFFSET($M$6,W83,)</f>
        <v>16.876579986641545</v>
      </c>
      <c r="AY83" t="s">
        <v>231</v>
      </c>
      <c r="AZ83" t="s">
        <v>489</v>
      </c>
      <c r="BA83" t="s">
        <v>226</v>
      </c>
      <c r="BB83">
        <v>0</v>
      </c>
      <c r="BE83" t="s">
        <v>231</v>
      </c>
      <c r="BF83" t="s">
        <v>489</v>
      </c>
      <c r="BG83" t="s">
        <v>226</v>
      </c>
      <c r="BH83">
        <v>0</v>
      </c>
      <c r="CD83" t="s">
        <v>231</v>
      </c>
      <c r="CE83" t="s">
        <v>594</v>
      </c>
      <c r="CF83">
        <f ca="1"/>
        <v>1505.707359824152</v>
      </c>
      <c r="CT83" t="s">
        <v>231</v>
      </c>
      <c r="CU83" t="s">
        <v>226</v>
      </c>
      <c r="CV83">
        <f ca="1">OFFSET('Calculations 2'!$AJ$12,W83,X83)</f>
        <v>0</v>
      </c>
    </row>
    <row r="84" spans="17:100">
      <c r="Q84" t="s">
        <v>468</v>
      </c>
      <c r="R84" t="s">
        <v>489</v>
      </c>
      <c r="S84" t="s">
        <v>226</v>
      </c>
      <c r="T84">
        <f ca="1">OFFSET('Calculations 2'!$C$45,W84,X84)*OFFSET($M$6,W84,0)</f>
        <v>12.969048978087113</v>
      </c>
      <c r="V84">
        <f t="shared" si="5"/>
        <v>78</v>
      </c>
      <c r="W84">
        <f t="shared" si="6"/>
        <v>12</v>
      </c>
      <c r="X84">
        <f t="shared" si="7"/>
        <v>2</v>
      </c>
      <c r="AC84" t="s">
        <v>468</v>
      </c>
      <c r="AD84" t="s">
        <v>489</v>
      </c>
      <c r="AE84" t="s">
        <v>226</v>
      </c>
      <c r="AF84">
        <f ca="1">OFFSET('Calculations 2'!$CE$45,W84,0)*OFFSET($AA$6,X84,0)*OFFSET($M$6,W84,)</f>
        <v>24.427519287684717</v>
      </c>
      <c r="AY84" t="s">
        <v>468</v>
      </c>
      <c r="AZ84" t="s">
        <v>489</v>
      </c>
      <c r="BA84" t="s">
        <v>226</v>
      </c>
      <c r="BB84">
        <v>0</v>
      </c>
      <c r="BE84" t="s">
        <v>468</v>
      </c>
      <c r="BF84" t="s">
        <v>489</v>
      </c>
      <c r="BG84" t="s">
        <v>226</v>
      </c>
      <c r="BH84">
        <v>0</v>
      </c>
      <c r="CD84" t="s">
        <v>468</v>
      </c>
      <c r="CE84" t="s">
        <v>594</v>
      </c>
      <c r="CF84">
        <f ca="1"/>
        <v>491.46447745577098</v>
      </c>
      <c r="CT84" t="s">
        <v>468</v>
      </c>
      <c r="CU84" t="s">
        <v>226</v>
      </c>
      <c r="CV84">
        <f ca="1">OFFSET('Calculations 2'!$AJ$12,W84,X84)</f>
        <v>0</v>
      </c>
    </row>
    <row r="85" spans="17:100">
      <c r="Q85" t="s">
        <v>469</v>
      </c>
      <c r="R85" t="s">
        <v>489</v>
      </c>
      <c r="S85" t="s">
        <v>226</v>
      </c>
      <c r="T85">
        <f ca="1">OFFSET('Calculations 2'!$C$45,W85,X85)*OFFSET($M$6,W85,0)</f>
        <v>0</v>
      </c>
      <c r="V85">
        <f t="shared" si="5"/>
        <v>79</v>
      </c>
      <c r="W85">
        <f t="shared" si="6"/>
        <v>13</v>
      </c>
      <c r="X85">
        <f t="shared" si="7"/>
        <v>2</v>
      </c>
      <c r="AC85" t="s">
        <v>469</v>
      </c>
      <c r="AD85" t="s">
        <v>489</v>
      </c>
      <c r="AE85" t="s">
        <v>226</v>
      </c>
      <c r="AF85">
        <f ca="1">OFFSET('Calculations 2'!$CE$45,W85,0)*OFFSET($AA$6,X85,0)*OFFSET($M$6,W85,)</f>
        <v>5.0814540178366858</v>
      </c>
      <c r="AY85" t="s">
        <v>469</v>
      </c>
      <c r="AZ85" t="s">
        <v>489</v>
      </c>
      <c r="BA85" t="s">
        <v>226</v>
      </c>
      <c r="BB85">
        <v>0</v>
      </c>
      <c r="BE85" t="s">
        <v>469</v>
      </c>
      <c r="BF85" t="s">
        <v>489</v>
      </c>
      <c r="BG85" t="s">
        <v>226</v>
      </c>
      <c r="BH85">
        <v>0</v>
      </c>
      <c r="CD85" t="s">
        <v>469</v>
      </c>
      <c r="CE85" t="s">
        <v>594</v>
      </c>
      <c r="CF85">
        <f ca="1"/>
        <v>282.56298766045177</v>
      </c>
      <c r="CT85" t="s">
        <v>469</v>
      </c>
      <c r="CU85" t="s">
        <v>226</v>
      </c>
      <c r="CV85">
        <f ca="1">OFFSET('Calculations 2'!$AJ$12,W85,X85)</f>
        <v>0</v>
      </c>
    </row>
    <row r="86" spans="17:100">
      <c r="Q86" t="s">
        <v>245</v>
      </c>
      <c r="R86" t="s">
        <v>489</v>
      </c>
      <c r="S86" t="s">
        <v>226</v>
      </c>
      <c r="T86">
        <f ca="1">OFFSET('Calculations 2'!$C$45,W86,X86)*OFFSET($M$6,W86,0)</f>
        <v>4.2698441602905675</v>
      </c>
      <c r="V86">
        <f t="shared" si="5"/>
        <v>80</v>
      </c>
      <c r="W86">
        <f t="shared" si="6"/>
        <v>14</v>
      </c>
      <c r="X86">
        <f t="shared" si="7"/>
        <v>2</v>
      </c>
      <c r="AC86" t="s">
        <v>245</v>
      </c>
      <c r="AD86" t="s">
        <v>489</v>
      </c>
      <c r="AE86" t="s">
        <v>226</v>
      </c>
      <c r="AF86">
        <f ca="1">OFFSET('Calculations 2'!$CE$45,W86,0)*OFFSET($AA$6,X86,0)*OFFSET($M$6,W86,)</f>
        <v>7.3402007934974751</v>
      </c>
      <c r="AY86" t="s">
        <v>245</v>
      </c>
      <c r="AZ86" t="s">
        <v>489</v>
      </c>
      <c r="BA86" t="s">
        <v>226</v>
      </c>
      <c r="BB86">
        <v>0</v>
      </c>
      <c r="BE86" t="s">
        <v>245</v>
      </c>
      <c r="BF86" t="s">
        <v>489</v>
      </c>
      <c r="BG86" t="s">
        <v>226</v>
      </c>
      <c r="BH86">
        <v>0</v>
      </c>
      <c r="CD86" t="s">
        <v>245</v>
      </c>
      <c r="CE86" t="s">
        <v>594</v>
      </c>
      <c r="CF86">
        <f ca="1"/>
        <v>112.05116746921782</v>
      </c>
      <c r="CT86" t="s">
        <v>245</v>
      </c>
      <c r="CU86" t="s">
        <v>226</v>
      </c>
      <c r="CV86">
        <f ca="1">OFFSET('Calculations 2'!$AJ$12,W86,X86)</f>
        <v>0</v>
      </c>
    </row>
    <row r="87" spans="17:100">
      <c r="Q87" t="s">
        <v>470</v>
      </c>
      <c r="R87" t="s">
        <v>489</v>
      </c>
      <c r="S87" t="s">
        <v>226</v>
      </c>
      <c r="T87">
        <f ca="1">OFFSET('Calculations 2'!$C$45,W87,X87)*OFFSET($M$6,W87,0)</f>
        <v>19.114004890020055</v>
      </c>
      <c r="V87">
        <f t="shared" si="5"/>
        <v>81</v>
      </c>
      <c r="W87">
        <f t="shared" si="6"/>
        <v>15</v>
      </c>
      <c r="X87">
        <f t="shared" si="7"/>
        <v>2</v>
      </c>
      <c r="AC87" t="s">
        <v>470</v>
      </c>
      <c r="AD87" t="s">
        <v>489</v>
      </c>
      <c r="AE87" t="s">
        <v>226</v>
      </c>
      <c r="AF87">
        <f ca="1">OFFSET('Calculations 2'!$CE$45,W87,0)*OFFSET($AA$6,X87,0)*OFFSET($M$6,W87,)</f>
        <v>19.986890948384929</v>
      </c>
      <c r="AY87" t="s">
        <v>470</v>
      </c>
      <c r="AZ87" t="s">
        <v>489</v>
      </c>
      <c r="BA87" t="s">
        <v>226</v>
      </c>
      <c r="BB87">
        <v>0</v>
      </c>
      <c r="BE87" t="s">
        <v>470</v>
      </c>
      <c r="BF87" t="s">
        <v>489</v>
      </c>
      <c r="BG87" t="s">
        <v>226</v>
      </c>
      <c r="BH87">
        <v>0</v>
      </c>
      <c r="CD87" t="s">
        <v>470</v>
      </c>
      <c r="CE87" t="s">
        <v>594</v>
      </c>
      <c r="CF87">
        <f ca="1"/>
        <v>1072.6760693087206</v>
      </c>
      <c r="CT87" t="s">
        <v>470</v>
      </c>
      <c r="CU87" t="s">
        <v>226</v>
      </c>
      <c r="CV87">
        <f ca="1">OFFSET('Calculations 2'!$AJ$12,W87,X87)</f>
        <v>0</v>
      </c>
    </row>
    <row r="88" spans="17:100">
      <c r="Q88" t="s">
        <v>471</v>
      </c>
      <c r="R88" t="s">
        <v>489</v>
      </c>
      <c r="S88" t="s">
        <v>226</v>
      </c>
      <c r="T88">
        <f ca="1">OFFSET('Calculations 2'!$C$45,W88,X88)*OFFSET($M$6,W88,0)</f>
        <v>600.05514116911786</v>
      </c>
      <c r="V88">
        <f t="shared" si="5"/>
        <v>82</v>
      </c>
      <c r="W88">
        <f t="shared" si="6"/>
        <v>16</v>
      </c>
      <c r="X88">
        <f t="shared" si="7"/>
        <v>2</v>
      </c>
      <c r="AC88" t="s">
        <v>471</v>
      </c>
      <c r="AD88" t="s">
        <v>489</v>
      </c>
      <c r="AE88" t="s">
        <v>226</v>
      </c>
      <c r="AF88">
        <f ca="1">OFFSET('Calculations 2'!$CE$45,W88,0)*OFFSET($AA$6,X88,0)*OFFSET($M$6,W88,)</f>
        <v>0</v>
      </c>
      <c r="AY88" t="s">
        <v>471</v>
      </c>
      <c r="AZ88" t="s">
        <v>489</v>
      </c>
      <c r="BA88" t="s">
        <v>226</v>
      </c>
      <c r="BB88">
        <v>0</v>
      </c>
      <c r="BE88" t="s">
        <v>471</v>
      </c>
      <c r="BF88" t="s">
        <v>489</v>
      </c>
      <c r="BG88" t="s">
        <v>226</v>
      </c>
      <c r="BH88">
        <v>0</v>
      </c>
      <c r="CD88" t="s">
        <v>471</v>
      </c>
      <c r="CE88" t="s">
        <v>594</v>
      </c>
      <c r="CF88">
        <f ca="1"/>
        <v>759.27219422762346</v>
      </c>
      <c r="CT88" t="s">
        <v>471</v>
      </c>
      <c r="CU88" t="s">
        <v>226</v>
      </c>
      <c r="CV88">
        <f ca="1">OFFSET('Calculations 2'!$AJ$12,W88,X88)</f>
        <v>0</v>
      </c>
    </row>
    <row r="89" spans="17:100">
      <c r="Q89" t="s">
        <v>221</v>
      </c>
      <c r="R89" t="s">
        <v>489</v>
      </c>
      <c r="S89" t="s">
        <v>226</v>
      </c>
      <c r="T89">
        <f ca="1">OFFSET('Calculations 2'!$C$45,W89,X89)*OFFSET($M$6,W89,0)</f>
        <v>82.585025391070886</v>
      </c>
      <c r="V89">
        <f t="shared" si="5"/>
        <v>83</v>
      </c>
      <c r="W89">
        <f t="shared" si="6"/>
        <v>17</v>
      </c>
      <c r="X89">
        <f t="shared" si="7"/>
        <v>2</v>
      </c>
      <c r="AC89" t="s">
        <v>221</v>
      </c>
      <c r="AD89" t="s">
        <v>489</v>
      </c>
      <c r="AE89" t="s">
        <v>226</v>
      </c>
      <c r="AF89">
        <f ca="1">OFFSET('Calculations 2'!$CE$45,W89,0)*OFFSET($AA$6,X89,0)*OFFSET($M$6,W89,)</f>
        <v>663.93334706837925</v>
      </c>
      <c r="AY89" t="s">
        <v>221</v>
      </c>
      <c r="AZ89" t="s">
        <v>489</v>
      </c>
      <c r="BA89" t="s">
        <v>226</v>
      </c>
      <c r="BB89">
        <v>0</v>
      </c>
      <c r="BE89" t="s">
        <v>221</v>
      </c>
      <c r="BF89" t="s">
        <v>489</v>
      </c>
      <c r="BG89" t="s">
        <v>226</v>
      </c>
      <c r="BH89">
        <v>0</v>
      </c>
      <c r="CD89" t="s">
        <v>221</v>
      </c>
      <c r="CE89" t="s">
        <v>594</v>
      </c>
      <c r="CF89">
        <f ca="1"/>
        <v>8232.4672955857586</v>
      </c>
      <c r="CT89" t="s">
        <v>221</v>
      </c>
      <c r="CU89" t="s">
        <v>226</v>
      </c>
      <c r="CV89">
        <f ca="1">OFFSET('Calculations 2'!$AJ$12,W89,X89)</f>
        <v>0</v>
      </c>
    </row>
    <row r="90" spans="17:100">
      <c r="Q90" t="s">
        <v>244</v>
      </c>
      <c r="R90" t="s">
        <v>489</v>
      </c>
      <c r="S90" t="s">
        <v>226</v>
      </c>
      <c r="T90">
        <f ca="1">OFFSET('Calculations 2'!$C$45,W90,X90)*OFFSET($M$6,W90,0)</f>
        <v>2995.3169519920771</v>
      </c>
      <c r="V90">
        <f t="shared" si="5"/>
        <v>84</v>
      </c>
      <c r="W90">
        <f t="shared" si="6"/>
        <v>18</v>
      </c>
      <c r="X90">
        <f t="shared" si="7"/>
        <v>2</v>
      </c>
      <c r="AC90" t="s">
        <v>244</v>
      </c>
      <c r="AD90" t="s">
        <v>489</v>
      </c>
      <c r="AE90" t="s">
        <v>226</v>
      </c>
      <c r="AF90">
        <f ca="1">OFFSET('Calculations 2'!$CE$45,W90,0)*OFFSET($AA$6,X90,0)*OFFSET($M$6,W90,)</f>
        <v>106.15851533058493</v>
      </c>
      <c r="AY90" t="s">
        <v>244</v>
      </c>
      <c r="AZ90" t="s">
        <v>489</v>
      </c>
      <c r="BA90" t="s">
        <v>226</v>
      </c>
      <c r="BB90">
        <v>0</v>
      </c>
      <c r="BE90" t="s">
        <v>244</v>
      </c>
      <c r="BF90" t="s">
        <v>489</v>
      </c>
      <c r="BG90" t="s">
        <v>226</v>
      </c>
      <c r="BH90">
        <v>0</v>
      </c>
      <c r="CD90" t="s">
        <v>244</v>
      </c>
      <c r="CE90" t="s">
        <v>594</v>
      </c>
      <c r="CF90">
        <f ca="1"/>
        <v>4393.9919749108594</v>
      </c>
      <c r="CT90" t="s">
        <v>244</v>
      </c>
      <c r="CU90" t="s">
        <v>226</v>
      </c>
      <c r="CV90">
        <f ca="1">OFFSET('Calculations 2'!$AJ$12,W90,X90)</f>
        <v>0</v>
      </c>
    </row>
    <row r="91" spans="17:100">
      <c r="Q91" t="s">
        <v>472</v>
      </c>
      <c r="R91" t="s">
        <v>489</v>
      </c>
      <c r="S91" t="s">
        <v>226</v>
      </c>
      <c r="T91">
        <f ca="1">OFFSET('Calculations 2'!$C$45,W91,X91)*OFFSET($M$6,W91,0)</f>
        <v>0</v>
      </c>
      <c r="V91">
        <f t="shared" si="5"/>
        <v>85</v>
      </c>
      <c r="W91">
        <f t="shared" si="6"/>
        <v>19</v>
      </c>
      <c r="X91">
        <f t="shared" si="7"/>
        <v>2</v>
      </c>
      <c r="AC91" t="s">
        <v>472</v>
      </c>
      <c r="AD91" t="s">
        <v>489</v>
      </c>
      <c r="AE91" t="s">
        <v>226</v>
      </c>
      <c r="AF91">
        <f ca="1">OFFSET('Calculations 2'!$CE$45,W91,0)*OFFSET($AA$6,X91,0)*OFFSET($M$6,W91,)</f>
        <v>0</v>
      </c>
      <c r="AY91" t="s">
        <v>472</v>
      </c>
      <c r="AZ91" t="s">
        <v>489</v>
      </c>
      <c r="BA91" t="s">
        <v>226</v>
      </c>
      <c r="BB91">
        <v>0</v>
      </c>
      <c r="BE91" t="s">
        <v>472</v>
      </c>
      <c r="BF91" t="s">
        <v>489</v>
      </c>
      <c r="BG91" t="s">
        <v>226</v>
      </c>
      <c r="BH91">
        <v>0</v>
      </c>
      <c r="CD91" t="s">
        <v>472</v>
      </c>
      <c r="CE91" t="s">
        <v>594</v>
      </c>
      <c r="CF91">
        <f ca="1"/>
        <v>248.18614134016752</v>
      </c>
      <c r="CT91" t="s">
        <v>472</v>
      </c>
      <c r="CU91" t="s">
        <v>226</v>
      </c>
      <c r="CV91">
        <f ca="1">OFFSET('Calculations 2'!$AJ$12,W91,X91)</f>
        <v>0</v>
      </c>
    </row>
    <row r="92" spans="17:100">
      <c r="Q92" t="s">
        <v>238</v>
      </c>
      <c r="R92" t="s">
        <v>489</v>
      </c>
      <c r="S92" t="s">
        <v>226</v>
      </c>
      <c r="T92">
        <f ca="1">OFFSET('Calculations 2'!$C$45,W92,X92)*OFFSET($M$6,W92,0)</f>
        <v>60.979052987032652</v>
      </c>
      <c r="V92">
        <f t="shared" si="5"/>
        <v>86</v>
      </c>
      <c r="W92">
        <f t="shared" si="6"/>
        <v>20</v>
      </c>
      <c r="X92">
        <f t="shared" si="7"/>
        <v>2</v>
      </c>
      <c r="AC92" t="s">
        <v>238</v>
      </c>
      <c r="AD92" t="s">
        <v>489</v>
      </c>
      <c r="AE92" t="s">
        <v>226</v>
      </c>
      <c r="AF92">
        <f ca="1">OFFSET('Calculations 2'!$CE$45,W92,0)*OFFSET($AA$6,X92,0)*OFFSET($M$6,W92,)</f>
        <v>0</v>
      </c>
      <c r="AY92" t="s">
        <v>238</v>
      </c>
      <c r="AZ92" t="s">
        <v>489</v>
      </c>
      <c r="BA92" t="s">
        <v>226</v>
      </c>
      <c r="BB92">
        <v>0</v>
      </c>
      <c r="BE92" t="s">
        <v>238</v>
      </c>
      <c r="BF92" t="s">
        <v>489</v>
      </c>
      <c r="BG92" t="s">
        <v>226</v>
      </c>
      <c r="BH92">
        <v>0</v>
      </c>
      <c r="CD92" t="s">
        <v>238</v>
      </c>
      <c r="CE92" t="s">
        <v>594</v>
      </c>
      <c r="CF92">
        <f ca="1"/>
        <v>383.79382601622819</v>
      </c>
      <c r="CT92" t="s">
        <v>238</v>
      </c>
      <c r="CU92" t="s">
        <v>226</v>
      </c>
      <c r="CV92">
        <f ca="1">OFFSET('Calculations 2'!$AJ$12,W92,X92)</f>
        <v>0</v>
      </c>
    </row>
    <row r="93" spans="17:100">
      <c r="Q93" t="s">
        <v>247</v>
      </c>
      <c r="R93" t="s">
        <v>489</v>
      </c>
      <c r="S93" t="s">
        <v>226</v>
      </c>
      <c r="T93">
        <f ca="1">OFFSET('Calculations 2'!$C$45,W93,X93)*OFFSET($M$6,W93,0)</f>
        <v>0</v>
      </c>
      <c r="V93">
        <f t="shared" si="5"/>
        <v>87</v>
      </c>
      <c r="W93">
        <f t="shared" si="6"/>
        <v>21</v>
      </c>
      <c r="X93">
        <f t="shared" si="7"/>
        <v>2</v>
      </c>
      <c r="AC93" t="s">
        <v>247</v>
      </c>
      <c r="AD93" t="s">
        <v>489</v>
      </c>
      <c r="AE93" t="s">
        <v>226</v>
      </c>
      <c r="AF93">
        <f ca="1">OFFSET('Calculations 2'!$CE$45,W93,0)*OFFSET($AA$6,X93,0)*OFFSET($M$6,W93,)</f>
        <v>0</v>
      </c>
      <c r="AY93" t="s">
        <v>247</v>
      </c>
      <c r="AZ93" t="s">
        <v>489</v>
      </c>
      <c r="BA93" t="s">
        <v>226</v>
      </c>
      <c r="BB93">
        <v>0</v>
      </c>
      <c r="BE93" t="s">
        <v>247</v>
      </c>
      <c r="BF93" t="s">
        <v>489</v>
      </c>
      <c r="BG93" t="s">
        <v>226</v>
      </c>
      <c r="BH93">
        <v>0</v>
      </c>
      <c r="CD93" t="s">
        <v>247</v>
      </c>
      <c r="CE93" t="s">
        <v>594</v>
      </c>
      <c r="CF93">
        <f ca="1"/>
        <v>13.137981505789327</v>
      </c>
      <c r="CT93" t="s">
        <v>247</v>
      </c>
      <c r="CU93" t="s">
        <v>226</v>
      </c>
      <c r="CV93">
        <f ca="1">OFFSET('Calculations 2'!$AJ$12,W93,X93)</f>
        <v>0</v>
      </c>
    </row>
    <row r="94" spans="17:100">
      <c r="Q94" t="s">
        <v>218</v>
      </c>
      <c r="R94" t="s">
        <v>489</v>
      </c>
      <c r="S94" t="s">
        <v>226</v>
      </c>
      <c r="T94">
        <f ca="1">OFFSET('Calculations 2'!$C$45,W94,X94)*OFFSET($M$6,W94,0)</f>
        <v>126.27306880465663</v>
      </c>
      <c r="V94">
        <f t="shared" si="5"/>
        <v>88</v>
      </c>
      <c r="W94">
        <f t="shared" si="6"/>
        <v>22</v>
      </c>
      <c r="X94">
        <f t="shared" si="7"/>
        <v>2</v>
      </c>
      <c r="AC94" t="s">
        <v>218</v>
      </c>
      <c r="AD94" t="s">
        <v>489</v>
      </c>
      <c r="AE94" t="s">
        <v>226</v>
      </c>
      <c r="AF94">
        <f ca="1">OFFSET('Calculations 2'!$CE$45,W94,0)*OFFSET($AA$6,X94,0)*OFFSET($M$6,W94,)</f>
        <v>0</v>
      </c>
      <c r="AY94" t="s">
        <v>218</v>
      </c>
      <c r="AZ94" t="s">
        <v>489</v>
      </c>
      <c r="BA94" t="s">
        <v>226</v>
      </c>
      <c r="BB94">
        <v>0</v>
      </c>
      <c r="BE94" t="s">
        <v>218</v>
      </c>
      <c r="BF94" t="s">
        <v>489</v>
      </c>
      <c r="BG94" t="s">
        <v>226</v>
      </c>
      <c r="BH94">
        <v>0</v>
      </c>
      <c r="CD94" t="s">
        <v>218</v>
      </c>
      <c r="CE94" t="s">
        <v>594</v>
      </c>
      <c r="CF94">
        <f ca="1"/>
        <v>1279.2047602731636</v>
      </c>
      <c r="CT94" t="s">
        <v>218</v>
      </c>
      <c r="CU94" t="s">
        <v>226</v>
      </c>
      <c r="CV94">
        <f ca="1">OFFSET('Calculations 2'!$AJ$12,W94,X94)</f>
        <v>0</v>
      </c>
    </row>
    <row r="95" spans="17:100">
      <c r="Q95" t="s">
        <v>257</v>
      </c>
      <c r="R95" t="s">
        <v>489</v>
      </c>
      <c r="S95" t="s">
        <v>226</v>
      </c>
      <c r="T95">
        <f ca="1">OFFSET('Calculations 2'!$C$45,W95,X95)*OFFSET($M$6,W95,0)</f>
        <v>472.39781570998622</v>
      </c>
      <c r="V95">
        <f t="shared" si="5"/>
        <v>89</v>
      </c>
      <c r="W95">
        <f t="shared" si="6"/>
        <v>23</v>
      </c>
      <c r="X95">
        <f t="shared" si="7"/>
        <v>2</v>
      </c>
      <c r="AC95" t="s">
        <v>257</v>
      </c>
      <c r="AD95" t="s">
        <v>489</v>
      </c>
      <c r="AE95" t="s">
        <v>226</v>
      </c>
      <c r="AF95">
        <f ca="1">OFFSET('Calculations 2'!$CE$45,W95,0)*OFFSET($AA$6,X95,0)*OFFSET($M$6,W95,)</f>
        <v>0</v>
      </c>
      <c r="AY95" t="s">
        <v>257</v>
      </c>
      <c r="AZ95" t="s">
        <v>489</v>
      </c>
      <c r="BA95" t="s">
        <v>226</v>
      </c>
      <c r="BB95">
        <v>0</v>
      </c>
      <c r="BE95" t="s">
        <v>257</v>
      </c>
      <c r="BF95" t="s">
        <v>489</v>
      </c>
      <c r="BG95" t="s">
        <v>226</v>
      </c>
      <c r="BH95">
        <v>0</v>
      </c>
      <c r="CD95" t="s">
        <v>257</v>
      </c>
      <c r="CE95" t="s">
        <v>594</v>
      </c>
      <c r="CF95">
        <f ca="1"/>
        <v>808.85557112889637</v>
      </c>
      <c r="CT95" t="s">
        <v>257</v>
      </c>
      <c r="CU95" t="s">
        <v>226</v>
      </c>
      <c r="CV95">
        <f ca="1">OFFSET('Calculations 2'!$AJ$12,W95,X95)</f>
        <v>0</v>
      </c>
    </row>
    <row r="96" spans="17:100">
      <c r="Q96" t="s">
        <v>220</v>
      </c>
      <c r="R96" t="s">
        <v>489</v>
      </c>
      <c r="S96" t="s">
        <v>226</v>
      </c>
      <c r="T96">
        <f ca="1">OFFSET('Calculations 2'!$C$45,W96,X96)*OFFSET($M$6,W96,0)</f>
        <v>22.769162439771819</v>
      </c>
      <c r="V96">
        <f t="shared" si="5"/>
        <v>90</v>
      </c>
      <c r="W96">
        <f t="shared" si="6"/>
        <v>24</v>
      </c>
      <c r="X96">
        <f t="shared" si="7"/>
        <v>2</v>
      </c>
      <c r="AC96" t="s">
        <v>220</v>
      </c>
      <c r="AD96" t="s">
        <v>489</v>
      </c>
      <c r="AE96" t="s">
        <v>226</v>
      </c>
      <c r="AF96">
        <f ca="1">OFFSET('Calculations 2'!$CE$45,W96,0)*OFFSET($AA$6,X96,0)*OFFSET($M$6,W96,)</f>
        <v>0</v>
      </c>
      <c r="AY96" t="s">
        <v>220</v>
      </c>
      <c r="AZ96" t="s">
        <v>489</v>
      </c>
      <c r="BA96" t="s">
        <v>226</v>
      </c>
      <c r="BB96">
        <v>0</v>
      </c>
      <c r="BE96" t="s">
        <v>220</v>
      </c>
      <c r="BF96" t="s">
        <v>489</v>
      </c>
      <c r="BG96" t="s">
        <v>226</v>
      </c>
      <c r="BH96">
        <v>0</v>
      </c>
      <c r="CD96" t="s">
        <v>220</v>
      </c>
      <c r="CE96" t="s">
        <v>594</v>
      </c>
      <c r="CF96">
        <f ca="1"/>
        <v>437.74640281983784</v>
      </c>
      <c r="CT96" t="s">
        <v>220</v>
      </c>
      <c r="CU96" t="s">
        <v>226</v>
      </c>
      <c r="CV96">
        <f ca="1">OFFSET('Calculations 2'!$AJ$12,W96,X96)</f>
        <v>0</v>
      </c>
    </row>
    <row r="97" spans="17:100">
      <c r="Q97" t="s">
        <v>235</v>
      </c>
      <c r="R97" t="s">
        <v>489</v>
      </c>
      <c r="S97" t="s">
        <v>226</v>
      </c>
      <c r="T97">
        <f ca="1">OFFSET('Calculations 2'!$C$45,W97,X97)*OFFSET($M$6,W97,0)</f>
        <v>122.93039038933304</v>
      </c>
      <c r="V97">
        <f t="shared" si="5"/>
        <v>91</v>
      </c>
      <c r="W97">
        <f t="shared" si="6"/>
        <v>25</v>
      </c>
      <c r="X97">
        <f t="shared" si="7"/>
        <v>2</v>
      </c>
      <c r="AC97" t="s">
        <v>235</v>
      </c>
      <c r="AD97" t="s">
        <v>489</v>
      </c>
      <c r="AE97" t="s">
        <v>226</v>
      </c>
      <c r="AF97">
        <f ca="1">OFFSET('Calculations 2'!$CE$45,W97,0)*OFFSET($AA$6,X97,0)*OFFSET($M$6,W97,)</f>
        <v>0</v>
      </c>
      <c r="AY97" t="s">
        <v>235</v>
      </c>
      <c r="AZ97" t="s">
        <v>489</v>
      </c>
      <c r="BA97" t="s">
        <v>226</v>
      </c>
      <c r="BB97">
        <v>0</v>
      </c>
      <c r="BE97" t="s">
        <v>235</v>
      </c>
      <c r="BF97" t="s">
        <v>489</v>
      </c>
      <c r="BG97" t="s">
        <v>226</v>
      </c>
      <c r="BH97">
        <v>0</v>
      </c>
      <c r="CD97" t="s">
        <v>235</v>
      </c>
      <c r="CE97" t="s">
        <v>594</v>
      </c>
      <c r="CF97">
        <f ca="1"/>
        <v>78.442865169892684</v>
      </c>
      <c r="CT97" t="s">
        <v>235</v>
      </c>
      <c r="CU97" t="s">
        <v>226</v>
      </c>
      <c r="CV97">
        <f ca="1">OFFSET('Calculations 2'!$AJ$12,W97,X97)</f>
        <v>0</v>
      </c>
    </row>
    <row r="98" spans="17:100">
      <c r="Q98" t="s">
        <v>473</v>
      </c>
      <c r="R98" t="s">
        <v>489</v>
      </c>
      <c r="S98" t="s">
        <v>226</v>
      </c>
      <c r="T98">
        <f ca="1">OFFSET('Calculations 2'!$C$45,W98,X98)*OFFSET($M$6,W98,0)</f>
        <v>100.00673408964514</v>
      </c>
      <c r="V98">
        <f t="shared" si="5"/>
        <v>92</v>
      </c>
      <c r="W98">
        <f t="shared" si="6"/>
        <v>26</v>
      </c>
      <c r="X98">
        <f t="shared" si="7"/>
        <v>2</v>
      </c>
      <c r="AC98" t="s">
        <v>473</v>
      </c>
      <c r="AD98" t="s">
        <v>489</v>
      </c>
      <c r="AE98" t="s">
        <v>226</v>
      </c>
      <c r="AF98">
        <f ca="1">OFFSET('Calculations 2'!$CE$45,W98,0)*OFFSET($AA$6,X98,0)*OFFSET($M$6,W98,)</f>
        <v>0</v>
      </c>
      <c r="AY98" t="s">
        <v>473</v>
      </c>
      <c r="AZ98" t="s">
        <v>489</v>
      </c>
      <c r="BA98" t="s">
        <v>226</v>
      </c>
      <c r="BB98">
        <v>0</v>
      </c>
      <c r="BE98" t="s">
        <v>473</v>
      </c>
      <c r="BF98" t="s">
        <v>489</v>
      </c>
      <c r="BG98" t="s">
        <v>226</v>
      </c>
      <c r="BH98">
        <v>0</v>
      </c>
      <c r="CD98" t="s">
        <v>473</v>
      </c>
      <c r="CE98" t="s">
        <v>594</v>
      </c>
      <c r="CF98">
        <f ca="1"/>
        <v>100.96980994696969</v>
      </c>
      <c r="CT98" t="s">
        <v>473</v>
      </c>
      <c r="CU98" t="s">
        <v>226</v>
      </c>
      <c r="CV98">
        <f ca="1">OFFSET('Calculations 2'!$AJ$12,W98,X98)</f>
        <v>0</v>
      </c>
    </row>
    <row r="99" spans="17:100">
      <c r="Q99" t="s">
        <v>233</v>
      </c>
      <c r="R99" t="s">
        <v>489</v>
      </c>
      <c r="S99" t="s">
        <v>226</v>
      </c>
      <c r="T99">
        <f ca="1">OFFSET('Calculations 2'!$C$45,W99,X99)*OFFSET($M$6,W99,0)</f>
        <v>527.79091917054996</v>
      </c>
      <c r="V99">
        <f t="shared" si="5"/>
        <v>93</v>
      </c>
      <c r="W99">
        <f t="shared" si="6"/>
        <v>27</v>
      </c>
      <c r="X99">
        <f t="shared" si="7"/>
        <v>2</v>
      </c>
      <c r="AC99" t="s">
        <v>233</v>
      </c>
      <c r="AD99" t="s">
        <v>489</v>
      </c>
      <c r="AE99" t="s">
        <v>226</v>
      </c>
      <c r="AF99">
        <f ca="1">OFFSET('Calculations 2'!$CE$45,W99,0)*OFFSET($AA$6,X99,0)*OFFSET($M$6,W99,)</f>
        <v>0</v>
      </c>
      <c r="AY99" t="s">
        <v>233</v>
      </c>
      <c r="AZ99" t="s">
        <v>489</v>
      </c>
      <c r="BA99" t="s">
        <v>226</v>
      </c>
      <c r="BB99">
        <v>0</v>
      </c>
      <c r="BE99" t="s">
        <v>233</v>
      </c>
      <c r="BF99" t="s">
        <v>489</v>
      </c>
      <c r="BG99" t="s">
        <v>226</v>
      </c>
      <c r="BH99">
        <v>0</v>
      </c>
      <c r="CD99" t="s">
        <v>233</v>
      </c>
      <c r="CE99" t="s">
        <v>594</v>
      </c>
      <c r="CF99">
        <f ca="1"/>
        <v>526.46659302958869</v>
      </c>
      <c r="CT99" t="s">
        <v>233</v>
      </c>
      <c r="CU99" t="s">
        <v>226</v>
      </c>
      <c r="CV99">
        <f ca="1">OFFSET('Calculations 2'!$AJ$12,W99,X99)</f>
        <v>0</v>
      </c>
    </row>
    <row r="100" spans="17:100">
      <c r="Q100" t="s">
        <v>474</v>
      </c>
      <c r="R100" t="s">
        <v>489</v>
      </c>
      <c r="S100" t="s">
        <v>226</v>
      </c>
      <c r="T100">
        <f ca="1">OFFSET('Calculations 2'!$C$45,W100,X100)*OFFSET($M$6,W100,0)</f>
        <v>28.874174032392425</v>
      </c>
      <c r="V100">
        <f t="shared" si="5"/>
        <v>94</v>
      </c>
      <c r="W100">
        <f t="shared" si="6"/>
        <v>28</v>
      </c>
      <c r="X100">
        <f t="shared" si="7"/>
        <v>2</v>
      </c>
      <c r="AC100" t="s">
        <v>474</v>
      </c>
      <c r="AD100" t="s">
        <v>489</v>
      </c>
      <c r="AE100" t="s">
        <v>226</v>
      </c>
      <c r="AF100">
        <f ca="1">OFFSET('Calculations 2'!$CE$45,W100,0)*OFFSET($AA$6,X100,0)*OFFSET($M$6,W100,)</f>
        <v>0</v>
      </c>
      <c r="AY100" t="s">
        <v>474</v>
      </c>
      <c r="AZ100" t="s">
        <v>489</v>
      </c>
      <c r="BA100" t="s">
        <v>226</v>
      </c>
      <c r="BB100">
        <v>0</v>
      </c>
      <c r="BE100" t="s">
        <v>474</v>
      </c>
      <c r="BF100" t="s">
        <v>489</v>
      </c>
      <c r="BG100" t="s">
        <v>226</v>
      </c>
      <c r="BH100">
        <v>0</v>
      </c>
      <c r="CD100" t="s">
        <v>474</v>
      </c>
      <c r="CE100" t="s">
        <v>594</v>
      </c>
      <c r="CF100">
        <f ca="1"/>
        <v>396.01314595093027</v>
      </c>
      <c r="CT100" t="s">
        <v>474</v>
      </c>
      <c r="CU100" t="s">
        <v>226</v>
      </c>
      <c r="CV100">
        <f ca="1">OFFSET('Calculations 2'!$AJ$12,W100,X100)</f>
        <v>0</v>
      </c>
    </row>
    <row r="101" spans="17:100">
      <c r="Q101" t="s">
        <v>223</v>
      </c>
      <c r="R101" t="s">
        <v>489</v>
      </c>
      <c r="S101" t="s">
        <v>226</v>
      </c>
      <c r="T101">
        <f ca="1">OFFSET('Calculations 2'!$C$45,W101,X101)*OFFSET($M$6,W101,0)</f>
        <v>8.8308486573401428</v>
      </c>
      <c r="V101">
        <f t="shared" si="5"/>
        <v>95</v>
      </c>
      <c r="W101">
        <f t="shared" si="6"/>
        <v>29</v>
      </c>
      <c r="X101">
        <f t="shared" si="7"/>
        <v>2</v>
      </c>
      <c r="AC101" t="s">
        <v>223</v>
      </c>
      <c r="AD101" t="s">
        <v>489</v>
      </c>
      <c r="AE101" t="s">
        <v>226</v>
      </c>
      <c r="AF101">
        <f ca="1">OFFSET('Calculations 2'!$CE$45,W101,0)*OFFSET($AA$6,X101,0)*OFFSET($M$6,W101,)</f>
        <v>0</v>
      </c>
      <c r="AY101" t="s">
        <v>223</v>
      </c>
      <c r="AZ101" t="s">
        <v>489</v>
      </c>
      <c r="BA101" t="s">
        <v>226</v>
      </c>
      <c r="BB101">
        <v>0</v>
      </c>
      <c r="BE101" t="s">
        <v>223</v>
      </c>
      <c r="BF101" t="s">
        <v>489</v>
      </c>
      <c r="BG101" t="s">
        <v>226</v>
      </c>
      <c r="BH101">
        <v>0</v>
      </c>
      <c r="CD101" t="s">
        <v>223</v>
      </c>
      <c r="CE101" t="s">
        <v>594</v>
      </c>
      <c r="CF101">
        <f ca="1"/>
        <v>42.307726178656594</v>
      </c>
      <c r="CT101" t="s">
        <v>223</v>
      </c>
      <c r="CU101" t="s">
        <v>226</v>
      </c>
      <c r="CV101">
        <f ca="1">OFFSET('Calculations 2'!$AJ$12,W101,X101)</f>
        <v>0</v>
      </c>
    </row>
    <row r="102" spans="17:100">
      <c r="Q102" t="s">
        <v>475</v>
      </c>
      <c r="R102" t="s">
        <v>489</v>
      </c>
      <c r="S102" t="s">
        <v>226</v>
      </c>
      <c r="T102">
        <f ca="1">OFFSET('Calculations 2'!$C$45,W102,X102)*OFFSET($M$6,W102,0)</f>
        <v>1.7047158862927305</v>
      </c>
      <c r="V102">
        <f t="shared" si="5"/>
        <v>96</v>
      </c>
      <c r="W102">
        <f t="shared" si="6"/>
        <v>30</v>
      </c>
      <c r="X102">
        <f t="shared" si="7"/>
        <v>2</v>
      </c>
      <c r="AC102" t="s">
        <v>475</v>
      </c>
      <c r="AD102" t="s">
        <v>489</v>
      </c>
      <c r="AE102" t="s">
        <v>226</v>
      </c>
      <c r="AF102">
        <f ca="1">OFFSET('Calculations 2'!$CE$45,W102,0)*OFFSET($AA$6,X102,0)*OFFSET($M$6,W102,)</f>
        <v>0</v>
      </c>
      <c r="AY102" t="s">
        <v>475</v>
      </c>
      <c r="AZ102" t="s">
        <v>489</v>
      </c>
      <c r="BA102" t="s">
        <v>226</v>
      </c>
      <c r="BB102">
        <v>0</v>
      </c>
      <c r="BE102" t="s">
        <v>475</v>
      </c>
      <c r="BF102" t="s">
        <v>489</v>
      </c>
      <c r="BG102" t="s">
        <v>226</v>
      </c>
      <c r="BH102">
        <v>0</v>
      </c>
      <c r="CD102" t="s">
        <v>475</v>
      </c>
      <c r="CE102" t="s">
        <v>594</v>
      </c>
      <c r="CF102">
        <f ca="1"/>
        <v>135.01981049144933</v>
      </c>
      <c r="CT102" t="s">
        <v>475</v>
      </c>
      <c r="CU102" t="s">
        <v>226</v>
      </c>
      <c r="CV102">
        <f ca="1">OFFSET('Calculations 2'!$AJ$12,W102,X102)</f>
        <v>0</v>
      </c>
    </row>
    <row r="103" spans="17:100">
      <c r="Q103" t="s">
        <v>476</v>
      </c>
      <c r="R103" t="s">
        <v>489</v>
      </c>
      <c r="S103" t="s">
        <v>226</v>
      </c>
      <c r="T103">
        <f ca="1">OFFSET('Calculations 2'!$C$45,W103,X103)*OFFSET($M$6,W103,0)</f>
        <v>1.5262849125780151</v>
      </c>
      <c r="V103">
        <f t="shared" si="5"/>
        <v>97</v>
      </c>
      <c r="W103">
        <f t="shared" si="6"/>
        <v>31</v>
      </c>
      <c r="X103">
        <f t="shared" si="7"/>
        <v>2</v>
      </c>
      <c r="AC103" t="s">
        <v>476</v>
      </c>
      <c r="AD103" t="s">
        <v>489</v>
      </c>
      <c r="AE103" t="s">
        <v>226</v>
      </c>
      <c r="AF103">
        <f ca="1">OFFSET('Calculations 2'!$CE$45,W103,0)*OFFSET($AA$6,X103,0)*OFFSET($M$6,W103,)</f>
        <v>0</v>
      </c>
      <c r="AY103" t="s">
        <v>476</v>
      </c>
      <c r="AZ103" t="s">
        <v>489</v>
      </c>
      <c r="BA103" t="s">
        <v>226</v>
      </c>
      <c r="BB103">
        <v>0</v>
      </c>
      <c r="BE103" t="s">
        <v>476</v>
      </c>
      <c r="BF103" t="s">
        <v>489</v>
      </c>
      <c r="BG103" t="s">
        <v>226</v>
      </c>
      <c r="BH103">
        <v>0</v>
      </c>
      <c r="CD103" t="s">
        <v>476</v>
      </c>
      <c r="CE103" t="s">
        <v>594</v>
      </c>
      <c r="CF103">
        <f ca="1"/>
        <v>61.040152724832524</v>
      </c>
      <c r="CT103" t="s">
        <v>476</v>
      </c>
      <c r="CU103" t="s">
        <v>226</v>
      </c>
      <c r="CV103">
        <f ca="1">OFFSET('Calculations 2'!$AJ$12,W103,X103)</f>
        <v>0</v>
      </c>
    </row>
    <row r="104" spans="17:100">
      <c r="Q104" t="s">
        <v>222</v>
      </c>
      <c r="R104" t="s">
        <v>489</v>
      </c>
      <c r="S104" t="s">
        <v>226</v>
      </c>
      <c r="T104">
        <f ca="1">OFFSET('Calculations 2'!$C$45,W104,X104)*OFFSET($M$6,W104,0)</f>
        <v>0</v>
      </c>
      <c r="V104">
        <f t="shared" si="5"/>
        <v>98</v>
      </c>
      <c r="W104">
        <f t="shared" si="6"/>
        <v>32</v>
      </c>
      <c r="X104">
        <f t="shared" si="7"/>
        <v>2</v>
      </c>
      <c r="AC104" t="s">
        <v>222</v>
      </c>
      <c r="AD104" t="s">
        <v>489</v>
      </c>
      <c r="AE104" t="s">
        <v>226</v>
      </c>
      <c r="AF104">
        <f ca="1">OFFSET('Calculations 2'!$CE$45,W104,0)*OFFSET($AA$6,X104,0)*OFFSET($M$6,W104,)</f>
        <v>0</v>
      </c>
      <c r="AY104" t="s">
        <v>222</v>
      </c>
      <c r="AZ104" t="s">
        <v>489</v>
      </c>
      <c r="BA104" t="s">
        <v>226</v>
      </c>
      <c r="BB104">
        <v>0</v>
      </c>
      <c r="BE104" t="s">
        <v>222</v>
      </c>
      <c r="BF104" t="s">
        <v>489</v>
      </c>
      <c r="BG104" t="s">
        <v>226</v>
      </c>
      <c r="BH104">
        <v>0</v>
      </c>
      <c r="CD104" t="s">
        <v>222</v>
      </c>
      <c r="CE104" t="s">
        <v>594</v>
      </c>
      <c r="CF104">
        <f ca="1"/>
        <v>4.0321788411865782</v>
      </c>
      <c r="CT104" t="s">
        <v>222</v>
      </c>
      <c r="CU104" t="s">
        <v>226</v>
      </c>
      <c r="CV104">
        <f ca="1">OFFSET('Calculations 2'!$AJ$12,W104,X104)</f>
        <v>0</v>
      </c>
    </row>
    <row r="105" spans="17:100">
      <c r="Q105" t="s">
        <v>217</v>
      </c>
      <c r="R105" t="s">
        <v>489</v>
      </c>
      <c r="S105" t="s">
        <v>243</v>
      </c>
      <c r="T105">
        <f ca="1">OFFSET('Calculations 2'!$C$45,W105,X105)*OFFSET($M$6,W105,0)</f>
        <v>5.5519873010710388E-2</v>
      </c>
      <c r="V105">
        <f t="shared" si="5"/>
        <v>99</v>
      </c>
      <c r="W105">
        <f t="shared" si="6"/>
        <v>0</v>
      </c>
      <c r="X105">
        <f t="shared" si="7"/>
        <v>3</v>
      </c>
      <c r="AC105" t="s">
        <v>217</v>
      </c>
      <c r="AD105" t="s">
        <v>489</v>
      </c>
      <c r="AE105" t="s">
        <v>243</v>
      </c>
      <c r="AF105">
        <f ca="1">OFFSET('Calculations 2'!$CE$45,W105,0)*OFFSET($AA$6,X105,0)*OFFSET($M$6,W105,)</f>
        <v>7.4931037124835786E-2</v>
      </c>
      <c r="AY105" t="s">
        <v>217</v>
      </c>
      <c r="AZ105" t="s">
        <v>489</v>
      </c>
      <c r="BA105" t="s">
        <v>243</v>
      </c>
      <c r="BB105">
        <v>0</v>
      </c>
      <c r="BE105" t="s">
        <v>217</v>
      </c>
      <c r="BF105" t="s">
        <v>489</v>
      </c>
      <c r="BG105" t="s">
        <v>243</v>
      </c>
      <c r="BH105">
        <v>0</v>
      </c>
      <c r="CD105" t="s">
        <v>217</v>
      </c>
      <c r="CE105" t="s">
        <v>480</v>
      </c>
      <c r="CF105" cm="1">
        <f t="array" aca="1" ref="CF105:CF137" ca="1">TRANSPOSE('Calculations 2'!C81:AI81)</f>
        <v>62.983383318724883</v>
      </c>
      <c r="CT105" t="s">
        <v>217</v>
      </c>
      <c r="CU105" t="s">
        <v>243</v>
      </c>
      <c r="CV105">
        <f ca="1">OFFSET('Calculations 2'!$AJ$12,W105,X105)</f>
        <v>0</v>
      </c>
    </row>
    <row r="106" spans="17:100">
      <c r="Q106" t="s">
        <v>232</v>
      </c>
      <c r="R106" t="s">
        <v>489</v>
      </c>
      <c r="S106" t="s">
        <v>243</v>
      </c>
      <c r="T106">
        <f ca="1">OFFSET('Calculations 2'!$C$45,W106,X106)*OFFSET($M$6,W106,0)</f>
        <v>0</v>
      </c>
      <c r="V106">
        <f t="shared" si="5"/>
        <v>100</v>
      </c>
      <c r="W106">
        <f t="shared" si="6"/>
        <v>1</v>
      </c>
      <c r="X106">
        <f t="shared" si="7"/>
        <v>3</v>
      </c>
      <c r="AC106" t="s">
        <v>232</v>
      </c>
      <c r="AD106" t="s">
        <v>489</v>
      </c>
      <c r="AE106" t="s">
        <v>243</v>
      </c>
      <c r="AF106">
        <f ca="1">OFFSET('Calculations 2'!$CE$45,W106,0)*OFFSET($AA$6,X106,0)*OFFSET($M$6,W106,)</f>
        <v>0.13071106641530233</v>
      </c>
      <c r="AY106" t="s">
        <v>232</v>
      </c>
      <c r="AZ106" t="s">
        <v>489</v>
      </c>
      <c r="BA106" t="s">
        <v>243</v>
      </c>
      <c r="BB106">
        <v>0</v>
      </c>
      <c r="BE106" t="s">
        <v>232</v>
      </c>
      <c r="BF106" t="s">
        <v>489</v>
      </c>
      <c r="BG106" t="s">
        <v>243</v>
      </c>
      <c r="BH106">
        <v>0</v>
      </c>
      <c r="CD106" t="s">
        <v>232</v>
      </c>
      <c r="CE106" t="s">
        <v>480</v>
      </c>
      <c r="CF106">
        <f ca="1"/>
        <v>330.41797517615271</v>
      </c>
      <c r="CT106" t="s">
        <v>232</v>
      </c>
      <c r="CU106" t="s">
        <v>243</v>
      </c>
      <c r="CV106">
        <f ca="1">OFFSET('Calculations 2'!$AJ$12,W106,X106)</f>
        <v>0</v>
      </c>
    </row>
    <row r="107" spans="17:100">
      <c r="Q107" t="s">
        <v>226</v>
      </c>
      <c r="R107" t="s">
        <v>489</v>
      </c>
      <c r="S107" t="s">
        <v>243</v>
      </c>
      <c r="T107">
        <f ca="1">OFFSET('Calculations 2'!$C$45,W107,X107)*OFFSET($M$6,W107,0)</f>
        <v>0</v>
      </c>
      <c r="V107">
        <f t="shared" si="5"/>
        <v>101</v>
      </c>
      <c r="W107">
        <f t="shared" si="6"/>
        <v>2</v>
      </c>
      <c r="X107">
        <f t="shared" si="7"/>
        <v>3</v>
      </c>
      <c r="AC107" t="s">
        <v>226</v>
      </c>
      <c r="AD107" t="s">
        <v>489</v>
      </c>
      <c r="AE107" t="s">
        <v>243</v>
      </c>
      <c r="AF107">
        <f ca="1">OFFSET('Calculations 2'!$CE$45,W107,0)*OFFSET($AA$6,X107,0)*OFFSET($M$6,W107,)</f>
        <v>0.22008991236015762</v>
      </c>
      <c r="AY107" t="s">
        <v>226</v>
      </c>
      <c r="AZ107" t="s">
        <v>489</v>
      </c>
      <c r="BA107" t="s">
        <v>243</v>
      </c>
      <c r="BB107">
        <v>0</v>
      </c>
      <c r="BE107" t="s">
        <v>226</v>
      </c>
      <c r="BF107" t="s">
        <v>489</v>
      </c>
      <c r="BG107" t="s">
        <v>243</v>
      </c>
      <c r="BH107">
        <v>0</v>
      </c>
      <c r="CD107" t="s">
        <v>226</v>
      </c>
      <c r="CE107" t="s">
        <v>480</v>
      </c>
      <c r="CF107">
        <f ca="1"/>
        <v>750.61809019792213</v>
      </c>
      <c r="CT107" t="s">
        <v>226</v>
      </c>
      <c r="CU107" t="s">
        <v>243</v>
      </c>
      <c r="CV107">
        <f ca="1">OFFSET('Calculations 2'!$AJ$12,W107,X107)</f>
        <v>0</v>
      </c>
    </row>
    <row r="108" spans="17:100">
      <c r="Q108" t="s">
        <v>243</v>
      </c>
      <c r="R108" t="s">
        <v>489</v>
      </c>
      <c r="S108" t="s">
        <v>243</v>
      </c>
      <c r="T108">
        <f ca="1">OFFSET('Calculations 2'!$C$45,W108,X108)*OFFSET($M$6,W108,0)</f>
        <v>108.46761420879982</v>
      </c>
      <c r="V108">
        <f t="shared" si="5"/>
        <v>102</v>
      </c>
      <c r="W108">
        <f t="shared" si="6"/>
        <v>3</v>
      </c>
      <c r="X108">
        <f t="shared" si="7"/>
        <v>3</v>
      </c>
      <c r="AC108" t="s">
        <v>243</v>
      </c>
      <c r="AD108" t="s">
        <v>489</v>
      </c>
      <c r="AE108" t="s">
        <v>243</v>
      </c>
      <c r="AF108">
        <f ca="1">OFFSET('Calculations 2'!$CE$45,W108,0)*OFFSET($AA$6,X108,0)*OFFSET($M$6,W108,)</f>
        <v>1.1464164659990552</v>
      </c>
      <c r="AY108" t="s">
        <v>243</v>
      </c>
      <c r="AZ108" t="s">
        <v>489</v>
      </c>
      <c r="BA108" t="s">
        <v>243</v>
      </c>
      <c r="BB108">
        <v>0</v>
      </c>
      <c r="BE108" t="s">
        <v>243</v>
      </c>
      <c r="BF108" t="s">
        <v>489</v>
      </c>
      <c r="BG108" t="s">
        <v>243</v>
      </c>
      <c r="BH108">
        <v>0</v>
      </c>
      <c r="CD108" t="s">
        <v>243</v>
      </c>
      <c r="CE108" t="s">
        <v>480</v>
      </c>
      <c r="CF108">
        <f ca="1"/>
        <v>235.01185648735236</v>
      </c>
      <c r="CT108" t="s">
        <v>243</v>
      </c>
      <c r="CU108" t="s">
        <v>243</v>
      </c>
      <c r="CV108">
        <f ca="1">OFFSET('Calculations 2'!$AJ$12,W108,X108)</f>
        <v>3421.0370000000003</v>
      </c>
    </row>
    <row r="109" spans="17:100">
      <c r="Q109" t="s">
        <v>228</v>
      </c>
      <c r="R109" t="s">
        <v>489</v>
      </c>
      <c r="S109" t="s">
        <v>243</v>
      </c>
      <c r="T109">
        <f ca="1">OFFSET('Calculations 2'!$C$45,W109,X109)*OFFSET($M$6,W109,0)</f>
        <v>9.3971170241898783E-5</v>
      </c>
      <c r="V109">
        <f t="shared" si="5"/>
        <v>103</v>
      </c>
      <c r="W109">
        <f t="shared" si="6"/>
        <v>4</v>
      </c>
      <c r="X109">
        <f t="shared" si="7"/>
        <v>3</v>
      </c>
      <c r="AC109" t="s">
        <v>228</v>
      </c>
      <c r="AD109" t="s">
        <v>489</v>
      </c>
      <c r="AE109" t="s">
        <v>243</v>
      </c>
      <c r="AF109">
        <f ca="1">OFFSET('Calculations 2'!$CE$45,W109,0)*OFFSET($AA$6,X109,0)*OFFSET($M$6,W109,)</f>
        <v>8.1346545108956156E-3</v>
      </c>
      <c r="AY109" t="s">
        <v>228</v>
      </c>
      <c r="AZ109" t="s">
        <v>489</v>
      </c>
      <c r="BA109" t="s">
        <v>243</v>
      </c>
      <c r="BB109">
        <v>0</v>
      </c>
      <c r="BE109" t="s">
        <v>228</v>
      </c>
      <c r="BF109" t="s">
        <v>489</v>
      </c>
      <c r="BG109" t="s">
        <v>243</v>
      </c>
      <c r="BH109">
        <v>0</v>
      </c>
      <c r="CD109" t="s">
        <v>228</v>
      </c>
      <c r="CE109" t="s">
        <v>480</v>
      </c>
      <c r="CF109">
        <f ca="1"/>
        <v>2.0953902389685548</v>
      </c>
      <c r="CT109" t="s">
        <v>228</v>
      </c>
      <c r="CU109" t="s">
        <v>243</v>
      </c>
      <c r="CV109">
        <f ca="1">OFFSET('Calculations 2'!$AJ$12,W109,X109)</f>
        <v>0</v>
      </c>
    </row>
    <row r="110" spans="17:100">
      <c r="Q110" t="s">
        <v>246</v>
      </c>
      <c r="R110" t="s">
        <v>489</v>
      </c>
      <c r="S110" t="s">
        <v>243</v>
      </c>
      <c r="T110">
        <f ca="1">OFFSET('Calculations 2'!$C$45,W110,X110)*OFFSET($M$6,W110,0)</f>
        <v>0</v>
      </c>
      <c r="V110">
        <f t="shared" si="5"/>
        <v>104</v>
      </c>
      <c r="W110">
        <f t="shared" si="6"/>
        <v>5</v>
      </c>
      <c r="X110">
        <f t="shared" si="7"/>
        <v>3</v>
      </c>
      <c r="AC110" t="s">
        <v>246</v>
      </c>
      <c r="AD110" t="s">
        <v>489</v>
      </c>
      <c r="AE110" t="s">
        <v>243</v>
      </c>
      <c r="AF110">
        <f ca="1">OFFSET('Calculations 2'!$CE$45,W110,0)*OFFSET($AA$6,X110,0)*OFFSET($M$6,W110,)</f>
        <v>5.0076828617900769E-2</v>
      </c>
      <c r="AY110" t="s">
        <v>246</v>
      </c>
      <c r="AZ110" t="s">
        <v>489</v>
      </c>
      <c r="BA110" t="s">
        <v>243</v>
      </c>
      <c r="BB110">
        <v>0</v>
      </c>
      <c r="BE110" t="s">
        <v>246</v>
      </c>
      <c r="BF110" t="s">
        <v>489</v>
      </c>
      <c r="BG110" t="s">
        <v>243</v>
      </c>
      <c r="BH110">
        <v>0</v>
      </c>
      <c r="CD110" t="s">
        <v>246</v>
      </c>
      <c r="CE110" t="s">
        <v>480</v>
      </c>
      <c r="CF110">
        <f ca="1"/>
        <v>177.02387387759921</v>
      </c>
      <c r="CT110" t="s">
        <v>246</v>
      </c>
      <c r="CU110" t="s">
        <v>243</v>
      </c>
      <c r="CV110">
        <f ca="1">OFFSET('Calculations 2'!$AJ$12,W110,X110)</f>
        <v>0</v>
      </c>
    </row>
    <row r="111" spans="17:100">
      <c r="Q111" t="s">
        <v>239</v>
      </c>
      <c r="R111" t="s">
        <v>489</v>
      </c>
      <c r="S111" t="s">
        <v>243</v>
      </c>
      <c r="T111">
        <f ca="1">OFFSET('Calculations 2'!$C$45,W111,X111)*OFFSET($M$6,W111,0)</f>
        <v>2.7152884270485793</v>
      </c>
      <c r="V111">
        <f t="shared" si="5"/>
        <v>105</v>
      </c>
      <c r="W111">
        <f t="shared" si="6"/>
        <v>6</v>
      </c>
      <c r="X111">
        <f t="shared" si="7"/>
        <v>3</v>
      </c>
      <c r="AC111" t="s">
        <v>239</v>
      </c>
      <c r="AD111" t="s">
        <v>489</v>
      </c>
      <c r="AE111" t="s">
        <v>243</v>
      </c>
      <c r="AF111">
        <f ca="1">OFFSET('Calculations 2'!$CE$45,W111,0)*OFFSET($AA$6,X111,0)*OFFSET($M$6,W111,)</f>
        <v>1.0023188302461501</v>
      </c>
      <c r="AY111" t="s">
        <v>239</v>
      </c>
      <c r="AZ111" t="s">
        <v>489</v>
      </c>
      <c r="BA111" t="s">
        <v>243</v>
      </c>
      <c r="BB111">
        <v>0</v>
      </c>
      <c r="BE111" t="s">
        <v>239</v>
      </c>
      <c r="BF111" t="s">
        <v>489</v>
      </c>
      <c r="BG111" t="s">
        <v>243</v>
      </c>
      <c r="BH111">
        <v>0</v>
      </c>
      <c r="CD111" t="s">
        <v>239</v>
      </c>
      <c r="CE111" t="s">
        <v>480</v>
      </c>
      <c r="CF111">
        <f ca="1"/>
        <v>363.16862723200984</v>
      </c>
      <c r="CT111" t="s">
        <v>239</v>
      </c>
      <c r="CU111" t="s">
        <v>243</v>
      </c>
      <c r="CV111">
        <f ca="1">OFFSET('Calculations 2'!$AJ$12,W111,X111)</f>
        <v>0</v>
      </c>
    </row>
    <row r="112" spans="17:100">
      <c r="Q112" t="s">
        <v>466</v>
      </c>
      <c r="R112" t="s">
        <v>489</v>
      </c>
      <c r="S112" t="s">
        <v>243</v>
      </c>
      <c r="T112">
        <f ca="1">OFFSET('Calculations 2'!$C$45,W112,X112)*OFFSET($M$6,W112,0)</f>
        <v>2.7215181117778768</v>
      </c>
      <c r="V112">
        <f t="shared" si="5"/>
        <v>106</v>
      </c>
      <c r="W112">
        <f t="shared" si="6"/>
        <v>7</v>
      </c>
      <c r="X112">
        <f t="shared" si="7"/>
        <v>3</v>
      </c>
      <c r="AC112" t="s">
        <v>466</v>
      </c>
      <c r="AD112" t="s">
        <v>489</v>
      </c>
      <c r="AE112" t="s">
        <v>243</v>
      </c>
      <c r="AF112">
        <f ca="1">OFFSET('Calculations 2'!$CE$45,W112,0)*OFFSET($AA$6,X112,0)*OFFSET($M$6,W112,)</f>
        <v>0.15273399244655722</v>
      </c>
      <c r="AY112" t="s">
        <v>466</v>
      </c>
      <c r="AZ112" t="s">
        <v>489</v>
      </c>
      <c r="BA112" t="s">
        <v>243</v>
      </c>
      <c r="BB112">
        <v>0</v>
      </c>
      <c r="BE112" t="s">
        <v>466</v>
      </c>
      <c r="BF112" t="s">
        <v>489</v>
      </c>
      <c r="BG112" t="s">
        <v>243</v>
      </c>
      <c r="BH112">
        <v>0</v>
      </c>
      <c r="CD112" t="s">
        <v>466</v>
      </c>
      <c r="CE112" t="s">
        <v>480</v>
      </c>
      <c r="CF112">
        <f ca="1"/>
        <v>72.613924275090056</v>
      </c>
      <c r="CT112" t="s">
        <v>466</v>
      </c>
      <c r="CU112" t="s">
        <v>243</v>
      </c>
      <c r="CV112">
        <f ca="1">OFFSET('Calculations 2'!$AJ$12,W112,X112)</f>
        <v>0</v>
      </c>
    </row>
    <row r="113" spans="17:100">
      <c r="Q113" t="s">
        <v>219</v>
      </c>
      <c r="R113" t="s">
        <v>489</v>
      </c>
      <c r="S113" t="s">
        <v>243</v>
      </c>
      <c r="T113">
        <f ca="1">OFFSET('Calculations 2'!$C$45,W113,X113)*OFFSET($M$6,W113,0)</f>
        <v>0.40139675495769522</v>
      </c>
      <c r="V113">
        <f t="shared" si="5"/>
        <v>107</v>
      </c>
      <c r="W113">
        <f t="shared" si="6"/>
        <v>8</v>
      </c>
      <c r="X113">
        <f t="shared" si="7"/>
        <v>3</v>
      </c>
      <c r="AC113" t="s">
        <v>219</v>
      </c>
      <c r="AD113" t="s">
        <v>489</v>
      </c>
      <c r="AE113" t="s">
        <v>243</v>
      </c>
      <c r="AF113">
        <f ca="1">OFFSET('Calculations 2'!$CE$45,W113,0)*OFFSET($AA$6,X113,0)*OFFSET($M$6,W113,)</f>
        <v>0.9511057813671856</v>
      </c>
      <c r="AY113" t="s">
        <v>219</v>
      </c>
      <c r="AZ113" t="s">
        <v>489</v>
      </c>
      <c r="BA113" t="s">
        <v>243</v>
      </c>
      <c r="BB113">
        <v>0</v>
      </c>
      <c r="BE113" t="s">
        <v>219</v>
      </c>
      <c r="BF113" t="s">
        <v>489</v>
      </c>
      <c r="BG113" t="s">
        <v>243</v>
      </c>
      <c r="BH113">
        <v>0</v>
      </c>
      <c r="CD113" t="s">
        <v>219</v>
      </c>
      <c r="CE113" t="s">
        <v>480</v>
      </c>
      <c r="CF113">
        <f ca="1"/>
        <v>436.61779071626165</v>
      </c>
      <c r="CT113" t="s">
        <v>219</v>
      </c>
      <c r="CU113" t="s">
        <v>243</v>
      </c>
      <c r="CV113">
        <f ca="1">OFFSET('Calculations 2'!$AJ$12,W113,X113)</f>
        <v>0</v>
      </c>
    </row>
    <row r="114" spans="17:100">
      <c r="Q114" t="s">
        <v>242</v>
      </c>
      <c r="R114" t="s">
        <v>489</v>
      </c>
      <c r="S114" t="s">
        <v>243</v>
      </c>
      <c r="T114">
        <f ca="1">OFFSET('Calculations 2'!$C$45,W114,X114)*OFFSET($M$6,W114,0)</f>
        <v>11.05650591772033</v>
      </c>
      <c r="V114">
        <f t="shared" si="5"/>
        <v>108</v>
      </c>
      <c r="W114">
        <f t="shared" si="6"/>
        <v>9</v>
      </c>
      <c r="X114">
        <f t="shared" si="7"/>
        <v>3</v>
      </c>
      <c r="AC114" t="s">
        <v>242</v>
      </c>
      <c r="AD114" t="s">
        <v>489</v>
      </c>
      <c r="AE114" t="s">
        <v>243</v>
      </c>
      <c r="AF114">
        <f ca="1">OFFSET('Calculations 2'!$CE$45,W114,0)*OFFSET($AA$6,X114,0)*OFFSET($M$6,W114,)</f>
        <v>1.4888643861920077</v>
      </c>
      <c r="AY114" t="s">
        <v>242</v>
      </c>
      <c r="AZ114" t="s">
        <v>489</v>
      </c>
      <c r="BA114" t="s">
        <v>243</v>
      </c>
      <c r="BB114">
        <v>0</v>
      </c>
      <c r="BE114" t="s">
        <v>242</v>
      </c>
      <c r="BF114" t="s">
        <v>489</v>
      </c>
      <c r="BG114" t="s">
        <v>243</v>
      </c>
      <c r="BH114">
        <v>0</v>
      </c>
      <c r="CD114" t="s">
        <v>242</v>
      </c>
      <c r="CE114" t="s">
        <v>480</v>
      </c>
      <c r="CF114">
        <f ca="1"/>
        <v>197.23481163831573</v>
      </c>
      <c r="CT114" t="s">
        <v>242</v>
      </c>
      <c r="CU114" t="s">
        <v>243</v>
      </c>
      <c r="CV114">
        <f ca="1">OFFSET('Calculations 2'!$AJ$12,W114,X114)</f>
        <v>0</v>
      </c>
    </row>
    <row r="115" spans="17:100">
      <c r="Q115" t="s">
        <v>467</v>
      </c>
      <c r="R115" t="s">
        <v>489</v>
      </c>
      <c r="S115" t="s">
        <v>243</v>
      </c>
      <c r="T115">
        <f ca="1">OFFSET('Calculations 2'!$C$45,W115,X115)*OFFSET($M$6,W115,0)</f>
        <v>5.3084574297769178</v>
      </c>
      <c r="V115">
        <f t="shared" si="5"/>
        <v>109</v>
      </c>
      <c r="W115">
        <f t="shared" si="6"/>
        <v>10</v>
      </c>
      <c r="X115">
        <f t="shared" si="7"/>
        <v>3</v>
      </c>
      <c r="AC115" t="s">
        <v>467</v>
      </c>
      <c r="AD115" t="s">
        <v>489</v>
      </c>
      <c r="AE115" t="s">
        <v>243</v>
      </c>
      <c r="AF115">
        <f ca="1">OFFSET('Calculations 2'!$CE$45,W115,0)*OFFSET($AA$6,X115,0)*OFFSET($M$6,W115,)</f>
        <v>1.379247791818796</v>
      </c>
      <c r="AY115" t="s">
        <v>467</v>
      </c>
      <c r="AZ115" t="s">
        <v>489</v>
      </c>
      <c r="BA115" t="s">
        <v>243</v>
      </c>
      <c r="BB115">
        <v>0</v>
      </c>
      <c r="BE115" t="s">
        <v>467</v>
      </c>
      <c r="BF115" t="s">
        <v>489</v>
      </c>
      <c r="BG115" t="s">
        <v>243</v>
      </c>
      <c r="BH115">
        <v>0</v>
      </c>
      <c r="CD115" t="s">
        <v>467</v>
      </c>
      <c r="CE115" t="s">
        <v>480</v>
      </c>
      <c r="CF115">
        <f ca="1"/>
        <v>477.90267196186898</v>
      </c>
      <c r="CT115" t="s">
        <v>467</v>
      </c>
      <c r="CU115" t="s">
        <v>243</v>
      </c>
      <c r="CV115">
        <f ca="1">OFFSET('Calculations 2'!$AJ$12,W115,X115)</f>
        <v>0</v>
      </c>
    </row>
    <row r="116" spans="17:100">
      <c r="Q116" t="s">
        <v>231</v>
      </c>
      <c r="R116" t="s">
        <v>489</v>
      </c>
      <c r="S116" t="s">
        <v>243</v>
      </c>
      <c r="T116">
        <f ca="1">OFFSET('Calculations 2'!$C$45,W116,X116)*OFFSET($M$6,W116,0)</f>
        <v>19.395605372128454</v>
      </c>
      <c r="V116">
        <f t="shared" si="5"/>
        <v>110</v>
      </c>
      <c r="W116">
        <f t="shared" si="6"/>
        <v>11</v>
      </c>
      <c r="X116">
        <f t="shared" si="7"/>
        <v>3</v>
      </c>
      <c r="AC116" t="s">
        <v>231</v>
      </c>
      <c r="AD116" t="s">
        <v>489</v>
      </c>
      <c r="AE116" t="s">
        <v>243</v>
      </c>
      <c r="AF116">
        <f ca="1">OFFSET('Calculations 2'!$CE$45,W116,0)*OFFSET($AA$6,X116,0)*OFFSET($M$6,W116,)</f>
        <v>4.0340613285834337</v>
      </c>
      <c r="AY116" t="s">
        <v>231</v>
      </c>
      <c r="AZ116" t="s">
        <v>489</v>
      </c>
      <c r="BA116" t="s">
        <v>243</v>
      </c>
      <c r="BB116">
        <v>0</v>
      </c>
      <c r="BE116" t="s">
        <v>231</v>
      </c>
      <c r="BF116" t="s">
        <v>489</v>
      </c>
      <c r="BG116" t="s">
        <v>243</v>
      </c>
      <c r="BH116">
        <v>0</v>
      </c>
      <c r="CD116" t="s">
        <v>231</v>
      </c>
      <c r="CE116" t="s">
        <v>480</v>
      </c>
      <c r="CF116">
        <f ca="1"/>
        <v>1136.0220865579186</v>
      </c>
      <c r="CT116" t="s">
        <v>231</v>
      </c>
      <c r="CU116" t="s">
        <v>243</v>
      </c>
      <c r="CV116">
        <f ca="1">OFFSET('Calculations 2'!$AJ$12,W116,X116)</f>
        <v>0</v>
      </c>
    </row>
    <row r="117" spans="17:100">
      <c r="Q117" t="s">
        <v>468</v>
      </c>
      <c r="R117" t="s">
        <v>489</v>
      </c>
      <c r="S117" t="s">
        <v>243</v>
      </c>
      <c r="T117">
        <f ca="1">OFFSET('Calculations 2'!$C$45,W117,X117)*OFFSET($M$6,W117,0)</f>
        <v>0.20582255707424843</v>
      </c>
      <c r="V117">
        <f t="shared" si="5"/>
        <v>111</v>
      </c>
      <c r="W117">
        <f t="shared" si="6"/>
        <v>12</v>
      </c>
      <c r="X117">
        <f t="shared" si="7"/>
        <v>3</v>
      </c>
      <c r="AC117" t="s">
        <v>468</v>
      </c>
      <c r="AD117" t="s">
        <v>489</v>
      </c>
      <c r="AE117" t="s">
        <v>243</v>
      </c>
      <c r="AF117">
        <f ca="1">OFFSET('Calculations 2'!$CE$45,W117,0)*OFFSET($AA$6,X117,0)*OFFSET($M$6,W117,)</f>
        <v>5.8389858010138713</v>
      </c>
      <c r="AY117" t="s">
        <v>468</v>
      </c>
      <c r="AZ117" t="s">
        <v>489</v>
      </c>
      <c r="BA117" t="s">
        <v>243</v>
      </c>
      <c r="BB117">
        <v>0</v>
      </c>
      <c r="BE117" t="s">
        <v>468</v>
      </c>
      <c r="BF117" t="s">
        <v>489</v>
      </c>
      <c r="BG117" t="s">
        <v>243</v>
      </c>
      <c r="BH117">
        <v>0</v>
      </c>
      <c r="CD117" t="s">
        <v>468</v>
      </c>
      <c r="CE117" t="s">
        <v>480</v>
      </c>
      <c r="CF117">
        <f ca="1"/>
        <v>370.79880946345668</v>
      </c>
      <c r="CT117" t="s">
        <v>468</v>
      </c>
      <c r="CU117" t="s">
        <v>243</v>
      </c>
      <c r="CV117">
        <f ca="1">OFFSET('Calculations 2'!$AJ$12,W117,X117)</f>
        <v>0</v>
      </c>
    </row>
    <row r="118" spans="17:100">
      <c r="Q118" t="s">
        <v>469</v>
      </c>
      <c r="R118" t="s">
        <v>489</v>
      </c>
      <c r="S118" t="s">
        <v>243</v>
      </c>
      <c r="T118">
        <f ca="1">OFFSET('Calculations 2'!$C$45,W118,X118)*OFFSET($M$6,W118,0)</f>
        <v>0</v>
      </c>
      <c r="V118">
        <f t="shared" si="5"/>
        <v>112</v>
      </c>
      <c r="W118">
        <f t="shared" si="6"/>
        <v>13</v>
      </c>
      <c r="X118">
        <f t="shared" si="7"/>
        <v>3</v>
      </c>
      <c r="AC118" t="s">
        <v>469</v>
      </c>
      <c r="AD118" t="s">
        <v>489</v>
      </c>
      <c r="AE118" t="s">
        <v>243</v>
      </c>
      <c r="AF118">
        <f ca="1">OFFSET('Calculations 2'!$CE$45,W118,0)*OFFSET($AA$6,X118,0)*OFFSET($M$6,W118,)</f>
        <v>1.2146357355907147</v>
      </c>
      <c r="AY118" t="s">
        <v>469</v>
      </c>
      <c r="AZ118" t="s">
        <v>489</v>
      </c>
      <c r="BA118" t="s">
        <v>243</v>
      </c>
      <c r="BB118">
        <v>0</v>
      </c>
      <c r="BE118" t="s">
        <v>469</v>
      </c>
      <c r="BF118" t="s">
        <v>489</v>
      </c>
      <c r="BG118" t="s">
        <v>243</v>
      </c>
      <c r="BH118">
        <v>0</v>
      </c>
      <c r="CD118" t="s">
        <v>469</v>
      </c>
      <c r="CE118" t="s">
        <v>480</v>
      </c>
      <c r="CF118">
        <f ca="1"/>
        <v>213.18737568757999</v>
      </c>
      <c r="CT118" t="s">
        <v>469</v>
      </c>
      <c r="CU118" t="s">
        <v>243</v>
      </c>
      <c r="CV118">
        <f ca="1">OFFSET('Calculations 2'!$AJ$12,W118,X118)</f>
        <v>0</v>
      </c>
    </row>
    <row r="119" spans="17:100">
      <c r="Q119" t="s">
        <v>245</v>
      </c>
      <c r="R119" t="s">
        <v>489</v>
      </c>
      <c r="S119" t="s">
        <v>243</v>
      </c>
      <c r="T119">
        <f ca="1">OFFSET('Calculations 2'!$C$45,W119,X119)*OFFSET($M$6,W119,0)</f>
        <v>0.16771843589187466</v>
      </c>
      <c r="V119">
        <f t="shared" si="5"/>
        <v>113</v>
      </c>
      <c r="W119">
        <f t="shared" si="6"/>
        <v>14</v>
      </c>
      <c r="X119">
        <f t="shared" si="7"/>
        <v>3</v>
      </c>
      <c r="AC119" t="s">
        <v>245</v>
      </c>
      <c r="AD119" t="s">
        <v>489</v>
      </c>
      <c r="AE119" t="s">
        <v>243</v>
      </c>
      <c r="AF119">
        <f ca="1">OFFSET('Calculations 2'!$CE$45,W119,0)*OFFSET($AA$6,X119,0)*OFFSET($M$6,W119,)</f>
        <v>1.754550992471442</v>
      </c>
      <c r="AY119" t="s">
        <v>245</v>
      </c>
      <c r="AZ119" t="s">
        <v>489</v>
      </c>
      <c r="BA119" t="s">
        <v>243</v>
      </c>
      <c r="BB119">
        <v>0</v>
      </c>
      <c r="BE119" t="s">
        <v>245</v>
      </c>
      <c r="BF119" t="s">
        <v>489</v>
      </c>
      <c r="BG119" t="s">
        <v>243</v>
      </c>
      <c r="BH119">
        <v>0</v>
      </c>
      <c r="CD119" t="s">
        <v>245</v>
      </c>
      <c r="CE119" t="s">
        <v>480</v>
      </c>
      <c r="CF119">
        <f ca="1"/>
        <v>84.540063177702962</v>
      </c>
      <c r="CT119" t="s">
        <v>245</v>
      </c>
      <c r="CU119" t="s">
        <v>243</v>
      </c>
      <c r="CV119">
        <f ca="1">OFFSET('Calculations 2'!$AJ$12,W119,X119)</f>
        <v>0</v>
      </c>
    </row>
    <row r="120" spans="17:100">
      <c r="Q120" t="s">
        <v>470</v>
      </c>
      <c r="R120" t="s">
        <v>489</v>
      </c>
      <c r="S120" t="s">
        <v>243</v>
      </c>
      <c r="T120">
        <f ca="1">OFFSET('Calculations 2'!$C$45,W120,X120)*OFFSET($M$6,W120,0)</f>
        <v>8.5275329175455781</v>
      </c>
      <c r="V120">
        <f t="shared" si="5"/>
        <v>114</v>
      </c>
      <c r="W120">
        <f t="shared" si="6"/>
        <v>15</v>
      </c>
      <c r="X120">
        <f t="shared" si="7"/>
        <v>3</v>
      </c>
      <c r="AC120" t="s">
        <v>470</v>
      </c>
      <c r="AD120" t="s">
        <v>489</v>
      </c>
      <c r="AE120" t="s">
        <v>243</v>
      </c>
      <c r="AF120">
        <f ca="1">OFFSET('Calculations 2'!$CE$45,W120,0)*OFFSET($AA$6,X120,0)*OFFSET($M$6,W120,)</f>
        <v>4.777528617605836</v>
      </c>
      <c r="AY120" t="s">
        <v>470</v>
      </c>
      <c r="AZ120" t="s">
        <v>489</v>
      </c>
      <c r="BA120" t="s">
        <v>243</v>
      </c>
      <c r="BB120">
        <v>0</v>
      </c>
      <c r="BE120" t="s">
        <v>470</v>
      </c>
      <c r="BF120" t="s">
        <v>489</v>
      </c>
      <c r="BG120" t="s">
        <v>243</v>
      </c>
      <c r="BH120">
        <v>0</v>
      </c>
      <c r="CD120" t="s">
        <v>470</v>
      </c>
      <c r="CE120" t="s">
        <v>480</v>
      </c>
      <c r="CF120">
        <f ca="1"/>
        <v>809.30977165783884</v>
      </c>
      <c r="CT120" t="s">
        <v>470</v>
      </c>
      <c r="CU120" t="s">
        <v>243</v>
      </c>
      <c r="CV120">
        <f ca="1">OFFSET('Calculations 2'!$AJ$12,W120,X120)</f>
        <v>0</v>
      </c>
    </row>
    <row r="121" spans="17:100">
      <c r="Q121" t="s">
        <v>471</v>
      </c>
      <c r="R121" t="s">
        <v>489</v>
      </c>
      <c r="S121" t="s">
        <v>243</v>
      </c>
      <c r="T121">
        <f ca="1">OFFSET('Calculations 2'!$C$45,W121,X121)*OFFSET($M$6,W121,0)</f>
        <v>55.656449899139538</v>
      </c>
      <c r="V121">
        <f t="shared" si="5"/>
        <v>115</v>
      </c>
      <c r="W121">
        <f t="shared" si="6"/>
        <v>16</v>
      </c>
      <c r="X121">
        <f t="shared" si="7"/>
        <v>3</v>
      </c>
      <c r="AC121" t="s">
        <v>471</v>
      </c>
      <c r="AD121" t="s">
        <v>489</v>
      </c>
      <c r="AE121" t="s">
        <v>243</v>
      </c>
      <c r="AF121">
        <f ca="1">OFFSET('Calculations 2'!$CE$45,W121,0)*OFFSET($AA$6,X121,0)*OFFSET($M$6,W121,)</f>
        <v>0</v>
      </c>
      <c r="AY121" t="s">
        <v>471</v>
      </c>
      <c r="AZ121" t="s">
        <v>489</v>
      </c>
      <c r="BA121" t="s">
        <v>243</v>
      </c>
      <c r="BB121">
        <v>0</v>
      </c>
      <c r="BE121" t="s">
        <v>471</v>
      </c>
      <c r="BF121" t="s">
        <v>489</v>
      </c>
      <c r="BG121" t="s">
        <v>243</v>
      </c>
      <c r="BH121">
        <v>0</v>
      </c>
      <c r="CD121" t="s">
        <v>471</v>
      </c>
      <c r="CE121" t="s">
        <v>480</v>
      </c>
      <c r="CF121">
        <f ca="1"/>
        <v>1236.838834034992</v>
      </c>
      <c r="CT121" t="s">
        <v>471</v>
      </c>
      <c r="CU121" t="s">
        <v>243</v>
      </c>
      <c r="CV121">
        <f ca="1">OFFSET('Calculations 2'!$AJ$12,W121,X121)</f>
        <v>0</v>
      </c>
    </row>
    <row r="122" spans="17:100">
      <c r="Q122" t="s">
        <v>221</v>
      </c>
      <c r="R122" t="s">
        <v>489</v>
      </c>
      <c r="S122" t="s">
        <v>243</v>
      </c>
      <c r="T122">
        <f ca="1">OFFSET('Calculations 2'!$C$45,W122,X122)*OFFSET($M$6,W122,0)</f>
        <v>51.437830825220132</v>
      </c>
      <c r="V122">
        <f t="shared" si="5"/>
        <v>116</v>
      </c>
      <c r="W122">
        <f t="shared" si="6"/>
        <v>17</v>
      </c>
      <c r="X122">
        <f t="shared" si="7"/>
        <v>3</v>
      </c>
      <c r="AC122" t="s">
        <v>221</v>
      </c>
      <c r="AD122" t="s">
        <v>489</v>
      </c>
      <c r="AE122" t="s">
        <v>243</v>
      </c>
      <c r="AF122">
        <f ca="1">OFFSET('Calculations 2'!$CE$45,W122,0)*OFFSET($AA$6,X122,0)*OFFSET($M$6,W122,)</f>
        <v>158.70204995831659</v>
      </c>
      <c r="AY122" t="s">
        <v>221</v>
      </c>
      <c r="AZ122" t="s">
        <v>489</v>
      </c>
      <c r="BA122" t="s">
        <v>243</v>
      </c>
      <c r="BB122">
        <v>0</v>
      </c>
      <c r="BE122" t="s">
        <v>221</v>
      </c>
      <c r="BF122" t="s">
        <v>489</v>
      </c>
      <c r="BG122" t="s">
        <v>243</v>
      </c>
      <c r="BH122">
        <v>0</v>
      </c>
      <c r="CD122" t="s">
        <v>221</v>
      </c>
      <c r="CE122" t="s">
        <v>480</v>
      </c>
      <c r="CF122">
        <f ca="1"/>
        <v>5608.206451000121</v>
      </c>
      <c r="CT122" t="s">
        <v>221</v>
      </c>
      <c r="CU122" t="s">
        <v>243</v>
      </c>
      <c r="CV122">
        <f ca="1">OFFSET('Calculations 2'!$AJ$12,W122,X122)</f>
        <v>0</v>
      </c>
    </row>
    <row r="123" spans="17:100">
      <c r="Q123" t="s">
        <v>244</v>
      </c>
      <c r="R123" t="s">
        <v>489</v>
      </c>
      <c r="S123" t="s">
        <v>243</v>
      </c>
      <c r="T123">
        <f ca="1">OFFSET('Calculations 2'!$C$45,W123,X123)*OFFSET($M$6,W123,0)</f>
        <v>434.83851820210714</v>
      </c>
      <c r="V123">
        <f t="shared" si="5"/>
        <v>117</v>
      </c>
      <c r="W123">
        <f t="shared" si="6"/>
        <v>18</v>
      </c>
      <c r="X123">
        <f t="shared" si="7"/>
        <v>3</v>
      </c>
      <c r="AC123" t="s">
        <v>244</v>
      </c>
      <c r="AD123" t="s">
        <v>489</v>
      </c>
      <c r="AE123" t="s">
        <v>243</v>
      </c>
      <c r="AF123">
        <f ca="1">OFFSET('Calculations 2'!$CE$45,W123,0)*OFFSET($AA$6,X123,0)*OFFSET($M$6,W123,)</f>
        <v>25.375399620890036</v>
      </c>
      <c r="AY123" t="s">
        <v>244</v>
      </c>
      <c r="AZ123" t="s">
        <v>489</v>
      </c>
      <c r="BA123" t="s">
        <v>243</v>
      </c>
      <c r="BB123">
        <v>0</v>
      </c>
      <c r="BE123" t="s">
        <v>244</v>
      </c>
      <c r="BF123" t="s">
        <v>489</v>
      </c>
      <c r="BG123" t="s">
        <v>243</v>
      </c>
      <c r="BH123">
        <v>0</v>
      </c>
      <c r="CD123" t="s">
        <v>244</v>
      </c>
      <c r="CE123" t="s">
        <v>480</v>
      </c>
      <c r="CF123">
        <f ca="1"/>
        <v>15047.593646193718</v>
      </c>
      <c r="CT123" t="s">
        <v>244</v>
      </c>
      <c r="CU123" t="s">
        <v>243</v>
      </c>
      <c r="CV123">
        <f ca="1">OFFSET('Calculations 2'!$AJ$12,W123,X123)</f>
        <v>0</v>
      </c>
    </row>
    <row r="124" spans="17:100">
      <c r="Q124" t="s">
        <v>472</v>
      </c>
      <c r="R124" t="s">
        <v>489</v>
      </c>
      <c r="S124" t="s">
        <v>243</v>
      </c>
      <c r="T124">
        <f ca="1">OFFSET('Calculations 2'!$C$45,W124,X124)*OFFSET($M$6,W124,0)</f>
        <v>0</v>
      </c>
      <c r="V124">
        <f t="shared" si="5"/>
        <v>118</v>
      </c>
      <c r="W124">
        <f t="shared" si="6"/>
        <v>19</v>
      </c>
      <c r="X124">
        <f t="shared" si="7"/>
        <v>3</v>
      </c>
      <c r="AC124" t="s">
        <v>472</v>
      </c>
      <c r="AD124" t="s">
        <v>489</v>
      </c>
      <c r="AE124" t="s">
        <v>243</v>
      </c>
      <c r="AF124">
        <f ca="1">OFFSET('Calculations 2'!$CE$45,W124,0)*OFFSET($AA$6,X124,0)*OFFSET($M$6,W124,)</f>
        <v>0</v>
      </c>
      <c r="AY124" t="s">
        <v>472</v>
      </c>
      <c r="AZ124" t="s">
        <v>489</v>
      </c>
      <c r="BA124" t="s">
        <v>243</v>
      </c>
      <c r="BB124">
        <v>0</v>
      </c>
      <c r="BE124" t="s">
        <v>472</v>
      </c>
      <c r="BF124" t="s">
        <v>489</v>
      </c>
      <c r="BG124" t="s">
        <v>243</v>
      </c>
      <c r="BH124">
        <v>0</v>
      </c>
      <c r="CD124" t="s">
        <v>472</v>
      </c>
      <c r="CE124" t="s">
        <v>480</v>
      </c>
      <c r="CF124">
        <f ca="1"/>
        <v>3805.0512071963717</v>
      </c>
      <c r="CT124" t="s">
        <v>472</v>
      </c>
      <c r="CU124" t="s">
        <v>243</v>
      </c>
      <c r="CV124">
        <f ca="1">OFFSET('Calculations 2'!$AJ$12,W124,X124)</f>
        <v>0</v>
      </c>
    </row>
    <row r="125" spans="17:100">
      <c r="Q125" t="s">
        <v>238</v>
      </c>
      <c r="R125" t="s">
        <v>489</v>
      </c>
      <c r="S125" t="s">
        <v>243</v>
      </c>
      <c r="T125">
        <f ca="1">OFFSET('Calculations 2'!$C$45,W125,X125)*OFFSET($M$6,W125,0)</f>
        <v>1.4701423968397795</v>
      </c>
      <c r="V125">
        <f t="shared" si="5"/>
        <v>119</v>
      </c>
      <c r="W125">
        <f t="shared" si="6"/>
        <v>20</v>
      </c>
      <c r="X125">
        <f t="shared" si="7"/>
        <v>3</v>
      </c>
      <c r="AC125" t="s">
        <v>238</v>
      </c>
      <c r="AD125" t="s">
        <v>489</v>
      </c>
      <c r="AE125" t="s">
        <v>243</v>
      </c>
      <c r="AF125">
        <f ca="1">OFFSET('Calculations 2'!$CE$45,W125,0)*OFFSET($AA$6,X125,0)*OFFSET($M$6,W125,)</f>
        <v>0</v>
      </c>
      <c r="AY125" t="s">
        <v>238</v>
      </c>
      <c r="AZ125" t="s">
        <v>489</v>
      </c>
      <c r="BA125" t="s">
        <v>243</v>
      </c>
      <c r="BB125">
        <v>0</v>
      </c>
      <c r="BE125" t="s">
        <v>238</v>
      </c>
      <c r="BF125" t="s">
        <v>489</v>
      </c>
      <c r="BG125" t="s">
        <v>243</v>
      </c>
      <c r="BH125">
        <v>0</v>
      </c>
      <c r="CD125" t="s">
        <v>238</v>
      </c>
      <c r="CE125" t="s">
        <v>480</v>
      </c>
      <c r="CF125">
        <f ca="1"/>
        <v>1216.6000956617415</v>
      </c>
      <c r="CT125" t="s">
        <v>238</v>
      </c>
      <c r="CU125" t="s">
        <v>243</v>
      </c>
      <c r="CV125">
        <f ca="1">OFFSET('Calculations 2'!$AJ$12,W125,X125)</f>
        <v>0</v>
      </c>
    </row>
    <row r="126" spans="17:100">
      <c r="Q126" t="s">
        <v>247</v>
      </c>
      <c r="R126" t="s">
        <v>489</v>
      </c>
      <c r="S126" t="s">
        <v>243</v>
      </c>
      <c r="T126">
        <f ca="1">OFFSET('Calculations 2'!$C$45,W126,X126)*OFFSET($M$6,W126,0)</f>
        <v>0</v>
      </c>
      <c r="V126">
        <f t="shared" si="5"/>
        <v>120</v>
      </c>
      <c r="W126">
        <f t="shared" si="6"/>
        <v>21</v>
      </c>
      <c r="X126">
        <f t="shared" si="7"/>
        <v>3</v>
      </c>
      <c r="AC126" t="s">
        <v>247</v>
      </c>
      <c r="AD126" t="s">
        <v>489</v>
      </c>
      <c r="AE126" t="s">
        <v>243</v>
      </c>
      <c r="AF126">
        <f ca="1">OFFSET('Calculations 2'!$CE$45,W126,0)*OFFSET($AA$6,X126,0)*OFFSET($M$6,W126,)</f>
        <v>0</v>
      </c>
      <c r="AY126" t="s">
        <v>247</v>
      </c>
      <c r="AZ126" t="s">
        <v>489</v>
      </c>
      <c r="BA126" t="s">
        <v>243</v>
      </c>
      <c r="BB126">
        <v>0</v>
      </c>
      <c r="BE126" t="s">
        <v>247</v>
      </c>
      <c r="BF126" t="s">
        <v>489</v>
      </c>
      <c r="BG126" t="s">
        <v>243</v>
      </c>
      <c r="BH126">
        <v>0</v>
      </c>
      <c r="CD126" t="s">
        <v>247</v>
      </c>
      <c r="CE126" t="s">
        <v>480</v>
      </c>
      <c r="CF126">
        <f ca="1"/>
        <v>41.646501677770779</v>
      </c>
      <c r="CT126" t="s">
        <v>247</v>
      </c>
      <c r="CU126" t="s">
        <v>243</v>
      </c>
      <c r="CV126">
        <f ca="1">OFFSET('Calculations 2'!$AJ$12,W126,X126)</f>
        <v>0</v>
      </c>
    </row>
    <row r="127" spans="17:100">
      <c r="Q127" t="s">
        <v>218</v>
      </c>
      <c r="R127" t="s">
        <v>489</v>
      </c>
      <c r="S127" t="s">
        <v>243</v>
      </c>
      <c r="T127">
        <f ca="1">OFFSET('Calculations 2'!$C$45,W127,X127)*OFFSET($M$6,W127,0)</f>
        <v>21.842271007385378</v>
      </c>
      <c r="V127">
        <f t="shared" si="5"/>
        <v>121</v>
      </c>
      <c r="W127">
        <f t="shared" si="6"/>
        <v>22</v>
      </c>
      <c r="X127">
        <f t="shared" si="7"/>
        <v>3</v>
      </c>
      <c r="AC127" t="s">
        <v>218</v>
      </c>
      <c r="AD127" t="s">
        <v>489</v>
      </c>
      <c r="AE127" t="s">
        <v>243</v>
      </c>
      <c r="AF127">
        <f ca="1">OFFSET('Calculations 2'!$CE$45,W127,0)*OFFSET($AA$6,X127,0)*OFFSET($M$6,W127,)</f>
        <v>0</v>
      </c>
      <c r="AY127" t="s">
        <v>218</v>
      </c>
      <c r="AZ127" t="s">
        <v>489</v>
      </c>
      <c r="BA127" t="s">
        <v>243</v>
      </c>
      <c r="BB127">
        <v>0</v>
      </c>
      <c r="BE127" t="s">
        <v>218</v>
      </c>
      <c r="BF127" t="s">
        <v>489</v>
      </c>
      <c r="BG127" t="s">
        <v>243</v>
      </c>
      <c r="BH127">
        <v>0</v>
      </c>
      <c r="CD127" t="s">
        <v>218</v>
      </c>
      <c r="CE127" t="s">
        <v>480</v>
      </c>
      <c r="CF127">
        <f ca="1"/>
        <v>4054.9914344315812</v>
      </c>
      <c r="CT127" t="s">
        <v>218</v>
      </c>
      <c r="CU127" t="s">
        <v>243</v>
      </c>
      <c r="CV127">
        <f ca="1">OFFSET('Calculations 2'!$AJ$12,W127,X127)</f>
        <v>0</v>
      </c>
    </row>
    <row r="128" spans="17:100">
      <c r="Q128" t="s">
        <v>257</v>
      </c>
      <c r="R128" t="s">
        <v>489</v>
      </c>
      <c r="S128" t="s">
        <v>243</v>
      </c>
      <c r="T128">
        <f ca="1">OFFSET('Calculations 2'!$C$45,W128,X128)*OFFSET($M$6,W128,0)</f>
        <v>23.819576344275717</v>
      </c>
      <c r="V128">
        <f t="shared" si="5"/>
        <v>122</v>
      </c>
      <c r="W128">
        <f t="shared" si="6"/>
        <v>23</v>
      </c>
      <c r="X128">
        <f t="shared" si="7"/>
        <v>3</v>
      </c>
      <c r="AC128" t="s">
        <v>257</v>
      </c>
      <c r="AD128" t="s">
        <v>489</v>
      </c>
      <c r="AE128" t="s">
        <v>243</v>
      </c>
      <c r="AF128">
        <f ca="1">OFFSET('Calculations 2'!$CE$45,W128,0)*OFFSET($AA$6,X128,0)*OFFSET($M$6,W128,)</f>
        <v>0</v>
      </c>
      <c r="AY128" t="s">
        <v>257</v>
      </c>
      <c r="AZ128" t="s">
        <v>489</v>
      </c>
      <c r="BA128" t="s">
        <v>243</v>
      </c>
      <c r="BB128">
        <v>0</v>
      </c>
      <c r="BE128" t="s">
        <v>257</v>
      </c>
      <c r="BF128" t="s">
        <v>489</v>
      </c>
      <c r="BG128" t="s">
        <v>243</v>
      </c>
      <c r="BH128">
        <v>0</v>
      </c>
      <c r="CD128" t="s">
        <v>257</v>
      </c>
      <c r="CE128" t="s">
        <v>480</v>
      </c>
      <c r="CF128">
        <f ca="1"/>
        <v>2564.0166758641026</v>
      </c>
      <c r="CT128" t="s">
        <v>257</v>
      </c>
      <c r="CU128" t="s">
        <v>243</v>
      </c>
      <c r="CV128">
        <f ca="1">OFFSET('Calculations 2'!$AJ$12,W128,X128)</f>
        <v>0</v>
      </c>
    </row>
    <row r="129" spans="17:100">
      <c r="Q129" t="s">
        <v>220</v>
      </c>
      <c r="R129" t="s">
        <v>489</v>
      </c>
      <c r="S129" t="s">
        <v>243</v>
      </c>
      <c r="T129">
        <f ca="1">OFFSET('Calculations 2'!$C$45,W129,X129)*OFFSET($M$6,W129,0)</f>
        <v>4.701173397620475</v>
      </c>
      <c r="V129">
        <f t="shared" si="5"/>
        <v>123</v>
      </c>
      <c r="W129">
        <f t="shared" si="6"/>
        <v>24</v>
      </c>
      <c r="X129">
        <f t="shared" si="7"/>
        <v>3</v>
      </c>
      <c r="AC129" t="s">
        <v>220</v>
      </c>
      <c r="AD129" t="s">
        <v>489</v>
      </c>
      <c r="AE129" t="s">
        <v>243</v>
      </c>
      <c r="AF129">
        <f ca="1">OFFSET('Calculations 2'!$CE$45,W129,0)*OFFSET($AA$6,X129,0)*OFFSET($M$6,W129,)</f>
        <v>0</v>
      </c>
      <c r="AY129" t="s">
        <v>220</v>
      </c>
      <c r="AZ129" t="s">
        <v>489</v>
      </c>
      <c r="BA129" t="s">
        <v>243</v>
      </c>
      <c r="BB129">
        <v>0</v>
      </c>
      <c r="BE129" t="s">
        <v>220</v>
      </c>
      <c r="BF129" t="s">
        <v>489</v>
      </c>
      <c r="BG129" t="s">
        <v>243</v>
      </c>
      <c r="BH129">
        <v>0</v>
      </c>
      <c r="CD129" t="s">
        <v>220</v>
      </c>
      <c r="CE129" t="s">
        <v>480</v>
      </c>
      <c r="CF129">
        <f ca="1"/>
        <v>1387.6260233976552</v>
      </c>
      <c r="CT129" t="s">
        <v>220</v>
      </c>
      <c r="CU129" t="s">
        <v>243</v>
      </c>
      <c r="CV129">
        <f ca="1">OFFSET('Calculations 2'!$AJ$12,W129,X129)</f>
        <v>0</v>
      </c>
    </row>
    <row r="130" spans="17:100">
      <c r="Q130" t="s">
        <v>235</v>
      </c>
      <c r="R130" t="s">
        <v>489</v>
      </c>
      <c r="S130" t="s">
        <v>243</v>
      </c>
      <c r="T130">
        <f ca="1">OFFSET('Calculations 2'!$C$45,W130,X130)*OFFSET($M$6,W130,0)</f>
        <v>19.803900191873471</v>
      </c>
      <c r="V130">
        <f t="shared" si="5"/>
        <v>124</v>
      </c>
      <c r="W130">
        <f t="shared" si="6"/>
        <v>25</v>
      </c>
      <c r="X130">
        <f t="shared" si="7"/>
        <v>3</v>
      </c>
      <c r="AC130" t="s">
        <v>235</v>
      </c>
      <c r="AD130" t="s">
        <v>489</v>
      </c>
      <c r="AE130" t="s">
        <v>243</v>
      </c>
      <c r="AF130">
        <f ca="1">OFFSET('Calculations 2'!$CE$45,W130,0)*OFFSET($AA$6,X130,0)*OFFSET($M$6,W130,)</f>
        <v>0</v>
      </c>
      <c r="AY130" t="s">
        <v>235</v>
      </c>
      <c r="AZ130" t="s">
        <v>489</v>
      </c>
      <c r="BA130" t="s">
        <v>243</v>
      </c>
      <c r="BB130">
        <v>0</v>
      </c>
      <c r="BE130" t="s">
        <v>235</v>
      </c>
      <c r="BF130" t="s">
        <v>489</v>
      </c>
      <c r="BG130" t="s">
        <v>243</v>
      </c>
      <c r="BH130">
        <v>0</v>
      </c>
      <c r="CD130" t="s">
        <v>235</v>
      </c>
      <c r="CE130" t="s">
        <v>480</v>
      </c>
      <c r="CF130">
        <f ca="1"/>
        <v>3201.7158985714782</v>
      </c>
      <c r="CT130" t="s">
        <v>235</v>
      </c>
      <c r="CU130" t="s">
        <v>243</v>
      </c>
      <c r="CV130">
        <f ca="1">OFFSET('Calculations 2'!$AJ$12,W130,X130)</f>
        <v>0</v>
      </c>
    </row>
    <row r="131" spans="17:100">
      <c r="Q131" t="s">
        <v>473</v>
      </c>
      <c r="R131" t="s">
        <v>489</v>
      </c>
      <c r="S131" t="s">
        <v>243</v>
      </c>
      <c r="T131">
        <f ca="1">OFFSET('Calculations 2'!$C$45,W131,X131)*OFFSET($M$6,W131,0)</f>
        <v>62.288888876960051</v>
      </c>
      <c r="V131">
        <f t="shared" si="5"/>
        <v>125</v>
      </c>
      <c r="W131">
        <f t="shared" si="6"/>
        <v>26</v>
      </c>
      <c r="X131">
        <f t="shared" si="7"/>
        <v>3</v>
      </c>
      <c r="AC131" t="s">
        <v>473</v>
      </c>
      <c r="AD131" t="s">
        <v>489</v>
      </c>
      <c r="AE131" t="s">
        <v>243</v>
      </c>
      <c r="AF131">
        <f ca="1">OFFSET('Calculations 2'!$CE$45,W131,0)*OFFSET($AA$6,X131,0)*OFFSET($M$6,W131,)</f>
        <v>0</v>
      </c>
      <c r="AY131" t="s">
        <v>473</v>
      </c>
      <c r="AZ131" t="s">
        <v>489</v>
      </c>
      <c r="BA131" t="s">
        <v>243</v>
      </c>
      <c r="BB131">
        <v>0</v>
      </c>
      <c r="BE131" t="s">
        <v>473</v>
      </c>
      <c r="BF131" t="s">
        <v>489</v>
      </c>
      <c r="BG131" t="s">
        <v>243</v>
      </c>
      <c r="BH131">
        <v>0</v>
      </c>
      <c r="CD131" t="s">
        <v>473</v>
      </c>
      <c r="CE131" t="s">
        <v>480</v>
      </c>
      <c r="CF131">
        <f ca="1"/>
        <v>1977.1272803806219</v>
      </c>
      <c r="CT131" t="s">
        <v>473</v>
      </c>
      <c r="CU131" t="s">
        <v>243</v>
      </c>
      <c r="CV131">
        <f ca="1">OFFSET('Calculations 2'!$AJ$12,W131,X131)</f>
        <v>0</v>
      </c>
    </row>
    <row r="132" spans="17:100">
      <c r="Q132" t="s">
        <v>233</v>
      </c>
      <c r="R132" t="s">
        <v>489</v>
      </c>
      <c r="S132" t="s">
        <v>243</v>
      </c>
      <c r="T132">
        <f ca="1">OFFSET('Calculations 2'!$C$45,W132,X132)*OFFSET($M$6,W132,0)</f>
        <v>36.739821280391176</v>
      </c>
      <c r="V132">
        <f t="shared" si="5"/>
        <v>126</v>
      </c>
      <c r="W132">
        <f t="shared" si="6"/>
        <v>27</v>
      </c>
      <c r="X132">
        <f t="shared" si="7"/>
        <v>3</v>
      </c>
      <c r="AC132" t="s">
        <v>233</v>
      </c>
      <c r="AD132" t="s">
        <v>489</v>
      </c>
      <c r="AE132" t="s">
        <v>243</v>
      </c>
      <c r="AF132">
        <f ca="1">OFFSET('Calculations 2'!$CE$45,W132,0)*OFFSET($AA$6,X132,0)*OFFSET($M$6,W132,)</f>
        <v>0</v>
      </c>
      <c r="AY132" t="s">
        <v>233</v>
      </c>
      <c r="AZ132" t="s">
        <v>489</v>
      </c>
      <c r="BA132" t="s">
        <v>243</v>
      </c>
      <c r="BB132">
        <v>0</v>
      </c>
      <c r="BE132" t="s">
        <v>233</v>
      </c>
      <c r="BF132" t="s">
        <v>489</v>
      </c>
      <c r="BG132" t="s">
        <v>243</v>
      </c>
      <c r="BH132">
        <v>0</v>
      </c>
      <c r="CD132" t="s">
        <v>233</v>
      </c>
      <c r="CE132" t="s">
        <v>480</v>
      </c>
      <c r="CF132">
        <f ca="1"/>
        <v>10308.935824972139</v>
      </c>
      <c r="CT132" t="s">
        <v>233</v>
      </c>
      <c r="CU132" t="s">
        <v>243</v>
      </c>
      <c r="CV132">
        <f ca="1">OFFSET('Calculations 2'!$AJ$12,W132,X132)</f>
        <v>0</v>
      </c>
    </row>
    <row r="133" spans="17:100">
      <c r="Q133" t="s">
        <v>474</v>
      </c>
      <c r="R133" t="s">
        <v>489</v>
      </c>
      <c r="S133" t="s">
        <v>243</v>
      </c>
      <c r="T133">
        <f ca="1">OFFSET('Calculations 2'!$C$45,W133,X133)*OFFSET($M$6,W133,0)</f>
        <v>16.678718732536076</v>
      </c>
      <c r="V133">
        <f t="shared" si="5"/>
        <v>127</v>
      </c>
      <c r="W133">
        <f t="shared" si="6"/>
        <v>28</v>
      </c>
      <c r="X133">
        <f t="shared" si="7"/>
        <v>3</v>
      </c>
      <c r="AC133" t="s">
        <v>474</v>
      </c>
      <c r="AD133" t="s">
        <v>489</v>
      </c>
      <c r="AE133" t="s">
        <v>243</v>
      </c>
      <c r="AF133">
        <f ca="1">OFFSET('Calculations 2'!$CE$45,W133,0)*OFFSET($AA$6,X133,0)*OFFSET($M$6,W133,)</f>
        <v>0</v>
      </c>
      <c r="AY133" t="s">
        <v>474</v>
      </c>
      <c r="AZ133" t="s">
        <v>489</v>
      </c>
      <c r="BA133" t="s">
        <v>243</v>
      </c>
      <c r="BB133">
        <v>0</v>
      </c>
      <c r="BE133" t="s">
        <v>474</v>
      </c>
      <c r="BF133" t="s">
        <v>489</v>
      </c>
      <c r="BG133" t="s">
        <v>243</v>
      </c>
      <c r="BH133">
        <v>0</v>
      </c>
      <c r="CD133" t="s">
        <v>474</v>
      </c>
      <c r="CE133" t="s">
        <v>480</v>
      </c>
      <c r="CF133">
        <f ca="1"/>
        <v>4072.9889524241512</v>
      </c>
      <c r="CT133" t="s">
        <v>474</v>
      </c>
      <c r="CU133" t="s">
        <v>243</v>
      </c>
      <c r="CV133">
        <f ca="1">OFFSET('Calculations 2'!$AJ$12,W133,X133)</f>
        <v>0</v>
      </c>
    </row>
    <row r="134" spans="17:100">
      <c r="Q134" t="s">
        <v>223</v>
      </c>
      <c r="R134" t="s">
        <v>489</v>
      </c>
      <c r="S134" t="s">
        <v>243</v>
      </c>
      <c r="T134">
        <f ca="1">OFFSET('Calculations 2'!$C$45,W134,X134)*OFFSET($M$6,W134,0)</f>
        <v>0</v>
      </c>
      <c r="V134">
        <f t="shared" si="5"/>
        <v>128</v>
      </c>
      <c r="W134">
        <f t="shared" si="6"/>
        <v>29</v>
      </c>
      <c r="X134">
        <f t="shared" si="7"/>
        <v>3</v>
      </c>
      <c r="AC134" t="s">
        <v>223</v>
      </c>
      <c r="AD134" t="s">
        <v>489</v>
      </c>
      <c r="AE134" t="s">
        <v>243</v>
      </c>
      <c r="AF134">
        <f ca="1">OFFSET('Calculations 2'!$CE$45,W134,0)*OFFSET($AA$6,X134,0)*OFFSET($M$6,W134,)</f>
        <v>0</v>
      </c>
      <c r="AY134" t="s">
        <v>223</v>
      </c>
      <c r="AZ134" t="s">
        <v>489</v>
      </c>
      <c r="BA134" t="s">
        <v>243</v>
      </c>
      <c r="BB134">
        <v>0</v>
      </c>
      <c r="BE134" t="s">
        <v>223</v>
      </c>
      <c r="BF134" t="s">
        <v>489</v>
      </c>
      <c r="BG134" t="s">
        <v>243</v>
      </c>
      <c r="BH134">
        <v>0</v>
      </c>
      <c r="CD134" t="s">
        <v>223</v>
      </c>
      <c r="CE134" t="s">
        <v>480</v>
      </c>
      <c r="CF134">
        <f ca="1"/>
        <v>1766.0338835152525</v>
      </c>
      <c r="CT134" t="s">
        <v>223</v>
      </c>
      <c r="CU134" t="s">
        <v>243</v>
      </c>
      <c r="CV134">
        <f ca="1">OFFSET('Calculations 2'!$AJ$12,W134,X134)</f>
        <v>0</v>
      </c>
    </row>
    <row r="135" spans="17:100">
      <c r="Q135" t="s">
        <v>475</v>
      </c>
      <c r="R135" t="s">
        <v>489</v>
      </c>
      <c r="S135" t="s">
        <v>243</v>
      </c>
      <c r="T135">
        <f ca="1">OFFSET('Calculations 2'!$C$45,W135,X135)*OFFSET($M$6,W135,0)</f>
        <v>0.12793460541314536</v>
      </c>
      <c r="V135">
        <f t="shared" si="5"/>
        <v>129</v>
      </c>
      <c r="W135">
        <f t="shared" si="6"/>
        <v>30</v>
      </c>
      <c r="X135">
        <f t="shared" si="7"/>
        <v>3</v>
      </c>
      <c r="AC135" t="s">
        <v>475</v>
      </c>
      <c r="AD135" t="s">
        <v>489</v>
      </c>
      <c r="AE135" t="s">
        <v>243</v>
      </c>
      <c r="AF135">
        <f ca="1">OFFSET('Calculations 2'!$CE$45,W135,0)*OFFSET($AA$6,X135,0)*OFFSET($M$6,W135,)</f>
        <v>0</v>
      </c>
      <c r="AY135" t="s">
        <v>475</v>
      </c>
      <c r="AZ135" t="s">
        <v>489</v>
      </c>
      <c r="BA135" t="s">
        <v>243</v>
      </c>
      <c r="BB135">
        <v>0</v>
      </c>
      <c r="BE135" t="s">
        <v>475</v>
      </c>
      <c r="BF135" t="s">
        <v>489</v>
      </c>
      <c r="BG135" t="s">
        <v>243</v>
      </c>
      <c r="BH135">
        <v>0</v>
      </c>
      <c r="CD135" t="s">
        <v>475</v>
      </c>
      <c r="CE135" t="s">
        <v>480</v>
      </c>
      <c r="CF135">
        <f ca="1"/>
        <v>1401.3176654749991</v>
      </c>
      <c r="CT135" t="s">
        <v>475</v>
      </c>
      <c r="CU135" t="s">
        <v>243</v>
      </c>
      <c r="CV135">
        <f ca="1">OFFSET('Calculations 2'!$AJ$12,W135,X135)</f>
        <v>0</v>
      </c>
    </row>
    <row r="136" spans="17:100">
      <c r="Q136" t="s">
        <v>476</v>
      </c>
      <c r="R136" t="s">
        <v>489</v>
      </c>
      <c r="S136" t="s">
        <v>243</v>
      </c>
      <c r="T136">
        <f ca="1">OFFSET('Calculations 2'!$C$45,W136,X136)*OFFSET($M$6,W136,0)</f>
        <v>0.80816304244951309</v>
      </c>
      <c r="V136">
        <f t="shared" ref="V136:V199" si="8">V135+1</f>
        <v>130</v>
      </c>
      <c r="W136">
        <f t="shared" ref="W136:W199" si="9">MOD(V136,$V$3)</f>
        <v>31</v>
      </c>
      <c r="X136">
        <f t="shared" ref="X136:X199" si="10">FLOOR(V136/$V$3,1)</f>
        <v>3</v>
      </c>
      <c r="AC136" t="s">
        <v>476</v>
      </c>
      <c r="AD136" t="s">
        <v>489</v>
      </c>
      <c r="AE136" t="s">
        <v>243</v>
      </c>
      <c r="AF136">
        <f ca="1">OFFSET('Calculations 2'!$CE$45,W136,0)*OFFSET($AA$6,X136,0)*OFFSET($M$6,W136,)</f>
        <v>0</v>
      </c>
      <c r="AY136" t="s">
        <v>476</v>
      </c>
      <c r="AZ136" t="s">
        <v>489</v>
      </c>
      <c r="BA136" t="s">
        <v>243</v>
      </c>
      <c r="BB136">
        <v>0</v>
      </c>
      <c r="BE136" t="s">
        <v>476</v>
      </c>
      <c r="BF136" t="s">
        <v>489</v>
      </c>
      <c r="BG136" t="s">
        <v>243</v>
      </c>
      <c r="BH136">
        <v>0</v>
      </c>
      <c r="CD136" t="s">
        <v>476</v>
      </c>
      <c r="CE136" t="s">
        <v>480</v>
      </c>
      <c r="CF136">
        <f ca="1"/>
        <v>748.05223835766924</v>
      </c>
      <c r="CT136" t="s">
        <v>476</v>
      </c>
      <c r="CU136" t="s">
        <v>243</v>
      </c>
      <c r="CV136">
        <f ca="1">OFFSET('Calculations 2'!$AJ$12,W136,X136)</f>
        <v>0</v>
      </c>
    </row>
    <row r="137" spans="17:100">
      <c r="Q137" t="s">
        <v>222</v>
      </c>
      <c r="R137" t="s">
        <v>489</v>
      </c>
      <c r="S137" t="s">
        <v>243</v>
      </c>
      <c r="T137">
        <f ca="1">OFFSET('Calculations 2'!$C$45,W137,X137)*OFFSET($M$6,W137,0)</f>
        <v>0</v>
      </c>
      <c r="V137">
        <f t="shared" si="8"/>
        <v>131</v>
      </c>
      <c r="W137">
        <f t="shared" si="9"/>
        <v>32</v>
      </c>
      <c r="X137">
        <f t="shared" si="10"/>
        <v>3</v>
      </c>
      <c r="AC137" t="s">
        <v>222</v>
      </c>
      <c r="AD137" t="s">
        <v>489</v>
      </c>
      <c r="AE137" t="s">
        <v>243</v>
      </c>
      <c r="AF137">
        <f ca="1">OFFSET('Calculations 2'!$CE$45,W137,0)*OFFSET($AA$6,X137,0)*OFFSET($M$6,W137,)</f>
        <v>0</v>
      </c>
      <c r="AY137" t="s">
        <v>222</v>
      </c>
      <c r="AZ137" t="s">
        <v>489</v>
      </c>
      <c r="BA137" t="s">
        <v>243</v>
      </c>
      <c r="BB137">
        <v>0</v>
      </c>
      <c r="BE137" t="s">
        <v>222</v>
      </c>
      <c r="BF137" t="s">
        <v>489</v>
      </c>
      <c r="BG137" t="s">
        <v>243</v>
      </c>
      <c r="BH137">
        <v>0</v>
      </c>
      <c r="CD137" t="s">
        <v>222</v>
      </c>
      <c r="CE137" t="s">
        <v>480</v>
      </c>
      <c r="CF137">
        <f ca="1"/>
        <v>517.43712084263393</v>
      </c>
      <c r="CT137" t="s">
        <v>222</v>
      </c>
      <c r="CU137" t="s">
        <v>243</v>
      </c>
      <c r="CV137">
        <f ca="1">OFFSET('Calculations 2'!$AJ$12,W137,X137)</f>
        <v>0</v>
      </c>
    </row>
    <row r="138" spans="17:100">
      <c r="Q138" t="s">
        <v>217</v>
      </c>
      <c r="R138" t="s">
        <v>489</v>
      </c>
      <c r="S138" t="s">
        <v>228</v>
      </c>
      <c r="T138">
        <f ca="1">OFFSET('Calculations 2'!$C$45,W138,X138)*OFFSET($M$6,W138,0)</f>
        <v>0</v>
      </c>
      <c r="V138">
        <f t="shared" si="8"/>
        <v>132</v>
      </c>
      <c r="W138">
        <f t="shared" si="9"/>
        <v>0</v>
      </c>
      <c r="X138">
        <f t="shared" si="10"/>
        <v>4</v>
      </c>
      <c r="AC138" t="s">
        <v>217</v>
      </c>
      <c r="AD138" t="s">
        <v>489</v>
      </c>
      <c r="AE138" t="s">
        <v>228</v>
      </c>
      <c r="AF138">
        <f ca="1">OFFSET('Calculations 2'!$CE$45,W138,0)*OFFSET($AA$6,X138,0)*OFFSET($M$6,W138,)</f>
        <v>3.5153656288387954E-4</v>
      </c>
      <c r="AY138" t="s">
        <v>217</v>
      </c>
      <c r="AZ138" t="s">
        <v>489</v>
      </c>
      <c r="BA138" t="s">
        <v>228</v>
      </c>
      <c r="BB138">
        <v>0</v>
      </c>
      <c r="BE138" t="s">
        <v>217</v>
      </c>
      <c r="BF138" t="s">
        <v>489</v>
      </c>
      <c r="BG138" t="s">
        <v>228</v>
      </c>
      <c r="BH138">
        <v>0</v>
      </c>
      <c r="CT138" t="s">
        <v>217</v>
      </c>
      <c r="CU138" t="s">
        <v>228</v>
      </c>
      <c r="CV138">
        <f ca="1">OFFSET('Calculations 2'!$AJ$12,W138,X138)</f>
        <v>0</v>
      </c>
    </row>
    <row r="139" spans="17:100">
      <c r="Q139" t="s">
        <v>232</v>
      </c>
      <c r="R139" t="s">
        <v>489</v>
      </c>
      <c r="S139" t="s">
        <v>228</v>
      </c>
      <c r="T139">
        <f ca="1">OFFSET('Calculations 2'!$C$45,W139,X139)*OFFSET($M$6,W139,0)</f>
        <v>0</v>
      </c>
      <c r="V139">
        <f t="shared" si="8"/>
        <v>133</v>
      </c>
      <c r="W139">
        <f t="shared" si="9"/>
        <v>1</v>
      </c>
      <c r="X139">
        <f t="shared" si="10"/>
        <v>4</v>
      </c>
      <c r="AC139" t="s">
        <v>232</v>
      </c>
      <c r="AD139" t="s">
        <v>489</v>
      </c>
      <c r="AE139" t="s">
        <v>228</v>
      </c>
      <c r="AF139">
        <f ca="1">OFFSET('Calculations 2'!$CE$45,W139,0)*OFFSET($AA$6,X139,0)*OFFSET($M$6,W139,)</f>
        <v>6.1322678534355844E-4</v>
      </c>
      <c r="AY139" t="s">
        <v>232</v>
      </c>
      <c r="AZ139" t="s">
        <v>489</v>
      </c>
      <c r="BA139" t="s">
        <v>228</v>
      </c>
      <c r="BB139">
        <v>0</v>
      </c>
      <c r="BE139" t="s">
        <v>232</v>
      </c>
      <c r="BF139" t="s">
        <v>489</v>
      </c>
      <c r="BG139" t="s">
        <v>228</v>
      </c>
      <c r="BH139">
        <v>0</v>
      </c>
      <c r="CT139" t="s">
        <v>232</v>
      </c>
      <c r="CU139" t="s">
        <v>228</v>
      </c>
      <c r="CV139">
        <f ca="1">OFFSET('Calculations 2'!$AJ$12,W139,X139)</f>
        <v>0</v>
      </c>
    </row>
    <row r="140" spans="17:100">
      <c r="Q140" t="s">
        <v>226</v>
      </c>
      <c r="R140" t="s">
        <v>489</v>
      </c>
      <c r="S140" t="s">
        <v>228</v>
      </c>
      <c r="T140">
        <f ca="1">OFFSET('Calculations 2'!$C$45,W140,X140)*OFFSET($M$6,W140,0)</f>
        <v>0</v>
      </c>
      <c r="V140">
        <f t="shared" si="8"/>
        <v>134</v>
      </c>
      <c r="W140">
        <f t="shared" si="9"/>
        <v>2</v>
      </c>
      <c r="X140">
        <f t="shared" si="10"/>
        <v>4</v>
      </c>
      <c r="AC140" t="s">
        <v>226</v>
      </c>
      <c r="AD140" t="s">
        <v>489</v>
      </c>
      <c r="AE140" t="s">
        <v>228</v>
      </c>
      <c r="AF140">
        <f ca="1">OFFSET('Calculations 2'!$CE$45,W140,0)*OFFSET($AA$6,X140,0)*OFFSET($M$6,W140,)</f>
        <v>1.032544780977815E-3</v>
      </c>
      <c r="AY140" t="s">
        <v>226</v>
      </c>
      <c r="AZ140" t="s">
        <v>489</v>
      </c>
      <c r="BA140" t="s">
        <v>228</v>
      </c>
      <c r="BB140">
        <v>0</v>
      </c>
      <c r="BE140" t="s">
        <v>226</v>
      </c>
      <c r="BF140" t="s">
        <v>489</v>
      </c>
      <c r="BG140" t="s">
        <v>228</v>
      </c>
      <c r="BH140">
        <v>0</v>
      </c>
      <c r="CT140" t="s">
        <v>226</v>
      </c>
      <c r="CU140" t="s">
        <v>228</v>
      </c>
      <c r="CV140">
        <f ca="1">OFFSET('Calculations 2'!$AJ$12,W140,X140)</f>
        <v>0</v>
      </c>
    </row>
    <row r="141" spans="17:100">
      <c r="Q141" t="s">
        <v>243</v>
      </c>
      <c r="R141" t="s">
        <v>489</v>
      </c>
      <c r="S141" t="s">
        <v>228</v>
      </c>
      <c r="T141">
        <f ca="1">OFFSET('Calculations 2'!$C$45,W141,X141)*OFFSET($M$6,W141,0)</f>
        <v>0.34793832445302947</v>
      </c>
      <c r="V141">
        <f t="shared" si="8"/>
        <v>135</v>
      </c>
      <c r="W141">
        <f t="shared" si="9"/>
        <v>3</v>
      </c>
      <c r="X141">
        <f t="shared" si="10"/>
        <v>4</v>
      </c>
      <c r="AC141" t="s">
        <v>243</v>
      </c>
      <c r="AD141" t="s">
        <v>489</v>
      </c>
      <c r="AE141" t="s">
        <v>228</v>
      </c>
      <c r="AF141">
        <f ca="1">OFFSET('Calculations 2'!$CE$45,W141,0)*OFFSET($AA$6,X141,0)*OFFSET($M$6,W141,)</f>
        <v>5.3783761649979309E-3</v>
      </c>
      <c r="AY141" t="s">
        <v>243</v>
      </c>
      <c r="AZ141" t="s">
        <v>489</v>
      </c>
      <c r="BA141" t="s">
        <v>228</v>
      </c>
      <c r="BB141">
        <v>0</v>
      </c>
      <c r="BE141" t="s">
        <v>243</v>
      </c>
      <c r="BF141" t="s">
        <v>489</v>
      </c>
      <c r="BG141" t="s">
        <v>228</v>
      </c>
      <c r="BH141">
        <v>0</v>
      </c>
      <c r="CT141" t="s">
        <v>243</v>
      </c>
      <c r="CU141" t="s">
        <v>228</v>
      </c>
      <c r="CV141">
        <f ca="1">OFFSET('Calculations 2'!$AJ$12,W141,X141)</f>
        <v>0</v>
      </c>
    </row>
    <row r="142" spans="17:100">
      <c r="Q142" t="s">
        <v>228</v>
      </c>
      <c r="R142" t="s">
        <v>489</v>
      </c>
      <c r="S142" t="s">
        <v>228</v>
      </c>
      <c r="T142">
        <f ca="1">OFFSET('Calculations 2'!$C$45,W142,X142)*OFFSET($M$6,W142,0)</f>
        <v>9.2496089750234121E-3</v>
      </c>
      <c r="V142">
        <f t="shared" si="8"/>
        <v>136</v>
      </c>
      <c r="W142">
        <f t="shared" si="9"/>
        <v>4</v>
      </c>
      <c r="X142">
        <f t="shared" si="10"/>
        <v>4</v>
      </c>
      <c r="AC142" t="s">
        <v>228</v>
      </c>
      <c r="AD142" t="s">
        <v>489</v>
      </c>
      <c r="AE142" t="s">
        <v>228</v>
      </c>
      <c r="AF142">
        <f ca="1">OFFSET('Calculations 2'!$CE$45,W142,0)*OFFSET($AA$6,X142,0)*OFFSET($M$6,W142,)</f>
        <v>3.8163471329562992E-5</v>
      </c>
      <c r="AY142" t="s">
        <v>228</v>
      </c>
      <c r="AZ142" t="s">
        <v>489</v>
      </c>
      <c r="BA142" t="s">
        <v>228</v>
      </c>
      <c r="BB142">
        <v>0</v>
      </c>
      <c r="BE142" t="s">
        <v>228</v>
      </c>
      <c r="BF142" t="s">
        <v>489</v>
      </c>
      <c r="BG142" t="s">
        <v>228</v>
      </c>
      <c r="BH142">
        <v>0</v>
      </c>
      <c r="CT142" t="s">
        <v>228</v>
      </c>
      <c r="CU142" t="s">
        <v>228</v>
      </c>
      <c r="CV142">
        <f ca="1">OFFSET('Calculations 2'!$AJ$12,W142,X142)</f>
        <v>29.598000000000006</v>
      </c>
    </row>
    <row r="143" spans="17:100">
      <c r="Q143" t="s">
        <v>246</v>
      </c>
      <c r="R143" t="s">
        <v>489</v>
      </c>
      <c r="S143" t="s">
        <v>228</v>
      </c>
      <c r="T143">
        <f ca="1">OFFSET('Calculations 2'!$C$45,W143,X143)*OFFSET($M$6,W143,0)</f>
        <v>0</v>
      </c>
      <c r="V143">
        <f t="shared" si="8"/>
        <v>137</v>
      </c>
      <c r="W143">
        <f t="shared" si="9"/>
        <v>5</v>
      </c>
      <c r="X143">
        <f t="shared" si="10"/>
        <v>4</v>
      </c>
      <c r="AC143" t="s">
        <v>246</v>
      </c>
      <c r="AD143" t="s">
        <v>489</v>
      </c>
      <c r="AE143" t="s">
        <v>228</v>
      </c>
      <c r="AF143">
        <f ca="1">OFFSET('Calculations 2'!$CE$45,W143,0)*OFFSET($AA$6,X143,0)*OFFSET($M$6,W143,)</f>
        <v>2.34933839006309E-4</v>
      </c>
      <c r="AY143" t="s">
        <v>246</v>
      </c>
      <c r="AZ143" t="s">
        <v>489</v>
      </c>
      <c r="BA143" t="s">
        <v>228</v>
      </c>
      <c r="BB143">
        <v>0</v>
      </c>
      <c r="BE143" t="s">
        <v>246</v>
      </c>
      <c r="BF143" t="s">
        <v>489</v>
      </c>
      <c r="BG143" t="s">
        <v>228</v>
      </c>
      <c r="BH143">
        <v>0</v>
      </c>
      <c r="CT143" t="s">
        <v>246</v>
      </c>
      <c r="CU143" t="s">
        <v>228</v>
      </c>
      <c r="CV143">
        <f ca="1">OFFSET('Calculations 2'!$AJ$12,W143,X143)</f>
        <v>0</v>
      </c>
    </row>
    <row r="144" spans="17:100">
      <c r="Q144" t="s">
        <v>239</v>
      </c>
      <c r="R144" t="s">
        <v>489</v>
      </c>
      <c r="S144" t="s">
        <v>228</v>
      </c>
      <c r="T144">
        <f ca="1">OFFSET('Calculations 2'!$C$45,W144,X144)*OFFSET($M$6,W144,0)</f>
        <v>0.15142241371853291</v>
      </c>
      <c r="V144">
        <f t="shared" si="8"/>
        <v>138</v>
      </c>
      <c r="W144">
        <f t="shared" si="9"/>
        <v>6</v>
      </c>
      <c r="X144">
        <f t="shared" si="10"/>
        <v>4</v>
      </c>
      <c r="AC144" t="s">
        <v>239</v>
      </c>
      <c r="AD144" t="s">
        <v>489</v>
      </c>
      <c r="AE144" t="s">
        <v>228</v>
      </c>
      <c r="AF144">
        <f ca="1">OFFSET('Calculations 2'!$CE$45,W144,0)*OFFSET($AA$6,X144,0)*OFFSET($M$6,W144,)</f>
        <v>4.7023467179761729E-3</v>
      </c>
      <c r="AY144" t="s">
        <v>239</v>
      </c>
      <c r="AZ144" t="s">
        <v>489</v>
      </c>
      <c r="BA144" t="s">
        <v>228</v>
      </c>
      <c r="BB144">
        <v>0</v>
      </c>
      <c r="BE144" t="s">
        <v>239</v>
      </c>
      <c r="BF144" t="s">
        <v>489</v>
      </c>
      <c r="BG144" t="s">
        <v>228</v>
      </c>
      <c r="BH144">
        <v>0</v>
      </c>
      <c r="CT144" t="s">
        <v>239</v>
      </c>
      <c r="CU144" t="s">
        <v>228</v>
      </c>
      <c r="CV144">
        <f ca="1">OFFSET('Calculations 2'!$AJ$12,W144,X144)</f>
        <v>0</v>
      </c>
    </row>
    <row r="145" spans="17:100">
      <c r="Q145" t="s">
        <v>466</v>
      </c>
      <c r="R145" t="s">
        <v>489</v>
      </c>
      <c r="S145" t="s">
        <v>228</v>
      </c>
      <c r="T145">
        <f ca="1">OFFSET('Calculations 2'!$C$45,W145,X145)*OFFSET($M$6,W145,0)</f>
        <v>4.4477575983238052E-2</v>
      </c>
      <c r="V145">
        <f t="shared" si="8"/>
        <v>139</v>
      </c>
      <c r="W145">
        <f t="shared" si="9"/>
        <v>7</v>
      </c>
      <c r="X145">
        <f t="shared" si="10"/>
        <v>4</v>
      </c>
      <c r="AC145" t="s">
        <v>466</v>
      </c>
      <c r="AD145" t="s">
        <v>489</v>
      </c>
      <c r="AE145" t="s">
        <v>228</v>
      </c>
      <c r="AF145">
        <f ca="1">OFFSET('Calculations 2'!$CE$45,W145,0)*OFFSET($AA$6,X145,0)*OFFSET($M$6,W145,)</f>
        <v>7.1654663808729197E-4</v>
      </c>
      <c r="AY145" t="s">
        <v>466</v>
      </c>
      <c r="AZ145" t="s">
        <v>489</v>
      </c>
      <c r="BA145" t="s">
        <v>228</v>
      </c>
      <c r="BB145">
        <v>0</v>
      </c>
      <c r="BE145" t="s">
        <v>466</v>
      </c>
      <c r="BF145" t="s">
        <v>489</v>
      </c>
      <c r="BG145" t="s">
        <v>228</v>
      </c>
      <c r="BH145">
        <v>0</v>
      </c>
      <c r="CT145" t="s">
        <v>466</v>
      </c>
      <c r="CU145" t="s">
        <v>228</v>
      </c>
      <c r="CV145">
        <f ca="1">OFFSET('Calculations 2'!$AJ$12,W145,X145)</f>
        <v>0</v>
      </c>
    </row>
    <row r="146" spans="17:100">
      <c r="Q146" t="s">
        <v>219</v>
      </c>
      <c r="R146" t="s">
        <v>489</v>
      </c>
      <c r="S146" t="s">
        <v>228</v>
      </c>
      <c r="T146">
        <f ca="1">OFFSET('Calculations 2'!$C$45,W146,X146)*OFFSET($M$6,W146,0)</f>
        <v>0.16353239577170353</v>
      </c>
      <c r="V146">
        <f t="shared" si="8"/>
        <v>140</v>
      </c>
      <c r="W146">
        <f t="shared" si="9"/>
        <v>8</v>
      </c>
      <c r="X146">
        <f t="shared" si="10"/>
        <v>4</v>
      </c>
      <c r="AC146" t="s">
        <v>219</v>
      </c>
      <c r="AD146" t="s">
        <v>489</v>
      </c>
      <c r="AE146" t="s">
        <v>228</v>
      </c>
      <c r="AF146">
        <f ca="1">OFFSET('Calculations 2'!$CE$45,W146,0)*OFFSET($AA$6,X146,0)*OFFSET($M$6,W146,)</f>
        <v>4.4620823379740429E-3</v>
      </c>
      <c r="AY146" t="s">
        <v>219</v>
      </c>
      <c r="AZ146" t="s">
        <v>489</v>
      </c>
      <c r="BA146" t="s">
        <v>228</v>
      </c>
      <c r="BB146">
        <v>0</v>
      </c>
      <c r="BE146" t="s">
        <v>219</v>
      </c>
      <c r="BF146" t="s">
        <v>489</v>
      </c>
      <c r="BG146" t="s">
        <v>228</v>
      </c>
      <c r="BH146">
        <v>0</v>
      </c>
      <c r="CT146" t="s">
        <v>219</v>
      </c>
      <c r="CU146" t="s">
        <v>228</v>
      </c>
      <c r="CV146">
        <f ca="1">OFFSET('Calculations 2'!$AJ$12,W146,X146)</f>
        <v>0</v>
      </c>
    </row>
    <row r="147" spans="17:100">
      <c r="Q147" t="s">
        <v>242</v>
      </c>
      <c r="R147" t="s">
        <v>489</v>
      </c>
      <c r="S147" t="s">
        <v>228</v>
      </c>
      <c r="T147">
        <f ca="1">OFFSET('Calculations 2'!$C$45,W147,X147)*OFFSET($M$6,W147,0)</f>
        <v>0.2114167403162247</v>
      </c>
      <c r="V147">
        <f t="shared" si="8"/>
        <v>141</v>
      </c>
      <c r="W147">
        <f t="shared" si="9"/>
        <v>9</v>
      </c>
      <c r="X147">
        <f t="shared" si="10"/>
        <v>4</v>
      </c>
      <c r="AC147" t="s">
        <v>242</v>
      </c>
      <c r="AD147" t="s">
        <v>489</v>
      </c>
      <c r="AE147" t="s">
        <v>228</v>
      </c>
      <c r="AF147">
        <f ca="1">OFFSET('Calculations 2'!$CE$45,W147,0)*OFFSET($AA$6,X147,0)*OFFSET($M$6,W147,)</f>
        <v>6.9849596242766874E-3</v>
      </c>
      <c r="AY147" t="s">
        <v>242</v>
      </c>
      <c r="AZ147" t="s">
        <v>489</v>
      </c>
      <c r="BA147" t="s">
        <v>228</v>
      </c>
      <c r="BB147">
        <v>0</v>
      </c>
      <c r="BE147" t="s">
        <v>242</v>
      </c>
      <c r="BF147" t="s">
        <v>489</v>
      </c>
      <c r="BG147" t="s">
        <v>228</v>
      </c>
      <c r="BH147">
        <v>0</v>
      </c>
      <c r="CT147" t="s">
        <v>242</v>
      </c>
      <c r="CU147" t="s">
        <v>228</v>
      </c>
      <c r="CV147">
        <f ca="1">OFFSET('Calculations 2'!$AJ$12,W147,X147)</f>
        <v>0</v>
      </c>
    </row>
    <row r="148" spans="17:100">
      <c r="Q148" t="s">
        <v>467</v>
      </c>
      <c r="R148" t="s">
        <v>489</v>
      </c>
      <c r="S148" t="s">
        <v>228</v>
      </c>
      <c r="T148">
        <f ca="1">OFFSET('Calculations 2'!$C$45,W148,X148)*OFFSET($M$6,W148,0)</f>
        <v>0.26455062544134639</v>
      </c>
      <c r="V148">
        <f t="shared" si="8"/>
        <v>142</v>
      </c>
      <c r="W148">
        <f t="shared" si="9"/>
        <v>10</v>
      </c>
      <c r="X148">
        <f t="shared" si="10"/>
        <v>4</v>
      </c>
      <c r="AC148" t="s">
        <v>467</v>
      </c>
      <c r="AD148" t="s">
        <v>489</v>
      </c>
      <c r="AE148" t="s">
        <v>228</v>
      </c>
      <c r="AF148">
        <f ca="1">OFFSET('Calculations 2'!$CE$45,W148,0)*OFFSET($AA$6,X148,0)*OFFSET($M$6,W148,)</f>
        <v>6.4706968794971528E-3</v>
      </c>
      <c r="AY148" t="s">
        <v>467</v>
      </c>
      <c r="AZ148" t="s">
        <v>489</v>
      </c>
      <c r="BA148" t="s">
        <v>228</v>
      </c>
      <c r="BB148">
        <v>0</v>
      </c>
      <c r="BE148" t="s">
        <v>467</v>
      </c>
      <c r="BF148" t="s">
        <v>489</v>
      </c>
      <c r="BG148" t="s">
        <v>228</v>
      </c>
      <c r="BH148">
        <v>0</v>
      </c>
      <c r="CT148" t="s">
        <v>467</v>
      </c>
      <c r="CU148" t="s">
        <v>228</v>
      </c>
      <c r="CV148">
        <f ca="1">OFFSET('Calculations 2'!$AJ$12,W148,X148)</f>
        <v>0</v>
      </c>
    </row>
    <row r="149" spans="17:100">
      <c r="Q149" t="s">
        <v>231</v>
      </c>
      <c r="R149" t="s">
        <v>489</v>
      </c>
      <c r="S149" t="s">
        <v>228</v>
      </c>
      <c r="T149">
        <f ca="1">OFFSET('Calculations 2'!$C$45,W149,X149)*OFFSET($M$6,W149,0)</f>
        <v>0</v>
      </c>
      <c r="V149">
        <f t="shared" si="8"/>
        <v>143</v>
      </c>
      <c r="W149">
        <f t="shared" si="9"/>
        <v>11</v>
      </c>
      <c r="X149">
        <f t="shared" si="10"/>
        <v>4</v>
      </c>
      <c r="AC149" t="s">
        <v>231</v>
      </c>
      <c r="AD149" t="s">
        <v>489</v>
      </c>
      <c r="AE149" t="s">
        <v>228</v>
      </c>
      <c r="AF149">
        <f ca="1">OFFSET('Calculations 2'!$CE$45,W149,0)*OFFSET($AA$6,X149,0)*OFFSET($M$6,W149,)</f>
        <v>1.8925669633404328E-2</v>
      </c>
      <c r="AY149" t="s">
        <v>231</v>
      </c>
      <c r="AZ149" t="s">
        <v>489</v>
      </c>
      <c r="BA149" t="s">
        <v>228</v>
      </c>
      <c r="BB149">
        <v>0</v>
      </c>
      <c r="BE149" t="s">
        <v>231</v>
      </c>
      <c r="BF149" t="s">
        <v>489</v>
      </c>
      <c r="BG149" t="s">
        <v>228</v>
      </c>
      <c r="BH149">
        <v>0</v>
      </c>
      <c r="CT149" t="s">
        <v>231</v>
      </c>
      <c r="CU149" t="s">
        <v>228</v>
      </c>
      <c r="CV149">
        <f ca="1">OFFSET('Calculations 2'!$AJ$12,W149,X149)</f>
        <v>0</v>
      </c>
    </row>
    <row r="150" spans="17:100">
      <c r="Q150" t="s">
        <v>468</v>
      </c>
      <c r="R150" t="s">
        <v>489</v>
      </c>
      <c r="S150" t="s">
        <v>228</v>
      </c>
      <c r="T150">
        <f ca="1">OFFSET('Calculations 2'!$C$45,W150,X150)*OFFSET($M$6,W150,0)</f>
        <v>2.1569218813426421E-3</v>
      </c>
      <c r="V150">
        <f t="shared" si="8"/>
        <v>144</v>
      </c>
      <c r="W150">
        <f t="shared" si="9"/>
        <v>12</v>
      </c>
      <c r="X150">
        <f t="shared" si="10"/>
        <v>4</v>
      </c>
      <c r="AC150" t="s">
        <v>468</v>
      </c>
      <c r="AD150" t="s">
        <v>489</v>
      </c>
      <c r="AE150" t="s">
        <v>228</v>
      </c>
      <c r="AF150">
        <f ca="1">OFFSET('Calculations 2'!$CE$45,W150,0)*OFFSET($AA$6,X150,0)*OFFSET($M$6,W150,)</f>
        <v>2.7393415038370738E-2</v>
      </c>
      <c r="AY150" t="s">
        <v>468</v>
      </c>
      <c r="AZ150" t="s">
        <v>489</v>
      </c>
      <c r="BA150" t="s">
        <v>228</v>
      </c>
      <c r="BB150">
        <v>0</v>
      </c>
      <c r="BE150" t="s">
        <v>468</v>
      </c>
      <c r="BF150" t="s">
        <v>489</v>
      </c>
      <c r="BG150" t="s">
        <v>228</v>
      </c>
      <c r="BH150">
        <v>0</v>
      </c>
      <c r="CT150" t="s">
        <v>468</v>
      </c>
      <c r="CU150" t="s">
        <v>228</v>
      </c>
      <c r="CV150">
        <f ca="1">OFFSET('Calculations 2'!$AJ$12,W150,X150)</f>
        <v>0</v>
      </c>
    </row>
    <row r="151" spans="17:100">
      <c r="Q151" t="s">
        <v>469</v>
      </c>
      <c r="R151" t="s">
        <v>489</v>
      </c>
      <c r="S151" t="s">
        <v>228</v>
      </c>
      <c r="T151">
        <f ca="1">OFFSET('Calculations 2'!$C$45,W151,X151)*OFFSET($M$6,W151,0)</f>
        <v>0</v>
      </c>
      <c r="V151">
        <f t="shared" si="8"/>
        <v>145</v>
      </c>
      <c r="W151">
        <f t="shared" si="9"/>
        <v>13</v>
      </c>
      <c r="X151">
        <f t="shared" si="10"/>
        <v>4</v>
      </c>
      <c r="AC151" t="s">
        <v>469</v>
      </c>
      <c r="AD151" t="s">
        <v>489</v>
      </c>
      <c r="AE151" t="s">
        <v>228</v>
      </c>
      <c r="AF151">
        <f ca="1">OFFSET('Calculations 2'!$CE$45,W151,0)*OFFSET($AA$6,X151,0)*OFFSET($M$6,W151,)</f>
        <v>5.6984246852759459E-3</v>
      </c>
      <c r="AY151" t="s">
        <v>469</v>
      </c>
      <c r="AZ151" t="s">
        <v>489</v>
      </c>
      <c r="BA151" t="s">
        <v>228</v>
      </c>
      <c r="BB151">
        <v>0</v>
      </c>
      <c r="BE151" t="s">
        <v>469</v>
      </c>
      <c r="BF151" t="s">
        <v>489</v>
      </c>
      <c r="BG151" t="s">
        <v>228</v>
      </c>
      <c r="BH151">
        <v>0</v>
      </c>
      <c r="CT151" t="s">
        <v>469</v>
      </c>
      <c r="CU151" t="s">
        <v>228</v>
      </c>
      <c r="CV151">
        <f ca="1">OFFSET('Calculations 2'!$AJ$12,W151,X151)</f>
        <v>0</v>
      </c>
    </row>
    <row r="152" spans="17:100">
      <c r="Q152" t="s">
        <v>245</v>
      </c>
      <c r="R152" t="s">
        <v>489</v>
      </c>
      <c r="S152" t="s">
        <v>228</v>
      </c>
      <c r="T152">
        <f ca="1">OFFSET('Calculations 2'!$C$45,W152,X152)*OFFSET($M$6,W152,0)</f>
        <v>8.6809977094548735E-4</v>
      </c>
      <c r="V152">
        <f t="shared" si="8"/>
        <v>146</v>
      </c>
      <c r="W152">
        <f t="shared" si="9"/>
        <v>14</v>
      </c>
      <c r="X152">
        <f t="shared" si="10"/>
        <v>4</v>
      </c>
      <c r="AC152" t="s">
        <v>245</v>
      </c>
      <c r="AD152" t="s">
        <v>489</v>
      </c>
      <c r="AE152" t="s">
        <v>228</v>
      </c>
      <c r="AF152">
        <f ca="1">OFFSET('Calculations 2'!$CE$45,W152,0)*OFFSET($AA$6,X152,0)*OFFSET($M$6,W152,)</f>
        <v>8.2314198356861733E-3</v>
      </c>
      <c r="AY152" t="s">
        <v>245</v>
      </c>
      <c r="AZ152" t="s">
        <v>489</v>
      </c>
      <c r="BA152" t="s">
        <v>228</v>
      </c>
      <c r="BB152">
        <v>0</v>
      </c>
      <c r="BE152" t="s">
        <v>245</v>
      </c>
      <c r="BF152" t="s">
        <v>489</v>
      </c>
      <c r="BG152" t="s">
        <v>228</v>
      </c>
      <c r="BH152">
        <v>0</v>
      </c>
      <c r="CT152" t="s">
        <v>245</v>
      </c>
      <c r="CU152" t="s">
        <v>228</v>
      </c>
      <c r="CV152">
        <f ca="1">OFFSET('Calculations 2'!$AJ$12,W152,X152)</f>
        <v>0</v>
      </c>
    </row>
    <row r="153" spans="17:100">
      <c r="Q153" t="s">
        <v>470</v>
      </c>
      <c r="R153" t="s">
        <v>489</v>
      </c>
      <c r="S153" t="s">
        <v>228</v>
      </c>
      <c r="T153">
        <f ca="1">OFFSET('Calculations 2'!$C$45,W153,X153)*OFFSET($M$6,W153,0)</f>
        <v>0.20415212981688338</v>
      </c>
      <c r="V153">
        <f t="shared" si="8"/>
        <v>147</v>
      </c>
      <c r="W153">
        <f t="shared" si="9"/>
        <v>15</v>
      </c>
      <c r="X153">
        <f t="shared" si="10"/>
        <v>4</v>
      </c>
      <c r="AC153" t="s">
        <v>470</v>
      </c>
      <c r="AD153" t="s">
        <v>489</v>
      </c>
      <c r="AE153" t="s">
        <v>228</v>
      </c>
      <c r="AF153">
        <f ca="1">OFFSET('Calculations 2'!$CE$45,W153,0)*OFFSET($AA$6,X153,0)*OFFSET($M$6,W153,)</f>
        <v>2.2413622628958227E-2</v>
      </c>
      <c r="AY153" t="s">
        <v>470</v>
      </c>
      <c r="AZ153" t="s">
        <v>489</v>
      </c>
      <c r="BA153" t="s">
        <v>228</v>
      </c>
      <c r="BB153">
        <v>0</v>
      </c>
      <c r="BE153" t="s">
        <v>470</v>
      </c>
      <c r="BF153" t="s">
        <v>489</v>
      </c>
      <c r="BG153" t="s">
        <v>228</v>
      </c>
      <c r="BH153">
        <v>0</v>
      </c>
      <c r="CT153" t="s">
        <v>470</v>
      </c>
      <c r="CU153" t="s">
        <v>228</v>
      </c>
      <c r="CV153">
        <f ca="1">OFFSET('Calculations 2'!$AJ$12,W153,X153)</f>
        <v>0</v>
      </c>
    </row>
    <row r="154" spans="17:100">
      <c r="Q154" t="s">
        <v>471</v>
      </c>
      <c r="R154" t="s">
        <v>489</v>
      </c>
      <c r="S154" t="s">
        <v>228</v>
      </c>
      <c r="T154">
        <f ca="1">OFFSET('Calculations 2'!$C$45,W154,X154)*OFFSET($M$6,W154,0)</f>
        <v>0.34181166073105679</v>
      </c>
      <c r="V154">
        <f t="shared" si="8"/>
        <v>148</v>
      </c>
      <c r="W154">
        <f t="shared" si="9"/>
        <v>16</v>
      </c>
      <c r="X154">
        <f t="shared" si="10"/>
        <v>4</v>
      </c>
      <c r="AC154" t="s">
        <v>471</v>
      </c>
      <c r="AD154" t="s">
        <v>489</v>
      </c>
      <c r="AE154" t="s">
        <v>228</v>
      </c>
      <c r="AF154">
        <f ca="1">OFFSET('Calculations 2'!$CE$45,W154,0)*OFFSET($AA$6,X154,0)*OFFSET($M$6,W154,)</f>
        <v>0</v>
      </c>
      <c r="AY154" t="s">
        <v>471</v>
      </c>
      <c r="AZ154" t="s">
        <v>489</v>
      </c>
      <c r="BA154" t="s">
        <v>228</v>
      </c>
      <c r="BB154">
        <v>0</v>
      </c>
      <c r="BE154" t="s">
        <v>471</v>
      </c>
      <c r="BF154" t="s">
        <v>489</v>
      </c>
      <c r="BG154" t="s">
        <v>228</v>
      </c>
      <c r="BH154">
        <v>0</v>
      </c>
      <c r="CT154" t="s">
        <v>471</v>
      </c>
      <c r="CU154" t="s">
        <v>228</v>
      </c>
      <c r="CV154">
        <f ca="1">OFFSET('Calculations 2'!$AJ$12,W154,X154)</f>
        <v>0</v>
      </c>
    </row>
    <row r="155" spans="17:100">
      <c r="Q155" t="s">
        <v>221</v>
      </c>
      <c r="R155" t="s">
        <v>489</v>
      </c>
      <c r="S155" t="s">
        <v>228</v>
      </c>
      <c r="T155">
        <f ca="1">OFFSET('Calculations 2'!$C$45,W155,X155)*OFFSET($M$6,W155,0)</f>
        <v>0.60707072014899655</v>
      </c>
      <c r="V155">
        <f t="shared" si="8"/>
        <v>149</v>
      </c>
      <c r="W155">
        <f t="shared" si="9"/>
        <v>17</v>
      </c>
      <c r="X155">
        <f t="shared" si="10"/>
        <v>4</v>
      </c>
      <c r="AC155" t="s">
        <v>221</v>
      </c>
      <c r="AD155" t="s">
        <v>489</v>
      </c>
      <c r="AE155" t="s">
        <v>228</v>
      </c>
      <c r="AF155">
        <f ca="1">OFFSET('Calculations 2'!$CE$45,W155,0)*OFFSET($AA$6,X155,0)*OFFSET($M$6,W155,)</f>
        <v>0.7445455889263406</v>
      </c>
      <c r="AY155" t="s">
        <v>221</v>
      </c>
      <c r="AZ155" t="s">
        <v>489</v>
      </c>
      <c r="BA155" t="s">
        <v>228</v>
      </c>
      <c r="BB155">
        <v>0</v>
      </c>
      <c r="BE155" t="s">
        <v>221</v>
      </c>
      <c r="BF155" t="s">
        <v>489</v>
      </c>
      <c r="BG155" t="s">
        <v>228</v>
      </c>
      <c r="BH155">
        <v>0</v>
      </c>
      <c r="CT155" t="s">
        <v>221</v>
      </c>
      <c r="CU155" t="s">
        <v>228</v>
      </c>
      <c r="CV155">
        <f ca="1">OFFSET('Calculations 2'!$AJ$12,W155,X155)</f>
        <v>0</v>
      </c>
    </row>
    <row r="156" spans="17:100">
      <c r="Q156" t="s">
        <v>244</v>
      </c>
      <c r="R156" t="s">
        <v>489</v>
      </c>
      <c r="S156" t="s">
        <v>228</v>
      </c>
      <c r="T156">
        <f ca="1">OFFSET('Calculations 2'!$C$45,W156,X156)*OFFSET($M$6,W156,0)</f>
        <v>2.3009319134512958</v>
      </c>
      <c r="V156">
        <f t="shared" si="8"/>
        <v>150</v>
      </c>
      <c r="W156">
        <f t="shared" si="9"/>
        <v>18</v>
      </c>
      <c r="X156">
        <f t="shared" si="10"/>
        <v>4</v>
      </c>
      <c r="AC156" t="s">
        <v>244</v>
      </c>
      <c r="AD156" t="s">
        <v>489</v>
      </c>
      <c r="AE156" t="s">
        <v>228</v>
      </c>
      <c r="AF156">
        <f ca="1">OFFSET('Calculations 2'!$CE$45,W156,0)*OFFSET($AA$6,X156,0)*OFFSET($M$6,W156,)</f>
        <v>0.11904787531061592</v>
      </c>
      <c r="AY156" t="s">
        <v>244</v>
      </c>
      <c r="AZ156" t="s">
        <v>489</v>
      </c>
      <c r="BA156" t="s">
        <v>228</v>
      </c>
      <c r="BB156">
        <v>0</v>
      </c>
      <c r="BE156" t="s">
        <v>244</v>
      </c>
      <c r="BF156" t="s">
        <v>489</v>
      </c>
      <c r="BG156" t="s">
        <v>228</v>
      </c>
      <c r="BH156">
        <v>0</v>
      </c>
      <c r="CT156" t="s">
        <v>244</v>
      </c>
      <c r="CU156" t="s">
        <v>228</v>
      </c>
      <c r="CV156">
        <f ca="1">OFFSET('Calculations 2'!$AJ$12,W156,X156)</f>
        <v>0</v>
      </c>
    </row>
    <row r="157" spans="17:100">
      <c r="Q157" t="s">
        <v>472</v>
      </c>
      <c r="R157" t="s">
        <v>489</v>
      </c>
      <c r="S157" t="s">
        <v>228</v>
      </c>
      <c r="T157">
        <f ca="1">OFFSET('Calculations 2'!$C$45,W157,X157)*OFFSET($M$6,W157,0)</f>
        <v>0</v>
      </c>
      <c r="V157">
        <f t="shared" si="8"/>
        <v>151</v>
      </c>
      <c r="W157">
        <f t="shared" si="9"/>
        <v>19</v>
      </c>
      <c r="X157">
        <f t="shared" si="10"/>
        <v>4</v>
      </c>
      <c r="AC157" t="s">
        <v>472</v>
      </c>
      <c r="AD157" t="s">
        <v>489</v>
      </c>
      <c r="AE157" t="s">
        <v>228</v>
      </c>
      <c r="AF157">
        <f ca="1">OFFSET('Calculations 2'!$CE$45,W157,0)*OFFSET($AA$6,X157,0)*OFFSET($M$6,W157,)</f>
        <v>0</v>
      </c>
      <c r="AY157" t="s">
        <v>472</v>
      </c>
      <c r="AZ157" t="s">
        <v>489</v>
      </c>
      <c r="BA157" t="s">
        <v>228</v>
      </c>
      <c r="BB157">
        <v>0</v>
      </c>
      <c r="BE157" t="s">
        <v>472</v>
      </c>
      <c r="BF157" t="s">
        <v>489</v>
      </c>
      <c r="BG157" t="s">
        <v>228</v>
      </c>
      <c r="BH157">
        <v>0</v>
      </c>
      <c r="CT157" t="s">
        <v>472</v>
      </c>
      <c r="CU157" t="s">
        <v>228</v>
      </c>
      <c r="CV157">
        <f ca="1">OFFSET('Calculations 2'!$AJ$12,W157,X157)</f>
        <v>0</v>
      </c>
    </row>
    <row r="158" spans="17:100">
      <c r="Q158" t="s">
        <v>238</v>
      </c>
      <c r="R158" t="s">
        <v>489</v>
      </c>
      <c r="S158" t="s">
        <v>228</v>
      </c>
      <c r="T158">
        <f ca="1">OFFSET('Calculations 2'!$C$45,W158,X158)*OFFSET($M$6,W158,0)</f>
        <v>0</v>
      </c>
      <c r="V158">
        <f t="shared" si="8"/>
        <v>152</v>
      </c>
      <c r="W158">
        <f t="shared" si="9"/>
        <v>20</v>
      </c>
      <c r="X158">
        <f t="shared" si="10"/>
        <v>4</v>
      </c>
      <c r="AC158" t="s">
        <v>238</v>
      </c>
      <c r="AD158" t="s">
        <v>489</v>
      </c>
      <c r="AE158" t="s">
        <v>228</v>
      </c>
      <c r="AF158">
        <f ca="1">OFFSET('Calculations 2'!$CE$45,W158,0)*OFFSET($AA$6,X158,0)*OFFSET($M$6,W158,)</f>
        <v>0</v>
      </c>
      <c r="AY158" t="s">
        <v>238</v>
      </c>
      <c r="AZ158" t="s">
        <v>489</v>
      </c>
      <c r="BA158" t="s">
        <v>228</v>
      </c>
      <c r="BB158">
        <v>0</v>
      </c>
      <c r="BE158" t="s">
        <v>238</v>
      </c>
      <c r="BF158" t="s">
        <v>489</v>
      </c>
      <c r="BG158" t="s">
        <v>228</v>
      </c>
      <c r="BH158">
        <v>0</v>
      </c>
      <c r="CT158" t="s">
        <v>238</v>
      </c>
      <c r="CU158" t="s">
        <v>228</v>
      </c>
      <c r="CV158">
        <f ca="1">OFFSET('Calculations 2'!$AJ$12,W158,X158)</f>
        <v>0</v>
      </c>
    </row>
    <row r="159" spans="17:100">
      <c r="Q159" t="s">
        <v>247</v>
      </c>
      <c r="R159" t="s">
        <v>489</v>
      </c>
      <c r="S159" t="s">
        <v>228</v>
      </c>
      <c r="T159">
        <f ca="1">OFFSET('Calculations 2'!$C$45,W159,X159)*OFFSET($M$6,W159,0)</f>
        <v>0</v>
      </c>
      <c r="V159">
        <f t="shared" si="8"/>
        <v>153</v>
      </c>
      <c r="W159">
        <f t="shared" si="9"/>
        <v>21</v>
      </c>
      <c r="X159">
        <f t="shared" si="10"/>
        <v>4</v>
      </c>
      <c r="AC159" t="s">
        <v>247</v>
      </c>
      <c r="AD159" t="s">
        <v>489</v>
      </c>
      <c r="AE159" t="s">
        <v>228</v>
      </c>
      <c r="AF159">
        <f ca="1">OFFSET('Calculations 2'!$CE$45,W159,0)*OFFSET($AA$6,X159,0)*OFFSET($M$6,W159,)</f>
        <v>0</v>
      </c>
      <c r="AY159" t="s">
        <v>247</v>
      </c>
      <c r="AZ159" t="s">
        <v>489</v>
      </c>
      <c r="BA159" t="s">
        <v>228</v>
      </c>
      <c r="BB159">
        <v>0</v>
      </c>
      <c r="BE159" t="s">
        <v>247</v>
      </c>
      <c r="BF159" t="s">
        <v>489</v>
      </c>
      <c r="BG159" t="s">
        <v>228</v>
      </c>
      <c r="BH159">
        <v>0</v>
      </c>
      <c r="CT159" t="s">
        <v>247</v>
      </c>
      <c r="CU159" t="s">
        <v>228</v>
      </c>
      <c r="CV159">
        <f ca="1">OFFSET('Calculations 2'!$AJ$12,W159,X159)</f>
        <v>0</v>
      </c>
    </row>
    <row r="160" spans="17:100">
      <c r="Q160" t="s">
        <v>218</v>
      </c>
      <c r="R160" t="s">
        <v>489</v>
      </c>
      <c r="S160" t="s">
        <v>228</v>
      </c>
      <c r="T160">
        <f ca="1">OFFSET('Calculations 2'!$C$45,W160,X160)*OFFSET($M$6,W160,0)</f>
        <v>0.20155624603082611</v>
      </c>
      <c r="V160">
        <f t="shared" si="8"/>
        <v>154</v>
      </c>
      <c r="W160">
        <f t="shared" si="9"/>
        <v>22</v>
      </c>
      <c r="X160">
        <f t="shared" si="10"/>
        <v>4</v>
      </c>
      <c r="AC160" t="s">
        <v>218</v>
      </c>
      <c r="AD160" t="s">
        <v>489</v>
      </c>
      <c r="AE160" t="s">
        <v>228</v>
      </c>
      <c r="AF160">
        <f ca="1">OFFSET('Calculations 2'!$CE$45,W160,0)*OFFSET($AA$6,X160,0)*OFFSET($M$6,W160,)</f>
        <v>0</v>
      </c>
      <c r="AY160" t="s">
        <v>218</v>
      </c>
      <c r="AZ160" t="s">
        <v>489</v>
      </c>
      <c r="BA160" t="s">
        <v>228</v>
      </c>
      <c r="BB160">
        <v>0</v>
      </c>
      <c r="BE160" t="s">
        <v>218</v>
      </c>
      <c r="BF160" t="s">
        <v>489</v>
      </c>
      <c r="BG160" t="s">
        <v>228</v>
      </c>
      <c r="BH160">
        <v>0</v>
      </c>
      <c r="CT160" t="s">
        <v>218</v>
      </c>
      <c r="CU160" t="s">
        <v>228</v>
      </c>
      <c r="CV160">
        <f ca="1">OFFSET('Calculations 2'!$AJ$12,W160,X160)</f>
        <v>0</v>
      </c>
    </row>
    <row r="161" spans="17:100">
      <c r="Q161" t="s">
        <v>257</v>
      </c>
      <c r="R161" t="s">
        <v>489</v>
      </c>
      <c r="S161" t="s">
        <v>228</v>
      </c>
      <c r="T161">
        <f ca="1">OFFSET('Calculations 2'!$C$45,W161,X161)*OFFSET($M$6,W161,0)</f>
        <v>1.6003193855052411</v>
      </c>
      <c r="V161">
        <f t="shared" si="8"/>
        <v>155</v>
      </c>
      <c r="W161">
        <f t="shared" si="9"/>
        <v>23</v>
      </c>
      <c r="X161">
        <f t="shared" si="10"/>
        <v>4</v>
      </c>
      <c r="AC161" t="s">
        <v>257</v>
      </c>
      <c r="AD161" t="s">
        <v>489</v>
      </c>
      <c r="AE161" t="s">
        <v>228</v>
      </c>
      <c r="AF161">
        <f ca="1">OFFSET('Calculations 2'!$CE$45,W161,0)*OFFSET($AA$6,X161,0)*OFFSET($M$6,W161,)</f>
        <v>0</v>
      </c>
      <c r="AY161" t="s">
        <v>257</v>
      </c>
      <c r="AZ161" t="s">
        <v>489</v>
      </c>
      <c r="BA161" t="s">
        <v>228</v>
      </c>
      <c r="BB161">
        <v>0</v>
      </c>
      <c r="BE161" t="s">
        <v>257</v>
      </c>
      <c r="BF161" t="s">
        <v>489</v>
      </c>
      <c r="BG161" t="s">
        <v>228</v>
      </c>
      <c r="BH161">
        <v>0</v>
      </c>
      <c r="CT161" t="s">
        <v>257</v>
      </c>
      <c r="CU161" t="s">
        <v>228</v>
      </c>
      <c r="CV161">
        <f ca="1">OFFSET('Calculations 2'!$AJ$12,W161,X161)</f>
        <v>0</v>
      </c>
    </row>
    <row r="162" spans="17:100">
      <c r="Q162" t="s">
        <v>220</v>
      </c>
      <c r="R162" t="s">
        <v>489</v>
      </c>
      <c r="S162" t="s">
        <v>228</v>
      </c>
      <c r="T162">
        <f ca="1">OFFSET('Calculations 2'!$C$45,W162,X162)*OFFSET($M$6,W162,0)</f>
        <v>0.13238955572146943</v>
      </c>
      <c r="V162">
        <f t="shared" si="8"/>
        <v>156</v>
      </c>
      <c r="W162">
        <f t="shared" si="9"/>
        <v>24</v>
      </c>
      <c r="X162">
        <f t="shared" si="10"/>
        <v>4</v>
      </c>
      <c r="AC162" t="s">
        <v>220</v>
      </c>
      <c r="AD162" t="s">
        <v>489</v>
      </c>
      <c r="AE162" t="s">
        <v>228</v>
      </c>
      <c r="AF162">
        <f ca="1">OFFSET('Calculations 2'!$CE$45,W162,0)*OFFSET($AA$6,X162,0)*OFFSET($M$6,W162,)</f>
        <v>0</v>
      </c>
      <c r="AY162" t="s">
        <v>220</v>
      </c>
      <c r="AZ162" t="s">
        <v>489</v>
      </c>
      <c r="BA162" t="s">
        <v>228</v>
      </c>
      <c r="BB162">
        <v>0</v>
      </c>
      <c r="BE162" t="s">
        <v>220</v>
      </c>
      <c r="BF162" t="s">
        <v>489</v>
      </c>
      <c r="BG162" t="s">
        <v>228</v>
      </c>
      <c r="BH162">
        <v>0</v>
      </c>
      <c r="CT162" t="s">
        <v>220</v>
      </c>
      <c r="CU162" t="s">
        <v>228</v>
      </c>
      <c r="CV162">
        <f ca="1">OFFSET('Calculations 2'!$AJ$12,W162,X162)</f>
        <v>0</v>
      </c>
    </row>
    <row r="163" spans="17:100">
      <c r="Q163" t="s">
        <v>235</v>
      </c>
      <c r="R163" t="s">
        <v>489</v>
      </c>
      <c r="S163" t="s">
        <v>228</v>
      </c>
      <c r="T163">
        <f ca="1">OFFSET('Calculations 2'!$C$45,W163,X163)*OFFSET($M$6,W163,0)</f>
        <v>0.26707047389542582</v>
      </c>
      <c r="V163">
        <f t="shared" si="8"/>
        <v>157</v>
      </c>
      <c r="W163">
        <f t="shared" si="9"/>
        <v>25</v>
      </c>
      <c r="X163">
        <f t="shared" si="10"/>
        <v>4</v>
      </c>
      <c r="AC163" t="s">
        <v>235</v>
      </c>
      <c r="AD163" t="s">
        <v>489</v>
      </c>
      <c r="AE163" t="s">
        <v>228</v>
      </c>
      <c r="AF163">
        <f ca="1">OFFSET('Calculations 2'!$CE$45,W163,0)*OFFSET($AA$6,X163,0)*OFFSET($M$6,W163,)</f>
        <v>0</v>
      </c>
      <c r="AY163" t="s">
        <v>235</v>
      </c>
      <c r="AZ163" t="s">
        <v>489</v>
      </c>
      <c r="BA163" t="s">
        <v>228</v>
      </c>
      <c r="BB163">
        <v>0</v>
      </c>
      <c r="BE163" t="s">
        <v>235</v>
      </c>
      <c r="BF163" t="s">
        <v>489</v>
      </c>
      <c r="BG163" t="s">
        <v>228</v>
      </c>
      <c r="BH163">
        <v>0</v>
      </c>
      <c r="CT163" t="s">
        <v>235</v>
      </c>
      <c r="CU163" t="s">
        <v>228</v>
      </c>
      <c r="CV163">
        <f ca="1">OFFSET('Calculations 2'!$AJ$12,W163,X163)</f>
        <v>0</v>
      </c>
    </row>
    <row r="164" spans="17:100">
      <c r="Q164" t="s">
        <v>473</v>
      </c>
      <c r="R164" t="s">
        <v>489</v>
      </c>
      <c r="S164" t="s">
        <v>228</v>
      </c>
      <c r="T164">
        <f ca="1">OFFSET('Calculations 2'!$C$45,W164,X164)*OFFSET($M$6,W164,0)</f>
        <v>0.73513521120887182</v>
      </c>
      <c r="V164">
        <f t="shared" si="8"/>
        <v>158</v>
      </c>
      <c r="W164">
        <f t="shared" si="9"/>
        <v>26</v>
      </c>
      <c r="X164">
        <f t="shared" si="10"/>
        <v>4</v>
      </c>
      <c r="AC164" t="s">
        <v>473</v>
      </c>
      <c r="AD164" t="s">
        <v>489</v>
      </c>
      <c r="AE164" t="s">
        <v>228</v>
      </c>
      <c r="AF164">
        <f ca="1">OFFSET('Calculations 2'!$CE$45,W164,0)*OFFSET($AA$6,X164,0)*OFFSET($M$6,W164,)</f>
        <v>0</v>
      </c>
      <c r="AY164" t="s">
        <v>473</v>
      </c>
      <c r="AZ164" t="s">
        <v>489</v>
      </c>
      <c r="BA164" t="s">
        <v>228</v>
      </c>
      <c r="BB164">
        <v>0</v>
      </c>
      <c r="BE164" t="s">
        <v>473</v>
      </c>
      <c r="BF164" t="s">
        <v>489</v>
      </c>
      <c r="BG164" t="s">
        <v>228</v>
      </c>
      <c r="BH164">
        <v>0</v>
      </c>
      <c r="CT164" t="s">
        <v>473</v>
      </c>
      <c r="CU164" t="s">
        <v>228</v>
      </c>
      <c r="CV164">
        <f ca="1">OFFSET('Calculations 2'!$AJ$12,W164,X164)</f>
        <v>0</v>
      </c>
    </row>
    <row r="165" spans="17:100">
      <c r="Q165" t="s">
        <v>233</v>
      </c>
      <c r="R165" t="s">
        <v>489</v>
      </c>
      <c r="S165" t="s">
        <v>228</v>
      </c>
      <c r="T165">
        <f ca="1">OFFSET('Calculations 2'!$C$45,W165,X165)*OFFSET($M$6,W165,0)</f>
        <v>1.3280576402779272</v>
      </c>
      <c r="V165">
        <f t="shared" si="8"/>
        <v>159</v>
      </c>
      <c r="W165">
        <f t="shared" si="9"/>
        <v>27</v>
      </c>
      <c r="X165">
        <f t="shared" si="10"/>
        <v>4</v>
      </c>
      <c r="AC165" t="s">
        <v>233</v>
      </c>
      <c r="AD165" t="s">
        <v>489</v>
      </c>
      <c r="AE165" t="s">
        <v>228</v>
      </c>
      <c r="AF165">
        <f ca="1">OFFSET('Calculations 2'!$CE$45,W165,0)*OFFSET($AA$6,X165,0)*OFFSET($M$6,W165,)</f>
        <v>0</v>
      </c>
      <c r="AY165" t="s">
        <v>233</v>
      </c>
      <c r="AZ165" t="s">
        <v>489</v>
      </c>
      <c r="BA165" t="s">
        <v>228</v>
      </c>
      <c r="BB165">
        <v>0</v>
      </c>
      <c r="BE165" t="s">
        <v>233</v>
      </c>
      <c r="BF165" t="s">
        <v>489</v>
      </c>
      <c r="BG165" t="s">
        <v>228</v>
      </c>
      <c r="BH165">
        <v>0</v>
      </c>
      <c r="CT165" t="s">
        <v>233</v>
      </c>
      <c r="CU165" t="s">
        <v>228</v>
      </c>
      <c r="CV165">
        <f ca="1">OFFSET('Calculations 2'!$AJ$12,W165,X165)</f>
        <v>0</v>
      </c>
    </row>
    <row r="166" spans="17:100">
      <c r="Q166" t="s">
        <v>474</v>
      </c>
      <c r="R166" t="s">
        <v>489</v>
      </c>
      <c r="S166" t="s">
        <v>228</v>
      </c>
      <c r="T166">
        <f ca="1">OFFSET('Calculations 2'!$C$45,W166,X166)*OFFSET($M$6,W166,0)</f>
        <v>9.579676109358079E-2</v>
      </c>
      <c r="V166">
        <f t="shared" si="8"/>
        <v>160</v>
      </c>
      <c r="W166">
        <f t="shared" si="9"/>
        <v>28</v>
      </c>
      <c r="X166">
        <f t="shared" si="10"/>
        <v>4</v>
      </c>
      <c r="AC166" t="s">
        <v>474</v>
      </c>
      <c r="AD166" t="s">
        <v>489</v>
      </c>
      <c r="AE166" t="s">
        <v>228</v>
      </c>
      <c r="AF166">
        <f ca="1">OFFSET('Calculations 2'!$CE$45,W166,0)*OFFSET($AA$6,X166,0)*OFFSET($M$6,W166,)</f>
        <v>0</v>
      </c>
      <c r="AY166" t="s">
        <v>474</v>
      </c>
      <c r="AZ166" t="s">
        <v>489</v>
      </c>
      <c r="BA166" t="s">
        <v>228</v>
      </c>
      <c r="BB166">
        <v>0</v>
      </c>
      <c r="BE166" t="s">
        <v>474</v>
      </c>
      <c r="BF166" t="s">
        <v>489</v>
      </c>
      <c r="BG166" t="s">
        <v>228</v>
      </c>
      <c r="BH166">
        <v>0</v>
      </c>
      <c r="CT166" t="s">
        <v>474</v>
      </c>
      <c r="CU166" t="s">
        <v>228</v>
      </c>
      <c r="CV166">
        <f ca="1">OFFSET('Calculations 2'!$AJ$12,W166,X166)</f>
        <v>0</v>
      </c>
    </row>
    <row r="167" spans="17:100">
      <c r="Q167" t="s">
        <v>223</v>
      </c>
      <c r="R167" t="s">
        <v>489</v>
      </c>
      <c r="S167" t="s">
        <v>228</v>
      </c>
      <c r="T167">
        <f ca="1">OFFSET('Calculations 2'!$C$45,W167,X167)*OFFSET($M$6,W167,0)</f>
        <v>0</v>
      </c>
      <c r="V167">
        <f t="shared" si="8"/>
        <v>161</v>
      </c>
      <c r="W167">
        <f t="shared" si="9"/>
        <v>29</v>
      </c>
      <c r="X167">
        <f t="shared" si="10"/>
        <v>4</v>
      </c>
      <c r="AC167" t="s">
        <v>223</v>
      </c>
      <c r="AD167" t="s">
        <v>489</v>
      </c>
      <c r="AE167" t="s">
        <v>228</v>
      </c>
      <c r="AF167">
        <f ca="1">OFFSET('Calculations 2'!$CE$45,W167,0)*OFFSET($AA$6,X167,0)*OFFSET($M$6,W167,)</f>
        <v>0</v>
      </c>
      <c r="AY167" t="s">
        <v>223</v>
      </c>
      <c r="AZ167" t="s">
        <v>489</v>
      </c>
      <c r="BA167" t="s">
        <v>228</v>
      </c>
      <c r="BB167">
        <v>0</v>
      </c>
      <c r="BE167" t="s">
        <v>223</v>
      </c>
      <c r="BF167" t="s">
        <v>489</v>
      </c>
      <c r="BG167" t="s">
        <v>228</v>
      </c>
      <c r="BH167">
        <v>0</v>
      </c>
      <c r="CT167" t="s">
        <v>223</v>
      </c>
      <c r="CU167" t="s">
        <v>228</v>
      </c>
      <c r="CV167">
        <f ca="1">OFFSET('Calculations 2'!$AJ$12,W167,X167)</f>
        <v>0</v>
      </c>
    </row>
    <row r="168" spans="17:100">
      <c r="Q168" t="s">
        <v>475</v>
      </c>
      <c r="R168" t="s">
        <v>489</v>
      </c>
      <c r="S168" t="s">
        <v>228</v>
      </c>
      <c r="T168">
        <f ca="1">OFFSET('Calculations 2'!$C$45,W168,X168)*OFFSET($M$6,W168,0)</f>
        <v>2.5216130167210027E-2</v>
      </c>
      <c r="V168">
        <f t="shared" si="8"/>
        <v>162</v>
      </c>
      <c r="W168">
        <f t="shared" si="9"/>
        <v>30</v>
      </c>
      <c r="X168">
        <f t="shared" si="10"/>
        <v>4</v>
      </c>
      <c r="AC168" t="s">
        <v>475</v>
      </c>
      <c r="AD168" t="s">
        <v>489</v>
      </c>
      <c r="AE168" t="s">
        <v>228</v>
      </c>
      <c r="AF168">
        <f ca="1">OFFSET('Calculations 2'!$CE$45,W168,0)*OFFSET($AA$6,X168,0)*OFFSET($M$6,W168,)</f>
        <v>0</v>
      </c>
      <c r="AY168" t="s">
        <v>475</v>
      </c>
      <c r="AZ168" t="s">
        <v>489</v>
      </c>
      <c r="BA168" t="s">
        <v>228</v>
      </c>
      <c r="BB168">
        <v>0</v>
      </c>
      <c r="BE168" t="s">
        <v>475</v>
      </c>
      <c r="BF168" t="s">
        <v>489</v>
      </c>
      <c r="BG168" t="s">
        <v>228</v>
      </c>
      <c r="BH168">
        <v>0</v>
      </c>
      <c r="CT168" t="s">
        <v>475</v>
      </c>
      <c r="CU168" t="s">
        <v>228</v>
      </c>
      <c r="CV168">
        <f ca="1">OFFSET('Calculations 2'!$AJ$12,W168,X168)</f>
        <v>0</v>
      </c>
    </row>
    <row r="169" spans="17:100">
      <c r="Q169" t="s">
        <v>476</v>
      </c>
      <c r="R169" t="s">
        <v>489</v>
      </c>
      <c r="S169" t="s">
        <v>228</v>
      </c>
      <c r="T169">
        <f ca="1">OFFSET('Calculations 2'!$C$45,W169,X169)*OFFSET($M$6,W169,0)</f>
        <v>0</v>
      </c>
      <c r="V169">
        <f t="shared" si="8"/>
        <v>163</v>
      </c>
      <c r="W169">
        <f t="shared" si="9"/>
        <v>31</v>
      </c>
      <c r="X169">
        <f t="shared" si="10"/>
        <v>4</v>
      </c>
      <c r="AC169" t="s">
        <v>476</v>
      </c>
      <c r="AD169" t="s">
        <v>489</v>
      </c>
      <c r="AE169" t="s">
        <v>228</v>
      </c>
      <c r="AF169">
        <f ca="1">OFFSET('Calculations 2'!$CE$45,W169,0)*OFFSET($AA$6,X169,0)*OFFSET($M$6,W169,)</f>
        <v>0</v>
      </c>
      <c r="AY169" t="s">
        <v>476</v>
      </c>
      <c r="AZ169" t="s">
        <v>489</v>
      </c>
      <c r="BA169" t="s">
        <v>228</v>
      </c>
      <c r="BB169">
        <v>0</v>
      </c>
      <c r="BE169" t="s">
        <v>476</v>
      </c>
      <c r="BF169" t="s">
        <v>489</v>
      </c>
      <c r="BG169" t="s">
        <v>228</v>
      </c>
      <c r="BH169">
        <v>0</v>
      </c>
      <c r="CT169" t="s">
        <v>476</v>
      </c>
      <c r="CU169" t="s">
        <v>228</v>
      </c>
      <c r="CV169">
        <f ca="1">OFFSET('Calculations 2'!$AJ$12,W169,X169)</f>
        <v>0</v>
      </c>
    </row>
    <row r="170" spans="17:100">
      <c r="Q170" t="s">
        <v>222</v>
      </c>
      <c r="R170" t="s">
        <v>489</v>
      </c>
      <c r="S170" t="s">
        <v>228</v>
      </c>
      <c r="T170">
        <f ca="1">OFFSET('Calculations 2'!$C$45,W170,X170)*OFFSET($M$6,W170,0)</f>
        <v>0</v>
      </c>
      <c r="V170">
        <f t="shared" si="8"/>
        <v>164</v>
      </c>
      <c r="W170">
        <f t="shared" si="9"/>
        <v>32</v>
      </c>
      <c r="X170">
        <f t="shared" si="10"/>
        <v>4</v>
      </c>
      <c r="AC170" t="s">
        <v>222</v>
      </c>
      <c r="AD170" t="s">
        <v>489</v>
      </c>
      <c r="AE170" t="s">
        <v>228</v>
      </c>
      <c r="AF170">
        <f ca="1">OFFSET('Calculations 2'!$CE$45,W170,0)*OFFSET($AA$6,X170,0)*OFFSET($M$6,W170,)</f>
        <v>0</v>
      </c>
      <c r="AY170" t="s">
        <v>222</v>
      </c>
      <c r="AZ170" t="s">
        <v>489</v>
      </c>
      <c r="BA170" t="s">
        <v>228</v>
      </c>
      <c r="BB170">
        <v>0</v>
      </c>
      <c r="BE170" t="s">
        <v>222</v>
      </c>
      <c r="BF170" t="s">
        <v>489</v>
      </c>
      <c r="BG170" t="s">
        <v>228</v>
      </c>
      <c r="BH170">
        <v>0</v>
      </c>
      <c r="CT170" t="s">
        <v>222</v>
      </c>
      <c r="CU170" t="s">
        <v>228</v>
      </c>
      <c r="CV170">
        <f ca="1">OFFSET('Calculations 2'!$AJ$12,W170,X170)</f>
        <v>0</v>
      </c>
    </row>
    <row r="171" spans="17:100">
      <c r="Q171" t="s">
        <v>217</v>
      </c>
      <c r="R171" t="s">
        <v>489</v>
      </c>
      <c r="S171" t="s">
        <v>246</v>
      </c>
      <c r="T171">
        <f ca="1">OFFSET('Calculations 2'!$C$45,W171,X171)*OFFSET($M$6,W171,0)</f>
        <v>3.270481838701198</v>
      </c>
      <c r="V171">
        <f t="shared" si="8"/>
        <v>165</v>
      </c>
      <c r="W171">
        <f t="shared" si="9"/>
        <v>0</v>
      </c>
      <c r="X171">
        <f t="shared" si="10"/>
        <v>5</v>
      </c>
      <c r="AC171" t="s">
        <v>217</v>
      </c>
      <c r="AD171" t="s">
        <v>489</v>
      </c>
      <c r="AE171" t="s">
        <v>246</v>
      </c>
      <c r="AF171">
        <f ca="1">OFFSET('Calculations 2'!$CE$45,W171,0)*OFFSET($AA$6,X171,0)*OFFSET($M$6,W171,)</f>
        <v>2.838411125747407E-2</v>
      </c>
      <c r="AY171" t="s">
        <v>217</v>
      </c>
      <c r="AZ171" t="s">
        <v>489</v>
      </c>
      <c r="BA171" t="s">
        <v>246</v>
      </c>
      <c r="BB171">
        <v>0</v>
      </c>
      <c r="BE171" t="s">
        <v>217</v>
      </c>
      <c r="BF171" t="s">
        <v>489</v>
      </c>
      <c r="BG171" t="s">
        <v>246</v>
      </c>
      <c r="BH171">
        <v>0</v>
      </c>
      <c r="CT171" t="s">
        <v>217</v>
      </c>
      <c r="CU171" t="s">
        <v>246</v>
      </c>
      <c r="CV171">
        <f ca="1">OFFSET('Calculations 2'!$AJ$12,W171,X171)</f>
        <v>0</v>
      </c>
    </row>
    <row r="172" spans="17:100">
      <c r="Q172" t="s">
        <v>232</v>
      </c>
      <c r="R172" t="s">
        <v>489</v>
      </c>
      <c r="S172" t="s">
        <v>246</v>
      </c>
      <c r="T172">
        <f ca="1">OFFSET('Calculations 2'!$C$45,W172,X172)*OFFSET($M$6,W172,0)</f>
        <v>0.46458554042200828</v>
      </c>
      <c r="V172">
        <f t="shared" si="8"/>
        <v>166</v>
      </c>
      <c r="W172">
        <f t="shared" si="9"/>
        <v>1</v>
      </c>
      <c r="X172">
        <f t="shared" si="10"/>
        <v>5</v>
      </c>
      <c r="AC172" t="s">
        <v>232</v>
      </c>
      <c r="AD172" t="s">
        <v>489</v>
      </c>
      <c r="AE172" t="s">
        <v>246</v>
      </c>
      <c r="AF172">
        <f ca="1">OFFSET('Calculations 2'!$CE$45,W172,0)*OFFSET($AA$6,X172,0)*OFFSET($M$6,W172,)</f>
        <v>4.9513760840303525E-2</v>
      </c>
      <c r="AY172" t="s">
        <v>232</v>
      </c>
      <c r="AZ172" t="s">
        <v>489</v>
      </c>
      <c r="BA172" t="s">
        <v>246</v>
      </c>
      <c r="BB172">
        <v>0</v>
      </c>
      <c r="BE172" t="s">
        <v>232</v>
      </c>
      <c r="BF172" t="s">
        <v>489</v>
      </c>
      <c r="BG172" t="s">
        <v>246</v>
      </c>
      <c r="BH172">
        <v>0</v>
      </c>
      <c r="CT172" t="s">
        <v>232</v>
      </c>
      <c r="CU172" t="s">
        <v>246</v>
      </c>
      <c r="CV172">
        <f ca="1">OFFSET('Calculations 2'!$AJ$12,W172,X172)</f>
        <v>0</v>
      </c>
    </row>
    <row r="173" spans="17:100">
      <c r="Q173" t="s">
        <v>226</v>
      </c>
      <c r="R173" t="s">
        <v>489</v>
      </c>
      <c r="S173" t="s">
        <v>246</v>
      </c>
      <c r="T173">
        <f ca="1">OFFSET('Calculations 2'!$C$45,W173,X173)*OFFSET($M$6,W173,0)</f>
        <v>8.396355830879108E-3</v>
      </c>
      <c r="V173">
        <f t="shared" si="8"/>
        <v>167</v>
      </c>
      <c r="W173">
        <f t="shared" si="9"/>
        <v>2</v>
      </c>
      <c r="X173">
        <f t="shared" si="10"/>
        <v>5</v>
      </c>
      <c r="AC173" t="s">
        <v>226</v>
      </c>
      <c r="AD173" t="s">
        <v>489</v>
      </c>
      <c r="AE173" t="s">
        <v>246</v>
      </c>
      <c r="AF173">
        <f ca="1">OFFSET('Calculations 2'!$CE$45,W173,0)*OFFSET($AA$6,X173,0)*OFFSET($M$6,W173,)</f>
        <v>8.3370747273533385E-2</v>
      </c>
      <c r="AY173" t="s">
        <v>226</v>
      </c>
      <c r="AZ173" t="s">
        <v>489</v>
      </c>
      <c r="BA173" t="s">
        <v>246</v>
      </c>
      <c r="BB173">
        <v>0</v>
      </c>
      <c r="BE173" t="s">
        <v>226</v>
      </c>
      <c r="BF173" t="s">
        <v>489</v>
      </c>
      <c r="BG173" t="s">
        <v>246</v>
      </c>
      <c r="BH173">
        <v>0</v>
      </c>
      <c r="CT173" t="s">
        <v>226</v>
      </c>
      <c r="CU173" t="s">
        <v>246</v>
      </c>
      <c r="CV173">
        <f ca="1">OFFSET('Calculations 2'!$AJ$12,W173,X173)</f>
        <v>0</v>
      </c>
    </row>
    <row r="174" spans="17:100">
      <c r="Q174" t="s">
        <v>243</v>
      </c>
      <c r="R174" t="s">
        <v>489</v>
      </c>
      <c r="S174" t="s">
        <v>246</v>
      </c>
      <c r="T174">
        <f ca="1">OFFSET('Calculations 2'!$C$45,W174,X174)*OFFSET($M$6,W174,0)</f>
        <v>3.0966835207543792</v>
      </c>
      <c r="V174">
        <f t="shared" si="8"/>
        <v>168</v>
      </c>
      <c r="W174">
        <f t="shared" si="9"/>
        <v>3</v>
      </c>
      <c r="X174">
        <f t="shared" si="10"/>
        <v>5</v>
      </c>
      <c r="AC174" t="s">
        <v>243</v>
      </c>
      <c r="AD174" t="s">
        <v>489</v>
      </c>
      <c r="AE174" t="s">
        <v>246</v>
      </c>
      <c r="AF174">
        <f ca="1">OFFSET('Calculations 2'!$CE$45,W174,0)*OFFSET($AA$6,X174,0)*OFFSET($M$6,W174,)</f>
        <v>0.43426614346876669</v>
      </c>
      <c r="AY174" t="s">
        <v>243</v>
      </c>
      <c r="AZ174" t="s">
        <v>489</v>
      </c>
      <c r="BA174" t="s">
        <v>246</v>
      </c>
      <c r="BB174">
        <v>0</v>
      </c>
      <c r="BE174" t="s">
        <v>243</v>
      </c>
      <c r="BF174" t="s">
        <v>489</v>
      </c>
      <c r="BG174" t="s">
        <v>246</v>
      </c>
      <c r="BH174">
        <v>0</v>
      </c>
      <c r="CT174" t="s">
        <v>243</v>
      </c>
      <c r="CU174" t="s">
        <v>246</v>
      </c>
      <c r="CV174">
        <f ca="1">OFFSET('Calculations 2'!$AJ$12,W174,X174)</f>
        <v>0</v>
      </c>
    </row>
    <row r="175" spans="17:100">
      <c r="Q175" t="s">
        <v>228</v>
      </c>
      <c r="R175" t="s">
        <v>489</v>
      </c>
      <c r="S175" t="s">
        <v>246</v>
      </c>
      <c r="T175">
        <f ca="1">OFFSET('Calculations 2'!$C$45,W175,X175)*OFFSET($M$6,W175,0)</f>
        <v>0</v>
      </c>
      <c r="V175">
        <f t="shared" si="8"/>
        <v>169</v>
      </c>
      <c r="W175">
        <f t="shared" si="9"/>
        <v>4</v>
      </c>
      <c r="X175">
        <f t="shared" si="10"/>
        <v>5</v>
      </c>
      <c r="AC175" t="s">
        <v>228</v>
      </c>
      <c r="AD175" t="s">
        <v>489</v>
      </c>
      <c r="AE175" t="s">
        <v>246</v>
      </c>
      <c r="AF175">
        <f ca="1">OFFSET('Calculations 2'!$CE$45,W175,0)*OFFSET($AA$6,X175,0)*OFFSET($M$6,W175,)</f>
        <v>3.0814325750449898E-3</v>
      </c>
      <c r="AY175" t="s">
        <v>228</v>
      </c>
      <c r="AZ175" t="s">
        <v>489</v>
      </c>
      <c r="BA175" t="s">
        <v>246</v>
      </c>
      <c r="BB175">
        <v>0</v>
      </c>
      <c r="BE175" t="s">
        <v>228</v>
      </c>
      <c r="BF175" t="s">
        <v>489</v>
      </c>
      <c r="BG175" t="s">
        <v>246</v>
      </c>
      <c r="BH175">
        <v>0</v>
      </c>
      <c r="CT175" t="s">
        <v>228</v>
      </c>
      <c r="CU175" t="s">
        <v>246</v>
      </c>
      <c r="CV175">
        <f ca="1">OFFSET('Calculations 2'!$AJ$12,W175,X175)</f>
        <v>0</v>
      </c>
    </row>
    <row r="176" spans="17:100">
      <c r="Q176" t="s">
        <v>246</v>
      </c>
      <c r="R176" t="s">
        <v>489</v>
      </c>
      <c r="S176" t="s">
        <v>246</v>
      </c>
      <c r="T176">
        <f ca="1">OFFSET('Calculations 2'!$C$45,W176,X176)*OFFSET($M$6,W176,0)</f>
        <v>180.23134289105207</v>
      </c>
      <c r="V176">
        <f t="shared" si="8"/>
        <v>170</v>
      </c>
      <c r="W176">
        <f t="shared" si="9"/>
        <v>5</v>
      </c>
      <c r="X176">
        <f t="shared" si="10"/>
        <v>5</v>
      </c>
      <c r="AC176" t="s">
        <v>246</v>
      </c>
      <c r="AD176" t="s">
        <v>489</v>
      </c>
      <c r="AE176" t="s">
        <v>246</v>
      </c>
      <c r="AF176">
        <f ca="1">OFFSET('Calculations 2'!$CE$45,W176,0)*OFFSET($AA$6,X176,0)*OFFSET($M$6,W176,)</f>
        <v>1.8969259327665713E-2</v>
      </c>
      <c r="AY176" t="s">
        <v>246</v>
      </c>
      <c r="AZ176" t="s">
        <v>489</v>
      </c>
      <c r="BA176" t="s">
        <v>246</v>
      </c>
      <c r="BB176">
        <v>0</v>
      </c>
      <c r="BE176" t="s">
        <v>246</v>
      </c>
      <c r="BF176" t="s">
        <v>489</v>
      </c>
      <c r="BG176" t="s">
        <v>246</v>
      </c>
      <c r="BH176">
        <v>0</v>
      </c>
      <c r="CT176" t="s">
        <v>246</v>
      </c>
      <c r="CU176" t="s">
        <v>246</v>
      </c>
      <c r="CV176">
        <f ca="1">OFFSET('Calculations 2'!$AJ$12,W176,X176)</f>
        <v>2673.8829999999998</v>
      </c>
    </row>
    <row r="177" spans="17:100">
      <c r="Q177" t="s">
        <v>239</v>
      </c>
      <c r="R177" t="s">
        <v>489</v>
      </c>
      <c r="S177" t="s">
        <v>246</v>
      </c>
      <c r="T177">
        <f ca="1">OFFSET('Calculations 2'!$C$45,W177,X177)*OFFSET($M$6,W177,0)</f>
        <v>14.090261985877936</v>
      </c>
      <c r="V177">
        <f t="shared" si="8"/>
        <v>171</v>
      </c>
      <c r="W177">
        <f t="shared" si="9"/>
        <v>6</v>
      </c>
      <c r="X177">
        <f t="shared" si="10"/>
        <v>5</v>
      </c>
      <c r="AC177" t="s">
        <v>239</v>
      </c>
      <c r="AD177" t="s">
        <v>489</v>
      </c>
      <c r="AE177" t="s">
        <v>246</v>
      </c>
      <c r="AF177">
        <f ca="1">OFFSET('Calculations 2'!$CE$45,W177,0)*OFFSET($AA$6,X177,0)*OFFSET($M$6,W177,)</f>
        <v>0.3796815082883499</v>
      </c>
      <c r="AY177" t="s">
        <v>239</v>
      </c>
      <c r="AZ177" t="s">
        <v>489</v>
      </c>
      <c r="BA177" t="s">
        <v>246</v>
      </c>
      <c r="BB177">
        <v>0</v>
      </c>
      <c r="BE177" t="s">
        <v>239</v>
      </c>
      <c r="BF177" t="s">
        <v>489</v>
      </c>
      <c r="BG177" t="s">
        <v>246</v>
      </c>
      <c r="BH177">
        <v>0</v>
      </c>
      <c r="CT177" t="s">
        <v>239</v>
      </c>
      <c r="CU177" t="s">
        <v>246</v>
      </c>
      <c r="CV177">
        <f ca="1">OFFSET('Calculations 2'!$AJ$12,W177,X177)</f>
        <v>0</v>
      </c>
    </row>
    <row r="178" spans="17:100">
      <c r="Q178" t="s">
        <v>466</v>
      </c>
      <c r="R178" t="s">
        <v>489</v>
      </c>
      <c r="S178" t="s">
        <v>246</v>
      </c>
      <c r="T178">
        <f ca="1">OFFSET('Calculations 2'!$C$45,W178,X178)*OFFSET($M$6,W178,0)</f>
        <v>3.4757295883756654</v>
      </c>
      <c r="V178">
        <f t="shared" si="8"/>
        <v>172</v>
      </c>
      <c r="W178">
        <f t="shared" si="9"/>
        <v>7</v>
      </c>
      <c r="X178">
        <f t="shared" si="10"/>
        <v>5</v>
      </c>
      <c r="AC178" t="s">
        <v>466</v>
      </c>
      <c r="AD178" t="s">
        <v>489</v>
      </c>
      <c r="AE178" t="s">
        <v>246</v>
      </c>
      <c r="AF178">
        <f ca="1">OFFSET('Calculations 2'!$CE$45,W178,0)*OFFSET($AA$6,X178,0)*OFFSET($M$6,W178,)</f>
        <v>5.7856114111683406E-2</v>
      </c>
      <c r="AY178" t="s">
        <v>466</v>
      </c>
      <c r="AZ178" t="s">
        <v>489</v>
      </c>
      <c r="BA178" t="s">
        <v>246</v>
      </c>
      <c r="BB178">
        <v>0</v>
      </c>
      <c r="BE178" t="s">
        <v>466</v>
      </c>
      <c r="BF178" t="s">
        <v>489</v>
      </c>
      <c r="BG178" t="s">
        <v>246</v>
      </c>
      <c r="BH178">
        <v>0</v>
      </c>
      <c r="CT178" t="s">
        <v>466</v>
      </c>
      <c r="CU178" t="s">
        <v>246</v>
      </c>
      <c r="CV178">
        <f ca="1">OFFSET('Calculations 2'!$AJ$12,W178,X178)</f>
        <v>0</v>
      </c>
    </row>
    <row r="179" spans="17:100">
      <c r="Q179" t="s">
        <v>219</v>
      </c>
      <c r="R179" t="s">
        <v>489</v>
      </c>
      <c r="S179" t="s">
        <v>246</v>
      </c>
      <c r="T179">
        <f ca="1">OFFSET('Calculations 2'!$C$45,W179,X179)*OFFSET($M$6,W179,0)</f>
        <v>80.62125796279966</v>
      </c>
      <c r="V179">
        <f t="shared" si="8"/>
        <v>173</v>
      </c>
      <c r="W179">
        <f t="shared" si="9"/>
        <v>8</v>
      </c>
      <c r="X179">
        <f t="shared" si="10"/>
        <v>5</v>
      </c>
      <c r="AC179" t="s">
        <v>219</v>
      </c>
      <c r="AD179" t="s">
        <v>489</v>
      </c>
      <c r="AE179" t="s">
        <v>246</v>
      </c>
      <c r="AF179">
        <f ca="1">OFFSET('Calculations 2'!$CE$45,W179,0)*OFFSET($AA$6,X179,0)*OFFSET($M$6,W179,)</f>
        <v>0.36028184517154005</v>
      </c>
      <c r="AY179" t="s">
        <v>219</v>
      </c>
      <c r="AZ179" t="s">
        <v>489</v>
      </c>
      <c r="BA179" t="s">
        <v>246</v>
      </c>
      <c r="BB179">
        <v>0</v>
      </c>
      <c r="BE179" t="s">
        <v>219</v>
      </c>
      <c r="BF179" t="s">
        <v>489</v>
      </c>
      <c r="BG179" t="s">
        <v>246</v>
      </c>
      <c r="BH179">
        <v>0</v>
      </c>
      <c r="CT179" t="s">
        <v>219</v>
      </c>
      <c r="CU179" t="s">
        <v>246</v>
      </c>
      <c r="CV179">
        <f ca="1">OFFSET('Calculations 2'!$AJ$12,W179,X179)</f>
        <v>0</v>
      </c>
    </row>
    <row r="180" spans="17:100">
      <c r="Q180" t="s">
        <v>242</v>
      </c>
      <c r="R180" t="s">
        <v>489</v>
      </c>
      <c r="S180" t="s">
        <v>246</v>
      </c>
      <c r="T180">
        <f ca="1">OFFSET('Calculations 2'!$C$45,W180,X180)*OFFSET($M$6,W180,0)</f>
        <v>25.804817425511658</v>
      </c>
      <c r="V180">
        <f t="shared" si="8"/>
        <v>174</v>
      </c>
      <c r="W180">
        <f t="shared" si="9"/>
        <v>9</v>
      </c>
      <c r="X180">
        <f t="shared" si="10"/>
        <v>5</v>
      </c>
      <c r="AC180" t="s">
        <v>242</v>
      </c>
      <c r="AD180" t="s">
        <v>489</v>
      </c>
      <c r="AE180" t="s">
        <v>246</v>
      </c>
      <c r="AF180">
        <f ca="1">OFFSET('Calculations 2'!$CE$45,W180,0)*OFFSET($AA$6,X180,0)*OFFSET($M$6,W180,)</f>
        <v>0.56398648686203412</v>
      </c>
      <c r="AY180" t="s">
        <v>242</v>
      </c>
      <c r="AZ180" t="s">
        <v>489</v>
      </c>
      <c r="BA180" t="s">
        <v>246</v>
      </c>
      <c r="BB180">
        <v>0</v>
      </c>
      <c r="BE180" t="s">
        <v>242</v>
      </c>
      <c r="BF180" t="s">
        <v>489</v>
      </c>
      <c r="BG180" t="s">
        <v>246</v>
      </c>
      <c r="BH180">
        <v>0</v>
      </c>
      <c r="CT180" t="s">
        <v>242</v>
      </c>
      <c r="CU180" t="s">
        <v>246</v>
      </c>
      <c r="CV180">
        <f ca="1">OFFSET('Calculations 2'!$AJ$12,W180,X180)</f>
        <v>0</v>
      </c>
    </row>
    <row r="181" spans="17:100">
      <c r="Q181" t="s">
        <v>467</v>
      </c>
      <c r="R181" t="s">
        <v>489</v>
      </c>
      <c r="S181" t="s">
        <v>246</v>
      </c>
      <c r="T181">
        <f ca="1">OFFSET('Calculations 2'!$C$45,W181,X181)*OFFSET($M$6,W181,0)</f>
        <v>17.793972047100972</v>
      </c>
      <c r="V181">
        <f t="shared" si="8"/>
        <v>175</v>
      </c>
      <c r="W181">
        <f t="shared" si="9"/>
        <v>10</v>
      </c>
      <c r="X181">
        <f t="shared" si="10"/>
        <v>5</v>
      </c>
      <c r="AC181" t="s">
        <v>467</v>
      </c>
      <c r="AD181" t="s">
        <v>489</v>
      </c>
      <c r="AE181" t="s">
        <v>246</v>
      </c>
      <c r="AF181">
        <f ca="1">OFFSET('Calculations 2'!$CE$45,W181,0)*OFFSET($AA$6,X181,0)*OFFSET($M$6,W181,)</f>
        <v>0.52246337801768339</v>
      </c>
      <c r="AY181" t="s">
        <v>467</v>
      </c>
      <c r="AZ181" t="s">
        <v>489</v>
      </c>
      <c r="BA181" t="s">
        <v>246</v>
      </c>
      <c r="BB181">
        <v>0</v>
      </c>
      <c r="BE181" t="s">
        <v>467</v>
      </c>
      <c r="BF181" t="s">
        <v>489</v>
      </c>
      <c r="BG181" t="s">
        <v>246</v>
      </c>
      <c r="BH181">
        <v>0</v>
      </c>
      <c r="CT181" t="s">
        <v>467</v>
      </c>
      <c r="CU181" t="s">
        <v>246</v>
      </c>
      <c r="CV181">
        <f ca="1">OFFSET('Calculations 2'!$AJ$12,W181,X181)</f>
        <v>0</v>
      </c>
    </row>
    <row r="182" spans="17:100">
      <c r="Q182" t="s">
        <v>231</v>
      </c>
      <c r="R182" t="s">
        <v>489</v>
      </c>
      <c r="S182" t="s">
        <v>246</v>
      </c>
      <c r="T182">
        <f ca="1">OFFSET('Calculations 2'!$C$45,W182,X182)*OFFSET($M$6,W182,0)</f>
        <v>25.601936552693999</v>
      </c>
      <c r="V182">
        <f t="shared" si="8"/>
        <v>176</v>
      </c>
      <c r="W182">
        <f t="shared" si="9"/>
        <v>11</v>
      </c>
      <c r="X182">
        <f t="shared" si="10"/>
        <v>5</v>
      </c>
      <c r="AC182" t="s">
        <v>231</v>
      </c>
      <c r="AD182" t="s">
        <v>489</v>
      </c>
      <c r="AE182" t="s">
        <v>246</v>
      </c>
      <c r="AF182">
        <f ca="1">OFFSET('Calculations 2'!$CE$45,W182,0)*OFFSET($AA$6,X182,0)*OFFSET($M$6,W182,)</f>
        <v>1.5281150503658771</v>
      </c>
      <c r="AY182" t="s">
        <v>231</v>
      </c>
      <c r="AZ182" t="s">
        <v>489</v>
      </c>
      <c r="BA182" t="s">
        <v>246</v>
      </c>
      <c r="BB182">
        <v>0</v>
      </c>
      <c r="BE182" t="s">
        <v>231</v>
      </c>
      <c r="BF182" t="s">
        <v>489</v>
      </c>
      <c r="BG182" t="s">
        <v>246</v>
      </c>
      <c r="BH182">
        <v>0</v>
      </c>
      <c r="CT182" t="s">
        <v>231</v>
      </c>
      <c r="CU182" t="s">
        <v>246</v>
      </c>
      <c r="CV182">
        <f ca="1">OFFSET('Calculations 2'!$AJ$12,W182,X182)</f>
        <v>0</v>
      </c>
    </row>
    <row r="183" spans="17:100">
      <c r="Q183" t="s">
        <v>468</v>
      </c>
      <c r="R183" t="s">
        <v>489</v>
      </c>
      <c r="S183" t="s">
        <v>246</v>
      </c>
      <c r="T183">
        <f ca="1">OFFSET('Calculations 2'!$C$45,W183,X183)*OFFSET($M$6,W183,0)</f>
        <v>1.2425661080451926</v>
      </c>
      <c r="V183">
        <f t="shared" si="8"/>
        <v>177</v>
      </c>
      <c r="W183">
        <f t="shared" si="9"/>
        <v>12</v>
      </c>
      <c r="X183">
        <f t="shared" si="10"/>
        <v>5</v>
      </c>
      <c r="AC183" t="s">
        <v>468</v>
      </c>
      <c r="AD183" t="s">
        <v>489</v>
      </c>
      <c r="AE183" t="s">
        <v>246</v>
      </c>
      <c r="AF183">
        <f ca="1">OFFSET('Calculations 2'!$CE$45,W183,0)*OFFSET($AA$6,X183,0)*OFFSET($M$6,W183,)</f>
        <v>2.2118260865744328</v>
      </c>
      <c r="AY183" t="s">
        <v>468</v>
      </c>
      <c r="AZ183" t="s">
        <v>489</v>
      </c>
      <c r="BA183" t="s">
        <v>246</v>
      </c>
      <c r="BB183">
        <v>0</v>
      </c>
      <c r="BE183" t="s">
        <v>468</v>
      </c>
      <c r="BF183" t="s">
        <v>489</v>
      </c>
      <c r="BG183" t="s">
        <v>246</v>
      </c>
      <c r="BH183">
        <v>0</v>
      </c>
      <c r="CT183" t="s">
        <v>468</v>
      </c>
      <c r="CU183" t="s">
        <v>246</v>
      </c>
      <c r="CV183">
        <f ca="1">OFFSET('Calculations 2'!$AJ$12,W183,X183)</f>
        <v>0</v>
      </c>
    </row>
    <row r="184" spans="17:100">
      <c r="Q184" t="s">
        <v>469</v>
      </c>
      <c r="R184" t="s">
        <v>489</v>
      </c>
      <c r="S184" t="s">
        <v>246</v>
      </c>
      <c r="T184">
        <f ca="1">OFFSET('Calculations 2'!$C$45,W184,X184)*OFFSET($M$6,W184,0)</f>
        <v>0</v>
      </c>
      <c r="V184">
        <f t="shared" si="8"/>
        <v>178</v>
      </c>
      <c r="W184">
        <f t="shared" si="9"/>
        <v>13</v>
      </c>
      <c r="X184">
        <f t="shared" si="10"/>
        <v>5</v>
      </c>
      <c r="AC184" t="s">
        <v>469</v>
      </c>
      <c r="AD184" t="s">
        <v>489</v>
      </c>
      <c r="AE184" t="s">
        <v>246</v>
      </c>
      <c r="AF184">
        <f ca="1">OFFSET('Calculations 2'!$CE$45,W184,0)*OFFSET($AA$6,X184,0)*OFFSET($M$6,W184,)</f>
        <v>0.46010781618934193</v>
      </c>
      <c r="AY184" t="s">
        <v>469</v>
      </c>
      <c r="AZ184" t="s">
        <v>489</v>
      </c>
      <c r="BA184" t="s">
        <v>246</v>
      </c>
      <c r="BB184">
        <v>0</v>
      </c>
      <c r="BE184" t="s">
        <v>469</v>
      </c>
      <c r="BF184" t="s">
        <v>489</v>
      </c>
      <c r="BG184" t="s">
        <v>246</v>
      </c>
      <c r="BH184">
        <v>0</v>
      </c>
      <c r="CT184" t="s">
        <v>469</v>
      </c>
      <c r="CU184" t="s">
        <v>246</v>
      </c>
      <c r="CV184">
        <f ca="1">OFFSET('Calculations 2'!$AJ$12,W184,X184)</f>
        <v>0</v>
      </c>
    </row>
    <row r="185" spans="17:100">
      <c r="Q185" t="s">
        <v>245</v>
      </c>
      <c r="R185" t="s">
        <v>489</v>
      </c>
      <c r="S185" t="s">
        <v>246</v>
      </c>
      <c r="T185">
        <f ca="1">OFFSET('Calculations 2'!$C$45,W185,X185)*OFFSET($M$6,W185,0)</f>
        <v>0.21064184658782584</v>
      </c>
      <c r="V185">
        <f t="shared" si="8"/>
        <v>179</v>
      </c>
      <c r="W185">
        <f t="shared" si="9"/>
        <v>14</v>
      </c>
      <c r="X185">
        <f t="shared" si="10"/>
        <v>5</v>
      </c>
      <c r="AC185" t="s">
        <v>245</v>
      </c>
      <c r="AD185" t="s">
        <v>489</v>
      </c>
      <c r="AE185" t="s">
        <v>246</v>
      </c>
      <c r="AF185">
        <f ca="1">OFFSET('Calculations 2'!$CE$45,W185,0)*OFFSET($AA$6,X185,0)*OFFSET($M$6,W185,)</f>
        <v>0.66462940442491703</v>
      </c>
      <c r="AY185" t="s">
        <v>245</v>
      </c>
      <c r="AZ185" t="s">
        <v>489</v>
      </c>
      <c r="BA185" t="s">
        <v>246</v>
      </c>
      <c r="BB185">
        <v>0</v>
      </c>
      <c r="BE185" t="s">
        <v>245</v>
      </c>
      <c r="BF185" t="s">
        <v>489</v>
      </c>
      <c r="BG185" t="s">
        <v>246</v>
      </c>
      <c r="BH185">
        <v>0</v>
      </c>
      <c r="CT185" t="s">
        <v>245</v>
      </c>
      <c r="CU185" t="s">
        <v>246</v>
      </c>
      <c r="CV185">
        <f ca="1">OFFSET('Calculations 2'!$AJ$12,W185,X185)</f>
        <v>0</v>
      </c>
    </row>
    <row r="186" spans="17:100">
      <c r="Q186" t="s">
        <v>470</v>
      </c>
      <c r="R186" t="s">
        <v>489</v>
      </c>
      <c r="S186" t="s">
        <v>246</v>
      </c>
      <c r="T186">
        <f ca="1">OFFSET('Calculations 2'!$C$45,W186,X186)*OFFSET($M$6,W186,0)</f>
        <v>2.5854526164169362</v>
      </c>
      <c r="V186">
        <f t="shared" si="8"/>
        <v>180</v>
      </c>
      <c r="W186">
        <f t="shared" si="9"/>
        <v>15</v>
      </c>
      <c r="X186">
        <f t="shared" si="10"/>
        <v>5</v>
      </c>
      <c r="AC186" t="s">
        <v>470</v>
      </c>
      <c r="AD186" t="s">
        <v>489</v>
      </c>
      <c r="AE186" t="s">
        <v>246</v>
      </c>
      <c r="AF186">
        <f ca="1">OFFSET('Calculations 2'!$CE$45,W186,0)*OFFSET($AA$6,X186,0)*OFFSET($M$6,W186,)</f>
        <v>1.8097427851154615</v>
      </c>
      <c r="AY186" t="s">
        <v>470</v>
      </c>
      <c r="AZ186" t="s">
        <v>489</v>
      </c>
      <c r="BA186" t="s">
        <v>246</v>
      </c>
      <c r="BB186">
        <v>0</v>
      </c>
      <c r="BE186" t="s">
        <v>470</v>
      </c>
      <c r="BF186" t="s">
        <v>489</v>
      </c>
      <c r="BG186" t="s">
        <v>246</v>
      </c>
      <c r="BH186">
        <v>0</v>
      </c>
      <c r="CT186" t="s">
        <v>470</v>
      </c>
      <c r="CU186" t="s">
        <v>246</v>
      </c>
      <c r="CV186">
        <f ca="1">OFFSET('Calculations 2'!$AJ$12,W186,X186)</f>
        <v>0</v>
      </c>
    </row>
    <row r="187" spans="17:100">
      <c r="Q187" t="s">
        <v>471</v>
      </c>
      <c r="R187" t="s">
        <v>489</v>
      </c>
      <c r="S187" t="s">
        <v>246</v>
      </c>
      <c r="T187">
        <f ca="1">OFFSET('Calculations 2'!$C$45,W187,X187)*OFFSET($M$6,W187,0)</f>
        <v>24.893120312977629</v>
      </c>
      <c r="V187">
        <f t="shared" si="8"/>
        <v>181</v>
      </c>
      <c r="W187">
        <f t="shared" si="9"/>
        <v>16</v>
      </c>
      <c r="X187">
        <f t="shared" si="10"/>
        <v>5</v>
      </c>
      <c r="AC187" t="s">
        <v>471</v>
      </c>
      <c r="AD187" t="s">
        <v>489</v>
      </c>
      <c r="AE187" t="s">
        <v>246</v>
      </c>
      <c r="AF187">
        <f ca="1">OFFSET('Calculations 2'!$CE$45,W187,0)*OFFSET($AA$6,X187,0)*OFFSET($M$6,W187,)</f>
        <v>0</v>
      </c>
      <c r="AY187" t="s">
        <v>471</v>
      </c>
      <c r="AZ187" t="s">
        <v>489</v>
      </c>
      <c r="BA187" t="s">
        <v>246</v>
      </c>
      <c r="BB187">
        <v>0</v>
      </c>
      <c r="BE187" t="s">
        <v>471</v>
      </c>
      <c r="BF187" t="s">
        <v>489</v>
      </c>
      <c r="BG187" t="s">
        <v>246</v>
      </c>
      <c r="BH187">
        <v>0</v>
      </c>
      <c r="CT187" t="s">
        <v>471</v>
      </c>
      <c r="CU187" t="s">
        <v>246</v>
      </c>
      <c r="CV187">
        <f ca="1">OFFSET('Calculations 2'!$AJ$12,W187,X187)</f>
        <v>0</v>
      </c>
    </row>
    <row r="188" spans="17:100">
      <c r="Q188" t="s">
        <v>221</v>
      </c>
      <c r="R188" t="s">
        <v>489</v>
      </c>
      <c r="S188" t="s">
        <v>246</v>
      </c>
      <c r="T188">
        <f ca="1">OFFSET('Calculations 2'!$C$45,W188,X188)*OFFSET($M$6,W188,0)</f>
        <v>4.6866468769988359</v>
      </c>
      <c r="V188">
        <f t="shared" si="8"/>
        <v>182</v>
      </c>
      <c r="W188">
        <f t="shared" si="9"/>
        <v>17</v>
      </c>
      <c r="X188">
        <f t="shared" si="10"/>
        <v>5</v>
      </c>
      <c r="AC188" t="s">
        <v>221</v>
      </c>
      <c r="AD188" t="s">
        <v>489</v>
      </c>
      <c r="AE188" t="s">
        <v>246</v>
      </c>
      <c r="AF188">
        <f ca="1">OFFSET('Calculations 2'!$CE$45,W188,0)*OFFSET($AA$6,X188,0)*OFFSET($M$6,W188,)</f>
        <v>60.116832966042281</v>
      </c>
      <c r="AY188" t="s">
        <v>221</v>
      </c>
      <c r="AZ188" t="s">
        <v>489</v>
      </c>
      <c r="BA188" t="s">
        <v>246</v>
      </c>
      <c r="BB188">
        <v>0</v>
      </c>
      <c r="BE188" t="s">
        <v>221</v>
      </c>
      <c r="BF188" t="s">
        <v>489</v>
      </c>
      <c r="BG188" t="s">
        <v>246</v>
      </c>
      <c r="BH188">
        <v>0</v>
      </c>
      <c r="CT188" t="s">
        <v>221</v>
      </c>
      <c r="CU188" t="s">
        <v>246</v>
      </c>
      <c r="CV188">
        <f ca="1">OFFSET('Calculations 2'!$AJ$12,W188,X188)</f>
        <v>0</v>
      </c>
    </row>
    <row r="189" spans="17:100">
      <c r="Q189" t="s">
        <v>244</v>
      </c>
      <c r="R189" t="s">
        <v>489</v>
      </c>
      <c r="S189" t="s">
        <v>246</v>
      </c>
      <c r="T189">
        <f ca="1">OFFSET('Calculations 2'!$C$45,W189,X189)*OFFSET($M$6,W189,0)</f>
        <v>322.42332629367405</v>
      </c>
      <c r="V189">
        <f t="shared" si="8"/>
        <v>183</v>
      </c>
      <c r="W189">
        <f t="shared" si="9"/>
        <v>18</v>
      </c>
      <c r="X189">
        <f t="shared" si="10"/>
        <v>5</v>
      </c>
      <c r="AC189" t="s">
        <v>244</v>
      </c>
      <c r="AD189" t="s">
        <v>489</v>
      </c>
      <c r="AE189" t="s">
        <v>246</v>
      </c>
      <c r="AF189">
        <f ca="1">OFFSET('Calculations 2'!$CE$45,W189,0)*OFFSET($AA$6,X189,0)*OFFSET($M$6,W189,)</f>
        <v>9.6122807541319819</v>
      </c>
      <c r="AY189" t="s">
        <v>244</v>
      </c>
      <c r="AZ189" t="s">
        <v>489</v>
      </c>
      <c r="BA189" t="s">
        <v>246</v>
      </c>
      <c r="BB189">
        <v>0</v>
      </c>
      <c r="BE189" t="s">
        <v>244</v>
      </c>
      <c r="BF189" t="s">
        <v>489</v>
      </c>
      <c r="BG189" t="s">
        <v>246</v>
      </c>
      <c r="BH189">
        <v>0</v>
      </c>
      <c r="CT189" t="s">
        <v>244</v>
      </c>
      <c r="CU189" t="s">
        <v>246</v>
      </c>
      <c r="CV189">
        <f ca="1">OFFSET('Calculations 2'!$AJ$12,W189,X189)</f>
        <v>0</v>
      </c>
    </row>
    <row r="190" spans="17:100">
      <c r="Q190" t="s">
        <v>472</v>
      </c>
      <c r="R190" t="s">
        <v>489</v>
      </c>
      <c r="S190" t="s">
        <v>246</v>
      </c>
      <c r="T190">
        <f ca="1">OFFSET('Calculations 2'!$C$45,W190,X190)*OFFSET($M$6,W190,0)</f>
        <v>0</v>
      </c>
      <c r="V190">
        <f t="shared" si="8"/>
        <v>184</v>
      </c>
      <c r="W190">
        <f t="shared" si="9"/>
        <v>19</v>
      </c>
      <c r="X190">
        <f t="shared" si="10"/>
        <v>5</v>
      </c>
      <c r="AC190" t="s">
        <v>472</v>
      </c>
      <c r="AD190" t="s">
        <v>489</v>
      </c>
      <c r="AE190" t="s">
        <v>246</v>
      </c>
      <c r="AF190">
        <f ca="1">OFFSET('Calculations 2'!$CE$45,W190,0)*OFFSET($AA$6,X190,0)*OFFSET($M$6,W190,)</f>
        <v>0</v>
      </c>
      <c r="AY190" t="s">
        <v>472</v>
      </c>
      <c r="AZ190" t="s">
        <v>489</v>
      </c>
      <c r="BA190" t="s">
        <v>246</v>
      </c>
      <c r="BB190">
        <v>0</v>
      </c>
      <c r="BE190" t="s">
        <v>472</v>
      </c>
      <c r="BF190" t="s">
        <v>489</v>
      </c>
      <c r="BG190" t="s">
        <v>246</v>
      </c>
      <c r="BH190">
        <v>0</v>
      </c>
      <c r="CT190" t="s">
        <v>472</v>
      </c>
      <c r="CU190" t="s">
        <v>246</v>
      </c>
      <c r="CV190">
        <f ca="1">OFFSET('Calculations 2'!$AJ$12,W190,X190)</f>
        <v>0</v>
      </c>
    </row>
    <row r="191" spans="17:100">
      <c r="Q191" t="s">
        <v>238</v>
      </c>
      <c r="R191" t="s">
        <v>489</v>
      </c>
      <c r="S191" t="s">
        <v>246</v>
      </c>
      <c r="T191">
        <f ca="1">OFFSET('Calculations 2'!$C$45,W191,X191)*OFFSET($M$6,W191,0)</f>
        <v>14.156727935275102</v>
      </c>
      <c r="V191">
        <f t="shared" si="8"/>
        <v>185</v>
      </c>
      <c r="W191">
        <f t="shared" si="9"/>
        <v>20</v>
      </c>
      <c r="X191">
        <f t="shared" si="10"/>
        <v>5</v>
      </c>
      <c r="AC191" t="s">
        <v>238</v>
      </c>
      <c r="AD191" t="s">
        <v>489</v>
      </c>
      <c r="AE191" t="s">
        <v>246</v>
      </c>
      <c r="AF191">
        <f ca="1">OFFSET('Calculations 2'!$CE$45,W191,0)*OFFSET($AA$6,X191,0)*OFFSET($M$6,W191,)</f>
        <v>0</v>
      </c>
      <c r="AY191" t="s">
        <v>238</v>
      </c>
      <c r="AZ191" t="s">
        <v>489</v>
      </c>
      <c r="BA191" t="s">
        <v>246</v>
      </c>
      <c r="BB191">
        <v>0</v>
      </c>
      <c r="BE191" t="s">
        <v>238</v>
      </c>
      <c r="BF191" t="s">
        <v>489</v>
      </c>
      <c r="BG191" t="s">
        <v>246</v>
      </c>
      <c r="BH191">
        <v>0</v>
      </c>
      <c r="CT191" t="s">
        <v>238</v>
      </c>
      <c r="CU191" t="s">
        <v>246</v>
      </c>
      <c r="CV191">
        <f ca="1">OFFSET('Calculations 2'!$AJ$12,W191,X191)</f>
        <v>0</v>
      </c>
    </row>
    <row r="192" spans="17:100">
      <c r="Q192" t="s">
        <v>247</v>
      </c>
      <c r="R192" t="s">
        <v>489</v>
      </c>
      <c r="S192" t="s">
        <v>246</v>
      </c>
      <c r="T192">
        <f ca="1">OFFSET('Calculations 2'!$C$45,W192,X192)*OFFSET($M$6,W192,0)</f>
        <v>0</v>
      </c>
      <c r="V192">
        <f t="shared" si="8"/>
        <v>186</v>
      </c>
      <c r="W192">
        <f t="shared" si="9"/>
        <v>21</v>
      </c>
      <c r="X192">
        <f t="shared" si="10"/>
        <v>5</v>
      </c>
      <c r="AC192" t="s">
        <v>247</v>
      </c>
      <c r="AD192" t="s">
        <v>489</v>
      </c>
      <c r="AE192" t="s">
        <v>246</v>
      </c>
      <c r="AF192">
        <f ca="1">OFFSET('Calculations 2'!$CE$45,W192,0)*OFFSET($AA$6,X192,0)*OFFSET($M$6,W192,)</f>
        <v>0</v>
      </c>
      <c r="AY192" t="s">
        <v>247</v>
      </c>
      <c r="AZ192" t="s">
        <v>489</v>
      </c>
      <c r="BA192" t="s">
        <v>246</v>
      </c>
      <c r="BB192">
        <v>0</v>
      </c>
      <c r="BE192" t="s">
        <v>247</v>
      </c>
      <c r="BF192" t="s">
        <v>489</v>
      </c>
      <c r="BG192" t="s">
        <v>246</v>
      </c>
      <c r="BH192">
        <v>0</v>
      </c>
      <c r="CT192" t="s">
        <v>247</v>
      </c>
      <c r="CU192" t="s">
        <v>246</v>
      </c>
      <c r="CV192">
        <f ca="1">OFFSET('Calculations 2'!$AJ$12,W192,X192)</f>
        <v>0</v>
      </c>
    </row>
    <row r="193" spans="17:100">
      <c r="Q193" t="s">
        <v>218</v>
      </c>
      <c r="R193" t="s">
        <v>489</v>
      </c>
      <c r="S193" t="s">
        <v>246</v>
      </c>
      <c r="T193">
        <f ca="1">OFFSET('Calculations 2'!$C$45,W193,X193)*OFFSET($M$6,W193,0)</f>
        <v>9.1547647649705475</v>
      </c>
      <c r="V193">
        <f t="shared" si="8"/>
        <v>187</v>
      </c>
      <c r="W193">
        <f t="shared" si="9"/>
        <v>22</v>
      </c>
      <c r="X193">
        <f t="shared" si="10"/>
        <v>5</v>
      </c>
      <c r="AC193" t="s">
        <v>218</v>
      </c>
      <c r="AD193" t="s">
        <v>489</v>
      </c>
      <c r="AE193" t="s">
        <v>246</v>
      </c>
      <c r="AF193">
        <f ca="1">OFFSET('Calculations 2'!$CE$45,W193,0)*OFFSET($AA$6,X193,0)*OFFSET($M$6,W193,)</f>
        <v>0</v>
      </c>
      <c r="AY193" t="s">
        <v>218</v>
      </c>
      <c r="AZ193" t="s">
        <v>489</v>
      </c>
      <c r="BA193" t="s">
        <v>246</v>
      </c>
      <c r="BB193">
        <v>0</v>
      </c>
      <c r="BE193" t="s">
        <v>218</v>
      </c>
      <c r="BF193" t="s">
        <v>489</v>
      </c>
      <c r="BG193" t="s">
        <v>246</v>
      </c>
      <c r="BH193">
        <v>0</v>
      </c>
      <c r="CT193" t="s">
        <v>218</v>
      </c>
      <c r="CU193" t="s">
        <v>246</v>
      </c>
      <c r="CV193">
        <f ca="1">OFFSET('Calculations 2'!$AJ$12,W193,X193)</f>
        <v>0</v>
      </c>
    </row>
    <row r="194" spans="17:100">
      <c r="Q194" t="s">
        <v>257</v>
      </c>
      <c r="R194" t="s">
        <v>489</v>
      </c>
      <c r="S194" t="s">
        <v>246</v>
      </c>
      <c r="T194">
        <f ca="1">OFFSET('Calculations 2'!$C$45,W194,X194)*OFFSET($M$6,W194,0)</f>
        <v>19.27921864641003</v>
      </c>
      <c r="V194">
        <f t="shared" si="8"/>
        <v>188</v>
      </c>
      <c r="W194">
        <f t="shared" si="9"/>
        <v>23</v>
      </c>
      <c r="X194">
        <f t="shared" si="10"/>
        <v>5</v>
      </c>
      <c r="AC194" t="s">
        <v>257</v>
      </c>
      <c r="AD194" t="s">
        <v>489</v>
      </c>
      <c r="AE194" t="s">
        <v>246</v>
      </c>
      <c r="AF194">
        <f ca="1">OFFSET('Calculations 2'!$CE$45,W194,0)*OFFSET($AA$6,X194,0)*OFFSET($M$6,W194,)</f>
        <v>0</v>
      </c>
      <c r="AY194" t="s">
        <v>257</v>
      </c>
      <c r="AZ194" t="s">
        <v>489</v>
      </c>
      <c r="BA194" t="s">
        <v>246</v>
      </c>
      <c r="BB194">
        <v>0</v>
      </c>
      <c r="BE194" t="s">
        <v>257</v>
      </c>
      <c r="BF194" t="s">
        <v>489</v>
      </c>
      <c r="BG194" t="s">
        <v>246</v>
      </c>
      <c r="BH194">
        <v>0</v>
      </c>
      <c r="CT194" t="s">
        <v>257</v>
      </c>
      <c r="CU194" t="s">
        <v>246</v>
      </c>
      <c r="CV194">
        <f ca="1">OFFSET('Calculations 2'!$AJ$12,W194,X194)</f>
        <v>0</v>
      </c>
    </row>
    <row r="195" spans="17:100">
      <c r="Q195" t="s">
        <v>220</v>
      </c>
      <c r="R195" t="s">
        <v>489</v>
      </c>
      <c r="S195" t="s">
        <v>246</v>
      </c>
      <c r="T195">
        <f ca="1">OFFSET('Calculations 2'!$C$45,W195,X195)*OFFSET($M$6,W195,0)</f>
        <v>3.0623867326746406</v>
      </c>
      <c r="V195">
        <f t="shared" si="8"/>
        <v>189</v>
      </c>
      <c r="W195">
        <f t="shared" si="9"/>
        <v>24</v>
      </c>
      <c r="X195">
        <f t="shared" si="10"/>
        <v>5</v>
      </c>
      <c r="AC195" t="s">
        <v>220</v>
      </c>
      <c r="AD195" t="s">
        <v>489</v>
      </c>
      <c r="AE195" t="s">
        <v>246</v>
      </c>
      <c r="AF195">
        <f ca="1">OFFSET('Calculations 2'!$CE$45,W195,0)*OFFSET($AA$6,X195,0)*OFFSET($M$6,W195,)</f>
        <v>0</v>
      </c>
      <c r="AY195" t="s">
        <v>220</v>
      </c>
      <c r="AZ195" t="s">
        <v>489</v>
      </c>
      <c r="BA195" t="s">
        <v>246</v>
      </c>
      <c r="BB195">
        <v>0</v>
      </c>
      <c r="BE195" t="s">
        <v>220</v>
      </c>
      <c r="BF195" t="s">
        <v>489</v>
      </c>
      <c r="BG195" t="s">
        <v>246</v>
      </c>
      <c r="BH195">
        <v>0</v>
      </c>
      <c r="CT195" t="s">
        <v>220</v>
      </c>
      <c r="CU195" t="s">
        <v>246</v>
      </c>
      <c r="CV195">
        <f ca="1">OFFSET('Calculations 2'!$AJ$12,W195,X195)</f>
        <v>0</v>
      </c>
    </row>
    <row r="196" spans="17:100">
      <c r="Q196" t="s">
        <v>235</v>
      </c>
      <c r="R196" t="s">
        <v>489</v>
      </c>
      <c r="S196" t="s">
        <v>246</v>
      </c>
      <c r="T196">
        <f ca="1">OFFSET('Calculations 2'!$C$45,W196,X196)*OFFSET($M$6,W196,0)</f>
        <v>30.429338494299611</v>
      </c>
      <c r="V196">
        <f t="shared" si="8"/>
        <v>190</v>
      </c>
      <c r="W196">
        <f t="shared" si="9"/>
        <v>25</v>
      </c>
      <c r="X196">
        <f t="shared" si="10"/>
        <v>5</v>
      </c>
      <c r="AC196" t="s">
        <v>235</v>
      </c>
      <c r="AD196" t="s">
        <v>489</v>
      </c>
      <c r="AE196" t="s">
        <v>246</v>
      </c>
      <c r="AF196">
        <f ca="1">OFFSET('Calculations 2'!$CE$45,W196,0)*OFFSET($AA$6,X196,0)*OFFSET($M$6,W196,)</f>
        <v>0</v>
      </c>
      <c r="AY196" t="s">
        <v>235</v>
      </c>
      <c r="AZ196" t="s">
        <v>489</v>
      </c>
      <c r="BA196" t="s">
        <v>246</v>
      </c>
      <c r="BB196">
        <v>0</v>
      </c>
      <c r="BE196" t="s">
        <v>235</v>
      </c>
      <c r="BF196" t="s">
        <v>489</v>
      </c>
      <c r="BG196" t="s">
        <v>246</v>
      </c>
      <c r="BH196">
        <v>0</v>
      </c>
      <c r="CT196" t="s">
        <v>235</v>
      </c>
      <c r="CU196" t="s">
        <v>246</v>
      </c>
      <c r="CV196">
        <f ca="1">OFFSET('Calculations 2'!$AJ$12,W196,X196)</f>
        <v>0</v>
      </c>
    </row>
    <row r="197" spans="17:100">
      <c r="Q197" t="s">
        <v>473</v>
      </c>
      <c r="R197" t="s">
        <v>489</v>
      </c>
      <c r="S197" t="s">
        <v>246</v>
      </c>
      <c r="T197">
        <f ca="1">OFFSET('Calculations 2'!$C$45,W197,X197)*OFFSET($M$6,W197,0)</f>
        <v>64.000422494184662</v>
      </c>
      <c r="V197">
        <f t="shared" si="8"/>
        <v>191</v>
      </c>
      <c r="W197">
        <f t="shared" si="9"/>
        <v>26</v>
      </c>
      <c r="X197">
        <f t="shared" si="10"/>
        <v>5</v>
      </c>
      <c r="AC197" t="s">
        <v>473</v>
      </c>
      <c r="AD197" t="s">
        <v>489</v>
      </c>
      <c r="AE197" t="s">
        <v>246</v>
      </c>
      <c r="AF197">
        <f ca="1">OFFSET('Calculations 2'!$CE$45,W197,0)*OFFSET($AA$6,X197,0)*OFFSET($M$6,W197,)</f>
        <v>0</v>
      </c>
      <c r="AY197" t="s">
        <v>473</v>
      </c>
      <c r="AZ197" t="s">
        <v>489</v>
      </c>
      <c r="BA197" t="s">
        <v>246</v>
      </c>
      <c r="BB197">
        <v>0</v>
      </c>
      <c r="BE197" t="s">
        <v>473</v>
      </c>
      <c r="BF197" t="s">
        <v>489</v>
      </c>
      <c r="BG197" t="s">
        <v>246</v>
      </c>
      <c r="BH197">
        <v>0</v>
      </c>
      <c r="CT197" t="s">
        <v>473</v>
      </c>
      <c r="CU197" t="s">
        <v>246</v>
      </c>
      <c r="CV197">
        <f ca="1">OFFSET('Calculations 2'!$AJ$12,W197,X197)</f>
        <v>0</v>
      </c>
    </row>
    <row r="198" spans="17:100">
      <c r="Q198" t="s">
        <v>233</v>
      </c>
      <c r="R198" t="s">
        <v>489</v>
      </c>
      <c r="S198" t="s">
        <v>246</v>
      </c>
      <c r="T198">
        <f ca="1">OFFSET('Calculations 2'!$C$45,W198,X198)*OFFSET($M$6,W198,0)</f>
        <v>20.485426235646813</v>
      </c>
      <c r="V198">
        <f t="shared" si="8"/>
        <v>192</v>
      </c>
      <c r="W198">
        <f t="shared" si="9"/>
        <v>27</v>
      </c>
      <c r="X198">
        <f t="shared" si="10"/>
        <v>5</v>
      </c>
      <c r="AC198" t="s">
        <v>233</v>
      </c>
      <c r="AD198" t="s">
        <v>489</v>
      </c>
      <c r="AE198" t="s">
        <v>246</v>
      </c>
      <c r="AF198">
        <f ca="1">OFFSET('Calculations 2'!$CE$45,W198,0)*OFFSET($AA$6,X198,0)*OFFSET($M$6,W198,)</f>
        <v>0</v>
      </c>
      <c r="AY198" t="s">
        <v>233</v>
      </c>
      <c r="AZ198" t="s">
        <v>489</v>
      </c>
      <c r="BA198" t="s">
        <v>246</v>
      </c>
      <c r="BB198">
        <v>0</v>
      </c>
      <c r="BE198" t="s">
        <v>233</v>
      </c>
      <c r="BF198" t="s">
        <v>489</v>
      </c>
      <c r="BG198" t="s">
        <v>246</v>
      </c>
      <c r="BH198">
        <v>0</v>
      </c>
      <c r="CT198" t="s">
        <v>233</v>
      </c>
      <c r="CU198" t="s">
        <v>246</v>
      </c>
      <c r="CV198">
        <f ca="1">OFFSET('Calculations 2'!$AJ$12,W198,X198)</f>
        <v>0</v>
      </c>
    </row>
    <row r="199" spans="17:100">
      <c r="Q199" t="s">
        <v>474</v>
      </c>
      <c r="R199" t="s">
        <v>489</v>
      </c>
      <c r="S199" t="s">
        <v>246</v>
      </c>
      <c r="T199">
        <f ca="1">OFFSET('Calculations 2'!$C$45,W199,X199)*OFFSET($M$6,W199,0)</f>
        <v>25.167390732480683</v>
      </c>
      <c r="V199">
        <f t="shared" si="8"/>
        <v>193</v>
      </c>
      <c r="W199">
        <f t="shared" si="9"/>
        <v>28</v>
      </c>
      <c r="X199">
        <f t="shared" si="10"/>
        <v>5</v>
      </c>
      <c r="AC199" t="s">
        <v>474</v>
      </c>
      <c r="AD199" t="s">
        <v>489</v>
      </c>
      <c r="AE199" t="s">
        <v>246</v>
      </c>
      <c r="AF199">
        <f ca="1">OFFSET('Calculations 2'!$CE$45,W199,0)*OFFSET($AA$6,X199,0)*OFFSET($M$6,W199,)</f>
        <v>0</v>
      </c>
      <c r="AY199" t="s">
        <v>474</v>
      </c>
      <c r="AZ199" t="s">
        <v>489</v>
      </c>
      <c r="BA199" t="s">
        <v>246</v>
      </c>
      <c r="BB199">
        <v>0</v>
      </c>
      <c r="BE199" t="s">
        <v>474</v>
      </c>
      <c r="BF199" t="s">
        <v>489</v>
      </c>
      <c r="BG199" t="s">
        <v>246</v>
      </c>
      <c r="BH199">
        <v>0</v>
      </c>
      <c r="CT199" t="s">
        <v>474</v>
      </c>
      <c r="CU199" t="s">
        <v>246</v>
      </c>
      <c r="CV199">
        <f ca="1">OFFSET('Calculations 2'!$AJ$12,W199,X199)</f>
        <v>0</v>
      </c>
    </row>
    <row r="200" spans="17:100">
      <c r="Q200" t="s">
        <v>223</v>
      </c>
      <c r="R200" t="s">
        <v>489</v>
      </c>
      <c r="S200" t="s">
        <v>246</v>
      </c>
      <c r="T200">
        <f ca="1">OFFSET('Calculations 2'!$C$45,W200,X200)*OFFSET($M$6,W200,0)</f>
        <v>0.45358656105948308</v>
      </c>
      <c r="V200">
        <f t="shared" ref="V200:V263" si="11">V199+1</f>
        <v>194</v>
      </c>
      <c r="W200">
        <f t="shared" ref="W200:W263" si="12">MOD(V200,$V$3)</f>
        <v>29</v>
      </c>
      <c r="X200">
        <f t="shared" ref="X200:X263" si="13">FLOOR(V200/$V$3,1)</f>
        <v>5</v>
      </c>
      <c r="AC200" t="s">
        <v>223</v>
      </c>
      <c r="AD200" t="s">
        <v>489</v>
      </c>
      <c r="AE200" t="s">
        <v>246</v>
      </c>
      <c r="AF200">
        <f ca="1">OFFSET('Calculations 2'!$CE$45,W200,0)*OFFSET($AA$6,X200,0)*OFFSET($M$6,W200,)</f>
        <v>0</v>
      </c>
      <c r="AY200" t="s">
        <v>223</v>
      </c>
      <c r="AZ200" t="s">
        <v>489</v>
      </c>
      <c r="BA200" t="s">
        <v>246</v>
      </c>
      <c r="BB200">
        <v>0</v>
      </c>
      <c r="BE200" t="s">
        <v>223</v>
      </c>
      <c r="BF200" t="s">
        <v>489</v>
      </c>
      <c r="BG200" t="s">
        <v>246</v>
      </c>
      <c r="BH200">
        <v>0</v>
      </c>
      <c r="CT200" t="s">
        <v>223</v>
      </c>
      <c r="CU200" t="s">
        <v>246</v>
      </c>
      <c r="CV200">
        <f ca="1">OFFSET('Calculations 2'!$AJ$12,W200,X200)</f>
        <v>0</v>
      </c>
    </row>
    <row r="201" spans="17:100">
      <c r="Q201" t="s">
        <v>475</v>
      </c>
      <c r="R201" t="s">
        <v>489</v>
      </c>
      <c r="S201" t="s">
        <v>246</v>
      </c>
      <c r="T201">
        <f ca="1">OFFSET('Calculations 2'!$C$45,W201,X201)*OFFSET($M$6,W201,0)</f>
        <v>0.49998931072111297</v>
      </c>
      <c r="V201">
        <f t="shared" si="11"/>
        <v>195</v>
      </c>
      <c r="W201">
        <f t="shared" si="12"/>
        <v>30</v>
      </c>
      <c r="X201">
        <f t="shared" si="13"/>
        <v>5</v>
      </c>
      <c r="AC201" t="s">
        <v>475</v>
      </c>
      <c r="AD201" t="s">
        <v>489</v>
      </c>
      <c r="AE201" t="s">
        <v>246</v>
      </c>
      <c r="AF201">
        <f ca="1">OFFSET('Calculations 2'!$CE$45,W201,0)*OFFSET($AA$6,X201,0)*OFFSET($M$6,W201,)</f>
        <v>0</v>
      </c>
      <c r="AY201" t="s">
        <v>475</v>
      </c>
      <c r="AZ201" t="s">
        <v>489</v>
      </c>
      <c r="BA201" t="s">
        <v>246</v>
      </c>
      <c r="BB201">
        <v>0</v>
      </c>
      <c r="BE201" t="s">
        <v>475</v>
      </c>
      <c r="BF201" t="s">
        <v>489</v>
      </c>
      <c r="BG201" t="s">
        <v>246</v>
      </c>
      <c r="BH201">
        <v>0</v>
      </c>
      <c r="CT201" t="s">
        <v>475</v>
      </c>
      <c r="CU201" t="s">
        <v>246</v>
      </c>
      <c r="CV201">
        <f ca="1">OFFSET('Calculations 2'!$AJ$12,W201,X201)</f>
        <v>0</v>
      </c>
    </row>
    <row r="202" spans="17:100">
      <c r="Q202" t="s">
        <v>476</v>
      </c>
      <c r="R202" t="s">
        <v>489</v>
      </c>
      <c r="S202" t="s">
        <v>246</v>
      </c>
      <c r="T202">
        <f ca="1">OFFSET('Calculations 2'!$C$45,W202,X202)*OFFSET($M$6,W202,0)</f>
        <v>0</v>
      </c>
      <c r="V202">
        <f t="shared" si="11"/>
        <v>196</v>
      </c>
      <c r="W202">
        <f t="shared" si="12"/>
        <v>31</v>
      </c>
      <c r="X202">
        <f t="shared" si="13"/>
        <v>5</v>
      </c>
      <c r="AC202" t="s">
        <v>476</v>
      </c>
      <c r="AD202" t="s">
        <v>489</v>
      </c>
      <c r="AE202" t="s">
        <v>246</v>
      </c>
      <c r="AF202">
        <f ca="1">OFFSET('Calculations 2'!$CE$45,W202,0)*OFFSET($AA$6,X202,0)*OFFSET($M$6,W202,)</f>
        <v>0</v>
      </c>
      <c r="AY202" t="s">
        <v>476</v>
      </c>
      <c r="AZ202" t="s">
        <v>489</v>
      </c>
      <c r="BA202" t="s">
        <v>246</v>
      </c>
      <c r="BB202">
        <v>0</v>
      </c>
      <c r="BE202" t="s">
        <v>476</v>
      </c>
      <c r="BF202" t="s">
        <v>489</v>
      </c>
      <c r="BG202" t="s">
        <v>246</v>
      </c>
      <c r="BH202">
        <v>0</v>
      </c>
      <c r="CT202" t="s">
        <v>476</v>
      </c>
      <c r="CU202" t="s">
        <v>246</v>
      </c>
      <c r="CV202">
        <f ca="1">OFFSET('Calculations 2'!$AJ$12,W202,X202)</f>
        <v>0</v>
      </c>
    </row>
    <row r="203" spans="17:100">
      <c r="Q203" t="s">
        <v>222</v>
      </c>
      <c r="R203" t="s">
        <v>489</v>
      </c>
      <c r="S203" t="s">
        <v>246</v>
      </c>
      <c r="T203">
        <f ca="1">OFFSET('Calculations 2'!$C$45,W203,X203)*OFFSET($M$6,W203,0)</f>
        <v>0</v>
      </c>
      <c r="V203">
        <f t="shared" si="11"/>
        <v>197</v>
      </c>
      <c r="W203">
        <f t="shared" si="12"/>
        <v>32</v>
      </c>
      <c r="X203">
        <f t="shared" si="13"/>
        <v>5</v>
      </c>
      <c r="AC203" t="s">
        <v>222</v>
      </c>
      <c r="AD203" t="s">
        <v>489</v>
      </c>
      <c r="AE203" t="s">
        <v>246</v>
      </c>
      <c r="AF203">
        <f ca="1">OFFSET('Calculations 2'!$CE$45,W203,0)*OFFSET($AA$6,X203,0)*OFFSET($M$6,W203,)</f>
        <v>0</v>
      </c>
      <c r="AY203" t="s">
        <v>222</v>
      </c>
      <c r="AZ203" t="s">
        <v>489</v>
      </c>
      <c r="BA203" t="s">
        <v>246</v>
      </c>
      <c r="BB203">
        <v>0</v>
      </c>
      <c r="BE203" t="s">
        <v>222</v>
      </c>
      <c r="BF203" t="s">
        <v>489</v>
      </c>
      <c r="BG203" t="s">
        <v>246</v>
      </c>
      <c r="BH203">
        <v>0</v>
      </c>
      <c r="CT203" t="s">
        <v>222</v>
      </c>
      <c r="CU203" t="s">
        <v>246</v>
      </c>
      <c r="CV203">
        <f ca="1">OFFSET('Calculations 2'!$AJ$12,W203,X203)</f>
        <v>0</v>
      </c>
    </row>
    <row r="204" spans="17:100">
      <c r="Q204" t="s">
        <v>217</v>
      </c>
      <c r="R204" t="s">
        <v>489</v>
      </c>
      <c r="S204" t="s">
        <v>239</v>
      </c>
      <c r="T204">
        <f ca="1">OFFSET('Calculations 2'!$C$45,W204,X204)*OFFSET($M$6,W204,0)</f>
        <v>0</v>
      </c>
      <c r="V204">
        <f t="shared" si="11"/>
        <v>198</v>
      </c>
      <c r="W204">
        <f t="shared" si="12"/>
        <v>0</v>
      </c>
      <c r="X204">
        <f t="shared" si="13"/>
        <v>6</v>
      </c>
      <c r="AC204" t="s">
        <v>217</v>
      </c>
      <c r="AD204" t="s">
        <v>489</v>
      </c>
      <c r="AE204" t="s">
        <v>239</v>
      </c>
      <c r="AF204">
        <f ca="1">OFFSET('Calculations 2'!$CE$45,W204,0)*OFFSET($AA$6,X204,0)*OFFSET($M$6,W204,)</f>
        <v>8.1091639329143789E-2</v>
      </c>
      <c r="AY204" t="s">
        <v>217</v>
      </c>
      <c r="AZ204" t="s">
        <v>489</v>
      </c>
      <c r="BA204" t="s">
        <v>239</v>
      </c>
      <c r="BB204">
        <v>0</v>
      </c>
      <c r="BE204" t="s">
        <v>217</v>
      </c>
      <c r="BF204" t="s">
        <v>489</v>
      </c>
      <c r="BG204" t="s">
        <v>239</v>
      </c>
      <c r="BH204">
        <v>0</v>
      </c>
      <c r="CT204" t="s">
        <v>217</v>
      </c>
      <c r="CU204" t="s">
        <v>239</v>
      </c>
      <c r="CV204">
        <f ca="1">OFFSET('Calculations 2'!$AJ$12,W204,X204)</f>
        <v>0</v>
      </c>
    </row>
    <row r="205" spans="17:100">
      <c r="Q205" t="s">
        <v>232</v>
      </c>
      <c r="R205" t="s">
        <v>489</v>
      </c>
      <c r="S205" t="s">
        <v>239</v>
      </c>
      <c r="T205">
        <f ca="1">OFFSET('Calculations 2'!$C$45,W205,X205)*OFFSET($M$6,W205,0)</f>
        <v>0</v>
      </c>
      <c r="V205">
        <f t="shared" si="11"/>
        <v>199</v>
      </c>
      <c r="W205">
        <f t="shared" si="12"/>
        <v>1</v>
      </c>
      <c r="X205">
        <f t="shared" si="13"/>
        <v>6</v>
      </c>
      <c r="AC205" t="s">
        <v>232</v>
      </c>
      <c r="AD205" t="s">
        <v>489</v>
      </c>
      <c r="AE205" t="s">
        <v>239</v>
      </c>
      <c r="AF205">
        <f ca="1">OFFSET('Calculations 2'!$CE$45,W205,0)*OFFSET($AA$6,X205,0)*OFFSET($M$6,W205,)</f>
        <v>0.14145773314759369</v>
      </c>
      <c r="AY205" t="s">
        <v>232</v>
      </c>
      <c r="AZ205" t="s">
        <v>489</v>
      </c>
      <c r="BA205" t="s">
        <v>239</v>
      </c>
      <c r="BB205">
        <v>0</v>
      </c>
      <c r="BE205" t="s">
        <v>232</v>
      </c>
      <c r="BF205" t="s">
        <v>489</v>
      </c>
      <c r="BG205" t="s">
        <v>239</v>
      </c>
      <c r="BH205">
        <v>0</v>
      </c>
      <c r="CT205" t="s">
        <v>232</v>
      </c>
      <c r="CU205" t="s">
        <v>239</v>
      </c>
      <c r="CV205">
        <f ca="1">OFFSET('Calculations 2'!$AJ$12,W205,X205)</f>
        <v>0</v>
      </c>
    </row>
    <row r="206" spans="17:100">
      <c r="Q206" t="s">
        <v>226</v>
      </c>
      <c r="R206" t="s">
        <v>489</v>
      </c>
      <c r="S206" t="s">
        <v>239</v>
      </c>
      <c r="T206">
        <f ca="1">OFFSET('Calculations 2'!$C$45,W206,X206)*OFFSET($M$6,W206,0)</f>
        <v>8.6612127087756327E-2</v>
      </c>
      <c r="V206">
        <f t="shared" si="11"/>
        <v>200</v>
      </c>
      <c r="W206">
        <f t="shared" si="12"/>
        <v>2</v>
      </c>
      <c r="X206">
        <f t="shared" si="13"/>
        <v>6</v>
      </c>
      <c r="AC206" t="s">
        <v>226</v>
      </c>
      <c r="AD206" t="s">
        <v>489</v>
      </c>
      <c r="AE206" t="s">
        <v>239</v>
      </c>
      <c r="AF206">
        <f ca="1">OFFSET('Calculations 2'!$CE$45,W206,0)*OFFSET($AA$6,X206,0)*OFFSET($M$6,W206,)</f>
        <v>0.23818503624017312</v>
      </c>
      <c r="AY206" t="s">
        <v>226</v>
      </c>
      <c r="AZ206" t="s">
        <v>489</v>
      </c>
      <c r="BA206" t="s">
        <v>239</v>
      </c>
      <c r="BB206">
        <v>0</v>
      </c>
      <c r="BE206" t="s">
        <v>226</v>
      </c>
      <c r="BF206" t="s">
        <v>489</v>
      </c>
      <c r="BG206" t="s">
        <v>239</v>
      </c>
      <c r="BH206">
        <v>0</v>
      </c>
      <c r="CT206" t="s">
        <v>226</v>
      </c>
      <c r="CU206" t="s">
        <v>239</v>
      </c>
      <c r="CV206">
        <f ca="1">OFFSET('Calculations 2'!$AJ$12,W206,X206)</f>
        <v>0</v>
      </c>
    </row>
    <row r="207" spans="17:100">
      <c r="Q207" t="s">
        <v>243</v>
      </c>
      <c r="R207" t="s">
        <v>489</v>
      </c>
      <c r="S207" t="s">
        <v>239</v>
      </c>
      <c r="T207">
        <f ca="1">OFFSET('Calculations 2'!$C$45,W207,X207)*OFFSET($M$6,W207,0)</f>
        <v>1.8574440698590433</v>
      </c>
      <c r="V207">
        <f t="shared" si="11"/>
        <v>201</v>
      </c>
      <c r="W207">
        <f t="shared" si="12"/>
        <v>3</v>
      </c>
      <c r="X207">
        <f t="shared" si="13"/>
        <v>6</v>
      </c>
      <c r="AC207" t="s">
        <v>243</v>
      </c>
      <c r="AD207" t="s">
        <v>489</v>
      </c>
      <c r="AE207" t="s">
        <v>239</v>
      </c>
      <c r="AF207">
        <f ca="1">OFFSET('Calculations 2'!$CE$45,W207,0)*OFFSET($AA$6,X207,0)*OFFSET($M$6,W207,)</f>
        <v>1.2406713445979247</v>
      </c>
      <c r="AY207" t="s">
        <v>243</v>
      </c>
      <c r="AZ207" t="s">
        <v>489</v>
      </c>
      <c r="BA207" t="s">
        <v>239</v>
      </c>
      <c r="BB207">
        <v>0</v>
      </c>
      <c r="BE207" t="s">
        <v>243</v>
      </c>
      <c r="BF207" t="s">
        <v>489</v>
      </c>
      <c r="BG207" t="s">
        <v>239</v>
      </c>
      <c r="BH207">
        <v>0</v>
      </c>
      <c r="CT207" t="s">
        <v>243</v>
      </c>
      <c r="CU207" t="s">
        <v>239</v>
      </c>
      <c r="CV207">
        <f ca="1">OFFSET('Calculations 2'!$AJ$12,W207,X207)</f>
        <v>0</v>
      </c>
    </row>
    <row r="208" spans="17:100">
      <c r="Q208" t="s">
        <v>228</v>
      </c>
      <c r="R208" t="s">
        <v>489</v>
      </c>
      <c r="S208" t="s">
        <v>239</v>
      </c>
      <c r="T208">
        <f ca="1">OFFSET('Calculations 2'!$C$45,W208,X208)*OFFSET($M$6,W208,0)</f>
        <v>8.5845877457821559E-2</v>
      </c>
      <c r="V208">
        <f t="shared" si="11"/>
        <v>202</v>
      </c>
      <c r="W208">
        <f t="shared" si="12"/>
        <v>4</v>
      </c>
      <c r="X208">
        <f t="shared" si="13"/>
        <v>6</v>
      </c>
      <c r="AC208" t="s">
        <v>228</v>
      </c>
      <c r="AD208" t="s">
        <v>489</v>
      </c>
      <c r="AE208" t="s">
        <v>239</v>
      </c>
      <c r="AF208">
        <f ca="1">OFFSET('Calculations 2'!$CE$45,W208,0)*OFFSET($AA$6,X208,0)*OFFSET($M$6,W208,)</f>
        <v>8.8034610887041745E-3</v>
      </c>
      <c r="AY208" t="s">
        <v>228</v>
      </c>
      <c r="AZ208" t="s">
        <v>489</v>
      </c>
      <c r="BA208" t="s">
        <v>239</v>
      </c>
      <c r="BB208">
        <v>0</v>
      </c>
      <c r="BE208" t="s">
        <v>228</v>
      </c>
      <c r="BF208" t="s">
        <v>489</v>
      </c>
      <c r="BG208" t="s">
        <v>239</v>
      </c>
      <c r="BH208">
        <v>0</v>
      </c>
      <c r="CT208" t="s">
        <v>228</v>
      </c>
      <c r="CU208" t="s">
        <v>239</v>
      </c>
      <c r="CV208">
        <f ca="1">OFFSET('Calculations 2'!$AJ$12,W208,X208)</f>
        <v>0</v>
      </c>
    </row>
    <row r="209" spans="17:100">
      <c r="Q209" t="s">
        <v>246</v>
      </c>
      <c r="R209" t="s">
        <v>489</v>
      </c>
      <c r="S209" t="s">
        <v>239</v>
      </c>
      <c r="T209">
        <f ca="1">OFFSET('Calculations 2'!$C$45,W209,X209)*OFFSET($M$6,W209,0)</f>
        <v>7.3140844446638527</v>
      </c>
      <c r="V209">
        <f t="shared" si="11"/>
        <v>203</v>
      </c>
      <c r="W209">
        <f t="shared" si="12"/>
        <v>5</v>
      </c>
      <c r="X209">
        <f t="shared" si="13"/>
        <v>6</v>
      </c>
      <c r="AC209" t="s">
        <v>246</v>
      </c>
      <c r="AD209" t="s">
        <v>489</v>
      </c>
      <c r="AE209" t="s">
        <v>239</v>
      </c>
      <c r="AF209">
        <f ca="1">OFFSET('Calculations 2'!$CE$45,W209,0)*OFFSET($AA$6,X209,0)*OFFSET($M$6,W209,)</f>
        <v>5.4193993315010514E-2</v>
      </c>
      <c r="AY209" t="s">
        <v>246</v>
      </c>
      <c r="AZ209" t="s">
        <v>489</v>
      </c>
      <c r="BA209" t="s">
        <v>239</v>
      </c>
      <c r="BB209">
        <v>0</v>
      </c>
      <c r="BE209" t="s">
        <v>246</v>
      </c>
      <c r="BF209" t="s">
        <v>489</v>
      </c>
      <c r="BG209" t="s">
        <v>239</v>
      </c>
      <c r="BH209">
        <v>0</v>
      </c>
      <c r="CT209" t="s">
        <v>246</v>
      </c>
      <c r="CU209" t="s">
        <v>239</v>
      </c>
      <c r="CV209">
        <f ca="1">OFFSET('Calculations 2'!$AJ$12,W209,X209)</f>
        <v>0</v>
      </c>
    </row>
    <row r="210" spans="17:100">
      <c r="Q210" t="s">
        <v>239</v>
      </c>
      <c r="R210" t="s">
        <v>489</v>
      </c>
      <c r="S210" t="s">
        <v>239</v>
      </c>
      <c r="T210">
        <f ca="1">OFFSET('Calculations 2'!$C$45,W210,X210)*OFFSET($M$6,W210,0)</f>
        <v>1149.5474917978024</v>
      </c>
      <c r="V210">
        <f t="shared" si="11"/>
        <v>204</v>
      </c>
      <c r="W210">
        <f t="shared" si="12"/>
        <v>6</v>
      </c>
      <c r="X210">
        <f t="shared" si="13"/>
        <v>6</v>
      </c>
      <c r="AC210" t="s">
        <v>239</v>
      </c>
      <c r="AD210" t="s">
        <v>489</v>
      </c>
      <c r="AE210" t="s">
        <v>239</v>
      </c>
      <c r="AF210">
        <f ca="1">OFFSET('Calculations 2'!$CE$45,W210,0)*OFFSET($AA$6,X210,0)*OFFSET($M$6,W210,)</f>
        <v>1.0847264390551199</v>
      </c>
      <c r="AY210" t="s">
        <v>239</v>
      </c>
      <c r="AZ210" t="s">
        <v>489</v>
      </c>
      <c r="BA210" t="s">
        <v>239</v>
      </c>
      <c r="BB210">
        <v>0</v>
      </c>
      <c r="BE210" t="s">
        <v>239</v>
      </c>
      <c r="BF210" t="s">
        <v>489</v>
      </c>
      <c r="BG210" t="s">
        <v>239</v>
      </c>
      <c r="BH210">
        <v>0</v>
      </c>
      <c r="CT210" t="s">
        <v>239</v>
      </c>
      <c r="CU210" t="s">
        <v>239</v>
      </c>
      <c r="CV210">
        <f ca="1">OFFSET('Calculations 2'!$AJ$12,W210,X210)</f>
        <v>7097.4430000000011</v>
      </c>
    </row>
    <row r="211" spans="17:100">
      <c r="Q211" t="s">
        <v>466</v>
      </c>
      <c r="R211" t="s">
        <v>489</v>
      </c>
      <c r="S211" t="s">
        <v>239</v>
      </c>
      <c r="T211">
        <f ca="1">OFFSET('Calculations 2'!$C$45,W211,X211)*OFFSET($M$6,W211,0)</f>
        <v>5.5437859147467066</v>
      </c>
      <c r="V211">
        <f t="shared" si="11"/>
        <v>205</v>
      </c>
      <c r="W211">
        <f t="shared" si="12"/>
        <v>7</v>
      </c>
      <c r="X211">
        <f t="shared" si="13"/>
        <v>6</v>
      </c>
      <c r="AC211" t="s">
        <v>466</v>
      </c>
      <c r="AD211" t="s">
        <v>489</v>
      </c>
      <c r="AE211" t="s">
        <v>239</v>
      </c>
      <c r="AF211">
        <f ca="1">OFFSET('Calculations 2'!$CE$45,W211,0)*OFFSET($AA$6,X211,0)*OFFSET($M$6,W211,)</f>
        <v>0.16529131724337565</v>
      </c>
      <c r="AY211" t="s">
        <v>466</v>
      </c>
      <c r="AZ211" t="s">
        <v>489</v>
      </c>
      <c r="BA211" t="s">
        <v>239</v>
      </c>
      <c r="BB211">
        <v>0</v>
      </c>
      <c r="BE211" t="s">
        <v>466</v>
      </c>
      <c r="BF211" t="s">
        <v>489</v>
      </c>
      <c r="BG211" t="s">
        <v>239</v>
      </c>
      <c r="BH211">
        <v>0</v>
      </c>
      <c r="CT211" t="s">
        <v>466</v>
      </c>
      <c r="CU211" t="s">
        <v>239</v>
      </c>
      <c r="CV211">
        <f ca="1">OFFSET('Calculations 2'!$AJ$12,W211,X211)</f>
        <v>0</v>
      </c>
    </row>
    <row r="212" spans="17:100">
      <c r="Q212" t="s">
        <v>219</v>
      </c>
      <c r="R212" t="s">
        <v>489</v>
      </c>
      <c r="S212" t="s">
        <v>239</v>
      </c>
      <c r="T212">
        <f ca="1">OFFSET('Calculations 2'!$C$45,W212,X212)*OFFSET($M$6,W212,0)</f>
        <v>72.29049163186599</v>
      </c>
      <c r="V212">
        <f t="shared" si="11"/>
        <v>206</v>
      </c>
      <c r="W212">
        <f t="shared" si="12"/>
        <v>8</v>
      </c>
      <c r="X212">
        <f t="shared" si="13"/>
        <v>6</v>
      </c>
      <c r="AC212" t="s">
        <v>219</v>
      </c>
      <c r="AD212" t="s">
        <v>489</v>
      </c>
      <c r="AE212" t="s">
        <v>239</v>
      </c>
      <c r="AF212">
        <f ca="1">OFFSET('Calculations 2'!$CE$45,W212,0)*OFFSET($AA$6,X212,0)*OFFSET($M$6,W212,)</f>
        <v>1.0293028089014369</v>
      </c>
      <c r="AY212" t="s">
        <v>219</v>
      </c>
      <c r="AZ212" t="s">
        <v>489</v>
      </c>
      <c r="BA212" t="s">
        <v>239</v>
      </c>
      <c r="BB212">
        <v>0</v>
      </c>
      <c r="BE212" t="s">
        <v>219</v>
      </c>
      <c r="BF212" t="s">
        <v>489</v>
      </c>
      <c r="BG212" t="s">
        <v>239</v>
      </c>
      <c r="BH212">
        <v>0</v>
      </c>
      <c r="CT212" t="s">
        <v>219</v>
      </c>
      <c r="CU212" t="s">
        <v>239</v>
      </c>
      <c r="CV212">
        <f ca="1">OFFSET('Calculations 2'!$AJ$12,W212,X212)</f>
        <v>0</v>
      </c>
    </row>
    <row r="213" spans="17:100">
      <c r="Q213" t="s">
        <v>242</v>
      </c>
      <c r="R213" t="s">
        <v>489</v>
      </c>
      <c r="S213" t="s">
        <v>239</v>
      </c>
      <c r="T213">
        <f ca="1">OFFSET('Calculations 2'!$C$45,W213,X213)*OFFSET($M$6,W213,0)</f>
        <v>55.927565756394671</v>
      </c>
      <c r="V213">
        <f t="shared" si="11"/>
        <v>207</v>
      </c>
      <c r="W213">
        <f t="shared" si="12"/>
        <v>9</v>
      </c>
      <c r="X213">
        <f t="shared" si="13"/>
        <v>6</v>
      </c>
      <c r="AC213" t="s">
        <v>242</v>
      </c>
      <c r="AD213" t="s">
        <v>489</v>
      </c>
      <c r="AE213" t="s">
        <v>239</v>
      </c>
      <c r="AF213">
        <f ca="1">OFFSET('Calculations 2'!$CE$45,W213,0)*OFFSET($AA$6,X213,0)*OFFSET($M$6,W213,)</f>
        <v>1.6112742923061993</v>
      </c>
      <c r="AY213" t="s">
        <v>242</v>
      </c>
      <c r="AZ213" t="s">
        <v>489</v>
      </c>
      <c r="BA213" t="s">
        <v>239</v>
      </c>
      <c r="BB213">
        <v>0</v>
      </c>
      <c r="BE213" t="s">
        <v>242</v>
      </c>
      <c r="BF213" t="s">
        <v>489</v>
      </c>
      <c r="BG213" t="s">
        <v>239</v>
      </c>
      <c r="BH213">
        <v>0</v>
      </c>
      <c r="CT213" t="s">
        <v>242</v>
      </c>
      <c r="CU213" t="s">
        <v>239</v>
      </c>
      <c r="CV213">
        <f ca="1">OFFSET('Calculations 2'!$AJ$12,W213,X213)</f>
        <v>0</v>
      </c>
    </row>
    <row r="214" spans="17:100">
      <c r="Q214" t="s">
        <v>467</v>
      </c>
      <c r="R214" t="s">
        <v>489</v>
      </c>
      <c r="S214" t="s">
        <v>239</v>
      </c>
      <c r="T214">
        <f ca="1">OFFSET('Calculations 2'!$C$45,W214,X214)*OFFSET($M$6,W214,0)</f>
        <v>0</v>
      </c>
      <c r="V214">
        <f t="shared" si="11"/>
        <v>208</v>
      </c>
      <c r="W214">
        <f t="shared" si="12"/>
        <v>10</v>
      </c>
      <c r="X214">
        <f t="shared" si="13"/>
        <v>6</v>
      </c>
      <c r="AC214" t="s">
        <v>467</v>
      </c>
      <c r="AD214" t="s">
        <v>489</v>
      </c>
      <c r="AE214" t="s">
        <v>239</v>
      </c>
      <c r="AF214">
        <f ca="1">OFFSET('Calculations 2'!$CE$45,W214,0)*OFFSET($AA$6,X214,0)*OFFSET($M$6,W214,)</f>
        <v>1.4926453545992198</v>
      </c>
      <c r="AY214" t="s">
        <v>467</v>
      </c>
      <c r="AZ214" t="s">
        <v>489</v>
      </c>
      <c r="BA214" t="s">
        <v>239</v>
      </c>
      <c r="BB214">
        <v>0</v>
      </c>
      <c r="BE214" t="s">
        <v>467</v>
      </c>
      <c r="BF214" t="s">
        <v>489</v>
      </c>
      <c r="BG214" t="s">
        <v>239</v>
      </c>
      <c r="BH214">
        <v>0</v>
      </c>
      <c r="CT214" t="s">
        <v>467</v>
      </c>
      <c r="CU214" t="s">
        <v>239</v>
      </c>
      <c r="CV214">
        <f ca="1">OFFSET('Calculations 2'!$AJ$12,W214,X214)</f>
        <v>0</v>
      </c>
    </row>
    <row r="215" spans="17:100">
      <c r="Q215" t="s">
        <v>231</v>
      </c>
      <c r="R215" t="s">
        <v>489</v>
      </c>
      <c r="S215" t="s">
        <v>239</v>
      </c>
      <c r="T215">
        <f ca="1">OFFSET('Calculations 2'!$C$45,W215,X215)*OFFSET($M$6,W215,0)</f>
        <v>7.3057808292288762</v>
      </c>
      <c r="V215">
        <f t="shared" si="11"/>
        <v>209</v>
      </c>
      <c r="W215">
        <f t="shared" si="12"/>
        <v>11</v>
      </c>
      <c r="X215">
        <f t="shared" si="13"/>
        <v>6</v>
      </c>
      <c r="AC215" t="s">
        <v>231</v>
      </c>
      <c r="AD215" t="s">
        <v>489</v>
      </c>
      <c r="AE215" t="s">
        <v>239</v>
      </c>
      <c r="AF215">
        <f ca="1">OFFSET('Calculations 2'!$CE$45,W215,0)*OFFSET($AA$6,X215,0)*OFFSET($M$6,W215,)</f>
        <v>4.3657295940550656</v>
      </c>
      <c r="AY215" t="s">
        <v>231</v>
      </c>
      <c r="AZ215" t="s">
        <v>489</v>
      </c>
      <c r="BA215" t="s">
        <v>239</v>
      </c>
      <c r="BB215">
        <v>0</v>
      </c>
      <c r="BE215" t="s">
        <v>231</v>
      </c>
      <c r="BF215" t="s">
        <v>489</v>
      </c>
      <c r="BG215" t="s">
        <v>239</v>
      </c>
      <c r="BH215">
        <v>0</v>
      </c>
      <c r="CT215" t="s">
        <v>231</v>
      </c>
      <c r="CU215" t="s">
        <v>239</v>
      </c>
      <c r="CV215">
        <f ca="1">OFFSET('Calculations 2'!$AJ$12,W215,X215)</f>
        <v>0</v>
      </c>
    </row>
    <row r="216" spans="17:100">
      <c r="Q216" t="s">
        <v>468</v>
      </c>
      <c r="R216" t="s">
        <v>489</v>
      </c>
      <c r="S216" t="s">
        <v>239</v>
      </c>
      <c r="T216">
        <f ca="1">OFFSET('Calculations 2'!$C$45,W216,X216)*OFFSET($M$6,W216,0)</f>
        <v>3.3189704427093183</v>
      </c>
      <c r="V216">
        <f t="shared" si="11"/>
        <v>210</v>
      </c>
      <c r="W216">
        <f t="shared" si="12"/>
        <v>12</v>
      </c>
      <c r="X216">
        <f t="shared" si="13"/>
        <v>6</v>
      </c>
      <c r="AC216" t="s">
        <v>468</v>
      </c>
      <c r="AD216" t="s">
        <v>489</v>
      </c>
      <c r="AE216" t="s">
        <v>239</v>
      </c>
      <c r="AF216">
        <f ca="1">OFFSET('Calculations 2'!$CE$45,W216,0)*OFFSET($AA$6,X216,0)*OFFSET($M$6,W216,)</f>
        <v>6.319049472583238</v>
      </c>
      <c r="AY216" t="s">
        <v>468</v>
      </c>
      <c r="AZ216" t="s">
        <v>489</v>
      </c>
      <c r="BA216" t="s">
        <v>239</v>
      </c>
      <c r="BB216">
        <v>0</v>
      </c>
      <c r="BE216" t="s">
        <v>468</v>
      </c>
      <c r="BF216" t="s">
        <v>489</v>
      </c>
      <c r="BG216" t="s">
        <v>239</v>
      </c>
      <c r="BH216">
        <v>0</v>
      </c>
      <c r="CT216" t="s">
        <v>468</v>
      </c>
      <c r="CU216" t="s">
        <v>239</v>
      </c>
      <c r="CV216">
        <f ca="1">OFFSET('Calculations 2'!$AJ$12,W216,X216)</f>
        <v>0</v>
      </c>
    </row>
    <row r="217" spans="17:100">
      <c r="Q217" t="s">
        <v>469</v>
      </c>
      <c r="R217" t="s">
        <v>489</v>
      </c>
      <c r="S217" t="s">
        <v>239</v>
      </c>
      <c r="T217">
        <f ca="1">OFFSET('Calculations 2'!$C$45,W217,X217)*OFFSET($M$6,W217,0)</f>
        <v>5.7247783108834772E-4</v>
      </c>
      <c r="V217">
        <f t="shared" si="11"/>
        <v>211</v>
      </c>
      <c r="W217">
        <f t="shared" si="12"/>
        <v>13</v>
      </c>
      <c r="X217">
        <f t="shared" si="13"/>
        <v>6</v>
      </c>
      <c r="AC217" t="s">
        <v>469</v>
      </c>
      <c r="AD217" t="s">
        <v>489</v>
      </c>
      <c r="AE217" t="s">
        <v>239</v>
      </c>
      <c r="AF217">
        <f ca="1">OFFSET('Calculations 2'!$CE$45,W217,0)*OFFSET($AA$6,X217,0)*OFFSET($M$6,W217,)</f>
        <v>1.3144993952601367</v>
      </c>
      <c r="AY217" t="s">
        <v>469</v>
      </c>
      <c r="AZ217" t="s">
        <v>489</v>
      </c>
      <c r="BA217" t="s">
        <v>239</v>
      </c>
      <c r="BB217">
        <v>0</v>
      </c>
      <c r="BE217" t="s">
        <v>469</v>
      </c>
      <c r="BF217" t="s">
        <v>489</v>
      </c>
      <c r="BG217" t="s">
        <v>239</v>
      </c>
      <c r="BH217">
        <v>0</v>
      </c>
      <c r="CT217" t="s">
        <v>469</v>
      </c>
      <c r="CU217" t="s">
        <v>239</v>
      </c>
      <c r="CV217">
        <f ca="1">OFFSET('Calculations 2'!$AJ$12,W217,X217)</f>
        <v>0</v>
      </c>
    </row>
    <row r="218" spans="17:100">
      <c r="Q218" t="s">
        <v>245</v>
      </c>
      <c r="R218" t="s">
        <v>489</v>
      </c>
      <c r="S218" t="s">
        <v>239</v>
      </c>
      <c r="T218">
        <f ca="1">OFFSET('Calculations 2'!$C$45,W218,X218)*OFFSET($M$6,W218,0)</f>
        <v>0.38344087523342746</v>
      </c>
      <c r="V218">
        <f t="shared" si="11"/>
        <v>212</v>
      </c>
      <c r="W218">
        <f t="shared" si="12"/>
        <v>14</v>
      </c>
      <c r="X218">
        <f t="shared" si="13"/>
        <v>6</v>
      </c>
      <c r="AC218" t="s">
        <v>245</v>
      </c>
      <c r="AD218" t="s">
        <v>489</v>
      </c>
      <c r="AE218" t="s">
        <v>239</v>
      </c>
      <c r="AF218">
        <f ca="1">OFFSET('Calculations 2'!$CE$45,W218,0)*OFFSET($AA$6,X218,0)*OFFSET($M$6,W218,)</f>
        <v>1.8988048441001379</v>
      </c>
      <c r="AY218" t="s">
        <v>245</v>
      </c>
      <c r="AZ218" t="s">
        <v>489</v>
      </c>
      <c r="BA218" t="s">
        <v>239</v>
      </c>
      <c r="BB218">
        <v>0</v>
      </c>
      <c r="BE218" t="s">
        <v>245</v>
      </c>
      <c r="BF218" t="s">
        <v>489</v>
      </c>
      <c r="BG218" t="s">
        <v>239</v>
      </c>
      <c r="BH218">
        <v>0</v>
      </c>
      <c r="CT218" t="s">
        <v>245</v>
      </c>
      <c r="CU218" t="s">
        <v>239</v>
      </c>
      <c r="CV218">
        <f ca="1">OFFSET('Calculations 2'!$AJ$12,W218,X218)</f>
        <v>0</v>
      </c>
    </row>
    <row r="219" spans="17:100">
      <c r="Q219" t="s">
        <v>470</v>
      </c>
      <c r="R219" t="s">
        <v>489</v>
      </c>
      <c r="S219" t="s">
        <v>239</v>
      </c>
      <c r="T219">
        <f ca="1">OFFSET('Calculations 2'!$C$45,W219,X219)*OFFSET($M$6,W219,0)</f>
        <v>18.138943753248913</v>
      </c>
      <c r="V219">
        <f t="shared" si="11"/>
        <v>213</v>
      </c>
      <c r="W219">
        <f t="shared" si="12"/>
        <v>15</v>
      </c>
      <c r="X219">
        <f t="shared" si="13"/>
        <v>6</v>
      </c>
      <c r="AC219" t="s">
        <v>470</v>
      </c>
      <c r="AD219" t="s">
        <v>489</v>
      </c>
      <c r="AE219" t="s">
        <v>239</v>
      </c>
      <c r="AF219">
        <f ca="1">OFFSET('Calculations 2'!$CE$45,W219,0)*OFFSET($AA$6,X219,0)*OFFSET($M$6,W219,)</f>
        <v>5.1703225046533667</v>
      </c>
      <c r="AY219" t="s">
        <v>470</v>
      </c>
      <c r="AZ219" t="s">
        <v>489</v>
      </c>
      <c r="BA219" t="s">
        <v>239</v>
      </c>
      <c r="BB219">
        <v>0</v>
      </c>
      <c r="BE219" t="s">
        <v>470</v>
      </c>
      <c r="BF219" t="s">
        <v>489</v>
      </c>
      <c r="BG219" t="s">
        <v>239</v>
      </c>
      <c r="BH219">
        <v>0</v>
      </c>
      <c r="CT219" t="s">
        <v>470</v>
      </c>
      <c r="CU219" t="s">
        <v>239</v>
      </c>
      <c r="CV219">
        <f ca="1">OFFSET('Calculations 2'!$AJ$12,W219,X219)</f>
        <v>0</v>
      </c>
    </row>
    <row r="220" spans="17:100">
      <c r="Q220" t="s">
        <v>471</v>
      </c>
      <c r="R220" t="s">
        <v>489</v>
      </c>
      <c r="S220" t="s">
        <v>239</v>
      </c>
      <c r="T220">
        <f ca="1">OFFSET('Calculations 2'!$C$45,W220,X220)*OFFSET($M$6,W220,0)</f>
        <v>190.86207707210679</v>
      </c>
      <c r="V220">
        <f t="shared" si="11"/>
        <v>214</v>
      </c>
      <c r="W220">
        <f t="shared" si="12"/>
        <v>16</v>
      </c>
      <c r="X220">
        <f t="shared" si="13"/>
        <v>6</v>
      </c>
      <c r="AC220" t="s">
        <v>471</v>
      </c>
      <c r="AD220" t="s">
        <v>489</v>
      </c>
      <c r="AE220" t="s">
        <v>239</v>
      </c>
      <c r="AF220">
        <f ca="1">OFFSET('Calculations 2'!$CE$45,W220,0)*OFFSET($AA$6,X220,0)*OFFSET($M$6,W220,)</f>
        <v>0</v>
      </c>
      <c r="AY220" t="s">
        <v>471</v>
      </c>
      <c r="AZ220" t="s">
        <v>489</v>
      </c>
      <c r="BA220" t="s">
        <v>239</v>
      </c>
      <c r="BB220">
        <v>0</v>
      </c>
      <c r="BE220" t="s">
        <v>471</v>
      </c>
      <c r="BF220" t="s">
        <v>489</v>
      </c>
      <c r="BG220" t="s">
        <v>239</v>
      </c>
      <c r="BH220">
        <v>0</v>
      </c>
      <c r="CT220" t="s">
        <v>471</v>
      </c>
      <c r="CU220" t="s">
        <v>239</v>
      </c>
      <c r="CV220">
        <f ca="1">OFFSET('Calculations 2'!$AJ$12,W220,X220)</f>
        <v>0</v>
      </c>
    </row>
    <row r="221" spans="17:100">
      <c r="Q221" t="s">
        <v>221</v>
      </c>
      <c r="R221" t="s">
        <v>489</v>
      </c>
      <c r="S221" t="s">
        <v>239</v>
      </c>
      <c r="T221">
        <f ca="1">OFFSET('Calculations 2'!$C$45,W221,X221)*OFFSET($M$6,W221,0)</f>
        <v>23.946596878460969</v>
      </c>
      <c r="V221">
        <f t="shared" si="11"/>
        <v>215</v>
      </c>
      <c r="W221">
        <f t="shared" si="12"/>
        <v>17</v>
      </c>
      <c r="X221">
        <f t="shared" si="13"/>
        <v>6</v>
      </c>
      <c r="AC221" t="s">
        <v>221</v>
      </c>
      <c r="AD221" t="s">
        <v>489</v>
      </c>
      <c r="AE221" t="s">
        <v>239</v>
      </c>
      <c r="AF221">
        <f ca="1">OFFSET('Calculations 2'!$CE$45,W221,0)*OFFSET($AA$6,X221,0)*OFFSET($M$6,W221,)</f>
        <v>171.75005031059445</v>
      </c>
      <c r="AY221" t="s">
        <v>221</v>
      </c>
      <c r="AZ221" t="s">
        <v>489</v>
      </c>
      <c r="BA221" t="s">
        <v>239</v>
      </c>
      <c r="BB221">
        <v>0</v>
      </c>
      <c r="BE221" t="s">
        <v>221</v>
      </c>
      <c r="BF221" t="s">
        <v>489</v>
      </c>
      <c r="BG221" t="s">
        <v>239</v>
      </c>
      <c r="BH221">
        <v>0</v>
      </c>
      <c r="CT221" t="s">
        <v>221</v>
      </c>
      <c r="CU221" t="s">
        <v>239</v>
      </c>
      <c r="CV221">
        <f ca="1">OFFSET('Calculations 2'!$AJ$12,W221,X221)</f>
        <v>0</v>
      </c>
    </row>
    <row r="222" spans="17:100">
      <c r="Q222" t="s">
        <v>244</v>
      </c>
      <c r="R222" t="s">
        <v>489</v>
      </c>
      <c r="S222" t="s">
        <v>239</v>
      </c>
      <c r="T222">
        <f ca="1">OFFSET('Calculations 2'!$C$45,W222,X222)*OFFSET($M$6,W222,0)</f>
        <v>1006.4604913588295</v>
      </c>
      <c r="V222">
        <f t="shared" si="11"/>
        <v>216</v>
      </c>
      <c r="W222">
        <f t="shared" si="12"/>
        <v>18</v>
      </c>
      <c r="X222">
        <f t="shared" si="13"/>
        <v>6</v>
      </c>
      <c r="AC222" t="s">
        <v>244</v>
      </c>
      <c r="AD222" t="s">
        <v>489</v>
      </c>
      <c r="AE222" t="s">
        <v>239</v>
      </c>
      <c r="AF222">
        <f ca="1">OFFSET('Calculations 2'!$CE$45,W222,0)*OFFSET($AA$6,X222,0)*OFFSET($M$6,W222,)</f>
        <v>27.46168787790706</v>
      </c>
      <c r="AY222" t="s">
        <v>244</v>
      </c>
      <c r="AZ222" t="s">
        <v>489</v>
      </c>
      <c r="BA222" t="s">
        <v>239</v>
      </c>
      <c r="BB222">
        <v>0</v>
      </c>
      <c r="BE222" t="s">
        <v>244</v>
      </c>
      <c r="BF222" t="s">
        <v>489</v>
      </c>
      <c r="BG222" t="s">
        <v>239</v>
      </c>
      <c r="BH222">
        <v>0</v>
      </c>
      <c r="CT222" t="s">
        <v>244</v>
      </c>
      <c r="CU222" t="s">
        <v>239</v>
      </c>
      <c r="CV222">
        <f ca="1">OFFSET('Calculations 2'!$AJ$12,W222,X222)</f>
        <v>0</v>
      </c>
    </row>
    <row r="223" spans="17:100">
      <c r="Q223" t="s">
        <v>472</v>
      </c>
      <c r="R223" t="s">
        <v>489</v>
      </c>
      <c r="S223" t="s">
        <v>239</v>
      </c>
      <c r="T223">
        <f ca="1">OFFSET('Calculations 2'!$C$45,W223,X223)*OFFSET($M$6,W223,0)</f>
        <v>0</v>
      </c>
      <c r="V223">
        <f t="shared" si="11"/>
        <v>217</v>
      </c>
      <c r="W223">
        <f t="shared" si="12"/>
        <v>19</v>
      </c>
      <c r="X223">
        <f t="shared" si="13"/>
        <v>6</v>
      </c>
      <c r="AC223" t="s">
        <v>472</v>
      </c>
      <c r="AD223" t="s">
        <v>489</v>
      </c>
      <c r="AE223" t="s">
        <v>239</v>
      </c>
      <c r="AF223">
        <f ca="1">OFFSET('Calculations 2'!$CE$45,W223,0)*OFFSET($AA$6,X223,0)*OFFSET($M$6,W223,)</f>
        <v>0</v>
      </c>
      <c r="AY223" t="s">
        <v>472</v>
      </c>
      <c r="AZ223" t="s">
        <v>489</v>
      </c>
      <c r="BA223" t="s">
        <v>239</v>
      </c>
      <c r="BB223">
        <v>0</v>
      </c>
      <c r="BE223" t="s">
        <v>472</v>
      </c>
      <c r="BF223" t="s">
        <v>489</v>
      </c>
      <c r="BG223" t="s">
        <v>239</v>
      </c>
      <c r="BH223">
        <v>0</v>
      </c>
      <c r="CT223" t="s">
        <v>472</v>
      </c>
      <c r="CU223" t="s">
        <v>239</v>
      </c>
      <c r="CV223">
        <f ca="1">OFFSET('Calculations 2'!$AJ$12,W223,X223)</f>
        <v>0</v>
      </c>
    </row>
    <row r="224" spans="17:100">
      <c r="Q224" t="s">
        <v>238</v>
      </c>
      <c r="R224" t="s">
        <v>489</v>
      </c>
      <c r="S224" t="s">
        <v>239</v>
      </c>
      <c r="T224">
        <f ca="1">OFFSET('Calculations 2'!$C$45,W224,X224)*OFFSET($M$6,W224,0)</f>
        <v>18.591396849172288</v>
      </c>
      <c r="V224">
        <f t="shared" si="11"/>
        <v>218</v>
      </c>
      <c r="W224">
        <f t="shared" si="12"/>
        <v>20</v>
      </c>
      <c r="X224">
        <f t="shared" si="13"/>
        <v>6</v>
      </c>
      <c r="AC224" t="s">
        <v>238</v>
      </c>
      <c r="AD224" t="s">
        <v>489</v>
      </c>
      <c r="AE224" t="s">
        <v>239</v>
      </c>
      <c r="AF224">
        <f ca="1">OFFSET('Calculations 2'!$CE$45,W224,0)*OFFSET($AA$6,X224,0)*OFFSET($M$6,W224,)</f>
        <v>0</v>
      </c>
      <c r="AY224" t="s">
        <v>238</v>
      </c>
      <c r="AZ224" t="s">
        <v>489</v>
      </c>
      <c r="BA224" t="s">
        <v>239</v>
      </c>
      <c r="BB224">
        <v>0</v>
      </c>
      <c r="BE224" t="s">
        <v>238</v>
      </c>
      <c r="BF224" t="s">
        <v>489</v>
      </c>
      <c r="BG224" t="s">
        <v>239</v>
      </c>
      <c r="BH224">
        <v>0</v>
      </c>
      <c r="CT224" t="s">
        <v>238</v>
      </c>
      <c r="CU224" t="s">
        <v>239</v>
      </c>
      <c r="CV224">
        <f ca="1">OFFSET('Calculations 2'!$AJ$12,W224,X224)</f>
        <v>0</v>
      </c>
    </row>
    <row r="225" spans="17:100">
      <c r="Q225" t="s">
        <v>247</v>
      </c>
      <c r="R225" t="s">
        <v>489</v>
      </c>
      <c r="S225" t="s">
        <v>239</v>
      </c>
      <c r="T225">
        <f ca="1">OFFSET('Calculations 2'!$C$45,W225,X225)*OFFSET($M$6,W225,0)</f>
        <v>0</v>
      </c>
      <c r="V225">
        <f t="shared" si="11"/>
        <v>219</v>
      </c>
      <c r="W225">
        <f t="shared" si="12"/>
        <v>21</v>
      </c>
      <c r="X225">
        <f t="shared" si="13"/>
        <v>6</v>
      </c>
      <c r="AC225" t="s">
        <v>247</v>
      </c>
      <c r="AD225" t="s">
        <v>489</v>
      </c>
      <c r="AE225" t="s">
        <v>239</v>
      </c>
      <c r="AF225">
        <f ca="1">OFFSET('Calculations 2'!$CE$45,W225,0)*OFFSET($AA$6,X225,0)*OFFSET($M$6,W225,)</f>
        <v>0</v>
      </c>
      <c r="AY225" t="s">
        <v>247</v>
      </c>
      <c r="AZ225" t="s">
        <v>489</v>
      </c>
      <c r="BA225" t="s">
        <v>239</v>
      </c>
      <c r="BB225">
        <v>0</v>
      </c>
      <c r="BE225" t="s">
        <v>247</v>
      </c>
      <c r="BF225" t="s">
        <v>489</v>
      </c>
      <c r="BG225" t="s">
        <v>239</v>
      </c>
      <c r="BH225">
        <v>0</v>
      </c>
      <c r="CT225" t="s">
        <v>247</v>
      </c>
      <c r="CU225" t="s">
        <v>239</v>
      </c>
      <c r="CV225">
        <f ca="1">OFFSET('Calculations 2'!$AJ$12,W225,X225)</f>
        <v>0</v>
      </c>
    </row>
    <row r="226" spans="17:100">
      <c r="Q226" t="s">
        <v>218</v>
      </c>
      <c r="R226" t="s">
        <v>489</v>
      </c>
      <c r="S226" t="s">
        <v>239</v>
      </c>
      <c r="T226">
        <f ca="1">OFFSET('Calculations 2'!$C$45,W226,X226)*OFFSET($M$6,W226,0)</f>
        <v>26.579551550966158</v>
      </c>
      <c r="V226">
        <f t="shared" si="11"/>
        <v>220</v>
      </c>
      <c r="W226">
        <f t="shared" si="12"/>
        <v>22</v>
      </c>
      <c r="X226">
        <f t="shared" si="13"/>
        <v>6</v>
      </c>
      <c r="AC226" t="s">
        <v>218</v>
      </c>
      <c r="AD226" t="s">
        <v>489</v>
      </c>
      <c r="AE226" t="s">
        <v>239</v>
      </c>
      <c r="AF226">
        <f ca="1">OFFSET('Calculations 2'!$CE$45,W226,0)*OFFSET($AA$6,X226,0)*OFFSET($M$6,W226,)</f>
        <v>0</v>
      </c>
      <c r="AY226" t="s">
        <v>218</v>
      </c>
      <c r="AZ226" t="s">
        <v>489</v>
      </c>
      <c r="BA226" t="s">
        <v>239</v>
      </c>
      <c r="BB226">
        <v>0</v>
      </c>
      <c r="BE226" t="s">
        <v>218</v>
      </c>
      <c r="BF226" t="s">
        <v>489</v>
      </c>
      <c r="BG226" t="s">
        <v>239</v>
      </c>
      <c r="BH226">
        <v>0</v>
      </c>
      <c r="CT226" t="s">
        <v>218</v>
      </c>
      <c r="CU226" t="s">
        <v>239</v>
      </c>
      <c r="CV226">
        <f ca="1">OFFSET('Calculations 2'!$AJ$12,W226,X226)</f>
        <v>0</v>
      </c>
    </row>
    <row r="227" spans="17:100">
      <c r="Q227" t="s">
        <v>257</v>
      </c>
      <c r="R227" t="s">
        <v>489</v>
      </c>
      <c r="S227" t="s">
        <v>239</v>
      </c>
      <c r="T227">
        <f ca="1">OFFSET('Calculations 2'!$C$45,W227,X227)*OFFSET($M$6,W227,0)</f>
        <v>99.407934739702043</v>
      </c>
      <c r="V227">
        <f t="shared" si="11"/>
        <v>221</v>
      </c>
      <c r="W227">
        <f t="shared" si="12"/>
        <v>23</v>
      </c>
      <c r="X227">
        <f t="shared" si="13"/>
        <v>6</v>
      </c>
      <c r="AC227" t="s">
        <v>257</v>
      </c>
      <c r="AD227" t="s">
        <v>489</v>
      </c>
      <c r="AE227" t="s">
        <v>239</v>
      </c>
      <c r="AF227">
        <f ca="1">OFFSET('Calculations 2'!$CE$45,W227,0)*OFFSET($AA$6,X227,0)*OFFSET($M$6,W227,)</f>
        <v>0</v>
      </c>
      <c r="AY227" t="s">
        <v>257</v>
      </c>
      <c r="AZ227" t="s">
        <v>489</v>
      </c>
      <c r="BA227" t="s">
        <v>239</v>
      </c>
      <c r="BB227">
        <v>0</v>
      </c>
      <c r="BE227" t="s">
        <v>257</v>
      </c>
      <c r="BF227" t="s">
        <v>489</v>
      </c>
      <c r="BG227" t="s">
        <v>239</v>
      </c>
      <c r="BH227">
        <v>0</v>
      </c>
      <c r="CT227" t="s">
        <v>257</v>
      </c>
      <c r="CU227" t="s">
        <v>239</v>
      </c>
      <c r="CV227">
        <f ca="1">OFFSET('Calculations 2'!$AJ$12,W227,X227)</f>
        <v>0</v>
      </c>
    </row>
    <row r="228" spans="17:100">
      <c r="Q228" t="s">
        <v>220</v>
      </c>
      <c r="R228" t="s">
        <v>489</v>
      </c>
      <c r="S228" t="s">
        <v>239</v>
      </c>
      <c r="T228">
        <f ca="1">OFFSET('Calculations 2'!$C$45,W228,X228)*OFFSET($M$6,W228,0)</f>
        <v>41.60193936057663</v>
      </c>
      <c r="V228">
        <f t="shared" si="11"/>
        <v>222</v>
      </c>
      <c r="W228">
        <f t="shared" si="12"/>
        <v>24</v>
      </c>
      <c r="X228">
        <f t="shared" si="13"/>
        <v>6</v>
      </c>
      <c r="AC228" t="s">
        <v>220</v>
      </c>
      <c r="AD228" t="s">
        <v>489</v>
      </c>
      <c r="AE228" t="s">
        <v>239</v>
      </c>
      <c r="AF228">
        <f ca="1">OFFSET('Calculations 2'!$CE$45,W228,0)*OFFSET($AA$6,X228,0)*OFFSET($M$6,W228,)</f>
        <v>0</v>
      </c>
      <c r="AY228" t="s">
        <v>220</v>
      </c>
      <c r="AZ228" t="s">
        <v>489</v>
      </c>
      <c r="BA228" t="s">
        <v>239</v>
      </c>
      <c r="BB228">
        <v>0</v>
      </c>
      <c r="BE228" t="s">
        <v>220</v>
      </c>
      <c r="BF228" t="s">
        <v>489</v>
      </c>
      <c r="BG228" t="s">
        <v>239</v>
      </c>
      <c r="BH228">
        <v>0</v>
      </c>
      <c r="CT228" t="s">
        <v>220</v>
      </c>
      <c r="CU228" t="s">
        <v>239</v>
      </c>
      <c r="CV228">
        <f ca="1">OFFSET('Calculations 2'!$AJ$12,W228,X228)</f>
        <v>0</v>
      </c>
    </row>
    <row r="229" spans="17:100">
      <c r="Q229" t="s">
        <v>235</v>
      </c>
      <c r="R229" t="s">
        <v>489</v>
      </c>
      <c r="S229" t="s">
        <v>239</v>
      </c>
      <c r="T229">
        <f ca="1">OFFSET('Calculations 2'!$C$45,W229,X229)*OFFSET($M$6,W229,0)</f>
        <v>64.151618901745351</v>
      </c>
      <c r="V229">
        <f t="shared" si="11"/>
        <v>223</v>
      </c>
      <c r="W229">
        <f t="shared" si="12"/>
        <v>25</v>
      </c>
      <c r="X229">
        <f t="shared" si="13"/>
        <v>6</v>
      </c>
      <c r="AC229" t="s">
        <v>235</v>
      </c>
      <c r="AD229" t="s">
        <v>489</v>
      </c>
      <c r="AE229" t="s">
        <v>239</v>
      </c>
      <c r="AF229">
        <f ca="1">OFFSET('Calculations 2'!$CE$45,W229,0)*OFFSET($AA$6,X229,0)*OFFSET($M$6,W229,)</f>
        <v>0</v>
      </c>
      <c r="AY229" t="s">
        <v>235</v>
      </c>
      <c r="AZ229" t="s">
        <v>489</v>
      </c>
      <c r="BA229" t="s">
        <v>239</v>
      </c>
      <c r="BB229">
        <v>0</v>
      </c>
      <c r="BE229" t="s">
        <v>235</v>
      </c>
      <c r="BF229" t="s">
        <v>489</v>
      </c>
      <c r="BG229" t="s">
        <v>239</v>
      </c>
      <c r="BH229">
        <v>0</v>
      </c>
      <c r="CT229" t="s">
        <v>235</v>
      </c>
      <c r="CU229" t="s">
        <v>239</v>
      </c>
      <c r="CV229">
        <f ca="1">OFFSET('Calculations 2'!$AJ$12,W229,X229)</f>
        <v>0</v>
      </c>
    </row>
    <row r="230" spans="17:100">
      <c r="Q230" t="s">
        <v>473</v>
      </c>
      <c r="R230" t="s">
        <v>489</v>
      </c>
      <c r="S230" t="s">
        <v>239</v>
      </c>
      <c r="T230">
        <f ca="1">OFFSET('Calculations 2'!$C$45,W230,X230)*OFFSET($M$6,W230,0)</f>
        <v>47.9806040008285</v>
      </c>
      <c r="V230">
        <f t="shared" si="11"/>
        <v>224</v>
      </c>
      <c r="W230">
        <f t="shared" si="12"/>
        <v>26</v>
      </c>
      <c r="X230">
        <f t="shared" si="13"/>
        <v>6</v>
      </c>
      <c r="AC230" t="s">
        <v>473</v>
      </c>
      <c r="AD230" t="s">
        <v>489</v>
      </c>
      <c r="AE230" t="s">
        <v>239</v>
      </c>
      <c r="AF230">
        <f ca="1">OFFSET('Calculations 2'!$CE$45,W230,0)*OFFSET($AA$6,X230,0)*OFFSET($M$6,W230,)</f>
        <v>0</v>
      </c>
      <c r="AY230" t="s">
        <v>473</v>
      </c>
      <c r="AZ230" t="s">
        <v>489</v>
      </c>
      <c r="BA230" t="s">
        <v>239</v>
      </c>
      <c r="BB230">
        <v>0</v>
      </c>
      <c r="BE230" t="s">
        <v>473</v>
      </c>
      <c r="BF230" t="s">
        <v>489</v>
      </c>
      <c r="BG230" t="s">
        <v>239</v>
      </c>
      <c r="BH230">
        <v>0</v>
      </c>
      <c r="CT230" t="s">
        <v>473</v>
      </c>
      <c r="CU230" t="s">
        <v>239</v>
      </c>
      <c r="CV230">
        <f ca="1">OFFSET('Calculations 2'!$AJ$12,W230,X230)</f>
        <v>0</v>
      </c>
    </row>
    <row r="231" spans="17:100">
      <c r="Q231" t="s">
        <v>233</v>
      </c>
      <c r="R231" t="s">
        <v>489</v>
      </c>
      <c r="S231" t="s">
        <v>239</v>
      </c>
      <c r="T231">
        <f ca="1">OFFSET('Calculations 2'!$C$45,W231,X231)*OFFSET($M$6,W231,0)</f>
        <v>236.02169365441011</v>
      </c>
      <c r="V231">
        <f t="shared" si="11"/>
        <v>225</v>
      </c>
      <c r="W231">
        <f t="shared" si="12"/>
        <v>27</v>
      </c>
      <c r="X231">
        <f t="shared" si="13"/>
        <v>6</v>
      </c>
      <c r="AC231" t="s">
        <v>233</v>
      </c>
      <c r="AD231" t="s">
        <v>489</v>
      </c>
      <c r="AE231" t="s">
        <v>239</v>
      </c>
      <c r="AF231">
        <f ca="1">OFFSET('Calculations 2'!$CE$45,W231,0)*OFFSET($AA$6,X231,0)*OFFSET($M$6,W231,)</f>
        <v>0</v>
      </c>
      <c r="AY231" t="s">
        <v>233</v>
      </c>
      <c r="AZ231" t="s">
        <v>489</v>
      </c>
      <c r="BA231" t="s">
        <v>239</v>
      </c>
      <c r="BB231">
        <v>0</v>
      </c>
      <c r="BE231" t="s">
        <v>233</v>
      </c>
      <c r="BF231" t="s">
        <v>489</v>
      </c>
      <c r="BG231" t="s">
        <v>239</v>
      </c>
      <c r="BH231">
        <v>0</v>
      </c>
      <c r="CT231" t="s">
        <v>233</v>
      </c>
      <c r="CU231" t="s">
        <v>239</v>
      </c>
      <c r="CV231">
        <f ca="1">OFFSET('Calculations 2'!$AJ$12,W231,X231)</f>
        <v>0</v>
      </c>
    </row>
    <row r="232" spans="17:100">
      <c r="Q232" t="s">
        <v>474</v>
      </c>
      <c r="R232" t="s">
        <v>489</v>
      </c>
      <c r="S232" t="s">
        <v>239</v>
      </c>
      <c r="T232">
        <f ca="1">OFFSET('Calculations 2'!$C$45,W232,X232)*OFFSET($M$6,W232,0)</f>
        <v>35.48137996962992</v>
      </c>
      <c r="V232">
        <f t="shared" si="11"/>
        <v>226</v>
      </c>
      <c r="W232">
        <f t="shared" si="12"/>
        <v>28</v>
      </c>
      <c r="X232">
        <f t="shared" si="13"/>
        <v>6</v>
      </c>
      <c r="AC232" t="s">
        <v>474</v>
      </c>
      <c r="AD232" t="s">
        <v>489</v>
      </c>
      <c r="AE232" t="s">
        <v>239</v>
      </c>
      <c r="AF232">
        <f ca="1">OFFSET('Calculations 2'!$CE$45,W232,0)*OFFSET($AA$6,X232,0)*OFFSET($M$6,W232,)</f>
        <v>0</v>
      </c>
      <c r="AY232" t="s">
        <v>474</v>
      </c>
      <c r="AZ232" t="s">
        <v>489</v>
      </c>
      <c r="BA232" t="s">
        <v>239</v>
      </c>
      <c r="BB232">
        <v>0</v>
      </c>
      <c r="BE232" t="s">
        <v>474</v>
      </c>
      <c r="BF232" t="s">
        <v>489</v>
      </c>
      <c r="BG232" t="s">
        <v>239</v>
      </c>
      <c r="BH232">
        <v>0</v>
      </c>
      <c r="CT232" t="s">
        <v>474</v>
      </c>
      <c r="CU232" t="s">
        <v>239</v>
      </c>
      <c r="CV232">
        <f ca="1">OFFSET('Calculations 2'!$AJ$12,W232,X232)</f>
        <v>0</v>
      </c>
    </row>
    <row r="233" spans="17:100">
      <c r="Q233" t="s">
        <v>223</v>
      </c>
      <c r="R233" t="s">
        <v>489</v>
      </c>
      <c r="S233" t="s">
        <v>239</v>
      </c>
      <c r="T233">
        <f ca="1">OFFSET('Calculations 2'!$C$45,W233,X233)*OFFSET($M$6,W233,0)</f>
        <v>3.5204164182273239</v>
      </c>
      <c r="V233">
        <f t="shared" si="11"/>
        <v>227</v>
      </c>
      <c r="W233">
        <f t="shared" si="12"/>
        <v>29</v>
      </c>
      <c r="X233">
        <f t="shared" si="13"/>
        <v>6</v>
      </c>
      <c r="AC233" t="s">
        <v>223</v>
      </c>
      <c r="AD233" t="s">
        <v>489</v>
      </c>
      <c r="AE233" t="s">
        <v>239</v>
      </c>
      <c r="AF233">
        <f ca="1">OFFSET('Calculations 2'!$CE$45,W233,0)*OFFSET($AA$6,X233,0)*OFFSET($M$6,W233,)</f>
        <v>0</v>
      </c>
      <c r="AY233" t="s">
        <v>223</v>
      </c>
      <c r="AZ233" t="s">
        <v>489</v>
      </c>
      <c r="BA233" t="s">
        <v>239</v>
      </c>
      <c r="BB233">
        <v>0</v>
      </c>
      <c r="BE233" t="s">
        <v>223</v>
      </c>
      <c r="BF233" t="s">
        <v>489</v>
      </c>
      <c r="BG233" t="s">
        <v>239</v>
      </c>
      <c r="BH233">
        <v>0</v>
      </c>
      <c r="CT233" t="s">
        <v>223</v>
      </c>
      <c r="CU233" t="s">
        <v>239</v>
      </c>
      <c r="CV233">
        <f ca="1">OFFSET('Calculations 2'!$AJ$12,W233,X233)</f>
        <v>0</v>
      </c>
    </row>
    <row r="234" spans="17:100">
      <c r="Q234" t="s">
        <v>475</v>
      </c>
      <c r="R234" t="s">
        <v>489</v>
      </c>
      <c r="S234" t="s">
        <v>239</v>
      </c>
      <c r="T234">
        <f ca="1">OFFSET('Calculations 2'!$C$45,W234,X234)*OFFSET($M$6,W234,0)</f>
        <v>0.8998008011865779</v>
      </c>
      <c r="V234">
        <f t="shared" si="11"/>
        <v>228</v>
      </c>
      <c r="W234">
        <f t="shared" si="12"/>
        <v>30</v>
      </c>
      <c r="X234">
        <f t="shared" si="13"/>
        <v>6</v>
      </c>
      <c r="AC234" t="s">
        <v>475</v>
      </c>
      <c r="AD234" t="s">
        <v>489</v>
      </c>
      <c r="AE234" t="s">
        <v>239</v>
      </c>
      <c r="AF234">
        <f ca="1">OFFSET('Calculations 2'!$CE$45,W234,0)*OFFSET($AA$6,X234,0)*OFFSET($M$6,W234,)</f>
        <v>0</v>
      </c>
      <c r="AY234" t="s">
        <v>475</v>
      </c>
      <c r="AZ234" t="s">
        <v>489</v>
      </c>
      <c r="BA234" t="s">
        <v>239</v>
      </c>
      <c r="BB234">
        <v>0</v>
      </c>
      <c r="BE234" t="s">
        <v>475</v>
      </c>
      <c r="BF234" t="s">
        <v>489</v>
      </c>
      <c r="BG234" t="s">
        <v>239</v>
      </c>
      <c r="BH234">
        <v>0</v>
      </c>
      <c r="CT234" t="s">
        <v>475</v>
      </c>
      <c r="CU234" t="s">
        <v>239</v>
      </c>
      <c r="CV234">
        <f ca="1">OFFSET('Calculations 2'!$AJ$12,W234,X234)</f>
        <v>0</v>
      </c>
    </row>
    <row r="235" spans="17:100">
      <c r="Q235" t="s">
        <v>476</v>
      </c>
      <c r="R235" t="s">
        <v>489</v>
      </c>
      <c r="S235" t="s">
        <v>239</v>
      </c>
      <c r="T235">
        <f ca="1">OFFSET('Calculations 2'!$C$45,W235,X235)*OFFSET($M$6,W235,0)</f>
        <v>1.9753447736347343</v>
      </c>
      <c r="V235">
        <f t="shared" si="11"/>
        <v>229</v>
      </c>
      <c r="W235">
        <f t="shared" si="12"/>
        <v>31</v>
      </c>
      <c r="X235">
        <f t="shared" si="13"/>
        <v>6</v>
      </c>
      <c r="AC235" t="s">
        <v>476</v>
      </c>
      <c r="AD235" t="s">
        <v>489</v>
      </c>
      <c r="AE235" t="s">
        <v>239</v>
      </c>
      <c r="AF235">
        <f ca="1">OFFSET('Calculations 2'!$CE$45,W235,0)*OFFSET($AA$6,X235,0)*OFFSET($M$6,W235,)</f>
        <v>0</v>
      </c>
      <c r="AY235" t="s">
        <v>476</v>
      </c>
      <c r="AZ235" t="s">
        <v>489</v>
      </c>
      <c r="BA235" t="s">
        <v>239</v>
      </c>
      <c r="BB235">
        <v>0</v>
      </c>
      <c r="BE235" t="s">
        <v>476</v>
      </c>
      <c r="BF235" t="s">
        <v>489</v>
      </c>
      <c r="BG235" t="s">
        <v>239</v>
      </c>
      <c r="BH235">
        <v>0</v>
      </c>
      <c r="CT235" t="s">
        <v>476</v>
      </c>
      <c r="CU235" t="s">
        <v>239</v>
      </c>
      <c r="CV235">
        <f ca="1">OFFSET('Calculations 2'!$AJ$12,W235,X235)</f>
        <v>0</v>
      </c>
    </row>
    <row r="236" spans="17:100">
      <c r="Q236" t="s">
        <v>222</v>
      </c>
      <c r="R236" t="s">
        <v>489</v>
      </c>
      <c r="S236" t="s">
        <v>239</v>
      </c>
      <c r="T236">
        <f ca="1">OFFSET('Calculations 2'!$C$45,W236,X236)*OFFSET($M$6,W236,0)</f>
        <v>0</v>
      </c>
      <c r="V236">
        <f t="shared" si="11"/>
        <v>230</v>
      </c>
      <c r="W236">
        <f t="shared" si="12"/>
        <v>32</v>
      </c>
      <c r="X236">
        <f t="shared" si="13"/>
        <v>6</v>
      </c>
      <c r="AC236" t="s">
        <v>222</v>
      </c>
      <c r="AD236" t="s">
        <v>489</v>
      </c>
      <c r="AE236" t="s">
        <v>239</v>
      </c>
      <c r="AF236">
        <f ca="1">OFFSET('Calculations 2'!$CE$45,W236,0)*OFFSET($AA$6,X236,0)*OFFSET($M$6,W236,)</f>
        <v>0</v>
      </c>
      <c r="AY236" t="s">
        <v>222</v>
      </c>
      <c r="AZ236" t="s">
        <v>489</v>
      </c>
      <c r="BA236" t="s">
        <v>239</v>
      </c>
      <c r="BB236">
        <v>0</v>
      </c>
      <c r="BE236" t="s">
        <v>222</v>
      </c>
      <c r="BF236" t="s">
        <v>489</v>
      </c>
      <c r="BG236" t="s">
        <v>239</v>
      </c>
      <c r="BH236">
        <v>0</v>
      </c>
      <c r="CT236" t="s">
        <v>222</v>
      </c>
      <c r="CU236" t="s">
        <v>239</v>
      </c>
      <c r="CV236">
        <f ca="1">OFFSET('Calculations 2'!$AJ$12,W236,X236)</f>
        <v>0</v>
      </c>
    </row>
    <row r="237" spans="17:100">
      <c r="Q237" t="s">
        <v>217</v>
      </c>
      <c r="R237" t="s">
        <v>489</v>
      </c>
      <c r="S237" t="s">
        <v>466</v>
      </c>
      <c r="T237">
        <f ca="1">OFFSET('Calculations 2'!$C$45,W237,X237)*OFFSET($M$6,W237,0)</f>
        <v>0</v>
      </c>
      <c r="V237">
        <f t="shared" si="11"/>
        <v>231</v>
      </c>
      <c r="W237">
        <f t="shared" si="12"/>
        <v>0</v>
      </c>
      <c r="X237">
        <f t="shared" si="13"/>
        <v>7</v>
      </c>
      <c r="AC237" t="s">
        <v>217</v>
      </c>
      <c r="AD237" t="s">
        <v>489</v>
      </c>
      <c r="AE237" t="s">
        <v>466</v>
      </c>
      <c r="AF237">
        <f ca="1">OFFSET('Calculations 2'!$CE$45,W237,0)*OFFSET($AA$6,X237,0)*OFFSET($M$6,W237,)</f>
        <v>0.1777769169246439</v>
      </c>
      <c r="AY237" t="s">
        <v>217</v>
      </c>
      <c r="AZ237" t="s">
        <v>489</v>
      </c>
      <c r="BA237" t="s">
        <v>466</v>
      </c>
      <c r="BB237">
        <v>0</v>
      </c>
      <c r="BE237" t="s">
        <v>217</v>
      </c>
      <c r="BF237" t="s">
        <v>489</v>
      </c>
      <c r="BG237" t="s">
        <v>466</v>
      </c>
      <c r="BH237">
        <v>0</v>
      </c>
      <c r="CT237" t="s">
        <v>217</v>
      </c>
      <c r="CU237" t="s">
        <v>466</v>
      </c>
      <c r="CV237">
        <f ca="1">OFFSET('Calculations 2'!$AJ$12,W237,X237)</f>
        <v>0</v>
      </c>
    </row>
    <row r="238" spans="17:100">
      <c r="Q238" t="s">
        <v>232</v>
      </c>
      <c r="R238" t="s">
        <v>489</v>
      </c>
      <c r="S238" t="s">
        <v>466</v>
      </c>
      <c r="T238">
        <f ca="1">OFFSET('Calculations 2'!$C$45,W238,X238)*OFFSET($M$6,W238,0)</f>
        <v>1689.9274554313818</v>
      </c>
      <c r="V238">
        <f t="shared" si="11"/>
        <v>232</v>
      </c>
      <c r="W238">
        <f t="shared" si="12"/>
        <v>1</v>
      </c>
      <c r="X238">
        <f t="shared" si="13"/>
        <v>7</v>
      </c>
      <c r="AC238" t="s">
        <v>232</v>
      </c>
      <c r="AD238" t="s">
        <v>489</v>
      </c>
      <c r="AE238" t="s">
        <v>466</v>
      </c>
      <c r="AF238">
        <f ca="1">OFFSET('Calculations 2'!$CE$45,W238,0)*OFFSET($AA$6,X238,0)*OFFSET($M$6,W238,)</f>
        <v>0.31011729300544821</v>
      </c>
      <c r="AY238" t="s">
        <v>232</v>
      </c>
      <c r="AZ238" t="s">
        <v>489</v>
      </c>
      <c r="BA238" t="s">
        <v>466</v>
      </c>
      <c r="BB238">
        <v>0</v>
      </c>
      <c r="BE238" t="s">
        <v>232</v>
      </c>
      <c r="BF238" t="s">
        <v>489</v>
      </c>
      <c r="BG238" t="s">
        <v>466</v>
      </c>
      <c r="BH238">
        <v>0</v>
      </c>
      <c r="CT238" t="s">
        <v>232</v>
      </c>
      <c r="CU238" t="s">
        <v>466</v>
      </c>
      <c r="CV238">
        <f ca="1">OFFSET('Calculations 2'!$AJ$12,W238,X238)</f>
        <v>0</v>
      </c>
    </row>
    <row r="239" spans="17:100">
      <c r="Q239" t="s">
        <v>226</v>
      </c>
      <c r="R239" t="s">
        <v>489</v>
      </c>
      <c r="S239" t="s">
        <v>466</v>
      </c>
      <c r="T239">
        <f ca="1">OFFSET('Calculations 2'!$C$45,W239,X239)*OFFSET($M$6,W239,0)</f>
        <v>0</v>
      </c>
      <c r="V239">
        <f t="shared" si="11"/>
        <v>233</v>
      </c>
      <c r="W239">
        <f t="shared" si="12"/>
        <v>2</v>
      </c>
      <c r="X239">
        <f t="shared" si="13"/>
        <v>7</v>
      </c>
      <c r="AC239" t="s">
        <v>226</v>
      </c>
      <c r="AD239" t="s">
        <v>489</v>
      </c>
      <c r="AE239" t="s">
        <v>466</v>
      </c>
      <c r="AF239">
        <f ca="1">OFFSET('Calculations 2'!$CE$45,W239,0)*OFFSET($AA$6,X239,0)*OFFSET($M$6,W239,)</f>
        <v>0.522172220843789</v>
      </c>
      <c r="AY239" t="s">
        <v>226</v>
      </c>
      <c r="AZ239" t="s">
        <v>489</v>
      </c>
      <c r="BA239" t="s">
        <v>466</v>
      </c>
      <c r="BB239">
        <v>0</v>
      </c>
      <c r="BE239" t="s">
        <v>226</v>
      </c>
      <c r="BF239" t="s">
        <v>489</v>
      </c>
      <c r="BG239" t="s">
        <v>466</v>
      </c>
      <c r="BH239">
        <v>0</v>
      </c>
      <c r="CT239" t="s">
        <v>226</v>
      </c>
      <c r="CU239" t="s">
        <v>466</v>
      </c>
      <c r="CV239">
        <f ca="1">OFFSET('Calculations 2'!$AJ$12,W239,X239)</f>
        <v>0</v>
      </c>
    </row>
    <row r="240" spans="17:100">
      <c r="Q240" t="s">
        <v>243</v>
      </c>
      <c r="R240" t="s">
        <v>489</v>
      </c>
      <c r="S240" t="s">
        <v>466</v>
      </c>
      <c r="T240">
        <f ca="1">OFFSET('Calculations 2'!$C$45,W240,X240)*OFFSET($M$6,W240,0)</f>
        <v>1.8355105919343025E-4</v>
      </c>
      <c r="V240">
        <f t="shared" si="11"/>
        <v>234</v>
      </c>
      <c r="W240">
        <f t="shared" si="12"/>
        <v>3</v>
      </c>
      <c r="X240">
        <f t="shared" si="13"/>
        <v>7</v>
      </c>
      <c r="AC240" t="s">
        <v>243</v>
      </c>
      <c r="AD240" t="s">
        <v>489</v>
      </c>
      <c r="AE240" t="s">
        <v>466</v>
      </c>
      <c r="AF240">
        <f ca="1">OFFSET('Calculations 2'!$CE$45,W240,0)*OFFSET($AA$6,X240,0)*OFFSET($M$6,W240,)</f>
        <v>2.7199194440271079</v>
      </c>
      <c r="AY240" t="s">
        <v>243</v>
      </c>
      <c r="AZ240" t="s">
        <v>489</v>
      </c>
      <c r="BA240" t="s">
        <v>466</v>
      </c>
      <c r="BB240">
        <v>0</v>
      </c>
      <c r="BE240" t="s">
        <v>243</v>
      </c>
      <c r="BF240" t="s">
        <v>489</v>
      </c>
      <c r="BG240" t="s">
        <v>466</v>
      </c>
      <c r="BH240">
        <v>0</v>
      </c>
      <c r="CT240" t="s">
        <v>243</v>
      </c>
      <c r="CU240" t="s">
        <v>466</v>
      </c>
      <c r="CV240">
        <f ca="1">OFFSET('Calculations 2'!$AJ$12,W240,X240)</f>
        <v>0</v>
      </c>
    </row>
    <row r="241" spans="17:100">
      <c r="Q241" t="s">
        <v>228</v>
      </c>
      <c r="R241" t="s">
        <v>489</v>
      </c>
      <c r="S241" t="s">
        <v>466</v>
      </c>
      <c r="T241">
        <f ca="1">OFFSET('Calculations 2'!$C$45,W241,X241)*OFFSET($M$6,W241,0)</f>
        <v>0</v>
      </c>
      <c r="V241">
        <f t="shared" si="11"/>
        <v>235</v>
      </c>
      <c r="W241">
        <f t="shared" si="12"/>
        <v>4</v>
      </c>
      <c r="X241">
        <f t="shared" si="13"/>
        <v>7</v>
      </c>
      <c r="AC241" t="s">
        <v>228</v>
      </c>
      <c r="AD241" t="s">
        <v>489</v>
      </c>
      <c r="AE241" t="s">
        <v>466</v>
      </c>
      <c r="AF241">
        <f ca="1">OFFSET('Calculations 2'!$CE$45,W241,0)*OFFSET($AA$6,X241,0)*OFFSET($M$6,W241,)</f>
        <v>1.9299796915727519E-2</v>
      </c>
      <c r="AY241" t="s">
        <v>228</v>
      </c>
      <c r="AZ241" t="s">
        <v>489</v>
      </c>
      <c r="BA241" t="s">
        <v>466</v>
      </c>
      <c r="BB241">
        <v>0</v>
      </c>
      <c r="BE241" t="s">
        <v>228</v>
      </c>
      <c r="BF241" t="s">
        <v>489</v>
      </c>
      <c r="BG241" t="s">
        <v>466</v>
      </c>
      <c r="BH241">
        <v>0</v>
      </c>
      <c r="CT241" t="s">
        <v>228</v>
      </c>
      <c r="CU241" t="s">
        <v>466</v>
      </c>
      <c r="CV241">
        <f ca="1">OFFSET('Calculations 2'!$AJ$12,W241,X241)</f>
        <v>0</v>
      </c>
    </row>
    <row r="242" spans="17:100">
      <c r="Q242" t="s">
        <v>246</v>
      </c>
      <c r="R242" t="s">
        <v>489</v>
      </c>
      <c r="S242" t="s">
        <v>466</v>
      </c>
      <c r="T242">
        <f ca="1">OFFSET('Calculations 2'!$C$45,W242,X242)*OFFSET($M$6,W242,0)</f>
        <v>0</v>
      </c>
      <c r="V242">
        <f t="shared" si="11"/>
        <v>236</v>
      </c>
      <c r="W242">
        <f t="shared" si="12"/>
        <v>5</v>
      </c>
      <c r="X242">
        <f t="shared" si="13"/>
        <v>7</v>
      </c>
      <c r="AC242" t="s">
        <v>246</v>
      </c>
      <c r="AD242" t="s">
        <v>489</v>
      </c>
      <c r="AE242" t="s">
        <v>466</v>
      </c>
      <c r="AF242">
        <f ca="1">OFFSET('Calculations 2'!$CE$45,W242,0)*OFFSET($AA$6,X242,0)*OFFSET($M$6,W242,)</f>
        <v>0.11880930176133188</v>
      </c>
      <c r="AY242" t="s">
        <v>246</v>
      </c>
      <c r="AZ242" t="s">
        <v>489</v>
      </c>
      <c r="BA242" t="s">
        <v>466</v>
      </c>
      <c r="BB242">
        <v>0</v>
      </c>
      <c r="BE242" t="s">
        <v>246</v>
      </c>
      <c r="BF242" t="s">
        <v>489</v>
      </c>
      <c r="BG242" t="s">
        <v>466</v>
      </c>
      <c r="BH242">
        <v>0</v>
      </c>
      <c r="CT242" t="s">
        <v>246</v>
      </c>
      <c r="CU242" t="s">
        <v>466</v>
      </c>
      <c r="CV242">
        <f ca="1">OFFSET('Calculations 2'!$AJ$12,W242,X242)</f>
        <v>0</v>
      </c>
    </row>
    <row r="243" spans="17:100">
      <c r="Q243" t="s">
        <v>239</v>
      </c>
      <c r="R243" t="s">
        <v>489</v>
      </c>
      <c r="S243" t="s">
        <v>466</v>
      </c>
      <c r="T243">
        <f ca="1">OFFSET('Calculations 2'!$C$45,W243,X243)*OFFSET($M$6,W243,0)</f>
        <v>8.2193456602527804E-2</v>
      </c>
      <c r="V243">
        <f t="shared" si="11"/>
        <v>237</v>
      </c>
      <c r="W243">
        <f t="shared" si="12"/>
        <v>6</v>
      </c>
      <c r="X243">
        <f t="shared" si="13"/>
        <v>7</v>
      </c>
      <c r="AC243" t="s">
        <v>239</v>
      </c>
      <c r="AD243" t="s">
        <v>489</v>
      </c>
      <c r="AE243" t="s">
        <v>466</v>
      </c>
      <c r="AF243">
        <f ca="1">OFFSET('Calculations 2'!$CE$45,W243,0)*OFFSET($AA$6,X243,0)*OFFSET($M$6,W243,)</f>
        <v>2.3780419737125937</v>
      </c>
      <c r="AY243" t="s">
        <v>239</v>
      </c>
      <c r="AZ243" t="s">
        <v>489</v>
      </c>
      <c r="BA243" t="s">
        <v>466</v>
      </c>
      <c r="BB243">
        <v>0</v>
      </c>
      <c r="BE243" t="s">
        <v>239</v>
      </c>
      <c r="BF243" t="s">
        <v>489</v>
      </c>
      <c r="BG243" t="s">
        <v>466</v>
      </c>
      <c r="BH243">
        <v>0</v>
      </c>
      <c r="CT243" t="s">
        <v>239</v>
      </c>
      <c r="CU243" t="s">
        <v>466</v>
      </c>
      <c r="CV243">
        <f ca="1">OFFSET('Calculations 2'!$AJ$12,W243,X243)</f>
        <v>0</v>
      </c>
    </row>
    <row r="244" spans="17:100">
      <c r="Q244" t="s">
        <v>466</v>
      </c>
      <c r="R244" t="s">
        <v>489</v>
      </c>
      <c r="S244" t="s">
        <v>466</v>
      </c>
      <c r="T244">
        <f ca="1">OFFSET('Calculations 2'!$C$45,W244,X244)*OFFSET($M$6,W244,0)</f>
        <v>589.1929299994473</v>
      </c>
      <c r="V244">
        <f t="shared" si="11"/>
        <v>238</v>
      </c>
      <c r="W244">
        <f t="shared" si="12"/>
        <v>7</v>
      </c>
      <c r="X244">
        <f t="shared" si="13"/>
        <v>7</v>
      </c>
      <c r="AC244" t="s">
        <v>466</v>
      </c>
      <c r="AD244" t="s">
        <v>489</v>
      </c>
      <c r="AE244" t="s">
        <v>466</v>
      </c>
      <c r="AF244">
        <f ca="1">OFFSET('Calculations 2'!$CE$45,W244,0)*OFFSET($AA$6,X244,0)*OFFSET($M$6,W244,)</f>
        <v>0.36236757595526609</v>
      </c>
      <c r="AY244" t="s">
        <v>466</v>
      </c>
      <c r="AZ244" t="s">
        <v>489</v>
      </c>
      <c r="BA244" t="s">
        <v>466</v>
      </c>
      <c r="BB244">
        <v>0</v>
      </c>
      <c r="BE244" t="s">
        <v>466</v>
      </c>
      <c r="BF244" t="s">
        <v>489</v>
      </c>
      <c r="BG244" t="s">
        <v>466</v>
      </c>
      <c r="BH244">
        <v>0</v>
      </c>
      <c r="CT244" t="s">
        <v>466</v>
      </c>
      <c r="CU244" t="s">
        <v>466</v>
      </c>
      <c r="CV244">
        <f ca="1">OFFSET('Calculations 2'!$AJ$12,W244,X244)</f>
        <v>28389.412000000011</v>
      </c>
    </row>
    <row r="245" spans="17:100">
      <c r="Q245" t="s">
        <v>219</v>
      </c>
      <c r="R245" t="s">
        <v>489</v>
      </c>
      <c r="S245" t="s">
        <v>466</v>
      </c>
      <c r="T245">
        <f ca="1">OFFSET('Calculations 2'!$C$45,W245,X245)*OFFSET($M$6,W245,0)</f>
        <v>141.37316882452495</v>
      </c>
      <c r="V245">
        <f t="shared" si="11"/>
        <v>239</v>
      </c>
      <c r="W245">
        <f t="shared" si="12"/>
        <v>8</v>
      </c>
      <c r="X245">
        <f t="shared" si="13"/>
        <v>7</v>
      </c>
      <c r="AC245" t="s">
        <v>219</v>
      </c>
      <c r="AD245" t="s">
        <v>489</v>
      </c>
      <c r="AE245" t="s">
        <v>466</v>
      </c>
      <c r="AF245">
        <f ca="1">OFFSET('Calculations 2'!$CE$45,W245,0)*OFFSET($AA$6,X245,0)*OFFSET($M$6,W245,)</f>
        <v>2.2565369434159326</v>
      </c>
      <c r="AY245" t="s">
        <v>219</v>
      </c>
      <c r="AZ245" t="s">
        <v>489</v>
      </c>
      <c r="BA245" t="s">
        <v>466</v>
      </c>
      <c r="BB245">
        <v>0</v>
      </c>
      <c r="BE245" t="s">
        <v>219</v>
      </c>
      <c r="BF245" t="s">
        <v>489</v>
      </c>
      <c r="BG245" t="s">
        <v>466</v>
      </c>
      <c r="BH245">
        <v>0</v>
      </c>
      <c r="CT245" t="s">
        <v>219</v>
      </c>
      <c r="CU245" t="s">
        <v>466</v>
      </c>
      <c r="CV245">
        <f ca="1">OFFSET('Calculations 2'!$AJ$12,W245,X245)</f>
        <v>0</v>
      </c>
    </row>
    <row r="246" spans="17:100">
      <c r="Q246" t="s">
        <v>242</v>
      </c>
      <c r="R246" t="s">
        <v>489</v>
      </c>
      <c r="S246" t="s">
        <v>466</v>
      </c>
      <c r="T246">
        <f ca="1">OFFSET('Calculations 2'!$C$45,W246,X246)*OFFSET($M$6,W246,0)</f>
        <v>85.526548630421985</v>
      </c>
      <c r="V246">
        <f t="shared" si="11"/>
        <v>240</v>
      </c>
      <c r="W246">
        <f t="shared" si="12"/>
        <v>9</v>
      </c>
      <c r="X246">
        <f t="shared" si="13"/>
        <v>7</v>
      </c>
      <c r="AC246" t="s">
        <v>242</v>
      </c>
      <c r="AD246" t="s">
        <v>489</v>
      </c>
      <c r="AE246" t="s">
        <v>466</v>
      </c>
      <c r="AF246">
        <f ca="1">OFFSET('Calculations 2'!$CE$45,W246,0)*OFFSET($AA$6,X246,0)*OFFSET($M$6,W246,)</f>
        <v>3.5323909884651501</v>
      </c>
      <c r="AY246" t="s">
        <v>242</v>
      </c>
      <c r="AZ246" t="s">
        <v>489</v>
      </c>
      <c r="BA246" t="s">
        <v>466</v>
      </c>
      <c r="BB246">
        <v>0</v>
      </c>
      <c r="BE246" t="s">
        <v>242</v>
      </c>
      <c r="BF246" t="s">
        <v>489</v>
      </c>
      <c r="BG246" t="s">
        <v>466</v>
      </c>
      <c r="BH246">
        <v>0</v>
      </c>
      <c r="CT246" t="s">
        <v>242</v>
      </c>
      <c r="CU246" t="s">
        <v>466</v>
      </c>
      <c r="CV246">
        <f ca="1">OFFSET('Calculations 2'!$AJ$12,W246,X246)</f>
        <v>0</v>
      </c>
    </row>
    <row r="247" spans="17:100">
      <c r="Q247" t="s">
        <v>467</v>
      </c>
      <c r="R247" t="s">
        <v>489</v>
      </c>
      <c r="S247" t="s">
        <v>466</v>
      </c>
      <c r="T247">
        <f ca="1">OFFSET('Calculations 2'!$C$45,W247,X247)*OFFSET($M$6,W247,0)</f>
        <v>0</v>
      </c>
      <c r="V247">
        <f t="shared" si="11"/>
        <v>241</v>
      </c>
      <c r="W247">
        <f t="shared" si="12"/>
        <v>10</v>
      </c>
      <c r="X247">
        <f t="shared" si="13"/>
        <v>7</v>
      </c>
      <c r="AC247" t="s">
        <v>467</v>
      </c>
      <c r="AD247" t="s">
        <v>489</v>
      </c>
      <c r="AE247" t="s">
        <v>466</v>
      </c>
      <c r="AF247">
        <f ca="1">OFFSET('Calculations 2'!$CE$45,W247,0)*OFFSET($AA$6,X247,0)*OFFSET($M$6,W247,)</f>
        <v>3.2723211837594866</v>
      </c>
      <c r="AY247" t="s">
        <v>467</v>
      </c>
      <c r="AZ247" t="s">
        <v>489</v>
      </c>
      <c r="BA247" t="s">
        <v>466</v>
      </c>
      <c r="BB247">
        <v>0</v>
      </c>
      <c r="BE247" t="s">
        <v>467</v>
      </c>
      <c r="BF247" t="s">
        <v>489</v>
      </c>
      <c r="BG247" t="s">
        <v>466</v>
      </c>
      <c r="BH247">
        <v>0</v>
      </c>
      <c r="CT247" t="s">
        <v>467</v>
      </c>
      <c r="CU247" t="s">
        <v>466</v>
      </c>
      <c r="CV247">
        <f ca="1">OFFSET('Calculations 2'!$AJ$12,W247,X247)</f>
        <v>0</v>
      </c>
    </row>
    <row r="248" spans="17:100">
      <c r="Q248" t="s">
        <v>231</v>
      </c>
      <c r="R248" t="s">
        <v>489</v>
      </c>
      <c r="S248" t="s">
        <v>466</v>
      </c>
      <c r="T248">
        <f ca="1">OFFSET('Calculations 2'!$C$45,W248,X248)*OFFSET($M$6,W248,0)</f>
        <v>0</v>
      </c>
      <c r="V248">
        <f t="shared" si="11"/>
        <v>242</v>
      </c>
      <c r="W248">
        <f t="shared" si="12"/>
        <v>11</v>
      </c>
      <c r="X248">
        <f t="shared" si="13"/>
        <v>7</v>
      </c>
      <c r="AC248" t="s">
        <v>231</v>
      </c>
      <c r="AD248" t="s">
        <v>489</v>
      </c>
      <c r="AE248" t="s">
        <v>466</v>
      </c>
      <c r="AF248">
        <f ca="1">OFFSET('Calculations 2'!$CE$45,W248,0)*OFFSET($AA$6,X248,0)*OFFSET($M$6,W248,)</f>
        <v>9.5709737006001365</v>
      </c>
      <c r="AY248" t="s">
        <v>231</v>
      </c>
      <c r="AZ248" t="s">
        <v>489</v>
      </c>
      <c r="BA248" t="s">
        <v>466</v>
      </c>
      <c r="BB248">
        <v>0</v>
      </c>
      <c r="BE248" t="s">
        <v>231</v>
      </c>
      <c r="BF248" t="s">
        <v>489</v>
      </c>
      <c r="BG248" t="s">
        <v>466</v>
      </c>
      <c r="BH248">
        <v>0</v>
      </c>
      <c r="CT248" t="s">
        <v>231</v>
      </c>
      <c r="CU248" t="s">
        <v>466</v>
      </c>
      <c r="CV248">
        <f ca="1">OFFSET('Calculations 2'!$AJ$12,W248,X248)</f>
        <v>0</v>
      </c>
    </row>
    <row r="249" spans="17:100">
      <c r="Q249" t="s">
        <v>468</v>
      </c>
      <c r="R249" t="s">
        <v>489</v>
      </c>
      <c r="S249" t="s">
        <v>466</v>
      </c>
      <c r="T249">
        <f ca="1">OFFSET('Calculations 2'!$C$45,W249,X249)*OFFSET($M$6,W249,0)</f>
        <v>0</v>
      </c>
      <c r="V249">
        <f t="shared" si="11"/>
        <v>243</v>
      </c>
      <c r="W249">
        <f t="shared" si="12"/>
        <v>12</v>
      </c>
      <c r="X249">
        <f t="shared" si="13"/>
        <v>7</v>
      </c>
      <c r="AC249" t="s">
        <v>468</v>
      </c>
      <c r="AD249" t="s">
        <v>489</v>
      </c>
      <c r="AE249" t="s">
        <v>466</v>
      </c>
      <c r="AF249">
        <f ca="1">OFFSET('Calculations 2'!$CE$45,W249,0)*OFFSET($AA$6,X249,0)*OFFSET($M$6,W249,)</f>
        <v>13.853230029922575</v>
      </c>
      <c r="AY249" t="s">
        <v>468</v>
      </c>
      <c r="AZ249" t="s">
        <v>489</v>
      </c>
      <c r="BA249" t="s">
        <v>466</v>
      </c>
      <c r="BB249">
        <v>0</v>
      </c>
      <c r="BE249" t="s">
        <v>468</v>
      </c>
      <c r="BF249" t="s">
        <v>489</v>
      </c>
      <c r="BG249" t="s">
        <v>466</v>
      </c>
      <c r="BH249">
        <v>0</v>
      </c>
      <c r="CT249" t="s">
        <v>468</v>
      </c>
      <c r="CU249" t="s">
        <v>466</v>
      </c>
      <c r="CV249">
        <f ca="1">OFFSET('Calculations 2'!$AJ$12,W249,X249)</f>
        <v>0</v>
      </c>
    </row>
    <row r="250" spans="17:100">
      <c r="Q250" t="s">
        <v>469</v>
      </c>
      <c r="R250" t="s">
        <v>489</v>
      </c>
      <c r="S250" t="s">
        <v>466</v>
      </c>
      <c r="T250">
        <f ca="1">OFFSET('Calculations 2'!$C$45,W250,X250)*OFFSET($M$6,W250,0)</f>
        <v>0</v>
      </c>
      <c r="V250">
        <f t="shared" si="11"/>
        <v>244</v>
      </c>
      <c r="W250">
        <f t="shared" si="12"/>
        <v>13</v>
      </c>
      <c r="X250">
        <f t="shared" si="13"/>
        <v>7</v>
      </c>
      <c r="AC250" t="s">
        <v>469</v>
      </c>
      <c r="AD250" t="s">
        <v>489</v>
      </c>
      <c r="AE250" t="s">
        <v>466</v>
      </c>
      <c r="AF250">
        <f ca="1">OFFSET('Calculations 2'!$CE$45,W250,0)*OFFSET($AA$6,X250,0)*OFFSET($M$6,W250,)</f>
        <v>2.8817724209537618</v>
      </c>
      <c r="AY250" t="s">
        <v>469</v>
      </c>
      <c r="AZ250" t="s">
        <v>489</v>
      </c>
      <c r="BA250" t="s">
        <v>466</v>
      </c>
      <c r="BB250">
        <v>0</v>
      </c>
      <c r="BE250" t="s">
        <v>469</v>
      </c>
      <c r="BF250" t="s">
        <v>489</v>
      </c>
      <c r="BG250" t="s">
        <v>466</v>
      </c>
      <c r="BH250">
        <v>0</v>
      </c>
      <c r="CT250" t="s">
        <v>469</v>
      </c>
      <c r="CU250" t="s">
        <v>466</v>
      </c>
      <c r="CV250">
        <f ca="1">OFFSET('Calculations 2'!$AJ$12,W250,X250)</f>
        <v>0</v>
      </c>
    </row>
    <row r="251" spans="17:100">
      <c r="Q251" t="s">
        <v>245</v>
      </c>
      <c r="R251" t="s">
        <v>489</v>
      </c>
      <c r="S251" t="s">
        <v>466</v>
      </c>
      <c r="T251">
        <f ca="1">OFFSET('Calculations 2'!$C$45,W251,X251)*OFFSET($M$6,W251,0)</f>
        <v>1.9657952883784604</v>
      </c>
      <c r="V251">
        <f t="shared" si="11"/>
        <v>245</v>
      </c>
      <c r="W251">
        <f t="shared" si="12"/>
        <v>14</v>
      </c>
      <c r="X251">
        <f t="shared" si="13"/>
        <v>7</v>
      </c>
      <c r="AC251" t="s">
        <v>245</v>
      </c>
      <c r="AD251" t="s">
        <v>489</v>
      </c>
      <c r="AE251" t="s">
        <v>466</v>
      </c>
      <c r="AF251">
        <f ca="1">OFFSET('Calculations 2'!$CE$45,W251,0)*OFFSET($AA$6,X251,0)*OFFSET($M$6,W251,)</f>
        <v>4.1627432102532858</v>
      </c>
      <c r="AY251" t="s">
        <v>245</v>
      </c>
      <c r="AZ251" t="s">
        <v>489</v>
      </c>
      <c r="BA251" t="s">
        <v>466</v>
      </c>
      <c r="BB251">
        <v>0</v>
      </c>
      <c r="BE251" t="s">
        <v>245</v>
      </c>
      <c r="BF251" t="s">
        <v>489</v>
      </c>
      <c r="BG251" t="s">
        <v>466</v>
      </c>
      <c r="BH251">
        <v>0</v>
      </c>
      <c r="CT251" t="s">
        <v>245</v>
      </c>
      <c r="CU251" t="s">
        <v>466</v>
      </c>
      <c r="CV251">
        <f ca="1">OFFSET('Calculations 2'!$AJ$12,W251,X251)</f>
        <v>0</v>
      </c>
    </row>
    <row r="252" spans="17:100">
      <c r="Q252" t="s">
        <v>470</v>
      </c>
      <c r="R252" t="s">
        <v>489</v>
      </c>
      <c r="S252" t="s">
        <v>466</v>
      </c>
      <c r="T252">
        <f ca="1">OFFSET('Calculations 2'!$C$45,W252,X252)*OFFSET($M$6,W252,0)</f>
        <v>10.816514799122237</v>
      </c>
      <c r="V252">
        <f t="shared" si="11"/>
        <v>246</v>
      </c>
      <c r="W252">
        <f t="shared" si="12"/>
        <v>15</v>
      </c>
      <c r="X252">
        <f t="shared" si="13"/>
        <v>7</v>
      </c>
      <c r="AC252" t="s">
        <v>470</v>
      </c>
      <c r="AD252" t="s">
        <v>489</v>
      </c>
      <c r="AE252" t="s">
        <v>466</v>
      </c>
      <c r="AF252">
        <f ca="1">OFFSET('Calculations 2'!$CE$45,W252,0)*OFFSET($AA$6,X252,0)*OFFSET($M$6,W252,)</f>
        <v>11.334879920882759</v>
      </c>
      <c r="AY252" t="s">
        <v>470</v>
      </c>
      <c r="AZ252" t="s">
        <v>489</v>
      </c>
      <c r="BA252" t="s">
        <v>466</v>
      </c>
      <c r="BB252">
        <v>0</v>
      </c>
      <c r="BE252" t="s">
        <v>470</v>
      </c>
      <c r="BF252" t="s">
        <v>489</v>
      </c>
      <c r="BG252" t="s">
        <v>466</v>
      </c>
      <c r="BH252">
        <v>0</v>
      </c>
      <c r="CT252" t="s">
        <v>470</v>
      </c>
      <c r="CU252" t="s">
        <v>466</v>
      </c>
      <c r="CV252">
        <f ca="1">OFFSET('Calculations 2'!$AJ$12,W252,X252)</f>
        <v>0</v>
      </c>
    </row>
    <row r="253" spans="17:100">
      <c r="Q253" t="s">
        <v>471</v>
      </c>
      <c r="R253" t="s">
        <v>489</v>
      </c>
      <c r="S253" t="s">
        <v>466</v>
      </c>
      <c r="T253">
        <f ca="1">OFFSET('Calculations 2'!$C$45,W253,X253)*OFFSET($M$6,W253,0)</f>
        <v>239.79460000344989</v>
      </c>
      <c r="V253">
        <f t="shared" si="11"/>
        <v>247</v>
      </c>
      <c r="W253">
        <f t="shared" si="12"/>
        <v>16</v>
      </c>
      <c r="X253">
        <f t="shared" si="13"/>
        <v>7</v>
      </c>
      <c r="AC253" t="s">
        <v>471</v>
      </c>
      <c r="AD253" t="s">
        <v>489</v>
      </c>
      <c r="AE253" t="s">
        <v>466</v>
      </c>
      <c r="AF253">
        <f ca="1">OFFSET('Calculations 2'!$CE$45,W253,0)*OFFSET($AA$6,X253,0)*OFFSET($M$6,W253,)</f>
        <v>0</v>
      </c>
      <c r="AY253" t="s">
        <v>471</v>
      </c>
      <c r="AZ253" t="s">
        <v>489</v>
      </c>
      <c r="BA253" t="s">
        <v>466</v>
      </c>
      <c r="BB253">
        <v>0</v>
      </c>
      <c r="BE253" t="s">
        <v>471</v>
      </c>
      <c r="BF253" t="s">
        <v>489</v>
      </c>
      <c r="BG253" t="s">
        <v>466</v>
      </c>
      <c r="BH253">
        <v>0</v>
      </c>
      <c r="CT253" t="s">
        <v>471</v>
      </c>
      <c r="CU253" t="s">
        <v>466</v>
      </c>
      <c r="CV253">
        <f ca="1">OFFSET('Calculations 2'!$AJ$12,W253,X253)</f>
        <v>0</v>
      </c>
    </row>
    <row r="254" spans="17:100">
      <c r="Q254" t="s">
        <v>221</v>
      </c>
      <c r="R254" t="s">
        <v>489</v>
      </c>
      <c r="S254" t="s">
        <v>466</v>
      </c>
      <c r="T254">
        <f ca="1">OFFSET('Calculations 2'!$C$45,W254,X254)*OFFSET($M$6,W254,0)</f>
        <v>1.5447207782876564E-3</v>
      </c>
      <c r="V254">
        <f t="shared" si="11"/>
        <v>248</v>
      </c>
      <c r="W254">
        <f t="shared" si="12"/>
        <v>17</v>
      </c>
      <c r="X254">
        <f t="shared" si="13"/>
        <v>7</v>
      </c>
      <c r="AC254" t="s">
        <v>221</v>
      </c>
      <c r="AD254" t="s">
        <v>489</v>
      </c>
      <c r="AE254" t="s">
        <v>466</v>
      </c>
      <c r="AF254">
        <f ca="1">OFFSET('Calculations 2'!$CE$45,W254,0)*OFFSET($AA$6,X254,0)*OFFSET($M$6,W254,)</f>
        <v>376.52703384054712</v>
      </c>
      <c r="AY254" t="s">
        <v>221</v>
      </c>
      <c r="AZ254" t="s">
        <v>489</v>
      </c>
      <c r="BA254" t="s">
        <v>466</v>
      </c>
      <c r="BB254">
        <v>0</v>
      </c>
      <c r="BE254" t="s">
        <v>221</v>
      </c>
      <c r="BF254" t="s">
        <v>489</v>
      </c>
      <c r="BG254" t="s">
        <v>466</v>
      </c>
      <c r="BH254">
        <v>0</v>
      </c>
      <c r="CT254" t="s">
        <v>221</v>
      </c>
      <c r="CU254" t="s">
        <v>466</v>
      </c>
      <c r="CV254">
        <f ca="1">OFFSET('Calculations 2'!$AJ$12,W254,X254)</f>
        <v>0</v>
      </c>
    </row>
    <row r="255" spans="17:100">
      <c r="Q255" t="s">
        <v>244</v>
      </c>
      <c r="R255" t="s">
        <v>489</v>
      </c>
      <c r="S255" t="s">
        <v>466</v>
      </c>
      <c r="T255">
        <f ca="1">OFFSET('Calculations 2'!$C$45,W255,X255)*OFFSET($M$6,W255,0)</f>
        <v>401.24084997797866</v>
      </c>
      <c r="V255">
        <f t="shared" si="11"/>
        <v>249</v>
      </c>
      <c r="W255">
        <f t="shared" si="12"/>
        <v>18</v>
      </c>
      <c r="X255">
        <f t="shared" si="13"/>
        <v>7</v>
      </c>
      <c r="AC255" t="s">
        <v>244</v>
      </c>
      <c r="AD255" t="s">
        <v>489</v>
      </c>
      <c r="AE255" t="s">
        <v>466</v>
      </c>
      <c r="AF255">
        <f ca="1">OFFSET('Calculations 2'!$CE$45,W255,0)*OFFSET($AA$6,X255,0)*OFFSET($M$6,W255,)</f>
        <v>60.204162166032418</v>
      </c>
      <c r="AY255" t="s">
        <v>244</v>
      </c>
      <c r="AZ255" t="s">
        <v>489</v>
      </c>
      <c r="BA255" t="s">
        <v>466</v>
      </c>
      <c r="BB255">
        <v>0</v>
      </c>
      <c r="BE255" t="s">
        <v>244</v>
      </c>
      <c r="BF255" t="s">
        <v>489</v>
      </c>
      <c r="BG255" t="s">
        <v>466</v>
      </c>
      <c r="BH255">
        <v>0</v>
      </c>
      <c r="CT255" t="s">
        <v>244</v>
      </c>
      <c r="CU255" t="s">
        <v>466</v>
      </c>
      <c r="CV255">
        <f ca="1">OFFSET('Calculations 2'!$AJ$12,W255,X255)</f>
        <v>0</v>
      </c>
    </row>
    <row r="256" spans="17:100">
      <c r="Q256" t="s">
        <v>472</v>
      </c>
      <c r="R256" t="s">
        <v>489</v>
      </c>
      <c r="S256" t="s">
        <v>466</v>
      </c>
      <c r="T256">
        <f ca="1">OFFSET('Calculations 2'!$C$45,W256,X256)*OFFSET($M$6,W256,0)</f>
        <v>0</v>
      </c>
      <c r="V256">
        <f t="shared" si="11"/>
        <v>250</v>
      </c>
      <c r="W256">
        <f t="shared" si="12"/>
        <v>19</v>
      </c>
      <c r="X256">
        <f t="shared" si="13"/>
        <v>7</v>
      </c>
      <c r="AC256" t="s">
        <v>472</v>
      </c>
      <c r="AD256" t="s">
        <v>489</v>
      </c>
      <c r="AE256" t="s">
        <v>466</v>
      </c>
      <c r="AF256">
        <f ca="1">OFFSET('Calculations 2'!$CE$45,W256,0)*OFFSET($AA$6,X256,0)*OFFSET($M$6,W256,)</f>
        <v>0</v>
      </c>
      <c r="AY256" t="s">
        <v>472</v>
      </c>
      <c r="AZ256" t="s">
        <v>489</v>
      </c>
      <c r="BA256" t="s">
        <v>466</v>
      </c>
      <c r="BB256">
        <v>0</v>
      </c>
      <c r="BE256" t="s">
        <v>472</v>
      </c>
      <c r="BF256" t="s">
        <v>489</v>
      </c>
      <c r="BG256" t="s">
        <v>466</v>
      </c>
      <c r="BH256">
        <v>0</v>
      </c>
      <c r="CT256" t="s">
        <v>472</v>
      </c>
      <c r="CU256" t="s">
        <v>466</v>
      </c>
      <c r="CV256">
        <f ca="1">OFFSET('Calculations 2'!$AJ$12,W256,X256)</f>
        <v>0</v>
      </c>
    </row>
    <row r="257" spans="17:100">
      <c r="Q257" t="s">
        <v>238</v>
      </c>
      <c r="R257" t="s">
        <v>489</v>
      </c>
      <c r="S257" t="s">
        <v>466</v>
      </c>
      <c r="T257">
        <f ca="1">OFFSET('Calculations 2'!$C$45,W257,X257)*OFFSET($M$6,W257,0)</f>
        <v>0</v>
      </c>
      <c r="V257">
        <f t="shared" si="11"/>
        <v>251</v>
      </c>
      <c r="W257">
        <f t="shared" si="12"/>
        <v>20</v>
      </c>
      <c r="X257">
        <f t="shared" si="13"/>
        <v>7</v>
      </c>
      <c r="AC257" t="s">
        <v>238</v>
      </c>
      <c r="AD257" t="s">
        <v>489</v>
      </c>
      <c r="AE257" t="s">
        <v>466</v>
      </c>
      <c r="AF257">
        <f ca="1">OFFSET('Calculations 2'!$CE$45,W257,0)*OFFSET($AA$6,X257,0)*OFFSET($M$6,W257,)</f>
        <v>0</v>
      </c>
      <c r="AY257" t="s">
        <v>238</v>
      </c>
      <c r="AZ257" t="s">
        <v>489</v>
      </c>
      <c r="BA257" t="s">
        <v>466</v>
      </c>
      <c r="BB257">
        <v>0</v>
      </c>
      <c r="BE257" t="s">
        <v>238</v>
      </c>
      <c r="BF257" t="s">
        <v>489</v>
      </c>
      <c r="BG257" t="s">
        <v>466</v>
      </c>
      <c r="BH257">
        <v>0</v>
      </c>
      <c r="CT257" t="s">
        <v>238</v>
      </c>
      <c r="CU257" t="s">
        <v>466</v>
      </c>
      <c r="CV257">
        <f ca="1">OFFSET('Calculations 2'!$AJ$12,W257,X257)</f>
        <v>0</v>
      </c>
    </row>
    <row r="258" spans="17:100">
      <c r="Q258" t="s">
        <v>247</v>
      </c>
      <c r="R258" t="s">
        <v>489</v>
      </c>
      <c r="S258" t="s">
        <v>466</v>
      </c>
      <c r="T258">
        <f ca="1">OFFSET('Calculations 2'!$C$45,W258,X258)*OFFSET($M$6,W258,0)</f>
        <v>0</v>
      </c>
      <c r="V258">
        <f t="shared" si="11"/>
        <v>252</v>
      </c>
      <c r="W258">
        <f t="shared" si="12"/>
        <v>21</v>
      </c>
      <c r="X258">
        <f t="shared" si="13"/>
        <v>7</v>
      </c>
      <c r="AC258" t="s">
        <v>247</v>
      </c>
      <c r="AD258" t="s">
        <v>489</v>
      </c>
      <c r="AE258" t="s">
        <v>466</v>
      </c>
      <c r="AF258">
        <f ca="1">OFFSET('Calculations 2'!$CE$45,W258,0)*OFFSET($AA$6,X258,0)*OFFSET($M$6,W258,)</f>
        <v>0</v>
      </c>
      <c r="AY258" t="s">
        <v>247</v>
      </c>
      <c r="AZ258" t="s">
        <v>489</v>
      </c>
      <c r="BA258" t="s">
        <v>466</v>
      </c>
      <c r="BB258">
        <v>0</v>
      </c>
      <c r="BE258" t="s">
        <v>247</v>
      </c>
      <c r="BF258" t="s">
        <v>489</v>
      </c>
      <c r="BG258" t="s">
        <v>466</v>
      </c>
      <c r="BH258">
        <v>0</v>
      </c>
      <c r="CT258" t="s">
        <v>247</v>
      </c>
      <c r="CU258" t="s">
        <v>466</v>
      </c>
      <c r="CV258">
        <f ca="1">OFFSET('Calculations 2'!$AJ$12,W258,X258)</f>
        <v>0</v>
      </c>
    </row>
    <row r="259" spans="17:100">
      <c r="Q259" t="s">
        <v>218</v>
      </c>
      <c r="R259" t="s">
        <v>489</v>
      </c>
      <c r="S259" t="s">
        <v>466</v>
      </c>
      <c r="T259">
        <f ca="1">OFFSET('Calculations 2'!$C$45,W259,X259)*OFFSET($M$6,W259,0)</f>
        <v>9.329941650531838</v>
      </c>
      <c r="V259">
        <f t="shared" si="11"/>
        <v>253</v>
      </c>
      <c r="W259">
        <f t="shared" si="12"/>
        <v>22</v>
      </c>
      <c r="X259">
        <f t="shared" si="13"/>
        <v>7</v>
      </c>
      <c r="AC259" t="s">
        <v>218</v>
      </c>
      <c r="AD259" t="s">
        <v>489</v>
      </c>
      <c r="AE259" t="s">
        <v>466</v>
      </c>
      <c r="AF259">
        <f ca="1">OFFSET('Calculations 2'!$CE$45,W259,0)*OFFSET($AA$6,X259,0)*OFFSET($M$6,W259,)</f>
        <v>0</v>
      </c>
      <c r="AY259" t="s">
        <v>218</v>
      </c>
      <c r="AZ259" t="s">
        <v>489</v>
      </c>
      <c r="BA259" t="s">
        <v>466</v>
      </c>
      <c r="BB259">
        <v>0</v>
      </c>
      <c r="BE259" t="s">
        <v>218</v>
      </c>
      <c r="BF259" t="s">
        <v>489</v>
      </c>
      <c r="BG259" t="s">
        <v>466</v>
      </c>
      <c r="BH259">
        <v>0</v>
      </c>
      <c r="CT259" t="s">
        <v>218</v>
      </c>
      <c r="CU259" t="s">
        <v>466</v>
      </c>
      <c r="CV259">
        <f ca="1">OFFSET('Calculations 2'!$AJ$12,W259,X259)</f>
        <v>0</v>
      </c>
    </row>
    <row r="260" spans="17:100">
      <c r="Q260" t="s">
        <v>257</v>
      </c>
      <c r="R260" t="s">
        <v>489</v>
      </c>
      <c r="S260" t="s">
        <v>466</v>
      </c>
      <c r="T260">
        <f ca="1">OFFSET('Calculations 2'!$C$45,W260,X260)*OFFSET($M$6,W260,0)</f>
        <v>8.8324040430159716</v>
      </c>
      <c r="V260">
        <f t="shared" si="11"/>
        <v>254</v>
      </c>
      <c r="W260">
        <f t="shared" si="12"/>
        <v>23</v>
      </c>
      <c r="X260">
        <f t="shared" si="13"/>
        <v>7</v>
      </c>
      <c r="AC260" t="s">
        <v>257</v>
      </c>
      <c r="AD260" t="s">
        <v>489</v>
      </c>
      <c r="AE260" t="s">
        <v>466</v>
      </c>
      <c r="AF260">
        <f ca="1">OFFSET('Calculations 2'!$CE$45,W260,0)*OFFSET($AA$6,X260,0)*OFFSET($M$6,W260,)</f>
        <v>0</v>
      </c>
      <c r="AY260" t="s">
        <v>257</v>
      </c>
      <c r="AZ260" t="s">
        <v>489</v>
      </c>
      <c r="BA260" t="s">
        <v>466</v>
      </c>
      <c r="BB260">
        <v>0</v>
      </c>
      <c r="BE260" t="s">
        <v>257</v>
      </c>
      <c r="BF260" t="s">
        <v>489</v>
      </c>
      <c r="BG260" t="s">
        <v>466</v>
      </c>
      <c r="BH260">
        <v>0</v>
      </c>
      <c r="CT260" t="s">
        <v>257</v>
      </c>
      <c r="CU260" t="s">
        <v>466</v>
      </c>
      <c r="CV260">
        <f ca="1">OFFSET('Calculations 2'!$AJ$12,W260,X260)</f>
        <v>0</v>
      </c>
    </row>
    <row r="261" spans="17:100">
      <c r="Q261" t="s">
        <v>220</v>
      </c>
      <c r="R261" t="s">
        <v>489</v>
      </c>
      <c r="S261" t="s">
        <v>466</v>
      </c>
      <c r="T261">
        <f ca="1">OFFSET('Calculations 2'!$C$45,W261,X261)*OFFSET($M$6,W261,0)</f>
        <v>0.48733805142516745</v>
      </c>
      <c r="V261">
        <f t="shared" si="11"/>
        <v>255</v>
      </c>
      <c r="W261">
        <f t="shared" si="12"/>
        <v>24</v>
      </c>
      <c r="X261">
        <f t="shared" si="13"/>
        <v>7</v>
      </c>
      <c r="AC261" t="s">
        <v>220</v>
      </c>
      <c r="AD261" t="s">
        <v>489</v>
      </c>
      <c r="AE261" t="s">
        <v>466</v>
      </c>
      <c r="AF261">
        <f ca="1">OFFSET('Calculations 2'!$CE$45,W261,0)*OFFSET($AA$6,X261,0)*OFFSET($M$6,W261,)</f>
        <v>0</v>
      </c>
      <c r="AY261" t="s">
        <v>220</v>
      </c>
      <c r="AZ261" t="s">
        <v>489</v>
      </c>
      <c r="BA261" t="s">
        <v>466</v>
      </c>
      <c r="BB261">
        <v>0</v>
      </c>
      <c r="BE261" t="s">
        <v>220</v>
      </c>
      <c r="BF261" t="s">
        <v>489</v>
      </c>
      <c r="BG261" t="s">
        <v>466</v>
      </c>
      <c r="BH261">
        <v>0</v>
      </c>
      <c r="CT261" t="s">
        <v>220</v>
      </c>
      <c r="CU261" t="s">
        <v>466</v>
      </c>
      <c r="CV261">
        <f ca="1">OFFSET('Calculations 2'!$AJ$12,W261,X261)</f>
        <v>0</v>
      </c>
    </row>
    <row r="262" spans="17:100">
      <c r="Q262" t="s">
        <v>235</v>
      </c>
      <c r="R262" t="s">
        <v>489</v>
      </c>
      <c r="S262" t="s">
        <v>466</v>
      </c>
      <c r="T262">
        <f ca="1">OFFSET('Calculations 2'!$C$45,W262,X262)*OFFSET($M$6,W262,0)</f>
        <v>619.05546295742511</v>
      </c>
      <c r="V262">
        <f t="shared" si="11"/>
        <v>256</v>
      </c>
      <c r="W262">
        <f t="shared" si="12"/>
        <v>25</v>
      </c>
      <c r="X262">
        <f t="shared" si="13"/>
        <v>7</v>
      </c>
      <c r="AC262" t="s">
        <v>235</v>
      </c>
      <c r="AD262" t="s">
        <v>489</v>
      </c>
      <c r="AE262" t="s">
        <v>466</v>
      </c>
      <c r="AF262">
        <f ca="1">OFFSET('Calculations 2'!$CE$45,W262,0)*OFFSET($AA$6,X262,0)*OFFSET($M$6,W262,)</f>
        <v>0</v>
      </c>
      <c r="AY262" t="s">
        <v>235</v>
      </c>
      <c r="AZ262" t="s">
        <v>489</v>
      </c>
      <c r="BA262" t="s">
        <v>466</v>
      </c>
      <c r="BB262">
        <v>0</v>
      </c>
      <c r="BE262" t="s">
        <v>235</v>
      </c>
      <c r="BF262" t="s">
        <v>489</v>
      </c>
      <c r="BG262" t="s">
        <v>466</v>
      </c>
      <c r="BH262">
        <v>0</v>
      </c>
      <c r="CT262" t="s">
        <v>235</v>
      </c>
      <c r="CU262" t="s">
        <v>466</v>
      </c>
      <c r="CV262">
        <f ca="1">OFFSET('Calculations 2'!$AJ$12,W262,X262)</f>
        <v>0</v>
      </c>
    </row>
    <row r="263" spans="17:100">
      <c r="Q263" t="s">
        <v>473</v>
      </c>
      <c r="R263" t="s">
        <v>489</v>
      </c>
      <c r="S263" t="s">
        <v>466</v>
      </c>
      <c r="T263">
        <f ca="1">OFFSET('Calculations 2'!$C$45,W263,X263)*OFFSET($M$6,W263,0)</f>
        <v>0.47834990227899471</v>
      </c>
      <c r="V263">
        <f t="shared" si="11"/>
        <v>257</v>
      </c>
      <c r="W263">
        <f t="shared" si="12"/>
        <v>26</v>
      </c>
      <c r="X263">
        <f t="shared" si="13"/>
        <v>7</v>
      </c>
      <c r="AC263" t="s">
        <v>473</v>
      </c>
      <c r="AD263" t="s">
        <v>489</v>
      </c>
      <c r="AE263" t="s">
        <v>466</v>
      </c>
      <c r="AF263">
        <f ca="1">OFFSET('Calculations 2'!$CE$45,W263,0)*OFFSET($AA$6,X263,0)*OFFSET($M$6,W263,)</f>
        <v>0</v>
      </c>
      <c r="AY263" t="s">
        <v>473</v>
      </c>
      <c r="AZ263" t="s">
        <v>489</v>
      </c>
      <c r="BA263" t="s">
        <v>466</v>
      </c>
      <c r="BB263">
        <v>0</v>
      </c>
      <c r="BE263" t="s">
        <v>473</v>
      </c>
      <c r="BF263" t="s">
        <v>489</v>
      </c>
      <c r="BG263" t="s">
        <v>466</v>
      </c>
      <c r="BH263">
        <v>0</v>
      </c>
      <c r="CT263" t="s">
        <v>473</v>
      </c>
      <c r="CU263" t="s">
        <v>466</v>
      </c>
      <c r="CV263">
        <f ca="1">OFFSET('Calculations 2'!$AJ$12,W263,X263)</f>
        <v>0</v>
      </c>
    </row>
    <row r="264" spans="17:100">
      <c r="Q264" t="s">
        <v>233</v>
      </c>
      <c r="R264" t="s">
        <v>489</v>
      </c>
      <c r="S264" t="s">
        <v>466</v>
      </c>
      <c r="T264">
        <f ca="1">OFFSET('Calculations 2'!$C$45,W264,X264)*OFFSET($M$6,W264,0)</f>
        <v>7.8792401422758083</v>
      </c>
      <c r="V264">
        <f t="shared" ref="V264:V327" si="14">V263+1</f>
        <v>258</v>
      </c>
      <c r="W264">
        <f t="shared" ref="W264:W327" si="15">MOD(V264,$V$3)</f>
        <v>27</v>
      </c>
      <c r="X264">
        <f t="shared" ref="X264:X327" si="16">FLOOR(V264/$V$3,1)</f>
        <v>7</v>
      </c>
      <c r="AC264" t="s">
        <v>233</v>
      </c>
      <c r="AD264" t="s">
        <v>489</v>
      </c>
      <c r="AE264" t="s">
        <v>466</v>
      </c>
      <c r="AF264">
        <f ca="1">OFFSET('Calculations 2'!$CE$45,W264,0)*OFFSET($AA$6,X264,0)*OFFSET($M$6,W264,)</f>
        <v>0</v>
      </c>
      <c r="AY264" t="s">
        <v>233</v>
      </c>
      <c r="AZ264" t="s">
        <v>489</v>
      </c>
      <c r="BA264" t="s">
        <v>466</v>
      </c>
      <c r="BB264">
        <v>0</v>
      </c>
      <c r="BE264" t="s">
        <v>233</v>
      </c>
      <c r="BF264" t="s">
        <v>489</v>
      </c>
      <c r="BG264" t="s">
        <v>466</v>
      </c>
      <c r="BH264">
        <v>0</v>
      </c>
      <c r="CT264" t="s">
        <v>233</v>
      </c>
      <c r="CU264" t="s">
        <v>466</v>
      </c>
      <c r="CV264">
        <f ca="1">OFFSET('Calculations 2'!$AJ$12,W264,X264)</f>
        <v>0</v>
      </c>
    </row>
    <row r="265" spans="17:100">
      <c r="Q265" t="s">
        <v>474</v>
      </c>
      <c r="R265" t="s">
        <v>489</v>
      </c>
      <c r="S265" t="s">
        <v>466</v>
      </c>
      <c r="T265">
        <f ca="1">OFFSET('Calculations 2'!$C$45,W265,X265)*OFFSET($M$6,W265,0)</f>
        <v>4.1808493579873414</v>
      </c>
      <c r="V265">
        <f t="shared" si="14"/>
        <v>259</v>
      </c>
      <c r="W265">
        <f t="shared" si="15"/>
        <v>28</v>
      </c>
      <c r="X265">
        <f t="shared" si="16"/>
        <v>7</v>
      </c>
      <c r="AC265" t="s">
        <v>474</v>
      </c>
      <c r="AD265" t="s">
        <v>489</v>
      </c>
      <c r="AE265" t="s">
        <v>466</v>
      </c>
      <c r="AF265">
        <f ca="1">OFFSET('Calculations 2'!$CE$45,W265,0)*OFFSET($AA$6,X265,0)*OFFSET($M$6,W265,)</f>
        <v>0</v>
      </c>
      <c r="AY265" t="s">
        <v>474</v>
      </c>
      <c r="AZ265" t="s">
        <v>489</v>
      </c>
      <c r="BA265" t="s">
        <v>466</v>
      </c>
      <c r="BB265">
        <v>0</v>
      </c>
      <c r="BE265" t="s">
        <v>474</v>
      </c>
      <c r="BF265" t="s">
        <v>489</v>
      </c>
      <c r="BG265" t="s">
        <v>466</v>
      </c>
      <c r="BH265">
        <v>0</v>
      </c>
      <c r="CT265" t="s">
        <v>474</v>
      </c>
      <c r="CU265" t="s">
        <v>466</v>
      </c>
      <c r="CV265">
        <f ca="1">OFFSET('Calculations 2'!$AJ$12,W265,X265)</f>
        <v>0</v>
      </c>
    </row>
    <row r="266" spans="17:100">
      <c r="Q266" t="s">
        <v>223</v>
      </c>
      <c r="R266" t="s">
        <v>489</v>
      </c>
      <c r="S266" t="s">
        <v>466</v>
      </c>
      <c r="T266">
        <f ca="1">OFFSET('Calculations 2'!$C$45,W266,X266)*OFFSET($M$6,W266,0)</f>
        <v>2.6227906381585595</v>
      </c>
      <c r="V266">
        <f t="shared" si="14"/>
        <v>260</v>
      </c>
      <c r="W266">
        <f t="shared" si="15"/>
        <v>29</v>
      </c>
      <c r="X266">
        <f t="shared" si="16"/>
        <v>7</v>
      </c>
      <c r="AC266" t="s">
        <v>223</v>
      </c>
      <c r="AD266" t="s">
        <v>489</v>
      </c>
      <c r="AE266" t="s">
        <v>466</v>
      </c>
      <c r="AF266">
        <f ca="1">OFFSET('Calculations 2'!$CE$45,W266,0)*OFFSET($AA$6,X266,0)*OFFSET($M$6,W266,)</f>
        <v>0</v>
      </c>
      <c r="AY266" t="s">
        <v>223</v>
      </c>
      <c r="AZ266" t="s">
        <v>489</v>
      </c>
      <c r="BA266" t="s">
        <v>466</v>
      </c>
      <c r="BB266">
        <v>0</v>
      </c>
      <c r="BE266" t="s">
        <v>223</v>
      </c>
      <c r="BF266" t="s">
        <v>489</v>
      </c>
      <c r="BG266" t="s">
        <v>466</v>
      </c>
      <c r="BH266">
        <v>0</v>
      </c>
      <c r="CT266" t="s">
        <v>223</v>
      </c>
      <c r="CU266" t="s">
        <v>466</v>
      </c>
      <c r="CV266">
        <f ca="1">OFFSET('Calculations 2'!$AJ$12,W266,X266)</f>
        <v>0</v>
      </c>
    </row>
    <row r="267" spans="17:100">
      <c r="Q267" t="s">
        <v>475</v>
      </c>
      <c r="R267" t="s">
        <v>489</v>
      </c>
      <c r="S267" t="s">
        <v>466</v>
      </c>
      <c r="T267">
        <f ca="1">OFFSET('Calculations 2'!$C$45,W267,X267)*OFFSET($M$6,W267,0)</f>
        <v>5.0300540209382703E-2</v>
      </c>
      <c r="V267">
        <f t="shared" si="14"/>
        <v>261</v>
      </c>
      <c r="W267">
        <f t="shared" si="15"/>
        <v>30</v>
      </c>
      <c r="X267">
        <f t="shared" si="16"/>
        <v>7</v>
      </c>
      <c r="AC267" t="s">
        <v>475</v>
      </c>
      <c r="AD267" t="s">
        <v>489</v>
      </c>
      <c r="AE267" t="s">
        <v>466</v>
      </c>
      <c r="AF267">
        <f ca="1">OFFSET('Calculations 2'!$CE$45,W267,0)*OFFSET($AA$6,X267,0)*OFFSET($M$6,W267,)</f>
        <v>0</v>
      </c>
      <c r="AY267" t="s">
        <v>475</v>
      </c>
      <c r="AZ267" t="s">
        <v>489</v>
      </c>
      <c r="BA267" t="s">
        <v>466</v>
      </c>
      <c r="BB267">
        <v>0</v>
      </c>
      <c r="BE267" t="s">
        <v>475</v>
      </c>
      <c r="BF267" t="s">
        <v>489</v>
      </c>
      <c r="BG267" t="s">
        <v>466</v>
      </c>
      <c r="BH267">
        <v>0</v>
      </c>
      <c r="CT267" t="s">
        <v>475</v>
      </c>
      <c r="CU267" t="s">
        <v>466</v>
      </c>
      <c r="CV267">
        <f ca="1">OFFSET('Calculations 2'!$AJ$12,W267,X267)</f>
        <v>0</v>
      </c>
    </row>
    <row r="268" spans="17:100">
      <c r="Q268" t="s">
        <v>476</v>
      </c>
      <c r="R268" t="s">
        <v>489</v>
      </c>
      <c r="S268" t="s">
        <v>466</v>
      </c>
      <c r="T268">
        <f ca="1">OFFSET('Calculations 2'!$C$45,W268,X268)*OFFSET($M$6,W268,0)</f>
        <v>0.36390919804457528</v>
      </c>
      <c r="V268">
        <f t="shared" si="14"/>
        <v>262</v>
      </c>
      <c r="W268">
        <f t="shared" si="15"/>
        <v>31</v>
      </c>
      <c r="X268">
        <f t="shared" si="16"/>
        <v>7</v>
      </c>
      <c r="AC268" t="s">
        <v>476</v>
      </c>
      <c r="AD268" t="s">
        <v>489</v>
      </c>
      <c r="AE268" t="s">
        <v>466</v>
      </c>
      <c r="AF268">
        <f ca="1">OFFSET('Calculations 2'!$CE$45,W268,0)*OFFSET($AA$6,X268,0)*OFFSET($M$6,W268,)</f>
        <v>0</v>
      </c>
      <c r="AY268" t="s">
        <v>476</v>
      </c>
      <c r="AZ268" t="s">
        <v>489</v>
      </c>
      <c r="BA268" t="s">
        <v>466</v>
      </c>
      <c r="BB268">
        <v>0</v>
      </c>
      <c r="BE268" t="s">
        <v>476</v>
      </c>
      <c r="BF268" t="s">
        <v>489</v>
      </c>
      <c r="BG268" t="s">
        <v>466</v>
      </c>
      <c r="BH268">
        <v>0</v>
      </c>
      <c r="CT268" t="s">
        <v>476</v>
      </c>
      <c r="CU268" t="s">
        <v>466</v>
      </c>
      <c r="CV268">
        <f ca="1">OFFSET('Calculations 2'!$AJ$12,W268,X268)</f>
        <v>0</v>
      </c>
    </row>
    <row r="269" spans="17:100">
      <c r="Q269" t="s">
        <v>222</v>
      </c>
      <c r="R269" t="s">
        <v>489</v>
      </c>
      <c r="S269" t="s">
        <v>466</v>
      </c>
      <c r="T269">
        <f ca="1">OFFSET('Calculations 2'!$C$45,W269,X269)*OFFSET($M$6,W269,0)</f>
        <v>0</v>
      </c>
      <c r="V269">
        <f t="shared" si="14"/>
        <v>263</v>
      </c>
      <c r="W269">
        <f t="shared" si="15"/>
        <v>32</v>
      </c>
      <c r="X269">
        <f t="shared" si="16"/>
        <v>7</v>
      </c>
      <c r="AC269" t="s">
        <v>222</v>
      </c>
      <c r="AD269" t="s">
        <v>489</v>
      </c>
      <c r="AE269" t="s">
        <v>466</v>
      </c>
      <c r="AF269">
        <f ca="1">OFFSET('Calculations 2'!$CE$45,W269,0)*OFFSET($AA$6,X269,0)*OFFSET($M$6,W269,)</f>
        <v>0</v>
      </c>
      <c r="AY269" t="s">
        <v>222</v>
      </c>
      <c r="AZ269" t="s">
        <v>489</v>
      </c>
      <c r="BA269" t="s">
        <v>466</v>
      </c>
      <c r="BB269">
        <v>0</v>
      </c>
      <c r="BE269" t="s">
        <v>222</v>
      </c>
      <c r="BF269" t="s">
        <v>489</v>
      </c>
      <c r="BG269" t="s">
        <v>466</v>
      </c>
      <c r="BH269">
        <v>0</v>
      </c>
      <c r="CT269" t="s">
        <v>222</v>
      </c>
      <c r="CU269" t="s">
        <v>466</v>
      </c>
      <c r="CV269">
        <f ca="1">OFFSET('Calculations 2'!$AJ$12,W269,X269)</f>
        <v>0</v>
      </c>
    </row>
    <row r="270" spans="17:100">
      <c r="Q270" t="s">
        <v>217</v>
      </c>
      <c r="R270" t="s">
        <v>489</v>
      </c>
      <c r="S270" t="s">
        <v>219</v>
      </c>
      <c r="T270">
        <f ca="1">OFFSET('Calculations 2'!$C$45,W270,X270)*OFFSET($M$6,W270,0)</f>
        <v>0</v>
      </c>
      <c r="V270">
        <f t="shared" si="14"/>
        <v>264</v>
      </c>
      <c r="W270">
        <f t="shared" si="15"/>
        <v>0</v>
      </c>
      <c r="X270">
        <f t="shared" si="16"/>
        <v>8</v>
      </c>
      <c r="AC270" t="s">
        <v>217</v>
      </c>
      <c r="AD270" t="s">
        <v>489</v>
      </c>
      <c r="AE270" t="s">
        <v>219</v>
      </c>
      <c r="AF270">
        <f ca="1">OFFSET('Calculations 2'!$CE$45,W270,0)*OFFSET($AA$6,X270,0)*OFFSET($M$6,W270,)</f>
        <v>0.22470119373663811</v>
      </c>
      <c r="AY270" t="s">
        <v>217</v>
      </c>
      <c r="AZ270" t="s">
        <v>489</v>
      </c>
      <c r="BA270" t="s">
        <v>219</v>
      </c>
      <c r="BB270">
        <v>0</v>
      </c>
      <c r="BE270" t="s">
        <v>217</v>
      </c>
      <c r="BF270" t="s">
        <v>489</v>
      </c>
      <c r="BG270" t="s">
        <v>219</v>
      </c>
      <c r="BH270">
        <v>0</v>
      </c>
      <c r="CT270" t="s">
        <v>217</v>
      </c>
      <c r="CU270" t="s">
        <v>219</v>
      </c>
      <c r="CV270">
        <f ca="1">OFFSET('Calculations 2'!$AJ$12,W270,X270)</f>
        <v>0</v>
      </c>
    </row>
    <row r="271" spans="17:100">
      <c r="Q271" t="s">
        <v>232</v>
      </c>
      <c r="R271" t="s">
        <v>489</v>
      </c>
      <c r="S271" t="s">
        <v>219</v>
      </c>
      <c r="T271">
        <f ca="1">OFFSET('Calculations 2'!$C$45,W271,X271)*OFFSET($M$6,W271,0)</f>
        <v>1.7069987628474328</v>
      </c>
      <c r="V271">
        <f t="shared" si="14"/>
        <v>265</v>
      </c>
      <c r="W271">
        <f t="shared" si="15"/>
        <v>1</v>
      </c>
      <c r="X271">
        <f t="shared" si="16"/>
        <v>8</v>
      </c>
      <c r="AC271" t="s">
        <v>232</v>
      </c>
      <c r="AD271" t="s">
        <v>489</v>
      </c>
      <c r="AE271" t="s">
        <v>219</v>
      </c>
      <c r="AF271">
        <f ca="1">OFFSET('Calculations 2'!$CE$45,W271,0)*OFFSET($AA$6,X271,0)*OFFSET($M$6,W271,)</f>
        <v>0.39197285644365482</v>
      </c>
      <c r="AY271" t="s">
        <v>232</v>
      </c>
      <c r="AZ271" t="s">
        <v>489</v>
      </c>
      <c r="BA271" t="s">
        <v>219</v>
      </c>
      <c r="BB271">
        <v>0</v>
      </c>
      <c r="BE271" t="s">
        <v>232</v>
      </c>
      <c r="BF271" t="s">
        <v>489</v>
      </c>
      <c r="BG271" t="s">
        <v>219</v>
      </c>
      <c r="BH271">
        <v>0</v>
      </c>
      <c r="CT271" t="s">
        <v>232</v>
      </c>
      <c r="CU271" t="s">
        <v>219</v>
      </c>
      <c r="CV271">
        <f ca="1">OFFSET('Calculations 2'!$AJ$12,W271,X271)</f>
        <v>0</v>
      </c>
    </row>
    <row r="272" spans="17:100">
      <c r="Q272" t="s">
        <v>226</v>
      </c>
      <c r="R272" t="s">
        <v>489</v>
      </c>
      <c r="S272" t="s">
        <v>219</v>
      </c>
      <c r="T272">
        <f ca="1">OFFSET('Calculations 2'!$C$45,W272,X272)*OFFSET($M$6,W272,0)</f>
        <v>16.134010472460822</v>
      </c>
      <c r="V272">
        <f t="shared" si="14"/>
        <v>266</v>
      </c>
      <c r="W272">
        <f t="shared" si="15"/>
        <v>2</v>
      </c>
      <c r="X272">
        <f t="shared" si="16"/>
        <v>8</v>
      </c>
      <c r="AC272" t="s">
        <v>226</v>
      </c>
      <c r="AD272" t="s">
        <v>489</v>
      </c>
      <c r="AE272" t="s">
        <v>219</v>
      </c>
      <c r="AF272">
        <f ca="1">OFFSET('Calculations 2'!$CE$45,W272,0)*OFFSET($AA$6,X272,0)*OFFSET($M$6,W272,)</f>
        <v>0.65999975356443952</v>
      </c>
      <c r="AY272" t="s">
        <v>226</v>
      </c>
      <c r="AZ272" t="s">
        <v>489</v>
      </c>
      <c r="BA272" t="s">
        <v>219</v>
      </c>
      <c r="BB272">
        <v>0</v>
      </c>
      <c r="BE272" t="s">
        <v>226</v>
      </c>
      <c r="BF272" t="s">
        <v>489</v>
      </c>
      <c r="BG272" t="s">
        <v>219</v>
      </c>
      <c r="BH272">
        <v>0</v>
      </c>
      <c r="CT272" t="s">
        <v>226</v>
      </c>
      <c r="CU272" t="s">
        <v>219</v>
      </c>
      <c r="CV272">
        <f ca="1">OFFSET('Calculations 2'!$AJ$12,W272,X272)</f>
        <v>0</v>
      </c>
    </row>
    <row r="273" spans="17:100">
      <c r="Q273" t="s">
        <v>243</v>
      </c>
      <c r="R273" t="s">
        <v>489</v>
      </c>
      <c r="S273" t="s">
        <v>219</v>
      </c>
      <c r="T273">
        <f ca="1">OFFSET('Calculations 2'!$C$45,W273,X273)*OFFSET($M$6,W273,0)</f>
        <v>0.5046553685080285</v>
      </c>
      <c r="V273">
        <f t="shared" si="14"/>
        <v>267</v>
      </c>
      <c r="W273">
        <f t="shared" si="15"/>
        <v>3</v>
      </c>
      <c r="X273">
        <f t="shared" si="16"/>
        <v>8</v>
      </c>
      <c r="AC273" t="s">
        <v>243</v>
      </c>
      <c r="AD273" t="s">
        <v>489</v>
      </c>
      <c r="AE273" t="s">
        <v>219</v>
      </c>
      <c r="AF273">
        <f ca="1">OFFSET('Calculations 2'!$CE$45,W273,0)*OFFSET($AA$6,X273,0)*OFFSET($M$6,W273,)</f>
        <v>3.437843092978413</v>
      </c>
      <c r="AY273" t="s">
        <v>243</v>
      </c>
      <c r="AZ273" t="s">
        <v>489</v>
      </c>
      <c r="BA273" t="s">
        <v>219</v>
      </c>
      <c r="BB273">
        <v>0</v>
      </c>
      <c r="BE273" t="s">
        <v>243</v>
      </c>
      <c r="BF273" t="s">
        <v>489</v>
      </c>
      <c r="BG273" t="s">
        <v>219</v>
      </c>
      <c r="BH273">
        <v>0</v>
      </c>
      <c r="CT273" t="s">
        <v>243</v>
      </c>
      <c r="CU273" t="s">
        <v>219</v>
      </c>
      <c r="CV273">
        <f ca="1">OFFSET('Calculations 2'!$AJ$12,W273,X273)</f>
        <v>0</v>
      </c>
    </row>
    <row r="274" spans="17:100">
      <c r="Q274" t="s">
        <v>228</v>
      </c>
      <c r="R274" t="s">
        <v>489</v>
      </c>
      <c r="S274" t="s">
        <v>219</v>
      </c>
      <c r="T274">
        <f ca="1">OFFSET('Calculations 2'!$C$45,W274,X274)*OFFSET($M$6,W274,0)</f>
        <v>0</v>
      </c>
      <c r="V274">
        <f t="shared" si="14"/>
        <v>268</v>
      </c>
      <c r="W274">
        <f t="shared" si="15"/>
        <v>4</v>
      </c>
      <c r="X274">
        <f t="shared" si="16"/>
        <v>8</v>
      </c>
      <c r="AC274" t="s">
        <v>228</v>
      </c>
      <c r="AD274" t="s">
        <v>489</v>
      </c>
      <c r="AE274" t="s">
        <v>219</v>
      </c>
      <c r="AF274">
        <f ca="1">OFFSET('Calculations 2'!$CE$45,W274,0)*OFFSET($AA$6,X274,0)*OFFSET($M$6,W274,)</f>
        <v>2.4393984780807593E-2</v>
      </c>
      <c r="AY274" t="s">
        <v>228</v>
      </c>
      <c r="AZ274" t="s">
        <v>489</v>
      </c>
      <c r="BA274" t="s">
        <v>219</v>
      </c>
      <c r="BB274">
        <v>0</v>
      </c>
      <c r="BE274" t="s">
        <v>228</v>
      </c>
      <c r="BF274" t="s">
        <v>489</v>
      </c>
      <c r="BG274" t="s">
        <v>219</v>
      </c>
      <c r="BH274">
        <v>0</v>
      </c>
      <c r="CT274" t="s">
        <v>228</v>
      </c>
      <c r="CU274" t="s">
        <v>219</v>
      </c>
      <c r="CV274">
        <f ca="1">OFFSET('Calculations 2'!$AJ$12,W274,X274)</f>
        <v>0</v>
      </c>
    </row>
    <row r="275" spans="17:100">
      <c r="Q275" t="s">
        <v>246</v>
      </c>
      <c r="R275" t="s">
        <v>489</v>
      </c>
      <c r="S275" t="s">
        <v>219</v>
      </c>
      <c r="T275">
        <f ca="1">OFFSET('Calculations 2'!$C$45,W275,X275)*OFFSET($M$6,W275,0)</f>
        <v>0</v>
      </c>
      <c r="V275">
        <f t="shared" si="14"/>
        <v>269</v>
      </c>
      <c r="W275">
        <f t="shared" si="15"/>
        <v>5</v>
      </c>
      <c r="X275">
        <f t="shared" si="16"/>
        <v>8</v>
      </c>
      <c r="AC275" t="s">
        <v>246</v>
      </c>
      <c r="AD275" t="s">
        <v>489</v>
      </c>
      <c r="AE275" t="s">
        <v>219</v>
      </c>
      <c r="AF275">
        <f ca="1">OFFSET('Calculations 2'!$CE$45,W275,0)*OFFSET($AA$6,X275,0)*OFFSET($M$6,W275,)</f>
        <v>0.15016905678538617</v>
      </c>
      <c r="AY275" t="s">
        <v>246</v>
      </c>
      <c r="AZ275" t="s">
        <v>489</v>
      </c>
      <c r="BA275" t="s">
        <v>219</v>
      </c>
      <c r="BB275">
        <v>0</v>
      </c>
      <c r="BE275" t="s">
        <v>246</v>
      </c>
      <c r="BF275" t="s">
        <v>489</v>
      </c>
      <c r="BG275" t="s">
        <v>219</v>
      </c>
      <c r="BH275">
        <v>0</v>
      </c>
      <c r="CT275" t="s">
        <v>246</v>
      </c>
      <c r="CU275" t="s">
        <v>219</v>
      </c>
      <c r="CV275">
        <f ca="1">OFFSET('Calculations 2'!$AJ$12,W275,X275)</f>
        <v>0</v>
      </c>
    </row>
    <row r="276" spans="17:100">
      <c r="Q276" t="s">
        <v>239</v>
      </c>
      <c r="R276" t="s">
        <v>489</v>
      </c>
      <c r="S276" t="s">
        <v>219</v>
      </c>
      <c r="T276">
        <f ca="1">OFFSET('Calculations 2'!$C$45,W276,X276)*OFFSET($M$6,W276,0)</f>
        <v>16.423800391936087</v>
      </c>
      <c r="V276">
        <f t="shared" si="14"/>
        <v>270</v>
      </c>
      <c r="W276">
        <f t="shared" si="15"/>
        <v>6</v>
      </c>
      <c r="X276">
        <f t="shared" si="16"/>
        <v>8</v>
      </c>
      <c r="AC276" t="s">
        <v>239</v>
      </c>
      <c r="AD276" t="s">
        <v>489</v>
      </c>
      <c r="AE276" t="s">
        <v>219</v>
      </c>
      <c r="AF276">
        <f ca="1">OFFSET('Calculations 2'!$CE$45,W276,0)*OFFSET($AA$6,X276,0)*OFFSET($M$6,W276,)</f>
        <v>3.005726949779147</v>
      </c>
      <c r="AY276" t="s">
        <v>239</v>
      </c>
      <c r="AZ276" t="s">
        <v>489</v>
      </c>
      <c r="BA276" t="s">
        <v>219</v>
      </c>
      <c r="BB276">
        <v>0</v>
      </c>
      <c r="BE276" t="s">
        <v>239</v>
      </c>
      <c r="BF276" t="s">
        <v>489</v>
      </c>
      <c r="BG276" t="s">
        <v>219</v>
      </c>
      <c r="BH276">
        <v>0</v>
      </c>
      <c r="CT276" t="s">
        <v>239</v>
      </c>
      <c r="CU276" t="s">
        <v>219</v>
      </c>
      <c r="CV276">
        <f ca="1">OFFSET('Calculations 2'!$AJ$12,W276,X276)</f>
        <v>0</v>
      </c>
    </row>
    <row r="277" spans="17:100">
      <c r="Q277" t="s">
        <v>466</v>
      </c>
      <c r="R277" t="s">
        <v>489</v>
      </c>
      <c r="S277" t="s">
        <v>219</v>
      </c>
      <c r="T277">
        <f ca="1">OFFSET('Calculations 2'!$C$45,W277,X277)*OFFSET($M$6,W277,0)</f>
        <v>50.54150007340818</v>
      </c>
      <c r="V277">
        <f t="shared" si="14"/>
        <v>271</v>
      </c>
      <c r="W277">
        <f t="shared" si="15"/>
        <v>7</v>
      </c>
      <c r="X277">
        <f t="shared" si="16"/>
        <v>8</v>
      </c>
      <c r="AC277" t="s">
        <v>466</v>
      </c>
      <c r="AD277" t="s">
        <v>489</v>
      </c>
      <c r="AE277" t="s">
        <v>219</v>
      </c>
      <c r="AF277">
        <f ca="1">OFFSET('Calculations 2'!$CE$45,W277,0)*OFFSET($AA$6,X277,0)*OFFSET($M$6,W277,)</f>
        <v>0.45801461909205216</v>
      </c>
      <c r="AY277" t="s">
        <v>466</v>
      </c>
      <c r="AZ277" t="s">
        <v>489</v>
      </c>
      <c r="BA277" t="s">
        <v>219</v>
      </c>
      <c r="BB277">
        <v>0</v>
      </c>
      <c r="BE277" t="s">
        <v>466</v>
      </c>
      <c r="BF277" t="s">
        <v>489</v>
      </c>
      <c r="BG277" t="s">
        <v>219</v>
      </c>
      <c r="BH277">
        <v>0</v>
      </c>
      <c r="CT277" t="s">
        <v>466</v>
      </c>
      <c r="CU277" t="s">
        <v>219</v>
      </c>
      <c r="CV277">
        <f ca="1">OFFSET('Calculations 2'!$AJ$12,W277,X277)</f>
        <v>0</v>
      </c>
    </row>
    <row r="278" spans="17:100">
      <c r="Q278" t="s">
        <v>219</v>
      </c>
      <c r="R278" t="s">
        <v>489</v>
      </c>
      <c r="S278" t="s">
        <v>219</v>
      </c>
      <c r="T278">
        <f ca="1">OFFSET('Calculations 2'!$C$45,W278,X278)*OFFSET($M$6,W278,0)</f>
        <v>1044.8336112302179</v>
      </c>
      <c r="V278">
        <f t="shared" si="14"/>
        <v>272</v>
      </c>
      <c r="W278">
        <f t="shared" si="15"/>
        <v>8</v>
      </c>
      <c r="X278">
        <f t="shared" si="16"/>
        <v>8</v>
      </c>
      <c r="AC278" t="s">
        <v>219</v>
      </c>
      <c r="AD278" t="s">
        <v>489</v>
      </c>
      <c r="AE278" t="s">
        <v>219</v>
      </c>
      <c r="AF278">
        <f ca="1">OFFSET('Calculations 2'!$CE$45,W278,0)*OFFSET($AA$6,X278,0)*OFFSET($M$6,W278,)</f>
        <v>2.8521506260079401</v>
      </c>
      <c r="AY278" t="s">
        <v>219</v>
      </c>
      <c r="AZ278" t="s">
        <v>489</v>
      </c>
      <c r="BA278" t="s">
        <v>219</v>
      </c>
      <c r="BB278">
        <v>0</v>
      </c>
      <c r="BE278" t="s">
        <v>219</v>
      </c>
      <c r="BF278" t="s">
        <v>489</v>
      </c>
      <c r="BG278" t="s">
        <v>219</v>
      </c>
      <c r="BH278">
        <v>0</v>
      </c>
      <c r="CT278" t="s">
        <v>219</v>
      </c>
      <c r="CU278" t="s">
        <v>219</v>
      </c>
      <c r="CV278">
        <f ca="1">OFFSET('Calculations 2'!$AJ$12,W278,X278)</f>
        <v>13147.265999999998</v>
      </c>
    </row>
    <row r="279" spans="17:100">
      <c r="Q279" t="s">
        <v>242</v>
      </c>
      <c r="R279" t="s">
        <v>489</v>
      </c>
      <c r="S279" t="s">
        <v>219</v>
      </c>
      <c r="T279">
        <f ca="1">OFFSET('Calculations 2'!$C$45,W279,X279)*OFFSET($M$6,W279,0)</f>
        <v>199.56734628641698</v>
      </c>
      <c r="V279">
        <f t="shared" si="14"/>
        <v>273</v>
      </c>
      <c r="W279">
        <f t="shared" si="15"/>
        <v>9</v>
      </c>
      <c r="X279">
        <f t="shared" si="16"/>
        <v>8</v>
      </c>
      <c r="AC279" t="s">
        <v>242</v>
      </c>
      <c r="AD279" t="s">
        <v>489</v>
      </c>
      <c r="AE279" t="s">
        <v>219</v>
      </c>
      <c r="AF279">
        <f ca="1">OFFSET('Calculations 2'!$CE$45,W279,0)*OFFSET($AA$6,X279,0)*OFFSET($M$6,W279,)</f>
        <v>4.4647667739063648</v>
      </c>
      <c r="AY279" t="s">
        <v>242</v>
      </c>
      <c r="AZ279" t="s">
        <v>489</v>
      </c>
      <c r="BA279" t="s">
        <v>219</v>
      </c>
      <c r="BB279">
        <v>0</v>
      </c>
      <c r="BE279" t="s">
        <v>242</v>
      </c>
      <c r="BF279" t="s">
        <v>489</v>
      </c>
      <c r="BG279" t="s">
        <v>219</v>
      </c>
      <c r="BH279">
        <v>0</v>
      </c>
      <c r="CT279" t="s">
        <v>242</v>
      </c>
      <c r="CU279" t="s">
        <v>219</v>
      </c>
      <c r="CV279">
        <f ca="1">OFFSET('Calculations 2'!$AJ$12,W279,X279)</f>
        <v>0</v>
      </c>
    </row>
    <row r="280" spans="17:100">
      <c r="Q280" t="s">
        <v>467</v>
      </c>
      <c r="R280" t="s">
        <v>489</v>
      </c>
      <c r="S280" t="s">
        <v>219</v>
      </c>
      <c r="T280">
        <f ca="1">OFFSET('Calculations 2'!$C$45,W280,X280)*OFFSET($M$6,W280,0)</f>
        <v>128.43425872485579</v>
      </c>
      <c r="V280">
        <f t="shared" si="14"/>
        <v>274</v>
      </c>
      <c r="W280">
        <f t="shared" si="15"/>
        <v>10</v>
      </c>
      <c r="X280">
        <f t="shared" si="16"/>
        <v>8</v>
      </c>
      <c r="AC280" t="s">
        <v>467</v>
      </c>
      <c r="AD280" t="s">
        <v>489</v>
      </c>
      <c r="AE280" t="s">
        <v>219</v>
      </c>
      <c r="AF280">
        <f ca="1">OFFSET('Calculations 2'!$CE$45,W280,0)*OFFSET($AA$6,X280,0)*OFFSET($M$6,W280,)</f>
        <v>4.1360514570748359</v>
      </c>
      <c r="AY280" t="s">
        <v>467</v>
      </c>
      <c r="AZ280" t="s">
        <v>489</v>
      </c>
      <c r="BA280" t="s">
        <v>219</v>
      </c>
      <c r="BB280">
        <v>0</v>
      </c>
      <c r="BE280" t="s">
        <v>467</v>
      </c>
      <c r="BF280" t="s">
        <v>489</v>
      </c>
      <c r="BG280" t="s">
        <v>219</v>
      </c>
      <c r="BH280">
        <v>0</v>
      </c>
      <c r="CT280" t="s">
        <v>467</v>
      </c>
      <c r="CU280" t="s">
        <v>219</v>
      </c>
      <c r="CV280">
        <f ca="1">OFFSET('Calculations 2'!$AJ$12,W280,X280)</f>
        <v>0</v>
      </c>
    </row>
    <row r="281" spans="17:100">
      <c r="Q281" t="s">
        <v>231</v>
      </c>
      <c r="R281" t="s">
        <v>489</v>
      </c>
      <c r="S281" t="s">
        <v>219</v>
      </c>
      <c r="T281">
        <f ca="1">OFFSET('Calculations 2'!$C$45,W281,X281)*OFFSET($M$6,W281,0)</f>
        <v>0.41783803984392515</v>
      </c>
      <c r="V281">
        <f t="shared" si="14"/>
        <v>275</v>
      </c>
      <c r="W281">
        <f t="shared" si="15"/>
        <v>11</v>
      </c>
      <c r="X281">
        <f t="shared" si="16"/>
        <v>8</v>
      </c>
      <c r="AC281" t="s">
        <v>231</v>
      </c>
      <c r="AD281" t="s">
        <v>489</v>
      </c>
      <c r="AE281" t="s">
        <v>219</v>
      </c>
      <c r="AF281">
        <f ca="1">OFFSET('Calculations 2'!$CE$45,W281,0)*OFFSET($AA$6,X281,0)*OFFSET($M$6,W281,)</f>
        <v>12.097235417005345</v>
      </c>
      <c r="AY281" t="s">
        <v>231</v>
      </c>
      <c r="AZ281" t="s">
        <v>489</v>
      </c>
      <c r="BA281" t="s">
        <v>219</v>
      </c>
      <c r="BB281">
        <v>0</v>
      </c>
      <c r="BE281" t="s">
        <v>231</v>
      </c>
      <c r="BF281" t="s">
        <v>489</v>
      </c>
      <c r="BG281" t="s">
        <v>219</v>
      </c>
      <c r="BH281">
        <v>0</v>
      </c>
      <c r="CT281" t="s">
        <v>231</v>
      </c>
      <c r="CU281" t="s">
        <v>219</v>
      </c>
      <c r="CV281">
        <f ca="1">OFFSET('Calculations 2'!$AJ$12,W281,X281)</f>
        <v>0</v>
      </c>
    </row>
    <row r="282" spans="17:100">
      <c r="Q282" t="s">
        <v>468</v>
      </c>
      <c r="R282" t="s">
        <v>489</v>
      </c>
      <c r="S282" t="s">
        <v>219</v>
      </c>
      <c r="T282">
        <f ca="1">OFFSET('Calculations 2'!$C$45,W282,X282)*OFFSET($M$6,W282,0)</f>
        <v>3.6788912248950005</v>
      </c>
      <c r="V282">
        <f t="shared" si="14"/>
        <v>276</v>
      </c>
      <c r="W282">
        <f t="shared" si="15"/>
        <v>12</v>
      </c>
      <c r="X282">
        <f t="shared" si="16"/>
        <v>8</v>
      </c>
      <c r="AC282" t="s">
        <v>468</v>
      </c>
      <c r="AD282" t="s">
        <v>489</v>
      </c>
      <c r="AE282" t="s">
        <v>219</v>
      </c>
      <c r="AF282">
        <f ca="1">OFFSET('Calculations 2'!$CE$45,W282,0)*OFFSET($AA$6,X282,0)*OFFSET($M$6,W282,)</f>
        <v>17.509794739838554</v>
      </c>
      <c r="AY282" t="s">
        <v>468</v>
      </c>
      <c r="AZ282" t="s">
        <v>489</v>
      </c>
      <c r="BA282" t="s">
        <v>219</v>
      </c>
      <c r="BB282">
        <v>0</v>
      </c>
      <c r="BE282" t="s">
        <v>468</v>
      </c>
      <c r="BF282" t="s">
        <v>489</v>
      </c>
      <c r="BG282" t="s">
        <v>219</v>
      </c>
      <c r="BH282">
        <v>0</v>
      </c>
      <c r="CT282" t="s">
        <v>468</v>
      </c>
      <c r="CU282" t="s">
        <v>219</v>
      </c>
      <c r="CV282">
        <f ca="1">OFFSET('Calculations 2'!$AJ$12,W282,X282)</f>
        <v>0</v>
      </c>
    </row>
    <row r="283" spans="17:100">
      <c r="Q283" t="s">
        <v>469</v>
      </c>
      <c r="R283" t="s">
        <v>489</v>
      </c>
      <c r="S283" t="s">
        <v>219</v>
      </c>
      <c r="T283">
        <f ca="1">OFFSET('Calculations 2'!$C$45,W283,X283)*OFFSET($M$6,W283,0)</f>
        <v>7.332186930871577E-3</v>
      </c>
      <c r="V283">
        <f t="shared" si="14"/>
        <v>277</v>
      </c>
      <c r="W283">
        <f t="shared" si="15"/>
        <v>13</v>
      </c>
      <c r="X283">
        <f t="shared" si="16"/>
        <v>8</v>
      </c>
      <c r="AC283" t="s">
        <v>469</v>
      </c>
      <c r="AD283" t="s">
        <v>489</v>
      </c>
      <c r="AE283" t="s">
        <v>219</v>
      </c>
      <c r="AF283">
        <f ca="1">OFFSET('Calculations 2'!$CE$45,W283,0)*OFFSET($AA$6,X283,0)*OFFSET($M$6,W283,)</f>
        <v>3.6424172174169849</v>
      </c>
      <c r="AY283" t="s">
        <v>469</v>
      </c>
      <c r="AZ283" t="s">
        <v>489</v>
      </c>
      <c r="BA283" t="s">
        <v>219</v>
      </c>
      <c r="BB283">
        <v>0</v>
      </c>
      <c r="BE283" t="s">
        <v>469</v>
      </c>
      <c r="BF283" t="s">
        <v>489</v>
      </c>
      <c r="BG283" t="s">
        <v>219</v>
      </c>
      <c r="BH283">
        <v>0</v>
      </c>
      <c r="CT283" t="s">
        <v>469</v>
      </c>
      <c r="CU283" t="s">
        <v>219</v>
      </c>
      <c r="CV283">
        <f ca="1">OFFSET('Calculations 2'!$AJ$12,W283,X283)</f>
        <v>0</v>
      </c>
    </row>
    <row r="284" spans="17:100">
      <c r="Q284" t="s">
        <v>245</v>
      </c>
      <c r="R284" t="s">
        <v>489</v>
      </c>
      <c r="S284" t="s">
        <v>219</v>
      </c>
      <c r="T284">
        <f ca="1">OFFSET('Calculations 2'!$C$45,W284,X284)*OFFSET($M$6,W284,0)</f>
        <v>2.2267600980573459</v>
      </c>
      <c r="V284">
        <f t="shared" si="14"/>
        <v>278</v>
      </c>
      <c r="W284">
        <f t="shared" si="15"/>
        <v>14</v>
      </c>
      <c r="X284">
        <f t="shared" si="16"/>
        <v>8</v>
      </c>
      <c r="AC284" t="s">
        <v>245</v>
      </c>
      <c r="AD284" t="s">
        <v>489</v>
      </c>
      <c r="AE284" t="s">
        <v>219</v>
      </c>
      <c r="AF284">
        <f ca="1">OFFSET('Calculations 2'!$CE$45,W284,0)*OFFSET($AA$6,X284,0)*OFFSET($M$6,W284,)</f>
        <v>5.2615006759256859</v>
      </c>
      <c r="AY284" t="s">
        <v>245</v>
      </c>
      <c r="AZ284" t="s">
        <v>489</v>
      </c>
      <c r="BA284" t="s">
        <v>219</v>
      </c>
      <c r="BB284">
        <v>0</v>
      </c>
      <c r="BE284" t="s">
        <v>245</v>
      </c>
      <c r="BF284" t="s">
        <v>489</v>
      </c>
      <c r="BG284" t="s">
        <v>219</v>
      </c>
      <c r="BH284">
        <v>0</v>
      </c>
      <c r="CT284" t="s">
        <v>245</v>
      </c>
      <c r="CU284" t="s">
        <v>219</v>
      </c>
      <c r="CV284">
        <f ca="1">OFFSET('Calculations 2'!$AJ$12,W284,X284)</f>
        <v>0</v>
      </c>
    </row>
    <row r="285" spans="17:100">
      <c r="Q285" t="s">
        <v>470</v>
      </c>
      <c r="R285" t="s">
        <v>489</v>
      </c>
      <c r="S285" t="s">
        <v>219</v>
      </c>
      <c r="T285">
        <f ca="1">OFFSET('Calculations 2'!$C$45,W285,X285)*OFFSET($M$6,W285,0)</f>
        <v>12.04211072559135</v>
      </c>
      <c r="V285">
        <f t="shared" si="14"/>
        <v>279</v>
      </c>
      <c r="W285">
        <f t="shared" si="15"/>
        <v>15</v>
      </c>
      <c r="X285">
        <f t="shared" si="16"/>
        <v>8</v>
      </c>
      <c r="AC285" t="s">
        <v>470</v>
      </c>
      <c r="AD285" t="s">
        <v>489</v>
      </c>
      <c r="AE285" t="s">
        <v>219</v>
      </c>
      <c r="AF285">
        <f ca="1">OFFSET('Calculations 2'!$CE$45,W285,0)*OFFSET($AA$6,X285,0)*OFFSET($M$6,W285,)</f>
        <v>14.326725275382135</v>
      </c>
      <c r="AY285" t="s">
        <v>470</v>
      </c>
      <c r="AZ285" t="s">
        <v>489</v>
      </c>
      <c r="BA285" t="s">
        <v>219</v>
      </c>
      <c r="BB285">
        <v>0</v>
      </c>
      <c r="BE285" t="s">
        <v>470</v>
      </c>
      <c r="BF285" t="s">
        <v>489</v>
      </c>
      <c r="BG285" t="s">
        <v>219</v>
      </c>
      <c r="BH285">
        <v>0</v>
      </c>
      <c r="CT285" t="s">
        <v>470</v>
      </c>
      <c r="CU285" t="s">
        <v>219</v>
      </c>
      <c r="CV285">
        <f ca="1">OFFSET('Calculations 2'!$AJ$12,W285,X285)</f>
        <v>0</v>
      </c>
    </row>
    <row r="286" spans="17:100">
      <c r="Q286" t="s">
        <v>471</v>
      </c>
      <c r="R286" t="s">
        <v>489</v>
      </c>
      <c r="S286" t="s">
        <v>219</v>
      </c>
      <c r="T286">
        <f ca="1">OFFSET('Calculations 2'!$C$45,W286,X286)*OFFSET($M$6,W286,0)</f>
        <v>146.83498709363462</v>
      </c>
      <c r="V286">
        <f t="shared" si="14"/>
        <v>280</v>
      </c>
      <c r="W286">
        <f t="shared" si="15"/>
        <v>16</v>
      </c>
      <c r="X286">
        <f t="shared" si="16"/>
        <v>8</v>
      </c>
      <c r="AC286" t="s">
        <v>471</v>
      </c>
      <c r="AD286" t="s">
        <v>489</v>
      </c>
      <c r="AE286" t="s">
        <v>219</v>
      </c>
      <c r="AF286">
        <f ca="1">OFFSET('Calculations 2'!$CE$45,W286,0)*OFFSET($AA$6,X286,0)*OFFSET($M$6,W286,)</f>
        <v>0</v>
      </c>
      <c r="AY286" t="s">
        <v>471</v>
      </c>
      <c r="AZ286" t="s">
        <v>489</v>
      </c>
      <c r="BA286" t="s">
        <v>219</v>
      </c>
      <c r="BB286">
        <v>0</v>
      </c>
      <c r="BE286" t="s">
        <v>471</v>
      </c>
      <c r="BF286" t="s">
        <v>489</v>
      </c>
      <c r="BG286" t="s">
        <v>219</v>
      </c>
      <c r="BH286">
        <v>0</v>
      </c>
      <c r="CT286" t="s">
        <v>471</v>
      </c>
      <c r="CU286" t="s">
        <v>219</v>
      </c>
      <c r="CV286">
        <f ca="1">OFFSET('Calculations 2'!$AJ$12,W286,X286)</f>
        <v>0</v>
      </c>
    </row>
    <row r="287" spans="17:100">
      <c r="Q287" t="s">
        <v>221</v>
      </c>
      <c r="R287" t="s">
        <v>489</v>
      </c>
      <c r="S287" t="s">
        <v>219</v>
      </c>
      <c r="T287">
        <f ca="1">OFFSET('Calculations 2'!$C$45,W287,X287)*OFFSET($M$6,W287,0)</f>
        <v>14.546218281887088</v>
      </c>
      <c r="V287">
        <f t="shared" si="14"/>
        <v>281</v>
      </c>
      <c r="W287">
        <f t="shared" si="15"/>
        <v>17</v>
      </c>
      <c r="X287">
        <f t="shared" si="16"/>
        <v>8</v>
      </c>
      <c r="AC287" t="s">
        <v>221</v>
      </c>
      <c r="AD287" t="s">
        <v>489</v>
      </c>
      <c r="AE287" t="s">
        <v>219</v>
      </c>
      <c r="AF287">
        <f ca="1">OFFSET('Calculations 2'!$CE$45,W287,0)*OFFSET($AA$6,X287,0)*OFFSET($M$6,W287,)</f>
        <v>475.91147063231665</v>
      </c>
      <c r="AY287" t="s">
        <v>221</v>
      </c>
      <c r="AZ287" t="s">
        <v>489</v>
      </c>
      <c r="BA287" t="s">
        <v>219</v>
      </c>
      <c r="BB287">
        <v>0</v>
      </c>
      <c r="BE287" t="s">
        <v>221</v>
      </c>
      <c r="BF287" t="s">
        <v>489</v>
      </c>
      <c r="BG287" t="s">
        <v>219</v>
      </c>
      <c r="BH287">
        <v>0</v>
      </c>
      <c r="CT287" t="s">
        <v>221</v>
      </c>
      <c r="CU287" t="s">
        <v>219</v>
      </c>
      <c r="CV287">
        <f ca="1">OFFSET('Calculations 2'!$AJ$12,W287,X287)</f>
        <v>0</v>
      </c>
    </row>
    <row r="288" spans="17:100">
      <c r="Q288" t="s">
        <v>244</v>
      </c>
      <c r="R288" t="s">
        <v>489</v>
      </c>
      <c r="S288" t="s">
        <v>219</v>
      </c>
      <c r="T288">
        <f ca="1">OFFSET('Calculations 2'!$C$45,W288,X288)*OFFSET($M$6,W288,0)</f>
        <v>1058.8715395160298</v>
      </c>
      <c r="V288">
        <f t="shared" si="14"/>
        <v>282</v>
      </c>
      <c r="W288">
        <f t="shared" si="15"/>
        <v>18</v>
      </c>
      <c r="X288">
        <f t="shared" si="16"/>
        <v>8</v>
      </c>
      <c r="AC288" t="s">
        <v>244</v>
      </c>
      <c r="AD288" t="s">
        <v>489</v>
      </c>
      <c r="AE288" t="s">
        <v>219</v>
      </c>
      <c r="AF288">
        <f ca="1">OFFSET('Calculations 2'!$CE$45,W288,0)*OFFSET($AA$6,X288,0)*OFFSET($M$6,W288,)</f>
        <v>76.095070949823338</v>
      </c>
      <c r="AY288" t="s">
        <v>244</v>
      </c>
      <c r="AZ288" t="s">
        <v>489</v>
      </c>
      <c r="BA288" t="s">
        <v>219</v>
      </c>
      <c r="BB288">
        <v>0</v>
      </c>
      <c r="BE288" t="s">
        <v>244</v>
      </c>
      <c r="BF288" t="s">
        <v>489</v>
      </c>
      <c r="BG288" t="s">
        <v>219</v>
      </c>
      <c r="BH288">
        <v>0</v>
      </c>
      <c r="CT288" t="s">
        <v>244</v>
      </c>
      <c r="CU288" t="s">
        <v>219</v>
      </c>
      <c r="CV288">
        <f ca="1">OFFSET('Calculations 2'!$AJ$12,W288,X288)</f>
        <v>0</v>
      </c>
    </row>
    <row r="289" spans="17:100">
      <c r="Q289" t="s">
        <v>472</v>
      </c>
      <c r="R289" t="s">
        <v>489</v>
      </c>
      <c r="S289" t="s">
        <v>219</v>
      </c>
      <c r="T289">
        <f ca="1">OFFSET('Calculations 2'!$C$45,W289,X289)*OFFSET($M$6,W289,0)</f>
        <v>0</v>
      </c>
      <c r="V289">
        <f t="shared" si="14"/>
        <v>283</v>
      </c>
      <c r="W289">
        <f t="shared" si="15"/>
        <v>19</v>
      </c>
      <c r="X289">
        <f t="shared" si="16"/>
        <v>8</v>
      </c>
      <c r="AC289" t="s">
        <v>472</v>
      </c>
      <c r="AD289" t="s">
        <v>489</v>
      </c>
      <c r="AE289" t="s">
        <v>219</v>
      </c>
      <c r="AF289">
        <f ca="1">OFFSET('Calculations 2'!$CE$45,W289,0)*OFFSET($AA$6,X289,0)*OFFSET($M$6,W289,)</f>
        <v>0</v>
      </c>
      <c r="AY289" t="s">
        <v>472</v>
      </c>
      <c r="AZ289" t="s">
        <v>489</v>
      </c>
      <c r="BA289" t="s">
        <v>219</v>
      </c>
      <c r="BB289">
        <v>0</v>
      </c>
      <c r="BE289" t="s">
        <v>472</v>
      </c>
      <c r="BF289" t="s">
        <v>489</v>
      </c>
      <c r="BG289" t="s">
        <v>219</v>
      </c>
      <c r="BH289">
        <v>0</v>
      </c>
      <c r="CT289" t="s">
        <v>472</v>
      </c>
      <c r="CU289" t="s">
        <v>219</v>
      </c>
      <c r="CV289">
        <f ca="1">OFFSET('Calculations 2'!$AJ$12,W289,X289)</f>
        <v>0</v>
      </c>
    </row>
    <row r="290" spans="17:100">
      <c r="Q290" t="s">
        <v>238</v>
      </c>
      <c r="R290" t="s">
        <v>489</v>
      </c>
      <c r="S290" t="s">
        <v>219</v>
      </c>
      <c r="T290">
        <f ca="1">OFFSET('Calculations 2'!$C$45,W290,X290)*OFFSET($M$6,W290,0)</f>
        <v>17.972220763276219</v>
      </c>
      <c r="V290">
        <f t="shared" si="14"/>
        <v>284</v>
      </c>
      <c r="W290">
        <f t="shared" si="15"/>
        <v>20</v>
      </c>
      <c r="X290">
        <f t="shared" si="16"/>
        <v>8</v>
      </c>
      <c r="AC290" t="s">
        <v>238</v>
      </c>
      <c r="AD290" t="s">
        <v>489</v>
      </c>
      <c r="AE290" t="s">
        <v>219</v>
      </c>
      <c r="AF290">
        <f ca="1">OFFSET('Calculations 2'!$CE$45,W290,0)*OFFSET($AA$6,X290,0)*OFFSET($M$6,W290,)</f>
        <v>0</v>
      </c>
      <c r="AY290" t="s">
        <v>238</v>
      </c>
      <c r="AZ290" t="s">
        <v>489</v>
      </c>
      <c r="BA290" t="s">
        <v>219</v>
      </c>
      <c r="BB290">
        <v>0</v>
      </c>
      <c r="BE290" t="s">
        <v>238</v>
      </c>
      <c r="BF290" t="s">
        <v>489</v>
      </c>
      <c r="BG290" t="s">
        <v>219</v>
      </c>
      <c r="BH290">
        <v>0</v>
      </c>
      <c r="CT290" t="s">
        <v>238</v>
      </c>
      <c r="CU290" t="s">
        <v>219</v>
      </c>
      <c r="CV290">
        <f ca="1">OFFSET('Calculations 2'!$AJ$12,W290,X290)</f>
        <v>0</v>
      </c>
    </row>
    <row r="291" spans="17:100">
      <c r="Q291" t="s">
        <v>247</v>
      </c>
      <c r="R291" t="s">
        <v>489</v>
      </c>
      <c r="S291" t="s">
        <v>219</v>
      </c>
      <c r="T291">
        <f ca="1">OFFSET('Calculations 2'!$C$45,W291,X291)*OFFSET($M$6,W291,0)</f>
        <v>0</v>
      </c>
      <c r="V291">
        <f t="shared" si="14"/>
        <v>285</v>
      </c>
      <c r="W291">
        <f t="shared" si="15"/>
        <v>21</v>
      </c>
      <c r="X291">
        <f t="shared" si="16"/>
        <v>8</v>
      </c>
      <c r="AC291" t="s">
        <v>247</v>
      </c>
      <c r="AD291" t="s">
        <v>489</v>
      </c>
      <c r="AE291" t="s">
        <v>219</v>
      </c>
      <c r="AF291">
        <f ca="1">OFFSET('Calculations 2'!$CE$45,W291,0)*OFFSET($AA$6,X291,0)*OFFSET($M$6,W291,)</f>
        <v>0</v>
      </c>
      <c r="AY291" t="s">
        <v>247</v>
      </c>
      <c r="AZ291" t="s">
        <v>489</v>
      </c>
      <c r="BA291" t="s">
        <v>219</v>
      </c>
      <c r="BB291">
        <v>0</v>
      </c>
      <c r="BE291" t="s">
        <v>247</v>
      </c>
      <c r="BF291" t="s">
        <v>489</v>
      </c>
      <c r="BG291" t="s">
        <v>219</v>
      </c>
      <c r="BH291">
        <v>0</v>
      </c>
      <c r="CT291" t="s">
        <v>247</v>
      </c>
      <c r="CU291" t="s">
        <v>219</v>
      </c>
      <c r="CV291">
        <f ca="1">OFFSET('Calculations 2'!$AJ$12,W291,X291)</f>
        <v>0</v>
      </c>
    </row>
    <row r="292" spans="17:100">
      <c r="Q292" t="s">
        <v>218</v>
      </c>
      <c r="R292" t="s">
        <v>489</v>
      </c>
      <c r="S292" t="s">
        <v>219</v>
      </c>
      <c r="T292">
        <f ca="1">OFFSET('Calculations 2'!$C$45,W292,X292)*OFFSET($M$6,W292,0)</f>
        <v>780.02254996214253</v>
      </c>
      <c r="V292">
        <f t="shared" si="14"/>
        <v>286</v>
      </c>
      <c r="W292">
        <f t="shared" si="15"/>
        <v>22</v>
      </c>
      <c r="X292">
        <f t="shared" si="16"/>
        <v>8</v>
      </c>
      <c r="AC292" t="s">
        <v>218</v>
      </c>
      <c r="AD292" t="s">
        <v>489</v>
      </c>
      <c r="AE292" t="s">
        <v>219</v>
      </c>
      <c r="AF292">
        <f ca="1">OFFSET('Calculations 2'!$CE$45,W292,0)*OFFSET($AA$6,X292,0)*OFFSET($M$6,W292,)</f>
        <v>0</v>
      </c>
      <c r="AY292" t="s">
        <v>218</v>
      </c>
      <c r="AZ292" t="s">
        <v>489</v>
      </c>
      <c r="BA292" t="s">
        <v>219</v>
      </c>
      <c r="BB292">
        <v>0</v>
      </c>
      <c r="BE292" t="s">
        <v>218</v>
      </c>
      <c r="BF292" t="s">
        <v>489</v>
      </c>
      <c r="BG292" t="s">
        <v>219</v>
      </c>
      <c r="BH292">
        <v>0</v>
      </c>
      <c r="CT292" t="s">
        <v>218</v>
      </c>
      <c r="CU292" t="s">
        <v>219</v>
      </c>
      <c r="CV292">
        <f ca="1">OFFSET('Calculations 2'!$AJ$12,W292,X292)</f>
        <v>0</v>
      </c>
    </row>
    <row r="293" spans="17:100">
      <c r="Q293" t="s">
        <v>257</v>
      </c>
      <c r="R293" t="s">
        <v>489</v>
      </c>
      <c r="S293" t="s">
        <v>219</v>
      </c>
      <c r="T293">
        <f ca="1">OFFSET('Calculations 2'!$C$45,W293,X293)*OFFSET($M$6,W293,0)</f>
        <v>279.5100080494218</v>
      </c>
      <c r="V293">
        <f t="shared" si="14"/>
        <v>287</v>
      </c>
      <c r="W293">
        <f t="shared" si="15"/>
        <v>23</v>
      </c>
      <c r="X293">
        <f t="shared" si="16"/>
        <v>8</v>
      </c>
      <c r="AC293" t="s">
        <v>257</v>
      </c>
      <c r="AD293" t="s">
        <v>489</v>
      </c>
      <c r="AE293" t="s">
        <v>219</v>
      </c>
      <c r="AF293">
        <f ca="1">OFFSET('Calculations 2'!$CE$45,W293,0)*OFFSET($AA$6,X293,0)*OFFSET($M$6,W293,)</f>
        <v>0</v>
      </c>
      <c r="AY293" t="s">
        <v>257</v>
      </c>
      <c r="AZ293" t="s">
        <v>489</v>
      </c>
      <c r="BA293" t="s">
        <v>219</v>
      </c>
      <c r="BB293">
        <v>0</v>
      </c>
      <c r="BE293" t="s">
        <v>257</v>
      </c>
      <c r="BF293" t="s">
        <v>489</v>
      </c>
      <c r="BG293" t="s">
        <v>219</v>
      </c>
      <c r="BH293">
        <v>0</v>
      </c>
      <c r="CT293" t="s">
        <v>257</v>
      </c>
      <c r="CU293" t="s">
        <v>219</v>
      </c>
      <c r="CV293">
        <f ca="1">OFFSET('Calculations 2'!$AJ$12,W293,X293)</f>
        <v>0</v>
      </c>
    </row>
    <row r="294" spans="17:100">
      <c r="Q294" t="s">
        <v>220</v>
      </c>
      <c r="R294" t="s">
        <v>489</v>
      </c>
      <c r="S294" t="s">
        <v>219</v>
      </c>
      <c r="T294">
        <f ca="1">OFFSET('Calculations 2'!$C$45,W294,X294)*OFFSET($M$6,W294,0)</f>
        <v>25.603997991822101</v>
      </c>
      <c r="V294">
        <f t="shared" si="14"/>
        <v>288</v>
      </c>
      <c r="W294">
        <f t="shared" si="15"/>
        <v>24</v>
      </c>
      <c r="X294">
        <f t="shared" si="16"/>
        <v>8</v>
      </c>
      <c r="AC294" t="s">
        <v>220</v>
      </c>
      <c r="AD294" t="s">
        <v>489</v>
      </c>
      <c r="AE294" t="s">
        <v>219</v>
      </c>
      <c r="AF294">
        <f ca="1">OFFSET('Calculations 2'!$CE$45,W294,0)*OFFSET($AA$6,X294,0)*OFFSET($M$6,W294,)</f>
        <v>0</v>
      </c>
      <c r="AY294" t="s">
        <v>220</v>
      </c>
      <c r="AZ294" t="s">
        <v>489</v>
      </c>
      <c r="BA294" t="s">
        <v>219</v>
      </c>
      <c r="BB294">
        <v>0</v>
      </c>
      <c r="BE294" t="s">
        <v>220</v>
      </c>
      <c r="BF294" t="s">
        <v>489</v>
      </c>
      <c r="BG294" t="s">
        <v>219</v>
      </c>
      <c r="BH294">
        <v>0</v>
      </c>
      <c r="CT294" t="s">
        <v>220</v>
      </c>
      <c r="CU294" t="s">
        <v>219</v>
      </c>
      <c r="CV294">
        <f ca="1">OFFSET('Calculations 2'!$AJ$12,W294,X294)</f>
        <v>0</v>
      </c>
    </row>
    <row r="295" spans="17:100">
      <c r="Q295" t="s">
        <v>235</v>
      </c>
      <c r="R295" t="s">
        <v>489</v>
      </c>
      <c r="S295" t="s">
        <v>219</v>
      </c>
      <c r="T295">
        <f ca="1">OFFSET('Calculations 2'!$C$45,W295,X295)*OFFSET($M$6,W295,0)</f>
        <v>54.28647810560912</v>
      </c>
      <c r="V295">
        <f t="shared" si="14"/>
        <v>289</v>
      </c>
      <c r="W295">
        <f t="shared" si="15"/>
        <v>25</v>
      </c>
      <c r="X295">
        <f t="shared" si="16"/>
        <v>8</v>
      </c>
      <c r="AC295" t="s">
        <v>235</v>
      </c>
      <c r="AD295" t="s">
        <v>489</v>
      </c>
      <c r="AE295" t="s">
        <v>219</v>
      </c>
      <c r="AF295">
        <f ca="1">OFFSET('Calculations 2'!$CE$45,W295,0)*OFFSET($AA$6,X295,0)*OFFSET($M$6,W295,)</f>
        <v>0</v>
      </c>
      <c r="AY295" t="s">
        <v>235</v>
      </c>
      <c r="AZ295" t="s">
        <v>489</v>
      </c>
      <c r="BA295" t="s">
        <v>219</v>
      </c>
      <c r="BB295">
        <v>0</v>
      </c>
      <c r="BE295" t="s">
        <v>235</v>
      </c>
      <c r="BF295" t="s">
        <v>489</v>
      </c>
      <c r="BG295" t="s">
        <v>219</v>
      </c>
      <c r="BH295">
        <v>0</v>
      </c>
      <c r="CT295" t="s">
        <v>235</v>
      </c>
      <c r="CU295" t="s">
        <v>219</v>
      </c>
      <c r="CV295">
        <f ca="1">OFFSET('Calculations 2'!$AJ$12,W295,X295)</f>
        <v>0</v>
      </c>
    </row>
    <row r="296" spans="17:100">
      <c r="Q296" t="s">
        <v>473</v>
      </c>
      <c r="R296" t="s">
        <v>489</v>
      </c>
      <c r="S296" t="s">
        <v>219</v>
      </c>
      <c r="T296">
        <f ca="1">OFFSET('Calculations 2'!$C$45,W296,X296)*OFFSET($M$6,W296,0)</f>
        <v>16.966534084478635</v>
      </c>
      <c r="V296">
        <f t="shared" si="14"/>
        <v>290</v>
      </c>
      <c r="W296">
        <f t="shared" si="15"/>
        <v>26</v>
      </c>
      <c r="X296">
        <f t="shared" si="16"/>
        <v>8</v>
      </c>
      <c r="AC296" t="s">
        <v>473</v>
      </c>
      <c r="AD296" t="s">
        <v>489</v>
      </c>
      <c r="AE296" t="s">
        <v>219</v>
      </c>
      <c r="AF296">
        <f ca="1">OFFSET('Calculations 2'!$CE$45,W296,0)*OFFSET($AA$6,X296,0)*OFFSET($M$6,W296,)</f>
        <v>0</v>
      </c>
      <c r="AY296" t="s">
        <v>473</v>
      </c>
      <c r="AZ296" t="s">
        <v>489</v>
      </c>
      <c r="BA296" t="s">
        <v>219</v>
      </c>
      <c r="BB296">
        <v>0</v>
      </c>
      <c r="BE296" t="s">
        <v>473</v>
      </c>
      <c r="BF296" t="s">
        <v>489</v>
      </c>
      <c r="BG296" t="s">
        <v>219</v>
      </c>
      <c r="BH296">
        <v>0</v>
      </c>
      <c r="CT296" t="s">
        <v>473</v>
      </c>
      <c r="CU296" t="s">
        <v>219</v>
      </c>
      <c r="CV296">
        <f ca="1">OFFSET('Calculations 2'!$AJ$12,W296,X296)</f>
        <v>0</v>
      </c>
    </row>
    <row r="297" spans="17:100">
      <c r="Q297" t="s">
        <v>233</v>
      </c>
      <c r="R297" t="s">
        <v>489</v>
      </c>
      <c r="S297" t="s">
        <v>219</v>
      </c>
      <c r="T297">
        <f ca="1">OFFSET('Calculations 2'!$C$45,W297,X297)*OFFSET($M$6,W297,0)</f>
        <v>478.5328689519622</v>
      </c>
      <c r="V297">
        <f t="shared" si="14"/>
        <v>291</v>
      </c>
      <c r="W297">
        <f t="shared" si="15"/>
        <v>27</v>
      </c>
      <c r="X297">
        <f t="shared" si="16"/>
        <v>8</v>
      </c>
      <c r="AC297" t="s">
        <v>233</v>
      </c>
      <c r="AD297" t="s">
        <v>489</v>
      </c>
      <c r="AE297" t="s">
        <v>219</v>
      </c>
      <c r="AF297">
        <f ca="1">OFFSET('Calculations 2'!$CE$45,W297,0)*OFFSET($AA$6,X297,0)*OFFSET($M$6,W297,)</f>
        <v>0</v>
      </c>
      <c r="AY297" t="s">
        <v>233</v>
      </c>
      <c r="AZ297" t="s">
        <v>489</v>
      </c>
      <c r="BA297" t="s">
        <v>219</v>
      </c>
      <c r="BB297">
        <v>0</v>
      </c>
      <c r="BE297" t="s">
        <v>233</v>
      </c>
      <c r="BF297" t="s">
        <v>489</v>
      </c>
      <c r="BG297" t="s">
        <v>219</v>
      </c>
      <c r="BH297">
        <v>0</v>
      </c>
      <c r="CT297" t="s">
        <v>233</v>
      </c>
      <c r="CU297" t="s">
        <v>219</v>
      </c>
      <c r="CV297">
        <f ca="1">OFFSET('Calculations 2'!$AJ$12,W297,X297)</f>
        <v>0</v>
      </c>
    </row>
    <row r="298" spans="17:100">
      <c r="Q298" t="s">
        <v>474</v>
      </c>
      <c r="R298" t="s">
        <v>489</v>
      </c>
      <c r="S298" t="s">
        <v>219</v>
      </c>
      <c r="T298">
        <f ca="1">OFFSET('Calculations 2'!$C$45,W298,X298)*OFFSET($M$6,W298,0)</f>
        <v>13.738197006236355</v>
      </c>
      <c r="V298">
        <f t="shared" si="14"/>
        <v>292</v>
      </c>
      <c r="W298">
        <f t="shared" si="15"/>
        <v>28</v>
      </c>
      <c r="X298">
        <f t="shared" si="16"/>
        <v>8</v>
      </c>
      <c r="AC298" t="s">
        <v>474</v>
      </c>
      <c r="AD298" t="s">
        <v>489</v>
      </c>
      <c r="AE298" t="s">
        <v>219</v>
      </c>
      <c r="AF298">
        <f ca="1">OFFSET('Calculations 2'!$CE$45,W298,0)*OFFSET($AA$6,X298,0)*OFFSET($M$6,W298,)</f>
        <v>0</v>
      </c>
      <c r="AY298" t="s">
        <v>474</v>
      </c>
      <c r="AZ298" t="s">
        <v>489</v>
      </c>
      <c r="BA298" t="s">
        <v>219</v>
      </c>
      <c r="BB298">
        <v>0</v>
      </c>
      <c r="BE298" t="s">
        <v>474</v>
      </c>
      <c r="BF298" t="s">
        <v>489</v>
      </c>
      <c r="BG298" t="s">
        <v>219</v>
      </c>
      <c r="BH298">
        <v>0</v>
      </c>
      <c r="CT298" t="s">
        <v>474</v>
      </c>
      <c r="CU298" t="s">
        <v>219</v>
      </c>
      <c r="CV298">
        <f ca="1">OFFSET('Calculations 2'!$AJ$12,W298,X298)</f>
        <v>0</v>
      </c>
    </row>
    <row r="299" spans="17:100">
      <c r="Q299" t="s">
        <v>223</v>
      </c>
      <c r="R299" t="s">
        <v>489</v>
      </c>
      <c r="S299" t="s">
        <v>219</v>
      </c>
      <c r="T299">
        <f ca="1">OFFSET('Calculations 2'!$C$45,W299,X299)*OFFSET($M$6,W299,0)</f>
        <v>5.1112929973177899</v>
      </c>
      <c r="V299">
        <f t="shared" si="14"/>
        <v>293</v>
      </c>
      <c r="W299">
        <f t="shared" si="15"/>
        <v>29</v>
      </c>
      <c r="X299">
        <f t="shared" si="16"/>
        <v>8</v>
      </c>
      <c r="AC299" t="s">
        <v>223</v>
      </c>
      <c r="AD299" t="s">
        <v>489</v>
      </c>
      <c r="AE299" t="s">
        <v>219</v>
      </c>
      <c r="AF299">
        <f ca="1">OFFSET('Calculations 2'!$CE$45,W299,0)*OFFSET($AA$6,X299,0)*OFFSET($M$6,W299,)</f>
        <v>0</v>
      </c>
      <c r="AY299" t="s">
        <v>223</v>
      </c>
      <c r="AZ299" t="s">
        <v>489</v>
      </c>
      <c r="BA299" t="s">
        <v>219</v>
      </c>
      <c r="BB299">
        <v>0</v>
      </c>
      <c r="BE299" t="s">
        <v>223</v>
      </c>
      <c r="BF299" t="s">
        <v>489</v>
      </c>
      <c r="BG299" t="s">
        <v>219</v>
      </c>
      <c r="BH299">
        <v>0</v>
      </c>
      <c r="CT299" t="s">
        <v>223</v>
      </c>
      <c r="CU299" t="s">
        <v>219</v>
      </c>
      <c r="CV299">
        <f ca="1">OFFSET('Calculations 2'!$AJ$12,W299,X299)</f>
        <v>0</v>
      </c>
    </row>
    <row r="300" spans="17:100">
      <c r="Q300" t="s">
        <v>475</v>
      </c>
      <c r="R300" t="s">
        <v>489</v>
      </c>
      <c r="S300" t="s">
        <v>219</v>
      </c>
      <c r="T300">
        <f ca="1">OFFSET('Calculations 2'!$C$45,W300,X300)*OFFSET($M$6,W300,0)</f>
        <v>0.20809290115443574</v>
      </c>
      <c r="V300">
        <f t="shared" si="14"/>
        <v>294</v>
      </c>
      <c r="W300">
        <f t="shared" si="15"/>
        <v>30</v>
      </c>
      <c r="X300">
        <f t="shared" si="16"/>
        <v>8</v>
      </c>
      <c r="AC300" t="s">
        <v>475</v>
      </c>
      <c r="AD300" t="s">
        <v>489</v>
      </c>
      <c r="AE300" t="s">
        <v>219</v>
      </c>
      <c r="AF300">
        <f ca="1">OFFSET('Calculations 2'!$CE$45,W300,0)*OFFSET($AA$6,X300,0)*OFFSET($M$6,W300,)</f>
        <v>0</v>
      </c>
      <c r="AY300" t="s">
        <v>475</v>
      </c>
      <c r="AZ300" t="s">
        <v>489</v>
      </c>
      <c r="BA300" t="s">
        <v>219</v>
      </c>
      <c r="BB300">
        <v>0</v>
      </c>
      <c r="BE300" t="s">
        <v>475</v>
      </c>
      <c r="BF300" t="s">
        <v>489</v>
      </c>
      <c r="BG300" t="s">
        <v>219</v>
      </c>
      <c r="BH300">
        <v>0</v>
      </c>
      <c r="CT300" t="s">
        <v>475</v>
      </c>
      <c r="CU300" t="s">
        <v>219</v>
      </c>
      <c r="CV300">
        <f ca="1">OFFSET('Calculations 2'!$AJ$12,W300,X300)</f>
        <v>0</v>
      </c>
    </row>
    <row r="301" spans="17:100">
      <c r="Q301" t="s">
        <v>476</v>
      </c>
      <c r="R301" t="s">
        <v>489</v>
      </c>
      <c r="S301" t="s">
        <v>219</v>
      </c>
      <c r="T301">
        <f ca="1">OFFSET('Calculations 2'!$C$45,W301,X301)*OFFSET($M$6,W301,0)</f>
        <v>12.49115772054161</v>
      </c>
      <c r="V301">
        <f t="shared" si="14"/>
        <v>295</v>
      </c>
      <c r="W301">
        <f t="shared" si="15"/>
        <v>31</v>
      </c>
      <c r="X301">
        <f t="shared" si="16"/>
        <v>8</v>
      </c>
      <c r="AC301" t="s">
        <v>476</v>
      </c>
      <c r="AD301" t="s">
        <v>489</v>
      </c>
      <c r="AE301" t="s">
        <v>219</v>
      </c>
      <c r="AF301">
        <f ca="1">OFFSET('Calculations 2'!$CE$45,W301,0)*OFFSET($AA$6,X301,0)*OFFSET($M$6,W301,)</f>
        <v>0</v>
      </c>
      <c r="AY301" t="s">
        <v>476</v>
      </c>
      <c r="AZ301" t="s">
        <v>489</v>
      </c>
      <c r="BA301" t="s">
        <v>219</v>
      </c>
      <c r="BB301">
        <v>0</v>
      </c>
      <c r="BE301" t="s">
        <v>476</v>
      </c>
      <c r="BF301" t="s">
        <v>489</v>
      </c>
      <c r="BG301" t="s">
        <v>219</v>
      </c>
      <c r="BH301">
        <v>0</v>
      </c>
      <c r="CT301" t="s">
        <v>476</v>
      </c>
      <c r="CU301" t="s">
        <v>219</v>
      </c>
      <c r="CV301">
        <f ca="1">OFFSET('Calculations 2'!$AJ$12,W301,X301)</f>
        <v>0</v>
      </c>
    </row>
    <row r="302" spans="17:100">
      <c r="Q302" t="s">
        <v>222</v>
      </c>
      <c r="R302" t="s">
        <v>489</v>
      </c>
      <c r="S302" t="s">
        <v>219</v>
      </c>
      <c r="T302">
        <f ca="1">OFFSET('Calculations 2'!$C$45,W302,X302)*OFFSET($M$6,W302,0)</f>
        <v>0</v>
      </c>
      <c r="V302">
        <f t="shared" si="14"/>
        <v>296</v>
      </c>
      <c r="W302">
        <f t="shared" si="15"/>
        <v>32</v>
      </c>
      <c r="X302">
        <f t="shared" si="16"/>
        <v>8</v>
      </c>
      <c r="AC302" t="s">
        <v>222</v>
      </c>
      <c r="AD302" t="s">
        <v>489</v>
      </c>
      <c r="AE302" t="s">
        <v>219</v>
      </c>
      <c r="AF302">
        <f ca="1">OFFSET('Calculations 2'!$CE$45,W302,0)*OFFSET($AA$6,X302,0)*OFFSET($M$6,W302,)</f>
        <v>0</v>
      </c>
      <c r="AY302" t="s">
        <v>222</v>
      </c>
      <c r="AZ302" t="s">
        <v>489</v>
      </c>
      <c r="BA302" t="s">
        <v>219</v>
      </c>
      <c r="BB302">
        <v>0</v>
      </c>
      <c r="BE302" t="s">
        <v>222</v>
      </c>
      <c r="BF302" t="s">
        <v>489</v>
      </c>
      <c r="BG302" t="s">
        <v>219</v>
      </c>
      <c r="BH302">
        <v>0</v>
      </c>
      <c r="CT302" t="s">
        <v>222</v>
      </c>
      <c r="CU302" t="s">
        <v>219</v>
      </c>
      <c r="CV302">
        <f ca="1">OFFSET('Calculations 2'!$AJ$12,W302,X302)</f>
        <v>0</v>
      </c>
    </row>
    <row r="303" spans="17:100">
      <c r="Q303" t="s">
        <v>217</v>
      </c>
      <c r="R303" t="s">
        <v>489</v>
      </c>
      <c r="S303" t="s">
        <v>242</v>
      </c>
      <c r="T303">
        <f ca="1">OFFSET('Calculations 2'!$C$45,W303,X303)*OFFSET($M$6,W303,0)</f>
        <v>0.366363146904509</v>
      </c>
      <c r="V303">
        <f t="shared" si="14"/>
        <v>297</v>
      </c>
      <c r="W303">
        <f t="shared" si="15"/>
        <v>0</v>
      </c>
      <c r="X303">
        <f t="shared" si="16"/>
        <v>9</v>
      </c>
      <c r="AC303" t="s">
        <v>217</v>
      </c>
      <c r="AD303" t="s">
        <v>489</v>
      </c>
      <c r="AE303" t="s">
        <v>242</v>
      </c>
      <c r="AF303">
        <f ca="1">OFFSET('Calculations 2'!$CE$45,W303,0)*OFFSET($AA$6,X303,0)*OFFSET($M$6,W303,)</f>
        <v>0.11086954281260229</v>
      </c>
      <c r="AY303" t="s">
        <v>217</v>
      </c>
      <c r="AZ303" t="s">
        <v>489</v>
      </c>
      <c r="BA303" t="s">
        <v>242</v>
      </c>
      <c r="BB303">
        <v>0</v>
      </c>
      <c r="BE303" t="s">
        <v>217</v>
      </c>
      <c r="BF303" t="s">
        <v>489</v>
      </c>
      <c r="BG303" t="s">
        <v>242</v>
      </c>
      <c r="BH303">
        <v>0</v>
      </c>
      <c r="CT303" t="s">
        <v>217</v>
      </c>
      <c r="CU303" t="s">
        <v>242</v>
      </c>
      <c r="CV303">
        <f ca="1">OFFSET('Calculations 2'!$AJ$12,W303,X303)</f>
        <v>0</v>
      </c>
    </row>
    <row r="304" spans="17:100">
      <c r="Q304" t="s">
        <v>232</v>
      </c>
      <c r="R304" t="s">
        <v>489</v>
      </c>
      <c r="S304" t="s">
        <v>242</v>
      </c>
      <c r="T304">
        <f ca="1">OFFSET('Calculations 2'!$C$45,W304,X304)*OFFSET($M$6,W304,0)</f>
        <v>0</v>
      </c>
      <c r="V304">
        <f t="shared" si="14"/>
        <v>298</v>
      </c>
      <c r="W304">
        <f t="shared" si="15"/>
        <v>1</v>
      </c>
      <c r="X304">
        <f t="shared" si="16"/>
        <v>9</v>
      </c>
      <c r="AC304" t="s">
        <v>232</v>
      </c>
      <c r="AD304" t="s">
        <v>489</v>
      </c>
      <c r="AE304" t="s">
        <v>242</v>
      </c>
      <c r="AF304">
        <f ca="1">OFFSET('Calculations 2'!$CE$45,W304,0)*OFFSET($AA$6,X304,0)*OFFSET($M$6,W304,)</f>
        <v>0.19340285054200793</v>
      </c>
      <c r="AY304" t="s">
        <v>232</v>
      </c>
      <c r="AZ304" t="s">
        <v>489</v>
      </c>
      <c r="BA304" t="s">
        <v>242</v>
      </c>
      <c r="BB304">
        <v>0</v>
      </c>
      <c r="BE304" t="s">
        <v>232</v>
      </c>
      <c r="BF304" t="s">
        <v>489</v>
      </c>
      <c r="BG304" t="s">
        <v>242</v>
      </c>
      <c r="BH304">
        <v>0</v>
      </c>
      <c r="CT304" t="s">
        <v>232</v>
      </c>
      <c r="CU304" t="s">
        <v>242</v>
      </c>
      <c r="CV304">
        <f ca="1">OFFSET('Calculations 2'!$AJ$12,W304,X304)</f>
        <v>0</v>
      </c>
    </row>
    <row r="305" spans="17:100">
      <c r="Q305" t="s">
        <v>226</v>
      </c>
      <c r="R305" t="s">
        <v>489</v>
      </c>
      <c r="S305" t="s">
        <v>242</v>
      </c>
      <c r="T305">
        <f ca="1">OFFSET('Calculations 2'!$C$45,W305,X305)*OFFSET($M$6,W305,0)</f>
        <v>0</v>
      </c>
      <c r="V305">
        <f t="shared" si="14"/>
        <v>299</v>
      </c>
      <c r="W305">
        <f t="shared" si="15"/>
        <v>2</v>
      </c>
      <c r="X305">
        <f t="shared" si="16"/>
        <v>9</v>
      </c>
      <c r="AC305" t="s">
        <v>226</v>
      </c>
      <c r="AD305" t="s">
        <v>489</v>
      </c>
      <c r="AE305" t="s">
        <v>242</v>
      </c>
      <c r="AF305">
        <f ca="1">OFFSET('Calculations 2'!$CE$45,W305,0)*OFFSET($AA$6,X305,0)*OFFSET($M$6,W305,)</f>
        <v>0.32564967598651612</v>
      </c>
      <c r="AY305" t="s">
        <v>226</v>
      </c>
      <c r="AZ305" t="s">
        <v>489</v>
      </c>
      <c r="BA305" t="s">
        <v>242</v>
      </c>
      <c r="BB305">
        <v>0</v>
      </c>
      <c r="BE305" t="s">
        <v>226</v>
      </c>
      <c r="BF305" t="s">
        <v>489</v>
      </c>
      <c r="BG305" t="s">
        <v>242</v>
      </c>
      <c r="BH305">
        <v>0</v>
      </c>
      <c r="CT305" t="s">
        <v>226</v>
      </c>
      <c r="CU305" t="s">
        <v>242</v>
      </c>
      <c r="CV305">
        <f ca="1">OFFSET('Calculations 2'!$AJ$12,W305,X305)</f>
        <v>0</v>
      </c>
    </row>
    <row r="306" spans="17:100">
      <c r="Q306" t="s">
        <v>243</v>
      </c>
      <c r="R306" t="s">
        <v>489</v>
      </c>
      <c r="S306" t="s">
        <v>242</v>
      </c>
      <c r="T306">
        <f ca="1">OFFSET('Calculations 2'!$C$45,W306,X306)*OFFSET($M$6,W306,0)</f>
        <v>3.5470201311209308E-2</v>
      </c>
      <c r="V306">
        <f t="shared" si="14"/>
        <v>300</v>
      </c>
      <c r="W306">
        <f t="shared" si="15"/>
        <v>3</v>
      </c>
      <c r="X306">
        <f t="shared" si="16"/>
        <v>9</v>
      </c>
      <c r="AC306" t="s">
        <v>243</v>
      </c>
      <c r="AD306" t="s">
        <v>489</v>
      </c>
      <c r="AE306" t="s">
        <v>242</v>
      </c>
      <c r="AF306">
        <f ca="1">OFFSET('Calculations 2'!$CE$45,W306,0)*OFFSET($AA$6,X306,0)*OFFSET($M$6,W306,)</f>
        <v>1.696261980818446</v>
      </c>
      <c r="AY306" t="s">
        <v>243</v>
      </c>
      <c r="AZ306" t="s">
        <v>489</v>
      </c>
      <c r="BA306" t="s">
        <v>242</v>
      </c>
      <c r="BB306">
        <v>0</v>
      </c>
      <c r="BE306" t="s">
        <v>243</v>
      </c>
      <c r="BF306" t="s">
        <v>489</v>
      </c>
      <c r="BG306" t="s">
        <v>242</v>
      </c>
      <c r="BH306">
        <v>0</v>
      </c>
      <c r="CT306" t="s">
        <v>243</v>
      </c>
      <c r="CU306" t="s">
        <v>242</v>
      </c>
      <c r="CV306">
        <f ca="1">OFFSET('Calculations 2'!$AJ$12,W306,X306)</f>
        <v>0</v>
      </c>
    </row>
    <row r="307" spans="17:100">
      <c r="Q307" t="s">
        <v>228</v>
      </c>
      <c r="R307" t="s">
        <v>489</v>
      </c>
      <c r="S307" t="s">
        <v>242</v>
      </c>
      <c r="T307">
        <f ca="1">OFFSET('Calculations 2'!$C$45,W307,X307)*OFFSET($M$6,W307,0)</f>
        <v>0</v>
      </c>
      <c r="V307">
        <f t="shared" si="14"/>
        <v>301</v>
      </c>
      <c r="W307">
        <f t="shared" si="15"/>
        <v>4</v>
      </c>
      <c r="X307">
        <f t="shared" si="16"/>
        <v>9</v>
      </c>
      <c r="AC307" t="s">
        <v>228</v>
      </c>
      <c r="AD307" t="s">
        <v>489</v>
      </c>
      <c r="AE307" t="s">
        <v>242</v>
      </c>
      <c r="AF307">
        <f ca="1">OFFSET('Calculations 2'!$CE$45,W307,0)*OFFSET($AA$6,X307,0)*OFFSET($M$6,W307,)</f>
        <v>1.2036206372786759E-2</v>
      </c>
      <c r="AY307" t="s">
        <v>228</v>
      </c>
      <c r="AZ307" t="s">
        <v>489</v>
      </c>
      <c r="BA307" t="s">
        <v>242</v>
      </c>
      <c r="BB307">
        <v>0</v>
      </c>
      <c r="BE307" t="s">
        <v>228</v>
      </c>
      <c r="BF307" t="s">
        <v>489</v>
      </c>
      <c r="BG307" t="s">
        <v>242</v>
      </c>
      <c r="BH307">
        <v>0</v>
      </c>
      <c r="CT307" t="s">
        <v>228</v>
      </c>
      <c r="CU307" t="s">
        <v>242</v>
      </c>
      <c r="CV307">
        <f ca="1">OFFSET('Calculations 2'!$AJ$12,W307,X307)</f>
        <v>0</v>
      </c>
    </row>
    <row r="308" spans="17:100">
      <c r="Q308" t="s">
        <v>246</v>
      </c>
      <c r="R308" t="s">
        <v>489</v>
      </c>
      <c r="S308" t="s">
        <v>242</v>
      </c>
      <c r="T308">
        <f ca="1">OFFSET('Calculations 2'!$C$45,W308,X308)*OFFSET($M$6,W308,0)</f>
        <v>0</v>
      </c>
      <c r="V308">
        <f t="shared" si="14"/>
        <v>302</v>
      </c>
      <c r="W308">
        <f t="shared" si="15"/>
        <v>5</v>
      </c>
      <c r="X308">
        <f t="shared" si="16"/>
        <v>9</v>
      </c>
      <c r="AC308" t="s">
        <v>246</v>
      </c>
      <c r="AD308" t="s">
        <v>489</v>
      </c>
      <c r="AE308" t="s">
        <v>242</v>
      </c>
      <c r="AF308">
        <f ca="1">OFFSET('Calculations 2'!$CE$45,W308,0)*OFFSET($AA$6,X308,0)*OFFSET($M$6,W308,)</f>
        <v>7.4094731734755295E-2</v>
      </c>
      <c r="AY308" t="s">
        <v>246</v>
      </c>
      <c r="AZ308" t="s">
        <v>489</v>
      </c>
      <c r="BA308" t="s">
        <v>242</v>
      </c>
      <c r="BB308">
        <v>0</v>
      </c>
      <c r="BE308" t="s">
        <v>246</v>
      </c>
      <c r="BF308" t="s">
        <v>489</v>
      </c>
      <c r="BG308" t="s">
        <v>242</v>
      </c>
      <c r="BH308">
        <v>0</v>
      </c>
      <c r="CT308" t="s">
        <v>246</v>
      </c>
      <c r="CU308" t="s">
        <v>242</v>
      </c>
      <c r="CV308">
        <f ca="1">OFFSET('Calculations 2'!$AJ$12,W308,X308)</f>
        <v>0</v>
      </c>
    </row>
    <row r="309" spans="17:100">
      <c r="Q309" t="s">
        <v>239</v>
      </c>
      <c r="R309" t="s">
        <v>489</v>
      </c>
      <c r="S309" t="s">
        <v>242</v>
      </c>
      <c r="T309">
        <f ca="1">OFFSET('Calculations 2'!$C$45,W309,X309)*OFFSET($M$6,W309,0)</f>
        <v>9.2622785625432602</v>
      </c>
      <c r="V309">
        <f t="shared" si="14"/>
        <v>303</v>
      </c>
      <c r="W309">
        <f t="shared" si="15"/>
        <v>6</v>
      </c>
      <c r="X309">
        <f t="shared" si="16"/>
        <v>9</v>
      </c>
      <c r="AC309" t="s">
        <v>239</v>
      </c>
      <c r="AD309" t="s">
        <v>489</v>
      </c>
      <c r="AE309" t="s">
        <v>242</v>
      </c>
      <c r="AF309">
        <f ca="1">OFFSET('Calculations 2'!$CE$45,W309,0)*OFFSET($AA$6,X309,0)*OFFSET($M$6,W309,)</f>
        <v>1.4830520799640745</v>
      </c>
      <c r="AY309" t="s">
        <v>239</v>
      </c>
      <c r="AZ309" t="s">
        <v>489</v>
      </c>
      <c r="BA309" t="s">
        <v>242</v>
      </c>
      <c r="BB309">
        <v>0</v>
      </c>
      <c r="BE309" t="s">
        <v>239</v>
      </c>
      <c r="BF309" t="s">
        <v>489</v>
      </c>
      <c r="BG309" t="s">
        <v>242</v>
      </c>
      <c r="BH309">
        <v>0</v>
      </c>
      <c r="CT309" t="s">
        <v>239</v>
      </c>
      <c r="CU309" t="s">
        <v>242</v>
      </c>
      <c r="CV309">
        <f ca="1">OFFSET('Calculations 2'!$AJ$12,W309,X309)</f>
        <v>0</v>
      </c>
    </row>
    <row r="310" spans="17:100">
      <c r="Q310" t="s">
        <v>466</v>
      </c>
      <c r="R310" t="s">
        <v>489</v>
      </c>
      <c r="S310" t="s">
        <v>242</v>
      </c>
      <c r="T310">
        <f ca="1">OFFSET('Calculations 2'!$C$45,W310,X310)*OFFSET($M$6,W310,0)</f>
        <v>3.8478238888704848</v>
      </c>
      <c r="V310">
        <f t="shared" si="14"/>
        <v>304</v>
      </c>
      <c r="W310">
        <f t="shared" si="15"/>
        <v>7</v>
      </c>
      <c r="X310">
        <f t="shared" si="16"/>
        <v>9</v>
      </c>
      <c r="AC310" t="s">
        <v>466</v>
      </c>
      <c r="AD310" t="s">
        <v>489</v>
      </c>
      <c r="AE310" t="s">
        <v>242</v>
      </c>
      <c r="AF310">
        <f ca="1">OFFSET('Calculations 2'!$CE$45,W310,0)*OFFSET($AA$6,X310,0)*OFFSET($M$6,W310,)</f>
        <v>0.22598843635757779</v>
      </c>
      <c r="AY310" t="s">
        <v>466</v>
      </c>
      <c r="AZ310" t="s">
        <v>489</v>
      </c>
      <c r="BA310" t="s">
        <v>242</v>
      </c>
      <c r="BB310">
        <v>0</v>
      </c>
      <c r="BE310" t="s">
        <v>466</v>
      </c>
      <c r="BF310" t="s">
        <v>489</v>
      </c>
      <c r="BG310" t="s">
        <v>242</v>
      </c>
      <c r="BH310">
        <v>0</v>
      </c>
      <c r="CT310" t="s">
        <v>466</v>
      </c>
      <c r="CU310" t="s">
        <v>242</v>
      </c>
      <c r="CV310">
        <f ca="1">OFFSET('Calculations 2'!$AJ$12,W310,X310)</f>
        <v>0</v>
      </c>
    </row>
    <row r="311" spans="17:100">
      <c r="Q311" t="s">
        <v>219</v>
      </c>
      <c r="R311" t="s">
        <v>489</v>
      </c>
      <c r="S311" t="s">
        <v>242</v>
      </c>
      <c r="T311">
        <f ca="1">OFFSET('Calculations 2'!$C$45,W311,X311)*OFFSET($M$6,W311,0)</f>
        <v>433.92019217986405</v>
      </c>
      <c r="V311">
        <f t="shared" si="14"/>
        <v>305</v>
      </c>
      <c r="W311">
        <f t="shared" si="15"/>
        <v>8</v>
      </c>
      <c r="X311">
        <f t="shared" si="16"/>
        <v>9</v>
      </c>
      <c r="AC311" t="s">
        <v>219</v>
      </c>
      <c r="AD311" t="s">
        <v>489</v>
      </c>
      <c r="AE311" t="s">
        <v>242</v>
      </c>
      <c r="AF311">
        <f ca="1">OFFSET('Calculations 2'!$CE$45,W311,0)*OFFSET($AA$6,X311,0)*OFFSET($M$6,W311,)</f>
        <v>1.4072761727683591</v>
      </c>
      <c r="AY311" t="s">
        <v>219</v>
      </c>
      <c r="AZ311" t="s">
        <v>489</v>
      </c>
      <c r="BA311" t="s">
        <v>242</v>
      </c>
      <c r="BB311">
        <v>0</v>
      </c>
      <c r="BE311" t="s">
        <v>219</v>
      </c>
      <c r="BF311" t="s">
        <v>489</v>
      </c>
      <c r="BG311" t="s">
        <v>242</v>
      </c>
      <c r="BH311">
        <v>0</v>
      </c>
      <c r="CT311" t="s">
        <v>219</v>
      </c>
      <c r="CU311" t="s">
        <v>242</v>
      </c>
      <c r="CV311">
        <f ca="1">OFFSET('Calculations 2'!$AJ$12,W311,X311)</f>
        <v>0</v>
      </c>
    </row>
    <row r="312" spans="17:100">
      <c r="Q312" t="s">
        <v>242</v>
      </c>
      <c r="R312" t="s">
        <v>489</v>
      </c>
      <c r="S312" t="s">
        <v>242</v>
      </c>
      <c r="T312">
        <f ca="1">OFFSET('Calculations 2'!$C$45,W312,X312)*OFFSET($M$6,W312,0)</f>
        <v>247.2583557358368</v>
      </c>
      <c r="V312">
        <f t="shared" si="14"/>
        <v>306</v>
      </c>
      <c r="W312">
        <f t="shared" si="15"/>
        <v>9</v>
      </c>
      <c r="X312">
        <f t="shared" si="16"/>
        <v>9</v>
      </c>
      <c r="AC312" t="s">
        <v>242</v>
      </c>
      <c r="AD312" t="s">
        <v>489</v>
      </c>
      <c r="AE312" t="s">
        <v>242</v>
      </c>
      <c r="AF312">
        <f ca="1">OFFSET('Calculations 2'!$CE$45,W312,0)*OFFSET($AA$6,X312,0)*OFFSET($M$6,W312,)</f>
        <v>2.2029551457037222</v>
      </c>
      <c r="AY312" t="s">
        <v>242</v>
      </c>
      <c r="AZ312" t="s">
        <v>489</v>
      </c>
      <c r="BA312" t="s">
        <v>242</v>
      </c>
      <c r="BB312">
        <v>0</v>
      </c>
      <c r="BE312" t="s">
        <v>242</v>
      </c>
      <c r="BF312" t="s">
        <v>489</v>
      </c>
      <c r="BG312" t="s">
        <v>242</v>
      </c>
      <c r="BH312">
        <v>0</v>
      </c>
      <c r="CT312" t="s">
        <v>242</v>
      </c>
      <c r="CU312" t="s">
        <v>242</v>
      </c>
      <c r="CV312">
        <f ca="1">OFFSET('Calculations 2'!$AJ$12,W312,X312)</f>
        <v>6406.5290000000023</v>
      </c>
    </row>
    <row r="313" spans="17:100">
      <c r="Q313" t="s">
        <v>467</v>
      </c>
      <c r="R313" t="s">
        <v>489</v>
      </c>
      <c r="S313" t="s">
        <v>242</v>
      </c>
      <c r="T313">
        <f ca="1">OFFSET('Calculations 2'!$C$45,W313,X313)*OFFSET($M$6,W313,0)</f>
        <v>2.8757847006064603</v>
      </c>
      <c r="V313">
        <f t="shared" si="14"/>
        <v>307</v>
      </c>
      <c r="W313">
        <f t="shared" si="15"/>
        <v>10</v>
      </c>
      <c r="X313">
        <f t="shared" si="16"/>
        <v>9</v>
      </c>
      <c r="AC313" t="s">
        <v>467</v>
      </c>
      <c r="AD313" t="s">
        <v>489</v>
      </c>
      <c r="AE313" t="s">
        <v>242</v>
      </c>
      <c r="AF313">
        <f ca="1">OFFSET('Calculations 2'!$CE$45,W313,0)*OFFSET($AA$6,X313,0)*OFFSET($M$6,W313,)</f>
        <v>2.0407641208739817</v>
      </c>
      <c r="AY313" t="s">
        <v>467</v>
      </c>
      <c r="AZ313" t="s">
        <v>489</v>
      </c>
      <c r="BA313" t="s">
        <v>242</v>
      </c>
      <c r="BB313">
        <v>0</v>
      </c>
      <c r="BE313" t="s">
        <v>467</v>
      </c>
      <c r="BF313" t="s">
        <v>489</v>
      </c>
      <c r="BG313" t="s">
        <v>242</v>
      </c>
      <c r="BH313">
        <v>0</v>
      </c>
      <c r="CT313" t="s">
        <v>467</v>
      </c>
      <c r="CU313" t="s">
        <v>242</v>
      </c>
      <c r="CV313">
        <f ca="1">OFFSET('Calculations 2'!$AJ$12,W313,X313)</f>
        <v>0</v>
      </c>
    </row>
    <row r="314" spans="17:100">
      <c r="Q314" t="s">
        <v>231</v>
      </c>
      <c r="R314" t="s">
        <v>489</v>
      </c>
      <c r="S314" t="s">
        <v>242</v>
      </c>
      <c r="T314">
        <f ca="1">OFFSET('Calculations 2'!$C$45,W314,X314)*OFFSET($M$6,W314,0)</f>
        <v>89.986801360336202</v>
      </c>
      <c r="V314">
        <f t="shared" si="14"/>
        <v>308</v>
      </c>
      <c r="W314">
        <f t="shared" si="15"/>
        <v>11</v>
      </c>
      <c r="X314">
        <f t="shared" si="16"/>
        <v>9</v>
      </c>
      <c r="AC314" t="s">
        <v>231</v>
      </c>
      <c r="AD314" t="s">
        <v>489</v>
      </c>
      <c r="AE314" t="s">
        <v>242</v>
      </c>
      <c r="AF314">
        <f ca="1">OFFSET('Calculations 2'!$CE$45,W314,0)*OFFSET($AA$6,X314,0)*OFFSET($M$6,W314,)</f>
        <v>5.9688822194321709</v>
      </c>
      <c r="AY314" t="s">
        <v>231</v>
      </c>
      <c r="AZ314" t="s">
        <v>489</v>
      </c>
      <c r="BA314" t="s">
        <v>242</v>
      </c>
      <c r="BB314">
        <v>0</v>
      </c>
      <c r="BE314" t="s">
        <v>231</v>
      </c>
      <c r="BF314" t="s">
        <v>489</v>
      </c>
      <c r="BG314" t="s">
        <v>242</v>
      </c>
      <c r="BH314">
        <v>0</v>
      </c>
      <c r="CT314" t="s">
        <v>231</v>
      </c>
      <c r="CU314" t="s">
        <v>242</v>
      </c>
      <c r="CV314">
        <f ca="1">OFFSET('Calculations 2'!$AJ$12,W314,X314)</f>
        <v>0</v>
      </c>
    </row>
    <row r="315" spans="17:100">
      <c r="Q315" t="s">
        <v>468</v>
      </c>
      <c r="R315" t="s">
        <v>489</v>
      </c>
      <c r="S315" t="s">
        <v>242</v>
      </c>
      <c r="T315">
        <f ca="1">OFFSET('Calculations 2'!$C$45,W315,X315)*OFFSET($M$6,W315,0)</f>
        <v>1.5274469298048898</v>
      </c>
      <c r="V315">
        <f t="shared" si="14"/>
        <v>309</v>
      </c>
      <c r="W315">
        <f t="shared" si="15"/>
        <v>12</v>
      </c>
      <c r="X315">
        <f t="shared" si="16"/>
        <v>9</v>
      </c>
      <c r="AC315" t="s">
        <v>468</v>
      </c>
      <c r="AD315" t="s">
        <v>489</v>
      </c>
      <c r="AE315" t="s">
        <v>242</v>
      </c>
      <c r="AF315">
        <f ca="1">OFFSET('Calculations 2'!$CE$45,W315,0)*OFFSET($AA$6,X315,0)*OFFSET($M$6,W315,)</f>
        <v>8.6394865343871743</v>
      </c>
      <c r="AY315" t="s">
        <v>468</v>
      </c>
      <c r="AZ315" t="s">
        <v>489</v>
      </c>
      <c r="BA315" t="s">
        <v>242</v>
      </c>
      <c r="BB315">
        <v>0</v>
      </c>
      <c r="BE315" t="s">
        <v>468</v>
      </c>
      <c r="BF315" t="s">
        <v>489</v>
      </c>
      <c r="BG315" t="s">
        <v>242</v>
      </c>
      <c r="BH315">
        <v>0</v>
      </c>
      <c r="CT315" t="s">
        <v>468</v>
      </c>
      <c r="CU315" t="s">
        <v>242</v>
      </c>
      <c r="CV315">
        <f ca="1">OFFSET('Calculations 2'!$AJ$12,W315,X315)</f>
        <v>0</v>
      </c>
    </row>
    <row r="316" spans="17:100">
      <c r="Q316" t="s">
        <v>469</v>
      </c>
      <c r="R316" t="s">
        <v>489</v>
      </c>
      <c r="S316" t="s">
        <v>242</v>
      </c>
      <c r="T316">
        <f ca="1">OFFSET('Calculations 2'!$C$45,W316,X316)*OFFSET($M$6,W316,0)</f>
        <v>0.65787088385646719</v>
      </c>
      <c r="V316">
        <f t="shared" si="14"/>
        <v>310</v>
      </c>
      <c r="W316">
        <f t="shared" si="15"/>
        <v>13</v>
      </c>
      <c r="X316">
        <f t="shared" si="16"/>
        <v>9</v>
      </c>
      <c r="AC316" t="s">
        <v>469</v>
      </c>
      <c r="AD316" t="s">
        <v>489</v>
      </c>
      <c r="AE316" t="s">
        <v>242</v>
      </c>
      <c r="AF316">
        <f ca="1">OFFSET('Calculations 2'!$CE$45,W316,0)*OFFSET($AA$6,X316,0)*OFFSET($M$6,W316,)</f>
        <v>1.7972006508389369</v>
      </c>
      <c r="AY316" t="s">
        <v>469</v>
      </c>
      <c r="AZ316" t="s">
        <v>489</v>
      </c>
      <c r="BA316" t="s">
        <v>242</v>
      </c>
      <c r="BB316">
        <v>0</v>
      </c>
      <c r="BE316" t="s">
        <v>469</v>
      </c>
      <c r="BF316" t="s">
        <v>489</v>
      </c>
      <c r="BG316" t="s">
        <v>242</v>
      </c>
      <c r="BH316">
        <v>0</v>
      </c>
      <c r="CT316" t="s">
        <v>469</v>
      </c>
      <c r="CU316" t="s">
        <v>242</v>
      </c>
      <c r="CV316">
        <f ca="1">OFFSET('Calculations 2'!$AJ$12,W316,X316)</f>
        <v>0</v>
      </c>
    </row>
    <row r="317" spans="17:100">
      <c r="Q317" t="s">
        <v>245</v>
      </c>
      <c r="R317" t="s">
        <v>489</v>
      </c>
      <c r="S317" t="s">
        <v>242</v>
      </c>
      <c r="T317">
        <f ca="1">OFFSET('Calculations 2'!$C$45,W317,X317)*OFFSET($M$6,W317,0)</f>
        <v>0.85711844691327554</v>
      </c>
      <c r="V317">
        <f t="shared" si="14"/>
        <v>311</v>
      </c>
      <c r="W317">
        <f t="shared" si="15"/>
        <v>14</v>
      </c>
      <c r="X317">
        <f t="shared" si="16"/>
        <v>9</v>
      </c>
      <c r="AC317" t="s">
        <v>245</v>
      </c>
      <c r="AD317" t="s">
        <v>489</v>
      </c>
      <c r="AE317" t="s">
        <v>242</v>
      </c>
      <c r="AF317">
        <f ca="1">OFFSET('Calculations 2'!$CE$45,W317,0)*OFFSET($AA$6,X317,0)*OFFSET($M$6,W317,)</f>
        <v>2.5960706516396383</v>
      </c>
      <c r="AY317" t="s">
        <v>245</v>
      </c>
      <c r="AZ317" t="s">
        <v>489</v>
      </c>
      <c r="BA317" t="s">
        <v>242</v>
      </c>
      <c r="BB317">
        <v>0</v>
      </c>
      <c r="BE317" t="s">
        <v>245</v>
      </c>
      <c r="BF317" t="s">
        <v>489</v>
      </c>
      <c r="BG317" t="s">
        <v>242</v>
      </c>
      <c r="BH317">
        <v>0</v>
      </c>
      <c r="CT317" t="s">
        <v>245</v>
      </c>
      <c r="CU317" t="s">
        <v>242</v>
      </c>
      <c r="CV317">
        <f ca="1">OFFSET('Calculations 2'!$AJ$12,W317,X317)</f>
        <v>0</v>
      </c>
    </row>
    <row r="318" spans="17:100">
      <c r="Q318" t="s">
        <v>470</v>
      </c>
      <c r="R318" t="s">
        <v>489</v>
      </c>
      <c r="S318" t="s">
        <v>242</v>
      </c>
      <c r="T318">
        <f ca="1">OFFSET('Calculations 2'!$C$45,W318,X318)*OFFSET($M$6,W318,0)</f>
        <v>4.5316916094835751</v>
      </c>
      <c r="V318">
        <f t="shared" si="14"/>
        <v>312</v>
      </c>
      <c r="W318">
        <f t="shared" si="15"/>
        <v>15</v>
      </c>
      <c r="X318">
        <f t="shared" si="16"/>
        <v>9</v>
      </c>
      <c r="AC318" t="s">
        <v>470</v>
      </c>
      <c r="AD318" t="s">
        <v>489</v>
      </c>
      <c r="AE318" t="s">
        <v>242</v>
      </c>
      <c r="AF318">
        <f ca="1">OFFSET('Calculations 2'!$CE$45,W318,0)*OFFSET($AA$6,X318,0)*OFFSET($M$6,W318,)</f>
        <v>7.0689320998670713</v>
      </c>
      <c r="AY318" t="s">
        <v>470</v>
      </c>
      <c r="AZ318" t="s">
        <v>489</v>
      </c>
      <c r="BA318" t="s">
        <v>242</v>
      </c>
      <c r="BB318">
        <v>0</v>
      </c>
      <c r="BE318" t="s">
        <v>470</v>
      </c>
      <c r="BF318" t="s">
        <v>489</v>
      </c>
      <c r="BG318" t="s">
        <v>242</v>
      </c>
      <c r="BH318">
        <v>0</v>
      </c>
      <c r="CT318" t="s">
        <v>470</v>
      </c>
      <c r="CU318" t="s">
        <v>242</v>
      </c>
      <c r="CV318">
        <f ca="1">OFFSET('Calculations 2'!$AJ$12,W318,X318)</f>
        <v>0</v>
      </c>
    </row>
    <row r="319" spans="17:100">
      <c r="Q319" t="s">
        <v>471</v>
      </c>
      <c r="R319" t="s">
        <v>489</v>
      </c>
      <c r="S319" t="s">
        <v>242</v>
      </c>
      <c r="T319">
        <f ca="1">OFFSET('Calculations 2'!$C$45,W319,X319)*OFFSET($M$6,W319,0)</f>
        <v>175.24724383925829</v>
      </c>
      <c r="V319">
        <f t="shared" si="14"/>
        <v>313</v>
      </c>
      <c r="W319">
        <f t="shared" si="15"/>
        <v>16</v>
      </c>
      <c r="X319">
        <f t="shared" si="16"/>
        <v>9</v>
      </c>
      <c r="AC319" t="s">
        <v>471</v>
      </c>
      <c r="AD319" t="s">
        <v>489</v>
      </c>
      <c r="AE319" t="s">
        <v>242</v>
      </c>
      <c r="AF319">
        <f ca="1">OFFSET('Calculations 2'!$CE$45,W319,0)*OFFSET($AA$6,X319,0)*OFFSET($M$6,W319,)</f>
        <v>0</v>
      </c>
      <c r="AY319" t="s">
        <v>471</v>
      </c>
      <c r="AZ319" t="s">
        <v>489</v>
      </c>
      <c r="BA319" t="s">
        <v>242</v>
      </c>
      <c r="BB319">
        <v>0</v>
      </c>
      <c r="BE319" t="s">
        <v>471</v>
      </c>
      <c r="BF319" t="s">
        <v>489</v>
      </c>
      <c r="BG319" t="s">
        <v>242</v>
      </c>
      <c r="BH319">
        <v>0</v>
      </c>
      <c r="CT319" t="s">
        <v>471</v>
      </c>
      <c r="CU319" t="s">
        <v>242</v>
      </c>
      <c r="CV319">
        <f ca="1">OFFSET('Calculations 2'!$AJ$12,W319,X319)</f>
        <v>0</v>
      </c>
    </row>
    <row r="320" spans="17:100">
      <c r="Q320" t="s">
        <v>221</v>
      </c>
      <c r="R320" t="s">
        <v>489</v>
      </c>
      <c r="S320" t="s">
        <v>242</v>
      </c>
      <c r="T320">
        <f ca="1">OFFSET('Calculations 2'!$C$45,W320,X320)*OFFSET($M$6,W320,0)</f>
        <v>15.295369527568679</v>
      </c>
      <c r="V320">
        <f t="shared" si="14"/>
        <v>314</v>
      </c>
      <c r="W320">
        <f t="shared" si="15"/>
        <v>17</v>
      </c>
      <c r="X320">
        <f t="shared" si="16"/>
        <v>9</v>
      </c>
      <c r="AC320" t="s">
        <v>221</v>
      </c>
      <c r="AD320" t="s">
        <v>489</v>
      </c>
      <c r="AE320" t="s">
        <v>242</v>
      </c>
      <c r="AF320">
        <f ca="1">OFFSET('Calculations 2'!$CE$45,W320,0)*OFFSET($AA$6,X320,0)*OFFSET($M$6,W320,)</f>
        <v>234.81890011728416</v>
      </c>
      <c r="AY320" t="s">
        <v>221</v>
      </c>
      <c r="AZ320" t="s">
        <v>489</v>
      </c>
      <c r="BA320" t="s">
        <v>242</v>
      </c>
      <c r="BB320">
        <v>0</v>
      </c>
      <c r="BE320" t="s">
        <v>221</v>
      </c>
      <c r="BF320" t="s">
        <v>489</v>
      </c>
      <c r="BG320" t="s">
        <v>242</v>
      </c>
      <c r="BH320">
        <v>0</v>
      </c>
      <c r="CT320" t="s">
        <v>221</v>
      </c>
      <c r="CU320" t="s">
        <v>242</v>
      </c>
      <c r="CV320">
        <f ca="1">OFFSET('Calculations 2'!$AJ$12,W320,X320)</f>
        <v>0</v>
      </c>
    </row>
    <row r="321" spans="17:100">
      <c r="Q321" t="s">
        <v>244</v>
      </c>
      <c r="R321" t="s">
        <v>489</v>
      </c>
      <c r="S321" t="s">
        <v>242</v>
      </c>
      <c r="T321">
        <f ca="1">OFFSET('Calculations 2'!$C$45,W321,X321)*OFFSET($M$6,W321,0)</f>
        <v>583.50624458104778</v>
      </c>
      <c r="V321">
        <f t="shared" si="14"/>
        <v>315</v>
      </c>
      <c r="W321">
        <f t="shared" si="15"/>
        <v>18</v>
      </c>
      <c r="X321">
        <f t="shared" si="16"/>
        <v>9</v>
      </c>
      <c r="AC321" t="s">
        <v>244</v>
      </c>
      <c r="AD321" t="s">
        <v>489</v>
      </c>
      <c r="AE321" t="s">
        <v>242</v>
      </c>
      <c r="AF321">
        <f ca="1">OFFSET('Calculations 2'!$CE$45,W321,0)*OFFSET($AA$6,X321,0)*OFFSET($M$6,W321,)</f>
        <v>37.54597644188587</v>
      </c>
      <c r="AY321" t="s">
        <v>244</v>
      </c>
      <c r="AZ321" t="s">
        <v>489</v>
      </c>
      <c r="BA321" t="s">
        <v>242</v>
      </c>
      <c r="BB321">
        <v>0</v>
      </c>
      <c r="BE321" t="s">
        <v>244</v>
      </c>
      <c r="BF321" t="s">
        <v>489</v>
      </c>
      <c r="BG321" t="s">
        <v>242</v>
      </c>
      <c r="BH321">
        <v>0</v>
      </c>
      <c r="CT321" t="s">
        <v>244</v>
      </c>
      <c r="CU321" t="s">
        <v>242</v>
      </c>
      <c r="CV321">
        <f ca="1">OFFSET('Calculations 2'!$AJ$12,W321,X321)</f>
        <v>0</v>
      </c>
    </row>
    <row r="322" spans="17:100">
      <c r="Q322" t="s">
        <v>472</v>
      </c>
      <c r="R322" t="s">
        <v>489</v>
      </c>
      <c r="S322" t="s">
        <v>242</v>
      </c>
      <c r="T322">
        <f ca="1">OFFSET('Calculations 2'!$C$45,W322,X322)*OFFSET($M$6,W322,0)</f>
        <v>0</v>
      </c>
      <c r="V322">
        <f t="shared" si="14"/>
        <v>316</v>
      </c>
      <c r="W322">
        <f t="shared" si="15"/>
        <v>19</v>
      </c>
      <c r="X322">
        <f t="shared" si="16"/>
        <v>9</v>
      </c>
      <c r="AC322" t="s">
        <v>472</v>
      </c>
      <c r="AD322" t="s">
        <v>489</v>
      </c>
      <c r="AE322" t="s">
        <v>242</v>
      </c>
      <c r="AF322">
        <f ca="1">OFFSET('Calculations 2'!$CE$45,W322,0)*OFFSET($AA$6,X322,0)*OFFSET($M$6,W322,)</f>
        <v>0</v>
      </c>
      <c r="AY322" t="s">
        <v>472</v>
      </c>
      <c r="AZ322" t="s">
        <v>489</v>
      </c>
      <c r="BA322" t="s">
        <v>242</v>
      </c>
      <c r="BB322">
        <v>0</v>
      </c>
      <c r="BE322" t="s">
        <v>472</v>
      </c>
      <c r="BF322" t="s">
        <v>489</v>
      </c>
      <c r="BG322" t="s">
        <v>242</v>
      </c>
      <c r="BH322">
        <v>0</v>
      </c>
      <c r="CT322" t="s">
        <v>472</v>
      </c>
      <c r="CU322" t="s">
        <v>242</v>
      </c>
      <c r="CV322">
        <f ca="1">OFFSET('Calculations 2'!$AJ$12,W322,X322)</f>
        <v>0</v>
      </c>
    </row>
    <row r="323" spans="17:100">
      <c r="Q323" t="s">
        <v>238</v>
      </c>
      <c r="R323" t="s">
        <v>489</v>
      </c>
      <c r="S323" t="s">
        <v>242</v>
      </c>
      <c r="T323">
        <f ca="1">OFFSET('Calculations 2'!$C$45,W323,X323)*OFFSET($M$6,W323,0)</f>
        <v>20.884968537437157</v>
      </c>
      <c r="V323">
        <f t="shared" si="14"/>
        <v>317</v>
      </c>
      <c r="W323">
        <f t="shared" si="15"/>
        <v>20</v>
      </c>
      <c r="X323">
        <f t="shared" si="16"/>
        <v>9</v>
      </c>
      <c r="AC323" t="s">
        <v>238</v>
      </c>
      <c r="AD323" t="s">
        <v>489</v>
      </c>
      <c r="AE323" t="s">
        <v>242</v>
      </c>
      <c r="AF323">
        <f ca="1">OFFSET('Calculations 2'!$CE$45,W323,0)*OFFSET($AA$6,X323,0)*OFFSET($M$6,W323,)</f>
        <v>0</v>
      </c>
      <c r="AY323" t="s">
        <v>238</v>
      </c>
      <c r="AZ323" t="s">
        <v>489</v>
      </c>
      <c r="BA323" t="s">
        <v>242</v>
      </c>
      <c r="BB323">
        <v>0</v>
      </c>
      <c r="BE323" t="s">
        <v>238</v>
      </c>
      <c r="BF323" t="s">
        <v>489</v>
      </c>
      <c r="BG323" t="s">
        <v>242</v>
      </c>
      <c r="BH323">
        <v>0</v>
      </c>
      <c r="CT323" t="s">
        <v>238</v>
      </c>
      <c r="CU323" t="s">
        <v>242</v>
      </c>
      <c r="CV323">
        <f ca="1">OFFSET('Calculations 2'!$AJ$12,W323,X323)</f>
        <v>0</v>
      </c>
    </row>
    <row r="324" spans="17:100">
      <c r="Q324" t="s">
        <v>247</v>
      </c>
      <c r="R324" t="s">
        <v>489</v>
      </c>
      <c r="S324" t="s">
        <v>242</v>
      </c>
      <c r="T324">
        <f ca="1">OFFSET('Calculations 2'!$C$45,W324,X324)*OFFSET($M$6,W324,0)</f>
        <v>0</v>
      </c>
      <c r="V324">
        <f t="shared" si="14"/>
        <v>318</v>
      </c>
      <c r="W324">
        <f t="shared" si="15"/>
        <v>21</v>
      </c>
      <c r="X324">
        <f t="shared" si="16"/>
        <v>9</v>
      </c>
      <c r="AC324" t="s">
        <v>247</v>
      </c>
      <c r="AD324" t="s">
        <v>489</v>
      </c>
      <c r="AE324" t="s">
        <v>242</v>
      </c>
      <c r="AF324">
        <f ca="1">OFFSET('Calculations 2'!$CE$45,W324,0)*OFFSET($AA$6,X324,0)*OFFSET($M$6,W324,)</f>
        <v>0</v>
      </c>
      <c r="AY324" t="s">
        <v>247</v>
      </c>
      <c r="AZ324" t="s">
        <v>489</v>
      </c>
      <c r="BA324" t="s">
        <v>242</v>
      </c>
      <c r="BB324">
        <v>0</v>
      </c>
      <c r="BE324" t="s">
        <v>247</v>
      </c>
      <c r="BF324" t="s">
        <v>489</v>
      </c>
      <c r="BG324" t="s">
        <v>242</v>
      </c>
      <c r="BH324">
        <v>0</v>
      </c>
      <c r="CT324" t="s">
        <v>247</v>
      </c>
      <c r="CU324" t="s">
        <v>242</v>
      </c>
      <c r="CV324">
        <f ca="1">OFFSET('Calculations 2'!$AJ$12,W324,X324)</f>
        <v>0</v>
      </c>
    </row>
    <row r="325" spans="17:100">
      <c r="Q325" t="s">
        <v>218</v>
      </c>
      <c r="R325" t="s">
        <v>489</v>
      </c>
      <c r="S325" t="s">
        <v>242</v>
      </c>
      <c r="T325">
        <f ca="1">OFFSET('Calculations 2'!$C$45,W325,X325)*OFFSET($M$6,W325,0)</f>
        <v>22.086298413555042</v>
      </c>
      <c r="V325">
        <f t="shared" si="14"/>
        <v>319</v>
      </c>
      <c r="W325">
        <f t="shared" si="15"/>
        <v>22</v>
      </c>
      <c r="X325">
        <f t="shared" si="16"/>
        <v>9</v>
      </c>
      <c r="AC325" t="s">
        <v>218</v>
      </c>
      <c r="AD325" t="s">
        <v>489</v>
      </c>
      <c r="AE325" t="s">
        <v>242</v>
      </c>
      <c r="AF325">
        <f ca="1">OFFSET('Calculations 2'!$CE$45,W325,0)*OFFSET($AA$6,X325,0)*OFFSET($M$6,W325,)</f>
        <v>0</v>
      </c>
      <c r="AY325" t="s">
        <v>218</v>
      </c>
      <c r="AZ325" t="s">
        <v>489</v>
      </c>
      <c r="BA325" t="s">
        <v>242</v>
      </c>
      <c r="BB325">
        <v>0</v>
      </c>
      <c r="BE325" t="s">
        <v>218</v>
      </c>
      <c r="BF325" t="s">
        <v>489</v>
      </c>
      <c r="BG325" t="s">
        <v>242</v>
      </c>
      <c r="BH325">
        <v>0</v>
      </c>
      <c r="CT325" t="s">
        <v>218</v>
      </c>
      <c r="CU325" t="s">
        <v>242</v>
      </c>
      <c r="CV325">
        <f ca="1">OFFSET('Calculations 2'!$AJ$12,W325,X325)</f>
        <v>0</v>
      </c>
    </row>
    <row r="326" spans="17:100">
      <c r="Q326" t="s">
        <v>257</v>
      </c>
      <c r="R326" t="s">
        <v>489</v>
      </c>
      <c r="S326" t="s">
        <v>242</v>
      </c>
      <c r="T326">
        <f ca="1">OFFSET('Calculations 2'!$C$45,W326,X326)*OFFSET($M$6,W326,0)</f>
        <v>139.86740639418809</v>
      </c>
      <c r="V326">
        <f t="shared" si="14"/>
        <v>320</v>
      </c>
      <c r="W326">
        <f t="shared" si="15"/>
        <v>23</v>
      </c>
      <c r="X326">
        <f t="shared" si="16"/>
        <v>9</v>
      </c>
      <c r="AC326" t="s">
        <v>257</v>
      </c>
      <c r="AD326" t="s">
        <v>489</v>
      </c>
      <c r="AE326" t="s">
        <v>242</v>
      </c>
      <c r="AF326">
        <f ca="1">OFFSET('Calculations 2'!$CE$45,W326,0)*OFFSET($AA$6,X326,0)*OFFSET($M$6,W326,)</f>
        <v>0</v>
      </c>
      <c r="AY326" t="s">
        <v>257</v>
      </c>
      <c r="AZ326" t="s">
        <v>489</v>
      </c>
      <c r="BA326" t="s">
        <v>242</v>
      </c>
      <c r="BB326">
        <v>0</v>
      </c>
      <c r="BE326" t="s">
        <v>257</v>
      </c>
      <c r="BF326" t="s">
        <v>489</v>
      </c>
      <c r="BG326" t="s">
        <v>242</v>
      </c>
      <c r="BH326">
        <v>0</v>
      </c>
      <c r="CT326" t="s">
        <v>257</v>
      </c>
      <c r="CU326" t="s">
        <v>242</v>
      </c>
      <c r="CV326">
        <f ca="1">OFFSET('Calculations 2'!$AJ$12,W326,X326)</f>
        <v>0</v>
      </c>
    </row>
    <row r="327" spans="17:100">
      <c r="Q327" t="s">
        <v>220</v>
      </c>
      <c r="R327" t="s">
        <v>489</v>
      </c>
      <c r="S327" t="s">
        <v>242</v>
      </c>
      <c r="T327">
        <f ca="1">OFFSET('Calculations 2'!$C$45,W327,X327)*OFFSET($M$6,W327,0)</f>
        <v>4.6718355742161712</v>
      </c>
      <c r="V327">
        <f t="shared" si="14"/>
        <v>321</v>
      </c>
      <c r="W327">
        <f t="shared" si="15"/>
        <v>24</v>
      </c>
      <c r="X327">
        <f t="shared" si="16"/>
        <v>9</v>
      </c>
      <c r="AC327" t="s">
        <v>220</v>
      </c>
      <c r="AD327" t="s">
        <v>489</v>
      </c>
      <c r="AE327" t="s">
        <v>242</v>
      </c>
      <c r="AF327">
        <f ca="1">OFFSET('Calculations 2'!$CE$45,W327,0)*OFFSET($AA$6,X327,0)*OFFSET($M$6,W327,)</f>
        <v>0</v>
      </c>
      <c r="AY327" t="s">
        <v>220</v>
      </c>
      <c r="AZ327" t="s">
        <v>489</v>
      </c>
      <c r="BA327" t="s">
        <v>242</v>
      </c>
      <c r="BB327">
        <v>0</v>
      </c>
      <c r="BE327" t="s">
        <v>220</v>
      </c>
      <c r="BF327" t="s">
        <v>489</v>
      </c>
      <c r="BG327" t="s">
        <v>242</v>
      </c>
      <c r="BH327">
        <v>0</v>
      </c>
      <c r="CT327" t="s">
        <v>220</v>
      </c>
      <c r="CU327" t="s">
        <v>242</v>
      </c>
      <c r="CV327">
        <f ca="1">OFFSET('Calculations 2'!$AJ$12,W327,X327)</f>
        <v>0</v>
      </c>
    </row>
    <row r="328" spans="17:100">
      <c r="Q328" t="s">
        <v>235</v>
      </c>
      <c r="R328" t="s">
        <v>489</v>
      </c>
      <c r="S328" t="s">
        <v>242</v>
      </c>
      <c r="T328">
        <f ca="1">OFFSET('Calculations 2'!$C$45,W328,X328)*OFFSET($M$6,W328,0)</f>
        <v>151.73777990264176</v>
      </c>
      <c r="V328">
        <f t="shared" ref="V328:V391" si="17">V327+1</f>
        <v>322</v>
      </c>
      <c r="W328">
        <f t="shared" ref="W328:W391" si="18">MOD(V328,$V$3)</f>
        <v>25</v>
      </c>
      <c r="X328">
        <f t="shared" ref="X328:X391" si="19">FLOOR(V328/$V$3,1)</f>
        <v>9</v>
      </c>
      <c r="AC328" t="s">
        <v>235</v>
      </c>
      <c r="AD328" t="s">
        <v>489</v>
      </c>
      <c r="AE328" t="s">
        <v>242</v>
      </c>
      <c r="AF328">
        <f ca="1">OFFSET('Calculations 2'!$CE$45,W328,0)*OFFSET($AA$6,X328,0)*OFFSET($M$6,W328,)</f>
        <v>0</v>
      </c>
      <c r="AY328" t="s">
        <v>235</v>
      </c>
      <c r="AZ328" t="s">
        <v>489</v>
      </c>
      <c r="BA328" t="s">
        <v>242</v>
      </c>
      <c r="BB328">
        <v>0</v>
      </c>
      <c r="BE328" t="s">
        <v>235</v>
      </c>
      <c r="BF328" t="s">
        <v>489</v>
      </c>
      <c r="BG328" t="s">
        <v>242</v>
      </c>
      <c r="BH328">
        <v>0</v>
      </c>
      <c r="CT328" t="s">
        <v>235</v>
      </c>
      <c r="CU328" t="s">
        <v>242</v>
      </c>
      <c r="CV328">
        <f ca="1">OFFSET('Calculations 2'!$AJ$12,W328,X328)</f>
        <v>0</v>
      </c>
    </row>
    <row r="329" spans="17:100">
      <c r="Q329" t="s">
        <v>473</v>
      </c>
      <c r="R329" t="s">
        <v>489</v>
      </c>
      <c r="S329" t="s">
        <v>242</v>
      </c>
      <c r="T329">
        <f ca="1">OFFSET('Calculations 2'!$C$45,W329,X329)*OFFSET($M$6,W329,0)</f>
        <v>18.522001366504877</v>
      </c>
      <c r="V329">
        <f t="shared" si="17"/>
        <v>323</v>
      </c>
      <c r="W329">
        <f t="shared" si="18"/>
        <v>26</v>
      </c>
      <c r="X329">
        <f t="shared" si="19"/>
        <v>9</v>
      </c>
      <c r="AC329" t="s">
        <v>473</v>
      </c>
      <c r="AD329" t="s">
        <v>489</v>
      </c>
      <c r="AE329" t="s">
        <v>242</v>
      </c>
      <c r="AF329">
        <f ca="1">OFFSET('Calculations 2'!$CE$45,W329,0)*OFFSET($AA$6,X329,0)*OFFSET($M$6,W329,)</f>
        <v>0</v>
      </c>
      <c r="AY329" t="s">
        <v>473</v>
      </c>
      <c r="AZ329" t="s">
        <v>489</v>
      </c>
      <c r="BA329" t="s">
        <v>242</v>
      </c>
      <c r="BB329">
        <v>0</v>
      </c>
      <c r="BE329" t="s">
        <v>473</v>
      </c>
      <c r="BF329" t="s">
        <v>489</v>
      </c>
      <c r="BG329" t="s">
        <v>242</v>
      </c>
      <c r="BH329">
        <v>0</v>
      </c>
      <c r="CT329" t="s">
        <v>473</v>
      </c>
      <c r="CU329" t="s">
        <v>242</v>
      </c>
      <c r="CV329">
        <f ca="1">OFFSET('Calculations 2'!$AJ$12,W329,X329)</f>
        <v>0</v>
      </c>
    </row>
    <row r="330" spans="17:100">
      <c r="Q330" t="s">
        <v>233</v>
      </c>
      <c r="R330" t="s">
        <v>489</v>
      </c>
      <c r="S330" t="s">
        <v>242</v>
      </c>
      <c r="T330">
        <f ca="1">OFFSET('Calculations 2'!$C$45,W330,X330)*OFFSET($M$6,W330,0)</f>
        <v>55.136238305655411</v>
      </c>
      <c r="V330">
        <f t="shared" si="17"/>
        <v>324</v>
      </c>
      <c r="W330">
        <f t="shared" si="18"/>
        <v>27</v>
      </c>
      <c r="X330">
        <f t="shared" si="19"/>
        <v>9</v>
      </c>
      <c r="AC330" t="s">
        <v>233</v>
      </c>
      <c r="AD330" t="s">
        <v>489</v>
      </c>
      <c r="AE330" t="s">
        <v>242</v>
      </c>
      <c r="AF330">
        <f ca="1">OFFSET('Calculations 2'!$CE$45,W330,0)*OFFSET($AA$6,X330,0)*OFFSET($M$6,W330,)</f>
        <v>0</v>
      </c>
      <c r="AY330" t="s">
        <v>233</v>
      </c>
      <c r="AZ330" t="s">
        <v>489</v>
      </c>
      <c r="BA330" t="s">
        <v>242</v>
      </c>
      <c r="BB330">
        <v>0</v>
      </c>
      <c r="BE330" t="s">
        <v>233</v>
      </c>
      <c r="BF330" t="s">
        <v>489</v>
      </c>
      <c r="BG330" t="s">
        <v>242</v>
      </c>
      <c r="BH330">
        <v>0</v>
      </c>
      <c r="CT330" t="s">
        <v>233</v>
      </c>
      <c r="CU330" t="s">
        <v>242</v>
      </c>
      <c r="CV330">
        <f ca="1">OFFSET('Calculations 2'!$AJ$12,W330,X330)</f>
        <v>0</v>
      </c>
    </row>
    <row r="331" spans="17:100">
      <c r="Q331" t="s">
        <v>474</v>
      </c>
      <c r="R331" t="s">
        <v>489</v>
      </c>
      <c r="S331" t="s">
        <v>242</v>
      </c>
      <c r="T331">
        <f ca="1">OFFSET('Calculations 2'!$C$45,W331,X331)*OFFSET($M$6,W331,0)</f>
        <v>9.6067227879227577</v>
      </c>
      <c r="V331">
        <f t="shared" si="17"/>
        <v>325</v>
      </c>
      <c r="W331">
        <f t="shared" si="18"/>
        <v>28</v>
      </c>
      <c r="X331">
        <f t="shared" si="19"/>
        <v>9</v>
      </c>
      <c r="AC331" t="s">
        <v>474</v>
      </c>
      <c r="AD331" t="s">
        <v>489</v>
      </c>
      <c r="AE331" t="s">
        <v>242</v>
      </c>
      <c r="AF331">
        <f ca="1">OFFSET('Calculations 2'!$CE$45,W331,0)*OFFSET($AA$6,X331,0)*OFFSET($M$6,W331,)</f>
        <v>0</v>
      </c>
      <c r="AY331" t="s">
        <v>474</v>
      </c>
      <c r="AZ331" t="s">
        <v>489</v>
      </c>
      <c r="BA331" t="s">
        <v>242</v>
      </c>
      <c r="BB331">
        <v>0</v>
      </c>
      <c r="BE331" t="s">
        <v>474</v>
      </c>
      <c r="BF331" t="s">
        <v>489</v>
      </c>
      <c r="BG331" t="s">
        <v>242</v>
      </c>
      <c r="BH331">
        <v>0</v>
      </c>
      <c r="CT331" t="s">
        <v>474</v>
      </c>
      <c r="CU331" t="s">
        <v>242</v>
      </c>
      <c r="CV331">
        <f ca="1">OFFSET('Calculations 2'!$AJ$12,W331,X331)</f>
        <v>0</v>
      </c>
    </row>
    <row r="332" spans="17:100">
      <c r="Q332" t="s">
        <v>223</v>
      </c>
      <c r="R332" t="s">
        <v>489</v>
      </c>
      <c r="S332" t="s">
        <v>242</v>
      </c>
      <c r="T332">
        <f ca="1">OFFSET('Calculations 2'!$C$45,W332,X332)*OFFSET($M$6,W332,0)</f>
        <v>1.1961160351025029</v>
      </c>
      <c r="V332">
        <f t="shared" si="17"/>
        <v>326</v>
      </c>
      <c r="W332">
        <f t="shared" si="18"/>
        <v>29</v>
      </c>
      <c r="X332">
        <f t="shared" si="19"/>
        <v>9</v>
      </c>
      <c r="AC332" t="s">
        <v>223</v>
      </c>
      <c r="AD332" t="s">
        <v>489</v>
      </c>
      <c r="AE332" t="s">
        <v>242</v>
      </c>
      <c r="AF332">
        <f ca="1">OFFSET('Calculations 2'!$CE$45,W332,0)*OFFSET($AA$6,X332,0)*OFFSET($M$6,W332,)</f>
        <v>0</v>
      </c>
      <c r="AY332" t="s">
        <v>223</v>
      </c>
      <c r="AZ332" t="s">
        <v>489</v>
      </c>
      <c r="BA332" t="s">
        <v>242</v>
      </c>
      <c r="BB332">
        <v>0</v>
      </c>
      <c r="BE332" t="s">
        <v>223</v>
      </c>
      <c r="BF332" t="s">
        <v>489</v>
      </c>
      <c r="BG332" t="s">
        <v>242</v>
      </c>
      <c r="BH332">
        <v>0</v>
      </c>
      <c r="CT332" t="s">
        <v>223</v>
      </c>
      <c r="CU332" t="s">
        <v>242</v>
      </c>
      <c r="CV332">
        <f ca="1">OFFSET('Calculations 2'!$AJ$12,W332,X332)</f>
        <v>0</v>
      </c>
    </row>
    <row r="333" spans="17:100">
      <c r="Q333" t="s">
        <v>475</v>
      </c>
      <c r="R333" t="s">
        <v>489</v>
      </c>
      <c r="S333" t="s">
        <v>242</v>
      </c>
      <c r="T333">
        <f ca="1">OFFSET('Calculations 2'!$C$45,W333,X333)*OFFSET($M$6,W333,0)</f>
        <v>0.39779083504627477</v>
      </c>
      <c r="V333">
        <f t="shared" si="17"/>
        <v>327</v>
      </c>
      <c r="W333">
        <f t="shared" si="18"/>
        <v>30</v>
      </c>
      <c r="X333">
        <f t="shared" si="19"/>
        <v>9</v>
      </c>
      <c r="AC333" t="s">
        <v>475</v>
      </c>
      <c r="AD333" t="s">
        <v>489</v>
      </c>
      <c r="AE333" t="s">
        <v>242</v>
      </c>
      <c r="AF333">
        <f ca="1">OFFSET('Calculations 2'!$CE$45,W333,0)*OFFSET($AA$6,X333,0)*OFFSET($M$6,W333,)</f>
        <v>0</v>
      </c>
      <c r="AY333" t="s">
        <v>475</v>
      </c>
      <c r="AZ333" t="s">
        <v>489</v>
      </c>
      <c r="BA333" t="s">
        <v>242</v>
      </c>
      <c r="BB333">
        <v>0</v>
      </c>
      <c r="BE333" t="s">
        <v>475</v>
      </c>
      <c r="BF333" t="s">
        <v>489</v>
      </c>
      <c r="BG333" t="s">
        <v>242</v>
      </c>
      <c r="BH333">
        <v>0</v>
      </c>
      <c r="CT333" t="s">
        <v>475</v>
      </c>
      <c r="CU333" t="s">
        <v>242</v>
      </c>
      <c r="CV333">
        <f ca="1">OFFSET('Calculations 2'!$AJ$12,W333,X333)</f>
        <v>0</v>
      </c>
    </row>
    <row r="334" spans="17:100">
      <c r="Q334" t="s">
        <v>476</v>
      </c>
      <c r="R334" t="s">
        <v>489</v>
      </c>
      <c r="S334" t="s">
        <v>242</v>
      </c>
      <c r="T334">
        <f ca="1">OFFSET('Calculations 2'!$C$45,W334,X334)*OFFSET($M$6,W334,0)</f>
        <v>0.69065425862288166</v>
      </c>
      <c r="V334">
        <f t="shared" si="17"/>
        <v>328</v>
      </c>
      <c r="W334">
        <f t="shared" si="18"/>
        <v>31</v>
      </c>
      <c r="X334">
        <f t="shared" si="19"/>
        <v>9</v>
      </c>
      <c r="AC334" t="s">
        <v>476</v>
      </c>
      <c r="AD334" t="s">
        <v>489</v>
      </c>
      <c r="AE334" t="s">
        <v>242</v>
      </c>
      <c r="AF334">
        <f ca="1">OFFSET('Calculations 2'!$CE$45,W334,0)*OFFSET($AA$6,X334,0)*OFFSET($M$6,W334,)</f>
        <v>0</v>
      </c>
      <c r="AY334" t="s">
        <v>476</v>
      </c>
      <c r="AZ334" t="s">
        <v>489</v>
      </c>
      <c r="BA334" t="s">
        <v>242</v>
      </c>
      <c r="BB334">
        <v>0</v>
      </c>
      <c r="BE334" t="s">
        <v>476</v>
      </c>
      <c r="BF334" t="s">
        <v>489</v>
      </c>
      <c r="BG334" t="s">
        <v>242</v>
      </c>
      <c r="BH334">
        <v>0</v>
      </c>
      <c r="CT334" t="s">
        <v>476</v>
      </c>
      <c r="CU334" t="s">
        <v>242</v>
      </c>
      <c r="CV334">
        <f ca="1">OFFSET('Calculations 2'!$AJ$12,W334,X334)</f>
        <v>0</v>
      </c>
    </row>
    <row r="335" spans="17:100">
      <c r="Q335" t="s">
        <v>222</v>
      </c>
      <c r="R335" t="s">
        <v>489</v>
      </c>
      <c r="S335" t="s">
        <v>242</v>
      </c>
      <c r="T335">
        <f ca="1">OFFSET('Calculations 2'!$C$45,W335,X335)*OFFSET($M$6,W335,0)</f>
        <v>0</v>
      </c>
      <c r="V335">
        <f t="shared" si="17"/>
        <v>329</v>
      </c>
      <c r="W335">
        <f t="shared" si="18"/>
        <v>32</v>
      </c>
      <c r="X335">
        <f t="shared" si="19"/>
        <v>9</v>
      </c>
      <c r="AC335" t="s">
        <v>222</v>
      </c>
      <c r="AD335" t="s">
        <v>489</v>
      </c>
      <c r="AE335" t="s">
        <v>242</v>
      </c>
      <c r="AF335">
        <f ca="1">OFFSET('Calculations 2'!$CE$45,W335,0)*OFFSET($AA$6,X335,0)*OFFSET($M$6,W335,)</f>
        <v>0</v>
      </c>
      <c r="AY335" t="s">
        <v>222</v>
      </c>
      <c r="AZ335" t="s">
        <v>489</v>
      </c>
      <c r="BA335" t="s">
        <v>242</v>
      </c>
      <c r="BB335">
        <v>0</v>
      </c>
      <c r="BE335" t="s">
        <v>222</v>
      </c>
      <c r="BF335" t="s">
        <v>489</v>
      </c>
      <c r="BG335" t="s">
        <v>242</v>
      </c>
      <c r="BH335">
        <v>0</v>
      </c>
      <c r="CT335" t="s">
        <v>222</v>
      </c>
      <c r="CU335" t="s">
        <v>242</v>
      </c>
      <c r="CV335">
        <f ca="1">OFFSET('Calculations 2'!$AJ$12,W335,X335)</f>
        <v>0</v>
      </c>
    </row>
    <row r="336" spans="17:100">
      <c r="Q336" t="s">
        <v>217</v>
      </c>
      <c r="R336" t="s">
        <v>489</v>
      </c>
      <c r="S336" t="s">
        <v>467</v>
      </c>
      <c r="T336">
        <f ca="1">OFFSET('Calculations 2'!$C$45,W336,X336)*OFFSET($M$6,W336,0)</f>
        <v>0</v>
      </c>
      <c r="V336">
        <f t="shared" si="17"/>
        <v>330</v>
      </c>
      <c r="W336">
        <f t="shared" si="18"/>
        <v>0</v>
      </c>
      <c r="X336">
        <f t="shared" si="19"/>
        <v>10</v>
      </c>
      <c r="AC336" t="s">
        <v>217</v>
      </c>
      <c r="AD336" t="s">
        <v>489</v>
      </c>
      <c r="AE336" t="s">
        <v>467</v>
      </c>
      <c r="AF336">
        <f ca="1">OFFSET('Calculations 2'!$CE$45,W336,0)*OFFSET($AA$6,X336,0)*OFFSET($M$6,W336,)</f>
        <v>7.8095419356113874E-2</v>
      </c>
      <c r="AY336" t="s">
        <v>217</v>
      </c>
      <c r="AZ336" t="s">
        <v>489</v>
      </c>
      <c r="BA336" t="s">
        <v>467</v>
      </c>
      <c r="BB336">
        <v>0</v>
      </c>
      <c r="BE336" t="s">
        <v>217</v>
      </c>
      <c r="BF336" t="s">
        <v>489</v>
      </c>
      <c r="BG336" t="s">
        <v>467</v>
      </c>
      <c r="BH336">
        <v>0</v>
      </c>
      <c r="CT336" t="s">
        <v>217</v>
      </c>
      <c r="CU336" t="s">
        <v>467</v>
      </c>
      <c r="CV336">
        <f ca="1">OFFSET('Calculations 2'!$AJ$12,W336,X336)</f>
        <v>0</v>
      </c>
    </row>
    <row r="337" spans="17:100">
      <c r="Q337" t="s">
        <v>232</v>
      </c>
      <c r="R337" t="s">
        <v>489</v>
      </c>
      <c r="S337" t="s">
        <v>467</v>
      </c>
      <c r="T337">
        <f ca="1">OFFSET('Calculations 2'!$C$45,W337,X337)*OFFSET($M$6,W337,0)</f>
        <v>22.600087863728543</v>
      </c>
      <c r="V337">
        <f t="shared" si="17"/>
        <v>331</v>
      </c>
      <c r="W337">
        <f t="shared" si="18"/>
        <v>1</v>
      </c>
      <c r="X337">
        <f t="shared" si="19"/>
        <v>10</v>
      </c>
      <c r="AC337" t="s">
        <v>232</v>
      </c>
      <c r="AD337" t="s">
        <v>489</v>
      </c>
      <c r="AE337" t="s">
        <v>467</v>
      </c>
      <c r="AF337">
        <f ca="1">OFFSET('Calculations 2'!$CE$45,W337,0)*OFFSET($AA$6,X337,0)*OFFSET($M$6,W337,)</f>
        <v>0.13623107243506288</v>
      </c>
      <c r="AY337" t="s">
        <v>232</v>
      </c>
      <c r="AZ337" t="s">
        <v>489</v>
      </c>
      <c r="BA337" t="s">
        <v>467</v>
      </c>
      <c r="BB337">
        <v>0</v>
      </c>
      <c r="BE337" t="s">
        <v>232</v>
      </c>
      <c r="BF337" t="s">
        <v>489</v>
      </c>
      <c r="BG337" t="s">
        <v>467</v>
      </c>
      <c r="BH337">
        <v>0</v>
      </c>
      <c r="CT337" t="s">
        <v>232</v>
      </c>
      <c r="CU337" t="s">
        <v>467</v>
      </c>
      <c r="CV337">
        <f ca="1">OFFSET('Calculations 2'!$AJ$12,W337,X337)</f>
        <v>0</v>
      </c>
    </row>
    <row r="338" spans="17:100">
      <c r="Q338" t="s">
        <v>226</v>
      </c>
      <c r="R338" t="s">
        <v>489</v>
      </c>
      <c r="S338" t="s">
        <v>467</v>
      </c>
      <c r="T338">
        <f ca="1">OFFSET('Calculations 2'!$C$45,W338,X338)*OFFSET($M$6,W338,0)</f>
        <v>0</v>
      </c>
      <c r="V338">
        <f t="shared" si="17"/>
        <v>332</v>
      </c>
      <c r="W338">
        <f t="shared" si="18"/>
        <v>2</v>
      </c>
      <c r="X338">
        <f t="shared" si="19"/>
        <v>10</v>
      </c>
      <c r="AC338" t="s">
        <v>226</v>
      </c>
      <c r="AD338" t="s">
        <v>489</v>
      </c>
      <c r="AE338" t="s">
        <v>467</v>
      </c>
      <c r="AF338">
        <f ca="1">OFFSET('Calculations 2'!$CE$45,W338,0)*OFFSET($AA$6,X338,0)*OFFSET($M$6,W338,)</f>
        <v>0.22938444016438042</v>
      </c>
      <c r="AY338" t="s">
        <v>226</v>
      </c>
      <c r="AZ338" t="s">
        <v>489</v>
      </c>
      <c r="BA338" t="s">
        <v>467</v>
      </c>
      <c r="BB338">
        <v>0</v>
      </c>
      <c r="BE338" t="s">
        <v>226</v>
      </c>
      <c r="BF338" t="s">
        <v>489</v>
      </c>
      <c r="BG338" t="s">
        <v>467</v>
      </c>
      <c r="BH338">
        <v>0</v>
      </c>
      <c r="CT338" t="s">
        <v>226</v>
      </c>
      <c r="CU338" t="s">
        <v>467</v>
      </c>
      <c r="CV338">
        <f ca="1">OFFSET('Calculations 2'!$AJ$12,W338,X338)</f>
        <v>0</v>
      </c>
    </row>
    <row r="339" spans="17:100">
      <c r="Q339" t="s">
        <v>243</v>
      </c>
      <c r="R339" t="s">
        <v>489</v>
      </c>
      <c r="S339" t="s">
        <v>467</v>
      </c>
      <c r="T339">
        <f ca="1">OFFSET('Calculations 2'!$C$45,W339,X339)*OFFSET($M$6,W339,0)</f>
        <v>0.40844009571049322</v>
      </c>
      <c r="V339">
        <f t="shared" si="17"/>
        <v>333</v>
      </c>
      <c r="W339">
        <f t="shared" si="18"/>
        <v>3</v>
      </c>
      <c r="X339">
        <f t="shared" si="19"/>
        <v>10</v>
      </c>
      <c r="AC339" t="s">
        <v>243</v>
      </c>
      <c r="AD339" t="s">
        <v>489</v>
      </c>
      <c r="AE339" t="s">
        <v>467</v>
      </c>
      <c r="AF339">
        <f ca="1">OFFSET('Calculations 2'!$CE$45,W339,0)*OFFSET($AA$6,X339,0)*OFFSET($M$6,W339,)</f>
        <v>1.1948303147038084</v>
      </c>
      <c r="AY339" t="s">
        <v>243</v>
      </c>
      <c r="AZ339" t="s">
        <v>489</v>
      </c>
      <c r="BA339" t="s">
        <v>467</v>
      </c>
      <c r="BB339">
        <v>0</v>
      </c>
      <c r="BE339" t="s">
        <v>243</v>
      </c>
      <c r="BF339" t="s">
        <v>489</v>
      </c>
      <c r="BG339" t="s">
        <v>467</v>
      </c>
      <c r="BH339">
        <v>0</v>
      </c>
      <c r="CT339" t="s">
        <v>243</v>
      </c>
      <c r="CU339" t="s">
        <v>467</v>
      </c>
      <c r="CV339">
        <f ca="1">OFFSET('Calculations 2'!$AJ$12,W339,X339)</f>
        <v>0</v>
      </c>
    </row>
    <row r="340" spans="17:100">
      <c r="Q340" t="s">
        <v>228</v>
      </c>
      <c r="R340" t="s">
        <v>489</v>
      </c>
      <c r="S340" t="s">
        <v>467</v>
      </c>
      <c r="T340">
        <f ca="1">OFFSET('Calculations 2'!$C$45,W340,X340)*OFFSET($M$6,W340,0)</f>
        <v>0</v>
      </c>
      <c r="V340">
        <f t="shared" si="17"/>
        <v>334</v>
      </c>
      <c r="W340">
        <f t="shared" si="18"/>
        <v>4</v>
      </c>
      <c r="X340">
        <f t="shared" si="19"/>
        <v>10</v>
      </c>
      <c r="AC340" t="s">
        <v>228</v>
      </c>
      <c r="AD340" t="s">
        <v>489</v>
      </c>
      <c r="AE340" t="s">
        <v>467</v>
      </c>
      <c r="AF340">
        <f ca="1">OFFSET('Calculations 2'!$CE$45,W340,0)*OFFSET($AA$6,X340,0)*OFFSET($M$6,W340,)</f>
        <v>8.4781858055309658E-3</v>
      </c>
      <c r="AY340" t="s">
        <v>228</v>
      </c>
      <c r="AZ340" t="s">
        <v>489</v>
      </c>
      <c r="BA340" t="s">
        <v>467</v>
      </c>
      <c r="BB340">
        <v>0</v>
      </c>
      <c r="BE340" t="s">
        <v>228</v>
      </c>
      <c r="BF340" t="s">
        <v>489</v>
      </c>
      <c r="BG340" t="s">
        <v>467</v>
      </c>
      <c r="BH340">
        <v>0</v>
      </c>
      <c r="CT340" t="s">
        <v>228</v>
      </c>
      <c r="CU340" t="s">
        <v>467</v>
      </c>
      <c r="CV340">
        <f ca="1">OFFSET('Calculations 2'!$AJ$12,W340,X340)</f>
        <v>0</v>
      </c>
    </row>
    <row r="341" spans="17:100">
      <c r="Q341" t="s">
        <v>246</v>
      </c>
      <c r="R341" t="s">
        <v>489</v>
      </c>
      <c r="S341" t="s">
        <v>467</v>
      </c>
      <c r="T341">
        <f ca="1">OFFSET('Calculations 2'!$C$45,W341,X341)*OFFSET($M$6,W341,0)</f>
        <v>1.0440543167083551</v>
      </c>
      <c r="V341">
        <f t="shared" si="17"/>
        <v>335</v>
      </c>
      <c r="W341">
        <f t="shared" si="18"/>
        <v>5</v>
      </c>
      <c r="X341">
        <f t="shared" si="19"/>
        <v>10</v>
      </c>
      <c r="AC341" t="s">
        <v>246</v>
      </c>
      <c r="AD341" t="s">
        <v>489</v>
      </c>
      <c r="AE341" t="s">
        <v>467</v>
      </c>
      <c r="AF341">
        <f ca="1">OFFSET('Calculations 2'!$CE$45,W341,0)*OFFSET($AA$6,X341,0)*OFFSET($M$6,W341,)</f>
        <v>5.2191602852417814E-2</v>
      </c>
      <c r="AY341" t="s">
        <v>246</v>
      </c>
      <c r="AZ341" t="s">
        <v>489</v>
      </c>
      <c r="BA341" t="s">
        <v>467</v>
      </c>
      <c r="BB341">
        <v>0</v>
      </c>
      <c r="BE341" t="s">
        <v>246</v>
      </c>
      <c r="BF341" t="s">
        <v>489</v>
      </c>
      <c r="BG341" t="s">
        <v>467</v>
      </c>
      <c r="BH341">
        <v>0</v>
      </c>
      <c r="CT341" t="s">
        <v>246</v>
      </c>
      <c r="CU341" t="s">
        <v>467</v>
      </c>
      <c r="CV341">
        <f ca="1">OFFSET('Calculations 2'!$AJ$12,W341,X341)</f>
        <v>0</v>
      </c>
    </row>
    <row r="342" spans="17:100">
      <c r="Q342" t="s">
        <v>239</v>
      </c>
      <c r="R342" t="s">
        <v>489</v>
      </c>
      <c r="S342" t="s">
        <v>467</v>
      </c>
      <c r="T342">
        <f ca="1">OFFSET('Calculations 2'!$C$45,W342,X342)*OFFSET($M$6,W342,0)</f>
        <v>11.721893808456555</v>
      </c>
      <c r="V342">
        <f t="shared" si="17"/>
        <v>336</v>
      </c>
      <c r="W342">
        <f t="shared" si="18"/>
        <v>6</v>
      </c>
      <c r="X342">
        <f t="shared" si="19"/>
        <v>10</v>
      </c>
      <c r="AC342" t="s">
        <v>239</v>
      </c>
      <c r="AD342" t="s">
        <v>489</v>
      </c>
      <c r="AE342" t="s">
        <v>467</v>
      </c>
      <c r="AF342">
        <f ca="1">OFFSET('Calculations 2'!$CE$45,W342,0)*OFFSET($AA$6,X342,0)*OFFSET($M$6,W342,)</f>
        <v>1.0446473501520237</v>
      </c>
      <c r="AY342" t="s">
        <v>239</v>
      </c>
      <c r="AZ342" t="s">
        <v>489</v>
      </c>
      <c r="BA342" t="s">
        <v>467</v>
      </c>
      <c r="BB342">
        <v>0</v>
      </c>
      <c r="BE342" t="s">
        <v>239</v>
      </c>
      <c r="BF342" t="s">
        <v>489</v>
      </c>
      <c r="BG342" t="s">
        <v>467</v>
      </c>
      <c r="BH342">
        <v>0</v>
      </c>
      <c r="CT342" t="s">
        <v>239</v>
      </c>
      <c r="CU342" t="s">
        <v>467</v>
      </c>
      <c r="CV342">
        <f ca="1">OFFSET('Calculations 2'!$AJ$12,W342,X342)</f>
        <v>0</v>
      </c>
    </row>
    <row r="343" spans="17:100">
      <c r="Q343" t="s">
        <v>466</v>
      </c>
      <c r="R343" t="s">
        <v>489</v>
      </c>
      <c r="S343" t="s">
        <v>467</v>
      </c>
      <c r="T343">
        <f ca="1">OFFSET('Calculations 2'!$C$45,W343,X343)*OFFSET($M$6,W343,0)</f>
        <v>163.18147517178807</v>
      </c>
      <c r="V343">
        <f t="shared" si="17"/>
        <v>337</v>
      </c>
      <c r="W343">
        <f t="shared" si="18"/>
        <v>7</v>
      </c>
      <c r="X343">
        <f t="shared" si="19"/>
        <v>10</v>
      </c>
      <c r="AC343" t="s">
        <v>466</v>
      </c>
      <c r="AD343" t="s">
        <v>489</v>
      </c>
      <c r="AE343" t="s">
        <v>467</v>
      </c>
      <c r="AF343">
        <f ca="1">OFFSET('Calculations 2'!$CE$45,W343,0)*OFFSET($AA$6,X343,0)*OFFSET($M$6,W343,)</f>
        <v>0.15918403972142478</v>
      </c>
      <c r="AY343" t="s">
        <v>466</v>
      </c>
      <c r="AZ343" t="s">
        <v>489</v>
      </c>
      <c r="BA343" t="s">
        <v>467</v>
      </c>
      <c r="BB343">
        <v>0</v>
      </c>
      <c r="BE343" t="s">
        <v>466</v>
      </c>
      <c r="BF343" t="s">
        <v>489</v>
      </c>
      <c r="BG343" t="s">
        <v>467</v>
      </c>
      <c r="BH343">
        <v>0</v>
      </c>
      <c r="CT343" t="s">
        <v>466</v>
      </c>
      <c r="CU343" t="s">
        <v>467</v>
      </c>
      <c r="CV343">
        <f ca="1">OFFSET('Calculations 2'!$AJ$12,W343,X343)</f>
        <v>0</v>
      </c>
    </row>
    <row r="344" spans="17:100">
      <c r="Q344" t="s">
        <v>219</v>
      </c>
      <c r="R344" t="s">
        <v>489</v>
      </c>
      <c r="S344" t="s">
        <v>467</v>
      </c>
      <c r="T344">
        <f ca="1">OFFSET('Calculations 2'!$C$45,W344,X344)*OFFSET($M$6,W344,0)</f>
        <v>58.378708261018701</v>
      </c>
      <c r="V344">
        <f t="shared" si="17"/>
        <v>338</v>
      </c>
      <c r="W344">
        <f t="shared" si="18"/>
        <v>8</v>
      </c>
      <c r="X344">
        <f t="shared" si="19"/>
        <v>10</v>
      </c>
      <c r="AC344" t="s">
        <v>219</v>
      </c>
      <c r="AD344" t="s">
        <v>489</v>
      </c>
      <c r="AE344" t="s">
        <v>467</v>
      </c>
      <c r="AF344">
        <f ca="1">OFFSET('Calculations 2'!$CE$45,W344,0)*OFFSET($AA$6,X344,0)*OFFSET($M$6,W344,)</f>
        <v>0.99127154378163174</v>
      </c>
      <c r="AY344" t="s">
        <v>219</v>
      </c>
      <c r="AZ344" t="s">
        <v>489</v>
      </c>
      <c r="BA344" t="s">
        <v>467</v>
      </c>
      <c r="BB344">
        <v>0</v>
      </c>
      <c r="BE344" t="s">
        <v>219</v>
      </c>
      <c r="BF344" t="s">
        <v>489</v>
      </c>
      <c r="BG344" t="s">
        <v>467</v>
      </c>
      <c r="BH344">
        <v>0</v>
      </c>
      <c r="CT344" t="s">
        <v>219</v>
      </c>
      <c r="CU344" t="s">
        <v>467</v>
      </c>
      <c r="CV344">
        <f ca="1">OFFSET('Calculations 2'!$AJ$12,W344,X344)</f>
        <v>0</v>
      </c>
    </row>
    <row r="345" spans="17:100">
      <c r="Q345" t="s">
        <v>242</v>
      </c>
      <c r="R345" t="s">
        <v>489</v>
      </c>
      <c r="S345" t="s">
        <v>467</v>
      </c>
      <c r="T345">
        <f ca="1">OFFSET('Calculations 2'!$C$45,W345,X345)*OFFSET($M$6,W345,0)</f>
        <v>50.172962020851578</v>
      </c>
      <c r="V345">
        <f t="shared" si="17"/>
        <v>339</v>
      </c>
      <c r="W345">
        <f t="shared" si="18"/>
        <v>9</v>
      </c>
      <c r="X345">
        <f t="shared" si="19"/>
        <v>10</v>
      </c>
      <c r="AC345" t="s">
        <v>242</v>
      </c>
      <c r="AD345" t="s">
        <v>489</v>
      </c>
      <c r="AE345" t="s">
        <v>467</v>
      </c>
      <c r="AF345">
        <f ca="1">OFFSET('Calculations 2'!$CE$45,W345,0)*OFFSET($AA$6,X345,0)*OFFSET($M$6,W345,)</f>
        <v>1.5517400140923614</v>
      </c>
      <c r="AY345" t="s">
        <v>242</v>
      </c>
      <c r="AZ345" t="s">
        <v>489</v>
      </c>
      <c r="BA345" t="s">
        <v>467</v>
      </c>
      <c r="BB345">
        <v>0</v>
      </c>
      <c r="BE345" t="s">
        <v>242</v>
      </c>
      <c r="BF345" t="s">
        <v>489</v>
      </c>
      <c r="BG345" t="s">
        <v>467</v>
      </c>
      <c r="BH345">
        <v>0</v>
      </c>
      <c r="CT345" t="s">
        <v>242</v>
      </c>
      <c r="CU345" t="s">
        <v>467</v>
      </c>
      <c r="CV345">
        <f ca="1">OFFSET('Calculations 2'!$AJ$12,W345,X345)</f>
        <v>0</v>
      </c>
    </row>
    <row r="346" spans="17:100">
      <c r="Q346" t="s">
        <v>467</v>
      </c>
      <c r="R346" t="s">
        <v>489</v>
      </c>
      <c r="S346" t="s">
        <v>467</v>
      </c>
      <c r="T346">
        <f ca="1">OFFSET('Calculations 2'!$C$45,W346,X346)*OFFSET($M$6,W346,0)</f>
        <v>775.64257739101186</v>
      </c>
      <c r="V346">
        <f t="shared" si="17"/>
        <v>340</v>
      </c>
      <c r="W346">
        <f t="shared" si="18"/>
        <v>10</v>
      </c>
      <c r="X346">
        <f t="shared" si="19"/>
        <v>10</v>
      </c>
      <c r="AC346" t="s">
        <v>467</v>
      </c>
      <c r="AD346" t="s">
        <v>489</v>
      </c>
      <c r="AE346" t="s">
        <v>467</v>
      </c>
      <c r="AF346">
        <f ca="1">OFFSET('Calculations 2'!$CE$45,W346,0)*OFFSET($AA$6,X346,0)*OFFSET($M$6,W346,)</f>
        <v>1.4374942457907289</v>
      </c>
      <c r="AY346" t="s">
        <v>467</v>
      </c>
      <c r="AZ346" t="s">
        <v>489</v>
      </c>
      <c r="BA346" t="s">
        <v>467</v>
      </c>
      <c r="BB346">
        <v>0</v>
      </c>
      <c r="BE346" t="s">
        <v>467</v>
      </c>
      <c r="BF346" t="s">
        <v>489</v>
      </c>
      <c r="BG346" t="s">
        <v>467</v>
      </c>
      <c r="BH346">
        <v>0</v>
      </c>
      <c r="CT346" t="s">
        <v>467</v>
      </c>
      <c r="CU346" t="s">
        <v>467</v>
      </c>
      <c r="CV346">
        <f ca="1">OFFSET('Calculations 2'!$AJ$12,W346,X346)</f>
        <v>8147.143</v>
      </c>
    </row>
    <row r="347" spans="17:100">
      <c r="Q347" t="s">
        <v>231</v>
      </c>
      <c r="R347" t="s">
        <v>489</v>
      </c>
      <c r="S347" t="s">
        <v>467</v>
      </c>
      <c r="T347">
        <f ca="1">OFFSET('Calculations 2'!$C$45,W347,X347)*OFFSET($M$6,W347,0)</f>
        <v>31.08314900920211</v>
      </c>
      <c r="V347">
        <f t="shared" si="17"/>
        <v>341</v>
      </c>
      <c r="W347">
        <f t="shared" si="18"/>
        <v>11</v>
      </c>
      <c r="X347">
        <f t="shared" si="19"/>
        <v>10</v>
      </c>
      <c r="AC347" t="s">
        <v>231</v>
      </c>
      <c r="AD347" t="s">
        <v>489</v>
      </c>
      <c r="AE347" t="s">
        <v>467</v>
      </c>
      <c r="AF347">
        <f ca="1">OFFSET('Calculations 2'!$CE$45,W347,0)*OFFSET($AA$6,X347,0)*OFFSET($M$6,W347,)</f>
        <v>4.2044221360388061</v>
      </c>
      <c r="AY347" t="s">
        <v>231</v>
      </c>
      <c r="AZ347" t="s">
        <v>489</v>
      </c>
      <c r="BA347" t="s">
        <v>467</v>
      </c>
      <c r="BB347">
        <v>0</v>
      </c>
      <c r="BE347" t="s">
        <v>231</v>
      </c>
      <c r="BF347" t="s">
        <v>489</v>
      </c>
      <c r="BG347" t="s">
        <v>467</v>
      </c>
      <c r="BH347">
        <v>0</v>
      </c>
      <c r="CT347" t="s">
        <v>231</v>
      </c>
      <c r="CU347" t="s">
        <v>467</v>
      </c>
      <c r="CV347">
        <f ca="1">OFFSET('Calculations 2'!$AJ$12,W347,X347)</f>
        <v>0</v>
      </c>
    </row>
    <row r="348" spans="17:100">
      <c r="Q348" t="s">
        <v>468</v>
      </c>
      <c r="R348" t="s">
        <v>489</v>
      </c>
      <c r="S348" t="s">
        <v>467</v>
      </c>
      <c r="T348">
        <f ca="1">OFFSET('Calculations 2'!$C$45,W348,X348)*OFFSET($M$6,W348,0)</f>
        <v>29.718469567687809</v>
      </c>
      <c r="V348">
        <f t="shared" si="17"/>
        <v>342</v>
      </c>
      <c r="W348">
        <f t="shared" si="18"/>
        <v>12</v>
      </c>
      <c r="X348">
        <f t="shared" si="19"/>
        <v>10</v>
      </c>
      <c r="AC348" t="s">
        <v>468</v>
      </c>
      <c r="AD348" t="s">
        <v>489</v>
      </c>
      <c r="AE348" t="s">
        <v>467</v>
      </c>
      <c r="AF348">
        <f ca="1">OFFSET('Calculations 2'!$CE$45,W348,0)*OFFSET($AA$6,X348,0)*OFFSET($M$6,W348,)</f>
        <v>6.0855696416543115</v>
      </c>
      <c r="AY348" t="s">
        <v>468</v>
      </c>
      <c r="AZ348" t="s">
        <v>489</v>
      </c>
      <c r="BA348" t="s">
        <v>467</v>
      </c>
      <c r="BB348">
        <v>0</v>
      </c>
      <c r="BE348" t="s">
        <v>468</v>
      </c>
      <c r="BF348" t="s">
        <v>489</v>
      </c>
      <c r="BG348" t="s">
        <v>467</v>
      </c>
      <c r="BH348">
        <v>0</v>
      </c>
      <c r="CT348" t="s">
        <v>468</v>
      </c>
      <c r="CU348" t="s">
        <v>467</v>
      </c>
      <c r="CV348">
        <f ca="1">OFFSET('Calculations 2'!$AJ$12,W348,X348)</f>
        <v>0</v>
      </c>
    </row>
    <row r="349" spans="17:100">
      <c r="Q349" t="s">
        <v>469</v>
      </c>
      <c r="R349" t="s">
        <v>489</v>
      </c>
      <c r="S349" t="s">
        <v>467</v>
      </c>
      <c r="T349">
        <f ca="1">OFFSET('Calculations 2'!$C$45,W349,X349)*OFFSET($M$6,W349,0)</f>
        <v>0</v>
      </c>
      <c r="V349">
        <f t="shared" si="17"/>
        <v>343</v>
      </c>
      <c r="W349">
        <f t="shared" si="18"/>
        <v>13</v>
      </c>
      <c r="X349">
        <f t="shared" si="19"/>
        <v>10</v>
      </c>
      <c r="AC349" t="s">
        <v>469</v>
      </c>
      <c r="AD349" t="s">
        <v>489</v>
      </c>
      <c r="AE349" t="s">
        <v>467</v>
      </c>
      <c r="AF349">
        <f ca="1">OFFSET('Calculations 2'!$CE$45,W349,0)*OFFSET($AA$6,X349,0)*OFFSET($M$6,W349,)</f>
        <v>1.2659305245948389</v>
      </c>
      <c r="AY349" t="s">
        <v>469</v>
      </c>
      <c r="AZ349" t="s">
        <v>489</v>
      </c>
      <c r="BA349" t="s">
        <v>467</v>
      </c>
      <c r="BB349">
        <v>0</v>
      </c>
      <c r="BE349" t="s">
        <v>469</v>
      </c>
      <c r="BF349" t="s">
        <v>489</v>
      </c>
      <c r="BG349" t="s">
        <v>467</v>
      </c>
      <c r="BH349">
        <v>0</v>
      </c>
      <c r="CT349" t="s">
        <v>469</v>
      </c>
      <c r="CU349" t="s">
        <v>467</v>
      </c>
      <c r="CV349">
        <f ca="1">OFFSET('Calculations 2'!$AJ$12,W349,X349)</f>
        <v>0</v>
      </c>
    </row>
    <row r="350" spans="17:100">
      <c r="Q350" t="s">
        <v>245</v>
      </c>
      <c r="R350" t="s">
        <v>489</v>
      </c>
      <c r="S350" t="s">
        <v>467</v>
      </c>
      <c r="T350">
        <f ca="1">OFFSET('Calculations 2'!$C$45,W350,X350)*OFFSET($M$6,W350,0)</f>
        <v>4.0317270639913412</v>
      </c>
      <c r="V350">
        <f t="shared" si="17"/>
        <v>344</v>
      </c>
      <c r="W350">
        <f t="shared" si="18"/>
        <v>14</v>
      </c>
      <c r="X350">
        <f t="shared" si="19"/>
        <v>10</v>
      </c>
      <c r="AC350" t="s">
        <v>245</v>
      </c>
      <c r="AD350" t="s">
        <v>489</v>
      </c>
      <c r="AE350" t="s">
        <v>467</v>
      </c>
      <c r="AF350">
        <f ca="1">OFFSET('Calculations 2'!$CE$45,W350,0)*OFFSET($AA$6,X350,0)*OFFSET($M$6,W350,)</f>
        <v>1.8286467236595501</v>
      </c>
      <c r="AY350" t="s">
        <v>245</v>
      </c>
      <c r="AZ350" t="s">
        <v>489</v>
      </c>
      <c r="BA350" t="s">
        <v>467</v>
      </c>
      <c r="BB350">
        <v>0</v>
      </c>
      <c r="BE350" t="s">
        <v>245</v>
      </c>
      <c r="BF350" t="s">
        <v>489</v>
      </c>
      <c r="BG350" t="s">
        <v>467</v>
      </c>
      <c r="BH350">
        <v>0</v>
      </c>
      <c r="CT350" t="s">
        <v>245</v>
      </c>
      <c r="CU350" t="s">
        <v>467</v>
      </c>
      <c r="CV350">
        <f ca="1">OFFSET('Calculations 2'!$AJ$12,W350,X350)</f>
        <v>0</v>
      </c>
    </row>
    <row r="351" spans="17:100">
      <c r="Q351" t="s">
        <v>470</v>
      </c>
      <c r="R351" t="s">
        <v>489</v>
      </c>
      <c r="S351" t="s">
        <v>467</v>
      </c>
      <c r="T351">
        <f ca="1">OFFSET('Calculations 2'!$C$45,W351,X351)*OFFSET($M$6,W351,0)</f>
        <v>16.512889989239053</v>
      </c>
      <c r="V351">
        <f t="shared" si="17"/>
        <v>345</v>
      </c>
      <c r="W351">
        <f t="shared" si="18"/>
        <v>15</v>
      </c>
      <c r="X351">
        <f t="shared" si="19"/>
        <v>10</v>
      </c>
      <c r="AC351" t="s">
        <v>470</v>
      </c>
      <c r="AD351" t="s">
        <v>489</v>
      </c>
      <c r="AE351" t="s">
        <v>467</v>
      </c>
      <c r="AF351">
        <f ca="1">OFFSET('Calculations 2'!$CE$45,W351,0)*OFFSET($AA$6,X351,0)*OFFSET($M$6,W351,)</f>
        <v>4.9792864905388896</v>
      </c>
      <c r="AY351" t="s">
        <v>470</v>
      </c>
      <c r="AZ351" t="s">
        <v>489</v>
      </c>
      <c r="BA351" t="s">
        <v>467</v>
      </c>
      <c r="BB351">
        <v>0</v>
      </c>
      <c r="BE351" t="s">
        <v>470</v>
      </c>
      <c r="BF351" t="s">
        <v>489</v>
      </c>
      <c r="BG351" t="s">
        <v>467</v>
      </c>
      <c r="BH351">
        <v>0</v>
      </c>
      <c r="CT351" t="s">
        <v>470</v>
      </c>
      <c r="CU351" t="s">
        <v>467</v>
      </c>
      <c r="CV351">
        <f ca="1">OFFSET('Calculations 2'!$AJ$12,W351,X351)</f>
        <v>0</v>
      </c>
    </row>
    <row r="352" spans="17:100">
      <c r="Q352" t="s">
        <v>471</v>
      </c>
      <c r="R352" t="s">
        <v>489</v>
      </c>
      <c r="S352" t="s">
        <v>467</v>
      </c>
      <c r="T352">
        <f ca="1">OFFSET('Calculations 2'!$C$45,W352,X352)*OFFSET($M$6,W352,0)</f>
        <v>286.80116114095387</v>
      </c>
      <c r="V352">
        <f t="shared" si="17"/>
        <v>346</v>
      </c>
      <c r="W352">
        <f t="shared" si="18"/>
        <v>16</v>
      </c>
      <c r="X352">
        <f t="shared" si="19"/>
        <v>10</v>
      </c>
      <c r="AC352" t="s">
        <v>471</v>
      </c>
      <c r="AD352" t="s">
        <v>489</v>
      </c>
      <c r="AE352" t="s">
        <v>467</v>
      </c>
      <c r="AF352">
        <f ca="1">OFFSET('Calculations 2'!$CE$45,W352,0)*OFFSET($AA$6,X352,0)*OFFSET($M$6,W352,)</f>
        <v>0</v>
      </c>
      <c r="AY352" t="s">
        <v>471</v>
      </c>
      <c r="AZ352" t="s">
        <v>489</v>
      </c>
      <c r="BA352" t="s">
        <v>467</v>
      </c>
      <c r="BB352">
        <v>0</v>
      </c>
      <c r="BE352" t="s">
        <v>471</v>
      </c>
      <c r="BF352" t="s">
        <v>489</v>
      </c>
      <c r="BG352" t="s">
        <v>467</v>
      </c>
      <c r="BH352">
        <v>0</v>
      </c>
      <c r="CT352" t="s">
        <v>471</v>
      </c>
      <c r="CU352" t="s">
        <v>467</v>
      </c>
      <c r="CV352">
        <f ca="1">OFFSET('Calculations 2'!$AJ$12,W352,X352)</f>
        <v>0</v>
      </c>
    </row>
    <row r="353" spans="17:100">
      <c r="Q353" t="s">
        <v>221</v>
      </c>
      <c r="R353" t="s">
        <v>489</v>
      </c>
      <c r="S353" t="s">
        <v>467</v>
      </c>
      <c r="T353">
        <f ca="1">OFFSET('Calculations 2'!$C$45,W353,X353)*OFFSET($M$6,W353,0)</f>
        <v>33.062712086931114</v>
      </c>
      <c r="V353">
        <f t="shared" si="17"/>
        <v>347</v>
      </c>
      <c r="W353">
        <f t="shared" si="18"/>
        <v>17</v>
      </c>
      <c r="X353">
        <f t="shared" si="19"/>
        <v>10</v>
      </c>
      <c r="AC353" t="s">
        <v>221</v>
      </c>
      <c r="AD353" t="s">
        <v>489</v>
      </c>
      <c r="AE353" t="s">
        <v>467</v>
      </c>
      <c r="AF353">
        <f ca="1">OFFSET('Calculations 2'!$CE$45,W353,0)*OFFSET($AA$6,X353,0)*OFFSET($M$6,W353,)</f>
        <v>165.4041318488801</v>
      </c>
      <c r="AY353" t="s">
        <v>221</v>
      </c>
      <c r="AZ353" t="s">
        <v>489</v>
      </c>
      <c r="BA353" t="s">
        <v>467</v>
      </c>
      <c r="BB353">
        <v>0</v>
      </c>
      <c r="BE353" t="s">
        <v>221</v>
      </c>
      <c r="BF353" t="s">
        <v>489</v>
      </c>
      <c r="BG353" t="s">
        <v>467</v>
      </c>
      <c r="BH353">
        <v>0</v>
      </c>
      <c r="CT353" t="s">
        <v>221</v>
      </c>
      <c r="CU353" t="s">
        <v>467</v>
      </c>
      <c r="CV353">
        <f ca="1">OFFSET('Calculations 2'!$AJ$12,W353,X353)</f>
        <v>0</v>
      </c>
    </row>
    <row r="354" spans="17:100">
      <c r="Q354" t="s">
        <v>244</v>
      </c>
      <c r="R354" t="s">
        <v>489</v>
      </c>
      <c r="S354" t="s">
        <v>467</v>
      </c>
      <c r="T354">
        <f ca="1">OFFSET('Calculations 2'!$C$45,W354,X354)*OFFSET($M$6,W354,0)</f>
        <v>913.54556838980591</v>
      </c>
      <c r="V354">
        <f t="shared" si="17"/>
        <v>348</v>
      </c>
      <c r="W354">
        <f t="shared" si="18"/>
        <v>18</v>
      </c>
      <c r="X354">
        <f t="shared" si="19"/>
        <v>10</v>
      </c>
      <c r="AC354" t="s">
        <v>244</v>
      </c>
      <c r="AD354" t="s">
        <v>489</v>
      </c>
      <c r="AE354" t="s">
        <v>467</v>
      </c>
      <c r="AF354">
        <f ca="1">OFFSET('Calculations 2'!$CE$45,W354,0)*OFFSET($AA$6,X354,0)*OFFSET($M$6,W354,)</f>
        <v>26.447017828151054</v>
      </c>
      <c r="AY354" t="s">
        <v>244</v>
      </c>
      <c r="AZ354" t="s">
        <v>489</v>
      </c>
      <c r="BA354" t="s">
        <v>467</v>
      </c>
      <c r="BB354">
        <v>0</v>
      </c>
      <c r="BE354" t="s">
        <v>244</v>
      </c>
      <c r="BF354" t="s">
        <v>489</v>
      </c>
      <c r="BG354" t="s">
        <v>467</v>
      </c>
      <c r="BH354">
        <v>0</v>
      </c>
      <c r="CT354" t="s">
        <v>244</v>
      </c>
      <c r="CU354" t="s">
        <v>467</v>
      </c>
      <c r="CV354">
        <f ca="1">OFFSET('Calculations 2'!$AJ$12,W354,X354)</f>
        <v>0</v>
      </c>
    </row>
    <row r="355" spans="17:100">
      <c r="Q355" t="s">
        <v>472</v>
      </c>
      <c r="R355" t="s">
        <v>489</v>
      </c>
      <c r="S355" t="s">
        <v>467</v>
      </c>
      <c r="T355">
        <f ca="1">OFFSET('Calculations 2'!$C$45,W355,X355)*OFFSET($M$6,W355,0)</f>
        <v>0</v>
      </c>
      <c r="V355">
        <f t="shared" si="17"/>
        <v>349</v>
      </c>
      <c r="W355">
        <f t="shared" si="18"/>
        <v>19</v>
      </c>
      <c r="X355">
        <f t="shared" si="19"/>
        <v>10</v>
      </c>
      <c r="AC355" t="s">
        <v>472</v>
      </c>
      <c r="AD355" t="s">
        <v>489</v>
      </c>
      <c r="AE355" t="s">
        <v>467</v>
      </c>
      <c r="AF355">
        <f ca="1">OFFSET('Calculations 2'!$CE$45,W355,0)*OFFSET($AA$6,X355,0)*OFFSET($M$6,W355,)</f>
        <v>0</v>
      </c>
      <c r="AY355" t="s">
        <v>472</v>
      </c>
      <c r="AZ355" t="s">
        <v>489</v>
      </c>
      <c r="BA355" t="s">
        <v>467</v>
      </c>
      <c r="BB355">
        <v>0</v>
      </c>
      <c r="BE355" t="s">
        <v>472</v>
      </c>
      <c r="BF355" t="s">
        <v>489</v>
      </c>
      <c r="BG355" t="s">
        <v>467</v>
      </c>
      <c r="BH355">
        <v>0</v>
      </c>
      <c r="CT355" t="s">
        <v>472</v>
      </c>
      <c r="CU355" t="s">
        <v>467</v>
      </c>
      <c r="CV355">
        <f ca="1">OFFSET('Calculations 2'!$AJ$12,W355,X355)</f>
        <v>0</v>
      </c>
    </row>
    <row r="356" spans="17:100">
      <c r="Q356" t="s">
        <v>238</v>
      </c>
      <c r="R356" t="s">
        <v>489</v>
      </c>
      <c r="S356" t="s">
        <v>467</v>
      </c>
      <c r="T356">
        <f ca="1">OFFSET('Calculations 2'!$C$45,W356,X356)*OFFSET($M$6,W356,0)</f>
        <v>57.477766850240307</v>
      </c>
      <c r="V356">
        <f t="shared" si="17"/>
        <v>350</v>
      </c>
      <c r="W356">
        <f t="shared" si="18"/>
        <v>20</v>
      </c>
      <c r="X356">
        <f t="shared" si="19"/>
        <v>10</v>
      </c>
      <c r="AC356" t="s">
        <v>238</v>
      </c>
      <c r="AD356" t="s">
        <v>489</v>
      </c>
      <c r="AE356" t="s">
        <v>467</v>
      </c>
      <c r="AF356">
        <f ca="1">OFFSET('Calculations 2'!$CE$45,W356,0)*OFFSET($AA$6,X356,0)*OFFSET($M$6,W356,)</f>
        <v>0</v>
      </c>
      <c r="AY356" t="s">
        <v>238</v>
      </c>
      <c r="AZ356" t="s">
        <v>489</v>
      </c>
      <c r="BA356" t="s">
        <v>467</v>
      </c>
      <c r="BB356">
        <v>0</v>
      </c>
      <c r="BE356" t="s">
        <v>238</v>
      </c>
      <c r="BF356" t="s">
        <v>489</v>
      </c>
      <c r="BG356" t="s">
        <v>467</v>
      </c>
      <c r="BH356">
        <v>0</v>
      </c>
      <c r="CT356" t="s">
        <v>238</v>
      </c>
      <c r="CU356" t="s">
        <v>467</v>
      </c>
      <c r="CV356">
        <f ca="1">OFFSET('Calculations 2'!$AJ$12,W356,X356)</f>
        <v>0</v>
      </c>
    </row>
    <row r="357" spans="17:100">
      <c r="Q357" t="s">
        <v>247</v>
      </c>
      <c r="R357" t="s">
        <v>489</v>
      </c>
      <c r="S357" t="s">
        <v>467</v>
      </c>
      <c r="T357">
        <f ca="1">OFFSET('Calculations 2'!$C$45,W357,X357)*OFFSET($M$6,W357,0)</f>
        <v>0</v>
      </c>
      <c r="V357">
        <f t="shared" si="17"/>
        <v>351</v>
      </c>
      <c r="W357">
        <f t="shared" si="18"/>
        <v>21</v>
      </c>
      <c r="X357">
        <f t="shared" si="19"/>
        <v>10</v>
      </c>
      <c r="AC357" t="s">
        <v>247</v>
      </c>
      <c r="AD357" t="s">
        <v>489</v>
      </c>
      <c r="AE357" t="s">
        <v>467</v>
      </c>
      <c r="AF357">
        <f ca="1">OFFSET('Calculations 2'!$CE$45,W357,0)*OFFSET($AA$6,X357,0)*OFFSET($M$6,W357,)</f>
        <v>0</v>
      </c>
      <c r="AY357" t="s">
        <v>247</v>
      </c>
      <c r="AZ357" t="s">
        <v>489</v>
      </c>
      <c r="BA357" t="s">
        <v>467</v>
      </c>
      <c r="BB357">
        <v>0</v>
      </c>
      <c r="BE357" t="s">
        <v>247</v>
      </c>
      <c r="BF357" t="s">
        <v>489</v>
      </c>
      <c r="BG357" t="s">
        <v>467</v>
      </c>
      <c r="BH357">
        <v>0</v>
      </c>
      <c r="CT357" t="s">
        <v>247</v>
      </c>
      <c r="CU357" t="s">
        <v>467</v>
      </c>
      <c r="CV357">
        <f ca="1">OFFSET('Calculations 2'!$AJ$12,W357,X357)</f>
        <v>0</v>
      </c>
    </row>
    <row r="358" spans="17:100">
      <c r="Q358" t="s">
        <v>218</v>
      </c>
      <c r="R358" t="s">
        <v>489</v>
      </c>
      <c r="S358" t="s">
        <v>467</v>
      </c>
      <c r="T358">
        <f ca="1">OFFSET('Calculations 2'!$C$45,W358,X358)*OFFSET($M$6,W358,0)</f>
        <v>235.53984941630512</v>
      </c>
      <c r="V358">
        <f t="shared" si="17"/>
        <v>352</v>
      </c>
      <c r="W358">
        <f t="shared" si="18"/>
        <v>22</v>
      </c>
      <c r="X358">
        <f t="shared" si="19"/>
        <v>10</v>
      </c>
      <c r="AC358" t="s">
        <v>218</v>
      </c>
      <c r="AD358" t="s">
        <v>489</v>
      </c>
      <c r="AE358" t="s">
        <v>467</v>
      </c>
      <c r="AF358">
        <f ca="1">OFFSET('Calculations 2'!$CE$45,W358,0)*OFFSET($AA$6,X358,0)*OFFSET($M$6,W358,)</f>
        <v>0</v>
      </c>
      <c r="AY358" t="s">
        <v>218</v>
      </c>
      <c r="AZ358" t="s">
        <v>489</v>
      </c>
      <c r="BA358" t="s">
        <v>467</v>
      </c>
      <c r="BB358">
        <v>0</v>
      </c>
      <c r="BE358" t="s">
        <v>218</v>
      </c>
      <c r="BF358" t="s">
        <v>489</v>
      </c>
      <c r="BG358" t="s">
        <v>467</v>
      </c>
      <c r="BH358">
        <v>0</v>
      </c>
      <c r="CT358" t="s">
        <v>218</v>
      </c>
      <c r="CU358" t="s">
        <v>467</v>
      </c>
      <c r="CV358">
        <f ca="1">OFFSET('Calculations 2'!$AJ$12,W358,X358)</f>
        <v>0</v>
      </c>
    </row>
    <row r="359" spans="17:100">
      <c r="Q359" t="s">
        <v>257</v>
      </c>
      <c r="R359" t="s">
        <v>489</v>
      </c>
      <c r="S359" t="s">
        <v>467</v>
      </c>
      <c r="T359">
        <f ca="1">OFFSET('Calculations 2'!$C$45,W359,X359)*OFFSET($M$6,W359,0)</f>
        <v>214.58978599680825</v>
      </c>
      <c r="V359">
        <f t="shared" si="17"/>
        <v>353</v>
      </c>
      <c r="W359">
        <f t="shared" si="18"/>
        <v>23</v>
      </c>
      <c r="X359">
        <f t="shared" si="19"/>
        <v>10</v>
      </c>
      <c r="AC359" t="s">
        <v>257</v>
      </c>
      <c r="AD359" t="s">
        <v>489</v>
      </c>
      <c r="AE359" t="s">
        <v>467</v>
      </c>
      <c r="AF359">
        <f ca="1">OFFSET('Calculations 2'!$CE$45,W359,0)*OFFSET($AA$6,X359,0)*OFFSET($M$6,W359,)</f>
        <v>0</v>
      </c>
      <c r="AY359" t="s">
        <v>257</v>
      </c>
      <c r="AZ359" t="s">
        <v>489</v>
      </c>
      <c r="BA359" t="s">
        <v>467</v>
      </c>
      <c r="BB359">
        <v>0</v>
      </c>
      <c r="BE359" t="s">
        <v>257</v>
      </c>
      <c r="BF359" t="s">
        <v>489</v>
      </c>
      <c r="BG359" t="s">
        <v>467</v>
      </c>
      <c r="BH359">
        <v>0</v>
      </c>
      <c r="CT359" t="s">
        <v>257</v>
      </c>
      <c r="CU359" t="s">
        <v>467</v>
      </c>
      <c r="CV359">
        <f ca="1">OFFSET('Calculations 2'!$AJ$12,W359,X359)</f>
        <v>0</v>
      </c>
    </row>
    <row r="360" spans="17:100">
      <c r="Q360" t="s">
        <v>220</v>
      </c>
      <c r="R360" t="s">
        <v>489</v>
      </c>
      <c r="S360" t="s">
        <v>467</v>
      </c>
      <c r="T360">
        <f ca="1">OFFSET('Calculations 2'!$C$45,W360,X360)*OFFSET($M$6,W360,0)</f>
        <v>9.8462248384764468</v>
      </c>
      <c r="V360">
        <f t="shared" si="17"/>
        <v>354</v>
      </c>
      <c r="W360">
        <f t="shared" si="18"/>
        <v>24</v>
      </c>
      <c r="X360">
        <f t="shared" si="19"/>
        <v>10</v>
      </c>
      <c r="AC360" t="s">
        <v>220</v>
      </c>
      <c r="AD360" t="s">
        <v>489</v>
      </c>
      <c r="AE360" t="s">
        <v>467</v>
      </c>
      <c r="AF360">
        <f ca="1">OFFSET('Calculations 2'!$CE$45,W360,0)*OFFSET($AA$6,X360,0)*OFFSET($M$6,W360,)</f>
        <v>0</v>
      </c>
      <c r="AY360" t="s">
        <v>220</v>
      </c>
      <c r="AZ360" t="s">
        <v>489</v>
      </c>
      <c r="BA360" t="s">
        <v>467</v>
      </c>
      <c r="BB360">
        <v>0</v>
      </c>
      <c r="BE360" t="s">
        <v>220</v>
      </c>
      <c r="BF360" t="s">
        <v>489</v>
      </c>
      <c r="BG360" t="s">
        <v>467</v>
      </c>
      <c r="BH360">
        <v>0</v>
      </c>
      <c r="CT360" t="s">
        <v>220</v>
      </c>
      <c r="CU360" t="s">
        <v>467</v>
      </c>
      <c r="CV360">
        <f ca="1">OFFSET('Calculations 2'!$AJ$12,W360,X360)</f>
        <v>0</v>
      </c>
    </row>
    <row r="361" spans="17:100">
      <c r="Q361" t="s">
        <v>235</v>
      </c>
      <c r="R361" t="s">
        <v>489</v>
      </c>
      <c r="S361" t="s">
        <v>467</v>
      </c>
      <c r="T361">
        <f ca="1">OFFSET('Calculations 2'!$C$45,W361,X361)*OFFSET($M$6,W361,0)</f>
        <v>438.88864306550261</v>
      </c>
      <c r="V361">
        <f t="shared" si="17"/>
        <v>355</v>
      </c>
      <c r="W361">
        <f t="shared" si="18"/>
        <v>25</v>
      </c>
      <c r="X361">
        <f t="shared" si="19"/>
        <v>10</v>
      </c>
      <c r="AC361" t="s">
        <v>235</v>
      </c>
      <c r="AD361" t="s">
        <v>489</v>
      </c>
      <c r="AE361" t="s">
        <v>467</v>
      </c>
      <c r="AF361">
        <f ca="1">OFFSET('Calculations 2'!$CE$45,W361,0)*OFFSET($AA$6,X361,0)*OFFSET($M$6,W361,)</f>
        <v>0</v>
      </c>
      <c r="AY361" t="s">
        <v>235</v>
      </c>
      <c r="AZ361" t="s">
        <v>489</v>
      </c>
      <c r="BA361" t="s">
        <v>467</v>
      </c>
      <c r="BB361">
        <v>0</v>
      </c>
      <c r="BE361" t="s">
        <v>235</v>
      </c>
      <c r="BF361" t="s">
        <v>489</v>
      </c>
      <c r="BG361" t="s">
        <v>467</v>
      </c>
      <c r="BH361">
        <v>0</v>
      </c>
      <c r="CT361" t="s">
        <v>235</v>
      </c>
      <c r="CU361" t="s">
        <v>467</v>
      </c>
      <c r="CV361">
        <f ca="1">OFFSET('Calculations 2'!$AJ$12,W361,X361)</f>
        <v>0</v>
      </c>
    </row>
    <row r="362" spans="17:100">
      <c r="Q362" t="s">
        <v>473</v>
      </c>
      <c r="R362" t="s">
        <v>489</v>
      </c>
      <c r="S362" t="s">
        <v>467</v>
      </c>
      <c r="T362">
        <f ca="1">OFFSET('Calculations 2'!$C$45,W362,X362)*OFFSET($M$6,W362,0)</f>
        <v>40.037450376782502</v>
      </c>
      <c r="V362">
        <f t="shared" si="17"/>
        <v>356</v>
      </c>
      <c r="W362">
        <f t="shared" si="18"/>
        <v>26</v>
      </c>
      <c r="X362">
        <f t="shared" si="19"/>
        <v>10</v>
      </c>
      <c r="AC362" t="s">
        <v>473</v>
      </c>
      <c r="AD362" t="s">
        <v>489</v>
      </c>
      <c r="AE362" t="s">
        <v>467</v>
      </c>
      <c r="AF362">
        <f ca="1">OFFSET('Calculations 2'!$CE$45,W362,0)*OFFSET($AA$6,X362,0)*OFFSET($M$6,W362,)</f>
        <v>0</v>
      </c>
      <c r="AY362" t="s">
        <v>473</v>
      </c>
      <c r="AZ362" t="s">
        <v>489</v>
      </c>
      <c r="BA362" t="s">
        <v>467</v>
      </c>
      <c r="BB362">
        <v>0</v>
      </c>
      <c r="BE362" t="s">
        <v>473</v>
      </c>
      <c r="BF362" t="s">
        <v>489</v>
      </c>
      <c r="BG362" t="s">
        <v>467</v>
      </c>
      <c r="BH362">
        <v>0</v>
      </c>
      <c r="CT362" t="s">
        <v>473</v>
      </c>
      <c r="CU362" t="s">
        <v>467</v>
      </c>
      <c r="CV362">
        <f ca="1">OFFSET('Calculations 2'!$AJ$12,W362,X362)</f>
        <v>0</v>
      </c>
    </row>
    <row r="363" spans="17:100">
      <c r="Q363" t="s">
        <v>233</v>
      </c>
      <c r="R363" t="s">
        <v>489</v>
      </c>
      <c r="S363" t="s">
        <v>467</v>
      </c>
      <c r="T363">
        <f ca="1">OFFSET('Calculations 2'!$C$45,W363,X363)*OFFSET($M$6,W363,0)</f>
        <v>153.60758063131499</v>
      </c>
      <c r="V363">
        <f t="shared" si="17"/>
        <v>357</v>
      </c>
      <c r="W363">
        <f t="shared" si="18"/>
        <v>27</v>
      </c>
      <c r="X363">
        <f t="shared" si="19"/>
        <v>10</v>
      </c>
      <c r="AC363" t="s">
        <v>233</v>
      </c>
      <c r="AD363" t="s">
        <v>489</v>
      </c>
      <c r="AE363" t="s">
        <v>467</v>
      </c>
      <c r="AF363">
        <f ca="1">OFFSET('Calculations 2'!$CE$45,W363,0)*OFFSET($AA$6,X363,0)*OFFSET($M$6,W363,)</f>
        <v>0</v>
      </c>
      <c r="AY363" t="s">
        <v>233</v>
      </c>
      <c r="AZ363" t="s">
        <v>489</v>
      </c>
      <c r="BA363" t="s">
        <v>467</v>
      </c>
      <c r="BB363">
        <v>0</v>
      </c>
      <c r="BE363" t="s">
        <v>233</v>
      </c>
      <c r="BF363" t="s">
        <v>489</v>
      </c>
      <c r="BG363" t="s">
        <v>467</v>
      </c>
      <c r="BH363">
        <v>0</v>
      </c>
      <c r="CT363" t="s">
        <v>233</v>
      </c>
      <c r="CU363" t="s">
        <v>467</v>
      </c>
      <c r="CV363">
        <f ca="1">OFFSET('Calculations 2'!$AJ$12,W363,X363)</f>
        <v>0</v>
      </c>
    </row>
    <row r="364" spans="17:100">
      <c r="Q364" t="s">
        <v>474</v>
      </c>
      <c r="R364" t="s">
        <v>489</v>
      </c>
      <c r="S364" t="s">
        <v>467</v>
      </c>
      <c r="T364">
        <f ca="1">OFFSET('Calculations 2'!$C$45,W364,X364)*OFFSET($M$6,W364,0)</f>
        <v>25.976036467921631</v>
      </c>
      <c r="V364">
        <f t="shared" si="17"/>
        <v>358</v>
      </c>
      <c r="W364">
        <f t="shared" si="18"/>
        <v>28</v>
      </c>
      <c r="X364">
        <f t="shared" si="19"/>
        <v>10</v>
      </c>
      <c r="AC364" t="s">
        <v>474</v>
      </c>
      <c r="AD364" t="s">
        <v>489</v>
      </c>
      <c r="AE364" t="s">
        <v>467</v>
      </c>
      <c r="AF364">
        <f ca="1">OFFSET('Calculations 2'!$CE$45,W364,0)*OFFSET($AA$6,X364,0)*OFFSET($M$6,W364,)</f>
        <v>0</v>
      </c>
      <c r="AY364" t="s">
        <v>474</v>
      </c>
      <c r="AZ364" t="s">
        <v>489</v>
      </c>
      <c r="BA364" t="s">
        <v>467</v>
      </c>
      <c r="BB364">
        <v>0</v>
      </c>
      <c r="BE364" t="s">
        <v>474</v>
      </c>
      <c r="BF364" t="s">
        <v>489</v>
      </c>
      <c r="BG364" t="s">
        <v>467</v>
      </c>
      <c r="BH364">
        <v>0</v>
      </c>
      <c r="CT364" t="s">
        <v>474</v>
      </c>
      <c r="CU364" t="s">
        <v>467</v>
      </c>
      <c r="CV364">
        <f ca="1">OFFSET('Calculations 2'!$AJ$12,W364,X364)</f>
        <v>0</v>
      </c>
    </row>
    <row r="365" spans="17:100">
      <c r="Q365" t="s">
        <v>223</v>
      </c>
      <c r="R365" t="s">
        <v>489</v>
      </c>
      <c r="S365" t="s">
        <v>467</v>
      </c>
      <c r="T365">
        <f ca="1">OFFSET('Calculations 2'!$C$45,W365,X365)*OFFSET($M$6,W365,0)</f>
        <v>3.0860476681652944</v>
      </c>
      <c r="V365">
        <f t="shared" si="17"/>
        <v>359</v>
      </c>
      <c r="W365">
        <f t="shared" si="18"/>
        <v>29</v>
      </c>
      <c r="X365">
        <f t="shared" si="19"/>
        <v>10</v>
      </c>
      <c r="AC365" t="s">
        <v>223</v>
      </c>
      <c r="AD365" t="s">
        <v>489</v>
      </c>
      <c r="AE365" t="s">
        <v>467</v>
      </c>
      <c r="AF365">
        <f ca="1">OFFSET('Calculations 2'!$CE$45,W365,0)*OFFSET($AA$6,X365,0)*OFFSET($M$6,W365,)</f>
        <v>0</v>
      </c>
      <c r="AY365" t="s">
        <v>223</v>
      </c>
      <c r="AZ365" t="s">
        <v>489</v>
      </c>
      <c r="BA365" t="s">
        <v>467</v>
      </c>
      <c r="BB365">
        <v>0</v>
      </c>
      <c r="BE365" t="s">
        <v>223</v>
      </c>
      <c r="BF365" t="s">
        <v>489</v>
      </c>
      <c r="BG365" t="s">
        <v>467</v>
      </c>
      <c r="BH365">
        <v>0</v>
      </c>
      <c r="CT365" t="s">
        <v>223</v>
      </c>
      <c r="CU365" t="s">
        <v>467</v>
      </c>
      <c r="CV365">
        <f ca="1">OFFSET('Calculations 2'!$AJ$12,W365,X365)</f>
        <v>0</v>
      </c>
    </row>
    <row r="366" spans="17:100">
      <c r="Q366" t="s">
        <v>475</v>
      </c>
      <c r="R366" t="s">
        <v>489</v>
      </c>
      <c r="S366" t="s">
        <v>467</v>
      </c>
      <c r="T366">
        <f ca="1">OFFSET('Calculations 2'!$C$45,W366,X366)*OFFSET($M$6,W366,0)</f>
        <v>1.4193488250860975</v>
      </c>
      <c r="V366">
        <f t="shared" si="17"/>
        <v>360</v>
      </c>
      <c r="W366">
        <f t="shared" si="18"/>
        <v>30</v>
      </c>
      <c r="X366">
        <f t="shared" si="19"/>
        <v>10</v>
      </c>
      <c r="AC366" t="s">
        <v>475</v>
      </c>
      <c r="AD366" t="s">
        <v>489</v>
      </c>
      <c r="AE366" t="s">
        <v>467</v>
      </c>
      <c r="AF366">
        <f ca="1">OFFSET('Calculations 2'!$CE$45,W366,0)*OFFSET($AA$6,X366,0)*OFFSET($M$6,W366,)</f>
        <v>0</v>
      </c>
      <c r="AY366" t="s">
        <v>475</v>
      </c>
      <c r="AZ366" t="s">
        <v>489</v>
      </c>
      <c r="BA366" t="s">
        <v>467</v>
      </c>
      <c r="BB366">
        <v>0</v>
      </c>
      <c r="BE366" t="s">
        <v>475</v>
      </c>
      <c r="BF366" t="s">
        <v>489</v>
      </c>
      <c r="BG366" t="s">
        <v>467</v>
      </c>
      <c r="BH366">
        <v>0</v>
      </c>
      <c r="CT366" t="s">
        <v>475</v>
      </c>
      <c r="CU366" t="s">
        <v>467</v>
      </c>
      <c r="CV366">
        <f ca="1">OFFSET('Calculations 2'!$AJ$12,W366,X366)</f>
        <v>0</v>
      </c>
    </row>
    <row r="367" spans="17:100">
      <c r="Q367" t="s">
        <v>476</v>
      </c>
      <c r="R367" t="s">
        <v>489</v>
      </c>
      <c r="S367" t="s">
        <v>467</v>
      </c>
      <c r="T367">
        <f ca="1">OFFSET('Calculations 2'!$C$45,W367,X367)*OFFSET($M$6,W367,0)</f>
        <v>0</v>
      </c>
      <c r="V367">
        <f t="shared" si="17"/>
        <v>361</v>
      </c>
      <c r="W367">
        <f t="shared" si="18"/>
        <v>31</v>
      </c>
      <c r="X367">
        <f t="shared" si="19"/>
        <v>10</v>
      </c>
      <c r="AC367" t="s">
        <v>476</v>
      </c>
      <c r="AD367" t="s">
        <v>489</v>
      </c>
      <c r="AE367" t="s">
        <v>467</v>
      </c>
      <c r="AF367">
        <f ca="1">OFFSET('Calculations 2'!$CE$45,W367,0)*OFFSET($AA$6,X367,0)*OFFSET($M$6,W367,)</f>
        <v>0</v>
      </c>
      <c r="AY367" t="s">
        <v>476</v>
      </c>
      <c r="AZ367" t="s">
        <v>489</v>
      </c>
      <c r="BA367" t="s">
        <v>467</v>
      </c>
      <c r="BB367">
        <v>0</v>
      </c>
      <c r="BE367" t="s">
        <v>476</v>
      </c>
      <c r="BF367" t="s">
        <v>489</v>
      </c>
      <c r="BG367" t="s">
        <v>467</v>
      </c>
      <c r="BH367">
        <v>0</v>
      </c>
      <c r="CT367" t="s">
        <v>476</v>
      </c>
      <c r="CU367" t="s">
        <v>467</v>
      </c>
      <c r="CV367">
        <f ca="1">OFFSET('Calculations 2'!$AJ$12,W367,X367)</f>
        <v>0</v>
      </c>
    </row>
    <row r="368" spans="17:100">
      <c r="Q368" t="s">
        <v>222</v>
      </c>
      <c r="R368" t="s">
        <v>489</v>
      </c>
      <c r="S368" t="s">
        <v>467</v>
      </c>
      <c r="T368">
        <f ca="1">OFFSET('Calculations 2'!$C$45,W368,X368)*OFFSET($M$6,W368,0)</f>
        <v>0</v>
      </c>
      <c r="V368">
        <f t="shared" si="17"/>
        <v>362</v>
      </c>
      <c r="W368">
        <f t="shared" si="18"/>
        <v>32</v>
      </c>
      <c r="X368">
        <f t="shared" si="19"/>
        <v>10</v>
      </c>
      <c r="AC368" t="s">
        <v>222</v>
      </c>
      <c r="AD368" t="s">
        <v>489</v>
      </c>
      <c r="AE368" t="s">
        <v>467</v>
      </c>
      <c r="AF368">
        <f ca="1">OFFSET('Calculations 2'!$CE$45,W368,0)*OFFSET($AA$6,X368,0)*OFFSET($M$6,W368,)</f>
        <v>0</v>
      </c>
      <c r="AY368" t="s">
        <v>222</v>
      </c>
      <c r="AZ368" t="s">
        <v>489</v>
      </c>
      <c r="BA368" t="s">
        <v>467</v>
      </c>
      <c r="BB368">
        <v>0</v>
      </c>
      <c r="BE368" t="s">
        <v>222</v>
      </c>
      <c r="BF368" t="s">
        <v>489</v>
      </c>
      <c r="BG368" t="s">
        <v>467</v>
      </c>
      <c r="BH368">
        <v>0</v>
      </c>
      <c r="CT368" t="s">
        <v>222</v>
      </c>
      <c r="CU368" t="s">
        <v>467</v>
      </c>
      <c r="CV368">
        <f ca="1">OFFSET('Calculations 2'!$AJ$12,W368,X368)</f>
        <v>0</v>
      </c>
    </row>
    <row r="369" spans="17:100">
      <c r="Q369" t="s">
        <v>217</v>
      </c>
      <c r="R369" t="s">
        <v>489</v>
      </c>
      <c r="S369" t="s">
        <v>231</v>
      </c>
      <c r="T369">
        <f ca="1">OFFSET('Calculations 2'!$C$45,W369,X369)*OFFSET($M$6,W369,0)</f>
        <v>0</v>
      </c>
      <c r="V369">
        <f t="shared" si="17"/>
        <v>363</v>
      </c>
      <c r="W369">
        <f t="shared" si="18"/>
        <v>0</v>
      </c>
      <c r="X369">
        <f t="shared" si="19"/>
        <v>11</v>
      </c>
      <c r="AC369" t="s">
        <v>217</v>
      </c>
      <c r="AD369" t="s">
        <v>489</v>
      </c>
      <c r="AE369" t="s">
        <v>231</v>
      </c>
      <c r="AF369">
        <f ca="1">OFFSET('Calculations 2'!$CE$45,W369,0)*OFFSET($AA$6,X369,0)*OFFSET($M$6,W369,)</f>
        <v>0.67517847362708294</v>
      </c>
      <c r="AY369" t="s">
        <v>217</v>
      </c>
      <c r="AZ369" t="s">
        <v>489</v>
      </c>
      <c r="BA369" t="s">
        <v>231</v>
      </c>
      <c r="BB369">
        <v>0</v>
      </c>
      <c r="BE369" t="s">
        <v>217</v>
      </c>
      <c r="BF369" t="s">
        <v>489</v>
      </c>
      <c r="BG369" t="s">
        <v>231</v>
      </c>
      <c r="BH369">
        <v>0</v>
      </c>
      <c r="CT369" t="s">
        <v>217</v>
      </c>
      <c r="CU369" t="s">
        <v>231</v>
      </c>
      <c r="CV369">
        <f ca="1">OFFSET('Calculations 2'!$AJ$12,W369,X369)</f>
        <v>0</v>
      </c>
    </row>
    <row r="370" spans="17:100">
      <c r="Q370" t="s">
        <v>232</v>
      </c>
      <c r="R370" t="s">
        <v>489</v>
      </c>
      <c r="S370" t="s">
        <v>231</v>
      </c>
      <c r="T370">
        <f ca="1">OFFSET('Calculations 2'!$C$45,W370,X370)*OFFSET($M$6,W370,0)</f>
        <v>1.7999297191470909</v>
      </c>
      <c r="V370">
        <f t="shared" si="17"/>
        <v>364</v>
      </c>
      <c r="W370">
        <f t="shared" si="18"/>
        <v>1</v>
      </c>
      <c r="X370">
        <f t="shared" si="19"/>
        <v>11</v>
      </c>
      <c r="AC370" t="s">
        <v>232</v>
      </c>
      <c r="AD370" t="s">
        <v>489</v>
      </c>
      <c r="AE370" t="s">
        <v>231</v>
      </c>
      <c r="AF370">
        <f ca="1">OFFSET('Calculations 2'!$CE$45,W370,0)*OFFSET($AA$6,X370,0)*OFFSET($M$6,W370,)</f>
        <v>1.1777936312481743</v>
      </c>
      <c r="AY370" t="s">
        <v>232</v>
      </c>
      <c r="AZ370" t="s">
        <v>489</v>
      </c>
      <c r="BA370" t="s">
        <v>231</v>
      </c>
      <c r="BB370">
        <v>0</v>
      </c>
      <c r="BE370" t="s">
        <v>232</v>
      </c>
      <c r="BF370" t="s">
        <v>489</v>
      </c>
      <c r="BG370" t="s">
        <v>231</v>
      </c>
      <c r="BH370">
        <v>0</v>
      </c>
      <c r="CT370" t="s">
        <v>232</v>
      </c>
      <c r="CU370" t="s">
        <v>231</v>
      </c>
      <c r="CV370">
        <f ca="1">OFFSET('Calculations 2'!$AJ$12,W370,X370)</f>
        <v>0</v>
      </c>
    </row>
    <row r="371" spans="17:100">
      <c r="Q371" t="s">
        <v>226</v>
      </c>
      <c r="R371" t="s">
        <v>489</v>
      </c>
      <c r="S371" t="s">
        <v>231</v>
      </c>
      <c r="T371">
        <f ca="1">OFFSET('Calculations 2'!$C$45,W371,X371)*OFFSET($M$6,W371,0)</f>
        <v>1.4711402236091544</v>
      </c>
      <c r="V371">
        <f t="shared" si="17"/>
        <v>365</v>
      </c>
      <c r="W371">
        <f t="shared" si="18"/>
        <v>2</v>
      </c>
      <c r="X371">
        <f t="shared" si="19"/>
        <v>11</v>
      </c>
      <c r="AC371" t="s">
        <v>226</v>
      </c>
      <c r="AD371" t="s">
        <v>489</v>
      </c>
      <c r="AE371" t="s">
        <v>231</v>
      </c>
      <c r="AF371">
        <f ca="1">OFFSET('Calculations 2'!$CE$45,W371,0)*OFFSET($AA$6,X371,0)*OFFSET($M$6,W371,)</f>
        <v>1.9831564701350761</v>
      </c>
      <c r="AY371" t="s">
        <v>226</v>
      </c>
      <c r="AZ371" t="s">
        <v>489</v>
      </c>
      <c r="BA371" t="s">
        <v>231</v>
      </c>
      <c r="BB371">
        <v>0</v>
      </c>
      <c r="BE371" t="s">
        <v>226</v>
      </c>
      <c r="BF371" t="s">
        <v>489</v>
      </c>
      <c r="BG371" t="s">
        <v>231</v>
      </c>
      <c r="BH371">
        <v>0</v>
      </c>
      <c r="CT371" t="s">
        <v>226</v>
      </c>
      <c r="CU371" t="s">
        <v>231</v>
      </c>
      <c r="CV371">
        <f ca="1">OFFSET('Calculations 2'!$AJ$12,W371,X371)</f>
        <v>0</v>
      </c>
    </row>
    <row r="372" spans="17:100">
      <c r="Q372" t="s">
        <v>243</v>
      </c>
      <c r="R372" t="s">
        <v>489</v>
      </c>
      <c r="S372" t="s">
        <v>231</v>
      </c>
      <c r="T372">
        <f ca="1">OFFSET('Calculations 2'!$C$45,W372,X372)*OFFSET($M$6,W372,0)</f>
        <v>1.9469237676207662</v>
      </c>
      <c r="V372">
        <f t="shared" si="17"/>
        <v>366</v>
      </c>
      <c r="W372">
        <f t="shared" si="18"/>
        <v>3</v>
      </c>
      <c r="X372">
        <f t="shared" si="19"/>
        <v>11</v>
      </c>
      <c r="AC372" t="s">
        <v>243</v>
      </c>
      <c r="AD372" t="s">
        <v>489</v>
      </c>
      <c r="AE372" t="s">
        <v>231</v>
      </c>
      <c r="AF372">
        <f ca="1">OFFSET('Calculations 2'!$CE$45,W372,0)*OFFSET($AA$6,X372,0)*OFFSET($M$6,W372,)</f>
        <v>10.329974725488535</v>
      </c>
      <c r="AY372" t="s">
        <v>243</v>
      </c>
      <c r="AZ372" t="s">
        <v>489</v>
      </c>
      <c r="BA372" t="s">
        <v>231</v>
      </c>
      <c r="BB372">
        <v>0</v>
      </c>
      <c r="BE372" t="s">
        <v>243</v>
      </c>
      <c r="BF372" t="s">
        <v>489</v>
      </c>
      <c r="BG372" t="s">
        <v>231</v>
      </c>
      <c r="BH372">
        <v>0</v>
      </c>
      <c r="CT372" t="s">
        <v>243</v>
      </c>
      <c r="CU372" t="s">
        <v>231</v>
      </c>
      <c r="CV372">
        <f ca="1">OFFSET('Calculations 2'!$AJ$12,W372,X372)</f>
        <v>0</v>
      </c>
    </row>
    <row r="373" spans="17:100">
      <c r="Q373" t="s">
        <v>228</v>
      </c>
      <c r="R373" t="s">
        <v>489</v>
      </c>
      <c r="S373" t="s">
        <v>231</v>
      </c>
      <c r="T373">
        <f ca="1">OFFSET('Calculations 2'!$C$45,W373,X373)*OFFSET($M$6,W373,0)</f>
        <v>0</v>
      </c>
      <c r="V373">
        <f t="shared" si="17"/>
        <v>367</v>
      </c>
      <c r="W373">
        <f t="shared" si="18"/>
        <v>4</v>
      </c>
      <c r="X373">
        <f t="shared" si="19"/>
        <v>11</v>
      </c>
      <c r="AC373" t="s">
        <v>228</v>
      </c>
      <c r="AD373" t="s">
        <v>489</v>
      </c>
      <c r="AE373" t="s">
        <v>231</v>
      </c>
      <c r="AF373">
        <f ca="1">OFFSET('Calculations 2'!$CE$45,W373,0)*OFFSET($AA$6,X373,0)*OFFSET($M$6,W373,)</f>
        <v>7.3298646687618541E-2</v>
      </c>
      <c r="AY373" t="s">
        <v>228</v>
      </c>
      <c r="AZ373" t="s">
        <v>489</v>
      </c>
      <c r="BA373" t="s">
        <v>231</v>
      </c>
      <c r="BB373">
        <v>0</v>
      </c>
      <c r="BE373" t="s">
        <v>228</v>
      </c>
      <c r="BF373" t="s">
        <v>489</v>
      </c>
      <c r="BG373" t="s">
        <v>231</v>
      </c>
      <c r="BH373">
        <v>0</v>
      </c>
      <c r="CT373" t="s">
        <v>228</v>
      </c>
      <c r="CU373" t="s">
        <v>231</v>
      </c>
      <c r="CV373">
        <f ca="1">OFFSET('Calculations 2'!$AJ$12,W373,X373)</f>
        <v>0</v>
      </c>
    </row>
    <row r="374" spans="17:100">
      <c r="Q374" t="s">
        <v>246</v>
      </c>
      <c r="R374" t="s">
        <v>489</v>
      </c>
      <c r="S374" t="s">
        <v>231</v>
      </c>
      <c r="T374">
        <f ca="1">OFFSET('Calculations 2'!$C$45,W374,X374)*OFFSET($M$6,W374,0)</f>
        <v>48.964462793923651</v>
      </c>
      <c r="V374">
        <f t="shared" si="17"/>
        <v>368</v>
      </c>
      <c r="W374">
        <f t="shared" si="18"/>
        <v>5</v>
      </c>
      <c r="X374">
        <f t="shared" si="19"/>
        <v>11</v>
      </c>
      <c r="AC374" t="s">
        <v>246</v>
      </c>
      <c r="AD374" t="s">
        <v>489</v>
      </c>
      <c r="AE374" t="s">
        <v>231</v>
      </c>
      <c r="AF374">
        <f ca="1">OFFSET('Calculations 2'!$CE$45,W374,0)*OFFSET($AA$6,X374,0)*OFFSET($M$6,W374,)</f>
        <v>0.45122552693338774</v>
      </c>
      <c r="AY374" t="s">
        <v>246</v>
      </c>
      <c r="AZ374" t="s">
        <v>489</v>
      </c>
      <c r="BA374" t="s">
        <v>231</v>
      </c>
      <c r="BB374">
        <v>0</v>
      </c>
      <c r="BE374" t="s">
        <v>246</v>
      </c>
      <c r="BF374" t="s">
        <v>489</v>
      </c>
      <c r="BG374" t="s">
        <v>231</v>
      </c>
      <c r="BH374">
        <v>0</v>
      </c>
      <c r="CT374" t="s">
        <v>246</v>
      </c>
      <c r="CU374" t="s">
        <v>231</v>
      </c>
      <c r="CV374">
        <f ca="1">OFFSET('Calculations 2'!$AJ$12,W374,X374)</f>
        <v>0</v>
      </c>
    </row>
    <row r="375" spans="17:100">
      <c r="Q375" t="s">
        <v>239</v>
      </c>
      <c r="R375" t="s">
        <v>489</v>
      </c>
      <c r="S375" t="s">
        <v>231</v>
      </c>
      <c r="T375">
        <f ca="1">OFFSET('Calculations 2'!$C$45,W375,X375)*OFFSET($M$6,W375,0)</f>
        <v>93.834876888676533</v>
      </c>
      <c r="V375">
        <f t="shared" si="17"/>
        <v>369</v>
      </c>
      <c r="W375">
        <f t="shared" si="18"/>
        <v>6</v>
      </c>
      <c r="X375">
        <f t="shared" si="19"/>
        <v>11</v>
      </c>
      <c r="AC375" t="s">
        <v>239</v>
      </c>
      <c r="AD375" t="s">
        <v>489</v>
      </c>
      <c r="AE375" t="s">
        <v>231</v>
      </c>
      <c r="AF375">
        <f ca="1">OFFSET('Calculations 2'!$CE$45,W375,0)*OFFSET($AA$6,X375,0)*OFFSET($M$6,W375,)</f>
        <v>9.0315592024412688</v>
      </c>
      <c r="AY375" t="s">
        <v>239</v>
      </c>
      <c r="AZ375" t="s">
        <v>489</v>
      </c>
      <c r="BA375" t="s">
        <v>231</v>
      </c>
      <c r="BB375">
        <v>0</v>
      </c>
      <c r="BE375" t="s">
        <v>239</v>
      </c>
      <c r="BF375" t="s">
        <v>489</v>
      </c>
      <c r="BG375" t="s">
        <v>231</v>
      </c>
      <c r="BH375">
        <v>0</v>
      </c>
      <c r="CT375" t="s">
        <v>239</v>
      </c>
      <c r="CU375" t="s">
        <v>231</v>
      </c>
      <c r="CV375">
        <f ca="1">OFFSET('Calculations 2'!$AJ$12,W375,X375)</f>
        <v>0</v>
      </c>
    </row>
    <row r="376" spans="17:100">
      <c r="Q376" t="s">
        <v>466</v>
      </c>
      <c r="R376" t="s">
        <v>489</v>
      </c>
      <c r="S376" t="s">
        <v>231</v>
      </c>
      <c r="T376">
        <f ca="1">OFFSET('Calculations 2'!$C$45,W376,X376)*OFFSET($M$6,W376,0)</f>
        <v>105.61770561317843</v>
      </c>
      <c r="V376">
        <f t="shared" si="17"/>
        <v>370</v>
      </c>
      <c r="W376">
        <f t="shared" si="18"/>
        <v>7</v>
      </c>
      <c r="X376">
        <f t="shared" si="19"/>
        <v>11</v>
      </c>
      <c r="AC376" t="s">
        <v>466</v>
      </c>
      <c r="AD376" t="s">
        <v>489</v>
      </c>
      <c r="AE376" t="s">
        <v>231</v>
      </c>
      <c r="AF376">
        <f ca="1">OFFSET('Calculations 2'!$CE$45,W376,0)*OFFSET($AA$6,X376,0)*OFFSET($M$6,W376,)</f>
        <v>1.3762348400334239</v>
      </c>
      <c r="AY376" t="s">
        <v>466</v>
      </c>
      <c r="AZ376" t="s">
        <v>489</v>
      </c>
      <c r="BA376" t="s">
        <v>231</v>
      </c>
      <c r="BB376">
        <v>0</v>
      </c>
      <c r="BE376" t="s">
        <v>466</v>
      </c>
      <c r="BF376" t="s">
        <v>489</v>
      </c>
      <c r="BG376" t="s">
        <v>231</v>
      </c>
      <c r="BH376">
        <v>0</v>
      </c>
      <c r="CT376" t="s">
        <v>466</v>
      </c>
      <c r="CU376" t="s">
        <v>231</v>
      </c>
      <c r="CV376">
        <f ca="1">OFFSET('Calculations 2'!$AJ$12,W376,X376)</f>
        <v>0</v>
      </c>
    </row>
    <row r="377" spans="17:100">
      <c r="Q377" t="s">
        <v>219</v>
      </c>
      <c r="R377" t="s">
        <v>489</v>
      </c>
      <c r="S377" t="s">
        <v>231</v>
      </c>
      <c r="T377">
        <f ca="1">OFFSET('Calculations 2'!$C$45,W377,X377)*OFFSET($M$6,W377,0)</f>
        <v>249.90836356486312</v>
      </c>
      <c r="V377">
        <f t="shared" si="17"/>
        <v>371</v>
      </c>
      <c r="W377">
        <f t="shared" si="18"/>
        <v>8</v>
      </c>
      <c r="X377">
        <f t="shared" si="19"/>
        <v>11</v>
      </c>
      <c r="AC377" t="s">
        <v>219</v>
      </c>
      <c r="AD377" t="s">
        <v>489</v>
      </c>
      <c r="AE377" t="s">
        <v>231</v>
      </c>
      <c r="AF377">
        <f ca="1">OFFSET('Calculations 2'!$CE$45,W377,0)*OFFSET($AA$6,X377,0)*OFFSET($M$6,W377,)</f>
        <v>8.5700955753693346</v>
      </c>
      <c r="AY377" t="s">
        <v>219</v>
      </c>
      <c r="AZ377" t="s">
        <v>489</v>
      </c>
      <c r="BA377" t="s">
        <v>231</v>
      </c>
      <c r="BB377">
        <v>0</v>
      </c>
      <c r="BE377" t="s">
        <v>219</v>
      </c>
      <c r="BF377" t="s">
        <v>489</v>
      </c>
      <c r="BG377" t="s">
        <v>231</v>
      </c>
      <c r="BH377">
        <v>0</v>
      </c>
      <c r="CT377" t="s">
        <v>219</v>
      </c>
      <c r="CU377" t="s">
        <v>231</v>
      </c>
      <c r="CV377">
        <f ca="1">OFFSET('Calculations 2'!$AJ$12,W377,X377)</f>
        <v>0</v>
      </c>
    </row>
    <row r="378" spans="17:100">
      <c r="Q378" t="s">
        <v>242</v>
      </c>
      <c r="R378" t="s">
        <v>489</v>
      </c>
      <c r="S378" t="s">
        <v>231</v>
      </c>
      <c r="T378">
        <f ca="1">OFFSET('Calculations 2'!$C$45,W378,X378)*OFFSET($M$6,W378,0)</f>
        <v>96.026453944533273</v>
      </c>
      <c r="V378">
        <f t="shared" si="17"/>
        <v>372</v>
      </c>
      <c r="W378">
        <f t="shared" si="18"/>
        <v>9</v>
      </c>
      <c r="X378">
        <f t="shared" si="19"/>
        <v>11</v>
      </c>
      <c r="AC378" t="s">
        <v>242</v>
      </c>
      <c r="AD378" t="s">
        <v>489</v>
      </c>
      <c r="AE378" t="s">
        <v>231</v>
      </c>
      <c r="AF378">
        <f ca="1">OFFSET('Calculations 2'!$CE$45,W378,0)*OFFSET($AA$6,X378,0)*OFFSET($M$6,W378,)</f>
        <v>13.415658214260258</v>
      </c>
      <c r="AY378" t="s">
        <v>242</v>
      </c>
      <c r="AZ378" t="s">
        <v>489</v>
      </c>
      <c r="BA378" t="s">
        <v>231</v>
      </c>
      <c r="BB378">
        <v>0</v>
      </c>
      <c r="BE378" t="s">
        <v>242</v>
      </c>
      <c r="BF378" t="s">
        <v>489</v>
      </c>
      <c r="BG378" t="s">
        <v>231</v>
      </c>
      <c r="BH378">
        <v>0</v>
      </c>
      <c r="CT378" t="s">
        <v>242</v>
      </c>
      <c r="CU378" t="s">
        <v>231</v>
      </c>
      <c r="CV378">
        <f ca="1">OFFSET('Calculations 2'!$AJ$12,W378,X378)</f>
        <v>0</v>
      </c>
    </row>
    <row r="379" spans="17:100">
      <c r="Q379" t="s">
        <v>467</v>
      </c>
      <c r="R379" t="s">
        <v>489</v>
      </c>
      <c r="S379" t="s">
        <v>231</v>
      </c>
      <c r="T379">
        <f ca="1">OFFSET('Calculations 2'!$C$45,W379,X379)*OFFSET($M$6,W379,0)</f>
        <v>144.34272910423346</v>
      </c>
      <c r="V379">
        <f t="shared" si="17"/>
        <v>373</v>
      </c>
      <c r="W379">
        <f t="shared" si="18"/>
        <v>10</v>
      </c>
      <c r="X379">
        <f t="shared" si="19"/>
        <v>11</v>
      </c>
      <c r="AC379" t="s">
        <v>467</v>
      </c>
      <c r="AD379" t="s">
        <v>489</v>
      </c>
      <c r="AE379" t="s">
        <v>231</v>
      </c>
      <c r="AF379">
        <f ca="1">OFFSET('Calculations 2'!$CE$45,W379,0)*OFFSET($AA$6,X379,0)*OFFSET($M$6,W379,)</f>
        <v>12.427939803933153</v>
      </c>
      <c r="AY379" t="s">
        <v>467</v>
      </c>
      <c r="AZ379" t="s">
        <v>489</v>
      </c>
      <c r="BA379" t="s">
        <v>231</v>
      </c>
      <c r="BB379">
        <v>0</v>
      </c>
      <c r="BE379" t="s">
        <v>467</v>
      </c>
      <c r="BF379" t="s">
        <v>489</v>
      </c>
      <c r="BG379" t="s">
        <v>231</v>
      </c>
      <c r="BH379">
        <v>0</v>
      </c>
      <c r="CT379" t="s">
        <v>467</v>
      </c>
      <c r="CU379" t="s">
        <v>231</v>
      </c>
      <c r="CV379">
        <f ca="1">OFFSET('Calculations 2'!$AJ$12,W379,X379)</f>
        <v>0</v>
      </c>
    </row>
    <row r="380" spans="17:100">
      <c r="Q380" t="s">
        <v>231</v>
      </c>
      <c r="R380" t="s">
        <v>489</v>
      </c>
      <c r="S380" t="s">
        <v>231</v>
      </c>
      <c r="T380">
        <f ca="1">OFFSET('Calculations 2'!$C$45,W380,X380)*OFFSET($M$6,W380,0)</f>
        <v>3469.6226990400055</v>
      </c>
      <c r="V380">
        <f t="shared" si="17"/>
        <v>374</v>
      </c>
      <c r="W380">
        <f t="shared" si="18"/>
        <v>11</v>
      </c>
      <c r="X380">
        <f t="shared" si="19"/>
        <v>11</v>
      </c>
      <c r="AC380" t="s">
        <v>231</v>
      </c>
      <c r="AD380" t="s">
        <v>489</v>
      </c>
      <c r="AE380" t="s">
        <v>231</v>
      </c>
      <c r="AF380">
        <f ca="1">OFFSET('Calculations 2'!$CE$45,W380,0)*OFFSET($AA$6,X380,0)*OFFSET($M$6,W380,)</f>
        <v>36.349575220923171</v>
      </c>
      <c r="AY380" t="s">
        <v>231</v>
      </c>
      <c r="AZ380" t="s">
        <v>489</v>
      </c>
      <c r="BA380" t="s">
        <v>231</v>
      </c>
      <c r="BB380">
        <v>0</v>
      </c>
      <c r="BE380" t="s">
        <v>231</v>
      </c>
      <c r="BF380" t="s">
        <v>489</v>
      </c>
      <c r="BG380" t="s">
        <v>231</v>
      </c>
      <c r="BH380">
        <v>0</v>
      </c>
      <c r="CT380" t="s">
        <v>231</v>
      </c>
      <c r="CU380" t="s">
        <v>231</v>
      </c>
      <c r="CV380">
        <f ca="1">OFFSET('Calculations 2'!$AJ$12,W380,X380)</f>
        <v>38703.505000000012</v>
      </c>
    </row>
    <row r="381" spans="17:100">
      <c r="Q381" t="s">
        <v>468</v>
      </c>
      <c r="R381" t="s">
        <v>489</v>
      </c>
      <c r="S381" t="s">
        <v>231</v>
      </c>
      <c r="T381">
        <f ca="1">OFFSET('Calculations 2'!$C$45,W381,X381)*OFFSET($M$6,W381,0)</f>
        <v>69.291077138381468</v>
      </c>
      <c r="V381">
        <f t="shared" si="17"/>
        <v>375</v>
      </c>
      <c r="W381">
        <f t="shared" si="18"/>
        <v>12</v>
      </c>
      <c r="X381">
        <f t="shared" si="19"/>
        <v>11</v>
      </c>
      <c r="AC381" t="s">
        <v>468</v>
      </c>
      <c r="AD381" t="s">
        <v>489</v>
      </c>
      <c r="AE381" t="s">
        <v>231</v>
      </c>
      <c r="AF381">
        <f ca="1">OFFSET('Calculations 2'!$CE$45,W381,0)*OFFSET($AA$6,X381,0)*OFFSET($M$6,W381,)</f>
        <v>52.613144992117924</v>
      </c>
      <c r="AY381" t="s">
        <v>468</v>
      </c>
      <c r="AZ381" t="s">
        <v>489</v>
      </c>
      <c r="BA381" t="s">
        <v>231</v>
      </c>
      <c r="BB381">
        <v>0</v>
      </c>
      <c r="BE381" t="s">
        <v>468</v>
      </c>
      <c r="BF381" t="s">
        <v>489</v>
      </c>
      <c r="BG381" t="s">
        <v>231</v>
      </c>
      <c r="BH381">
        <v>0</v>
      </c>
      <c r="CT381" t="s">
        <v>468</v>
      </c>
      <c r="CU381" t="s">
        <v>231</v>
      </c>
      <c r="CV381">
        <f ca="1">OFFSET('Calculations 2'!$AJ$12,W381,X381)</f>
        <v>0</v>
      </c>
    </row>
    <row r="382" spans="17:100">
      <c r="Q382" t="s">
        <v>469</v>
      </c>
      <c r="R382" t="s">
        <v>489</v>
      </c>
      <c r="S382" t="s">
        <v>231</v>
      </c>
      <c r="T382">
        <f ca="1">OFFSET('Calculations 2'!$C$45,W382,X382)*OFFSET($M$6,W382,0)</f>
        <v>6.3773668117921373E-2</v>
      </c>
      <c r="V382">
        <f t="shared" si="17"/>
        <v>376</v>
      </c>
      <c r="W382">
        <f t="shared" si="18"/>
        <v>13</v>
      </c>
      <c r="X382">
        <f t="shared" si="19"/>
        <v>11</v>
      </c>
      <c r="AC382" t="s">
        <v>469</v>
      </c>
      <c r="AD382" t="s">
        <v>489</v>
      </c>
      <c r="AE382" t="s">
        <v>231</v>
      </c>
      <c r="AF382">
        <f ca="1">OFFSET('Calculations 2'!$CE$45,W382,0)*OFFSET($AA$6,X382,0)*OFFSET($M$6,W382,)</f>
        <v>10.94467571031695</v>
      </c>
      <c r="AY382" t="s">
        <v>469</v>
      </c>
      <c r="AZ382" t="s">
        <v>489</v>
      </c>
      <c r="BA382" t="s">
        <v>231</v>
      </c>
      <c r="BB382">
        <v>0</v>
      </c>
      <c r="BE382" t="s">
        <v>469</v>
      </c>
      <c r="BF382" t="s">
        <v>489</v>
      </c>
      <c r="BG382" t="s">
        <v>231</v>
      </c>
      <c r="BH382">
        <v>0</v>
      </c>
      <c r="CT382" t="s">
        <v>469</v>
      </c>
      <c r="CU382" t="s">
        <v>231</v>
      </c>
      <c r="CV382">
        <f ca="1">OFFSET('Calculations 2'!$AJ$12,W382,X382)</f>
        <v>0</v>
      </c>
    </row>
    <row r="383" spans="17:100">
      <c r="Q383" t="s">
        <v>245</v>
      </c>
      <c r="R383" t="s">
        <v>489</v>
      </c>
      <c r="S383" t="s">
        <v>231</v>
      </c>
      <c r="T383">
        <f ca="1">OFFSET('Calculations 2'!$C$45,W383,X383)*OFFSET($M$6,W383,0)</f>
        <v>11.372238890986596</v>
      </c>
      <c r="V383">
        <f t="shared" si="17"/>
        <v>377</v>
      </c>
      <c r="W383">
        <f t="shared" si="18"/>
        <v>14</v>
      </c>
      <c r="X383">
        <f t="shared" si="19"/>
        <v>11</v>
      </c>
      <c r="AC383" t="s">
        <v>245</v>
      </c>
      <c r="AD383" t="s">
        <v>489</v>
      </c>
      <c r="AE383" t="s">
        <v>231</v>
      </c>
      <c r="AF383">
        <f ca="1">OFFSET('Calculations 2'!$CE$45,W383,0)*OFFSET($AA$6,X383,0)*OFFSET($M$6,W383,)</f>
        <v>15.809671218404985</v>
      </c>
      <c r="AY383" t="s">
        <v>245</v>
      </c>
      <c r="AZ383" t="s">
        <v>489</v>
      </c>
      <c r="BA383" t="s">
        <v>231</v>
      </c>
      <c r="BB383">
        <v>0</v>
      </c>
      <c r="BE383" t="s">
        <v>245</v>
      </c>
      <c r="BF383" t="s">
        <v>489</v>
      </c>
      <c r="BG383" t="s">
        <v>231</v>
      </c>
      <c r="BH383">
        <v>0</v>
      </c>
      <c r="CT383" t="s">
        <v>245</v>
      </c>
      <c r="CU383" t="s">
        <v>231</v>
      </c>
      <c r="CV383">
        <f ca="1">OFFSET('Calculations 2'!$AJ$12,W383,X383)</f>
        <v>0</v>
      </c>
    </row>
    <row r="384" spans="17:100">
      <c r="Q384" t="s">
        <v>470</v>
      </c>
      <c r="R384" t="s">
        <v>489</v>
      </c>
      <c r="S384" t="s">
        <v>231</v>
      </c>
      <c r="T384">
        <f ca="1">OFFSET('Calculations 2'!$C$45,W384,X384)*OFFSET($M$6,W384,0)</f>
        <v>100.24473050040862</v>
      </c>
      <c r="V384">
        <f t="shared" si="17"/>
        <v>378</v>
      </c>
      <c r="W384">
        <f t="shared" si="18"/>
        <v>15</v>
      </c>
      <c r="X384">
        <f t="shared" si="19"/>
        <v>11</v>
      </c>
      <c r="AC384" t="s">
        <v>470</v>
      </c>
      <c r="AD384" t="s">
        <v>489</v>
      </c>
      <c r="AE384" t="s">
        <v>231</v>
      </c>
      <c r="AF384">
        <f ca="1">OFFSET('Calculations 2'!$CE$45,W384,0)*OFFSET($AA$6,X384,0)*OFFSET($M$6,W384,)</f>
        <v>43.04870990068904</v>
      </c>
      <c r="AY384" t="s">
        <v>470</v>
      </c>
      <c r="AZ384" t="s">
        <v>489</v>
      </c>
      <c r="BA384" t="s">
        <v>231</v>
      </c>
      <c r="BB384">
        <v>0</v>
      </c>
      <c r="BE384" t="s">
        <v>470</v>
      </c>
      <c r="BF384" t="s">
        <v>489</v>
      </c>
      <c r="BG384" t="s">
        <v>231</v>
      </c>
      <c r="BH384">
        <v>0</v>
      </c>
      <c r="CT384" t="s">
        <v>470</v>
      </c>
      <c r="CU384" t="s">
        <v>231</v>
      </c>
      <c r="CV384">
        <f ca="1">OFFSET('Calculations 2'!$AJ$12,W384,X384)</f>
        <v>0</v>
      </c>
    </row>
    <row r="385" spans="17:100">
      <c r="Q385" t="s">
        <v>471</v>
      </c>
      <c r="R385" t="s">
        <v>489</v>
      </c>
      <c r="S385" t="s">
        <v>231</v>
      </c>
      <c r="T385">
        <f ca="1">OFFSET('Calculations 2'!$C$45,W385,X385)*OFFSET($M$6,W385,0)</f>
        <v>2352.8191087344808</v>
      </c>
      <c r="V385">
        <f t="shared" si="17"/>
        <v>379</v>
      </c>
      <c r="W385">
        <f t="shared" si="18"/>
        <v>16</v>
      </c>
      <c r="X385">
        <f t="shared" si="19"/>
        <v>11</v>
      </c>
      <c r="AC385" t="s">
        <v>471</v>
      </c>
      <c r="AD385" t="s">
        <v>489</v>
      </c>
      <c r="AE385" t="s">
        <v>231</v>
      </c>
      <c r="AF385">
        <f ca="1">OFFSET('Calculations 2'!$CE$45,W385,0)*OFFSET($AA$6,X385,0)*OFFSET($M$6,W385,)</f>
        <v>0</v>
      </c>
      <c r="AY385" t="s">
        <v>471</v>
      </c>
      <c r="AZ385" t="s">
        <v>489</v>
      </c>
      <c r="BA385" t="s">
        <v>231</v>
      </c>
      <c r="BB385">
        <v>0</v>
      </c>
      <c r="BE385" t="s">
        <v>471</v>
      </c>
      <c r="BF385" t="s">
        <v>489</v>
      </c>
      <c r="BG385" t="s">
        <v>231</v>
      </c>
      <c r="BH385">
        <v>0</v>
      </c>
      <c r="CT385" t="s">
        <v>471</v>
      </c>
      <c r="CU385" t="s">
        <v>231</v>
      </c>
      <c r="CV385">
        <f ca="1">OFFSET('Calculations 2'!$AJ$12,W385,X385)</f>
        <v>0</v>
      </c>
    </row>
    <row r="386" spans="17:100">
      <c r="Q386" t="s">
        <v>221</v>
      </c>
      <c r="R386" t="s">
        <v>489</v>
      </c>
      <c r="S386" t="s">
        <v>231</v>
      </c>
      <c r="T386">
        <f ca="1">OFFSET('Calculations 2'!$C$45,W386,X386)*OFFSET($M$6,W386,0)</f>
        <v>153.14066033208459</v>
      </c>
      <c r="V386">
        <f t="shared" si="17"/>
        <v>380</v>
      </c>
      <c r="W386">
        <f t="shared" si="18"/>
        <v>17</v>
      </c>
      <c r="X386">
        <f t="shared" si="19"/>
        <v>11</v>
      </c>
      <c r="AC386" t="s">
        <v>221</v>
      </c>
      <c r="AD386" t="s">
        <v>489</v>
      </c>
      <c r="AE386" t="s">
        <v>231</v>
      </c>
      <c r="AF386">
        <f ca="1">OFFSET('Calculations 2'!$CE$45,W386,0)*OFFSET($AA$6,X386,0)*OFFSET($M$6,W386,)</f>
        <v>1430.0110069720336</v>
      </c>
      <c r="AY386" t="s">
        <v>221</v>
      </c>
      <c r="AZ386" t="s">
        <v>489</v>
      </c>
      <c r="BA386" t="s">
        <v>231</v>
      </c>
      <c r="BB386">
        <v>0</v>
      </c>
      <c r="BE386" t="s">
        <v>221</v>
      </c>
      <c r="BF386" t="s">
        <v>489</v>
      </c>
      <c r="BG386" t="s">
        <v>231</v>
      </c>
      <c r="BH386">
        <v>0</v>
      </c>
      <c r="CT386" t="s">
        <v>221</v>
      </c>
      <c r="CU386" t="s">
        <v>231</v>
      </c>
      <c r="CV386">
        <f ca="1">OFFSET('Calculations 2'!$AJ$12,W386,X386)</f>
        <v>0</v>
      </c>
    </row>
    <row r="387" spans="17:100">
      <c r="Q387" t="s">
        <v>244</v>
      </c>
      <c r="R387" t="s">
        <v>489</v>
      </c>
      <c r="S387" t="s">
        <v>231</v>
      </c>
      <c r="T387">
        <f ca="1">OFFSET('Calculations 2'!$C$45,W387,X387)*OFFSET($M$6,W387,0)</f>
        <v>3492.8198558270237</v>
      </c>
      <c r="V387">
        <f t="shared" si="17"/>
        <v>381</v>
      </c>
      <c r="W387">
        <f t="shared" si="18"/>
        <v>18</v>
      </c>
      <c r="X387">
        <f t="shared" si="19"/>
        <v>11</v>
      </c>
      <c r="AC387" t="s">
        <v>244</v>
      </c>
      <c r="AD387" t="s">
        <v>489</v>
      </c>
      <c r="AE387" t="s">
        <v>231</v>
      </c>
      <c r="AF387">
        <f ca="1">OFFSET('Calculations 2'!$CE$45,W387,0)*OFFSET($AA$6,X387,0)*OFFSET($M$6,W387,)</f>
        <v>228.6492252224694</v>
      </c>
      <c r="AY387" t="s">
        <v>244</v>
      </c>
      <c r="AZ387" t="s">
        <v>489</v>
      </c>
      <c r="BA387" t="s">
        <v>231</v>
      </c>
      <c r="BB387">
        <v>0</v>
      </c>
      <c r="BE387" t="s">
        <v>244</v>
      </c>
      <c r="BF387" t="s">
        <v>489</v>
      </c>
      <c r="BG387" t="s">
        <v>231</v>
      </c>
      <c r="BH387">
        <v>0</v>
      </c>
      <c r="CT387" t="s">
        <v>244</v>
      </c>
      <c r="CU387" t="s">
        <v>231</v>
      </c>
      <c r="CV387">
        <f ca="1">OFFSET('Calculations 2'!$AJ$12,W387,X387)</f>
        <v>0</v>
      </c>
    </row>
    <row r="388" spans="17:100">
      <c r="Q388" t="s">
        <v>472</v>
      </c>
      <c r="R388" t="s">
        <v>489</v>
      </c>
      <c r="S388" t="s">
        <v>231</v>
      </c>
      <c r="T388">
        <f ca="1">OFFSET('Calculations 2'!$C$45,W388,X388)*OFFSET($M$6,W388,0)</f>
        <v>0</v>
      </c>
      <c r="V388">
        <f t="shared" si="17"/>
        <v>382</v>
      </c>
      <c r="W388">
        <f t="shared" si="18"/>
        <v>19</v>
      </c>
      <c r="X388">
        <f t="shared" si="19"/>
        <v>11</v>
      </c>
      <c r="AC388" t="s">
        <v>472</v>
      </c>
      <c r="AD388" t="s">
        <v>489</v>
      </c>
      <c r="AE388" t="s">
        <v>231</v>
      </c>
      <c r="AF388">
        <f ca="1">OFFSET('Calculations 2'!$CE$45,W388,0)*OFFSET($AA$6,X388,0)*OFFSET($M$6,W388,)</f>
        <v>0</v>
      </c>
      <c r="AY388" t="s">
        <v>472</v>
      </c>
      <c r="AZ388" t="s">
        <v>489</v>
      </c>
      <c r="BA388" t="s">
        <v>231</v>
      </c>
      <c r="BB388">
        <v>0</v>
      </c>
      <c r="BE388" t="s">
        <v>472</v>
      </c>
      <c r="BF388" t="s">
        <v>489</v>
      </c>
      <c r="BG388" t="s">
        <v>231</v>
      </c>
      <c r="BH388">
        <v>0</v>
      </c>
      <c r="CT388" t="s">
        <v>472</v>
      </c>
      <c r="CU388" t="s">
        <v>231</v>
      </c>
      <c r="CV388">
        <f ca="1">OFFSET('Calculations 2'!$AJ$12,W388,X388)</f>
        <v>0</v>
      </c>
    </row>
    <row r="389" spans="17:100">
      <c r="Q389" t="s">
        <v>238</v>
      </c>
      <c r="R389" t="s">
        <v>489</v>
      </c>
      <c r="S389" t="s">
        <v>231</v>
      </c>
      <c r="T389">
        <f ca="1">OFFSET('Calculations 2'!$C$45,W389,X389)*OFFSET($M$6,W389,0)</f>
        <v>98.766832940691813</v>
      </c>
      <c r="V389">
        <f t="shared" si="17"/>
        <v>383</v>
      </c>
      <c r="W389">
        <f t="shared" si="18"/>
        <v>20</v>
      </c>
      <c r="X389">
        <f t="shared" si="19"/>
        <v>11</v>
      </c>
      <c r="AC389" t="s">
        <v>238</v>
      </c>
      <c r="AD389" t="s">
        <v>489</v>
      </c>
      <c r="AE389" t="s">
        <v>231</v>
      </c>
      <c r="AF389">
        <f ca="1">OFFSET('Calculations 2'!$CE$45,W389,0)*OFFSET($AA$6,X389,0)*OFFSET($M$6,W389,)</f>
        <v>0</v>
      </c>
      <c r="AY389" t="s">
        <v>238</v>
      </c>
      <c r="AZ389" t="s">
        <v>489</v>
      </c>
      <c r="BA389" t="s">
        <v>231</v>
      </c>
      <c r="BB389">
        <v>0</v>
      </c>
      <c r="BE389" t="s">
        <v>238</v>
      </c>
      <c r="BF389" t="s">
        <v>489</v>
      </c>
      <c r="BG389" t="s">
        <v>231</v>
      </c>
      <c r="BH389">
        <v>0</v>
      </c>
      <c r="CT389" t="s">
        <v>238</v>
      </c>
      <c r="CU389" t="s">
        <v>231</v>
      </c>
      <c r="CV389">
        <f ca="1">OFFSET('Calculations 2'!$AJ$12,W389,X389)</f>
        <v>0</v>
      </c>
    </row>
    <row r="390" spans="17:100">
      <c r="Q390" t="s">
        <v>247</v>
      </c>
      <c r="R390" t="s">
        <v>489</v>
      </c>
      <c r="S390" t="s">
        <v>231</v>
      </c>
      <c r="T390">
        <f ca="1">OFFSET('Calculations 2'!$C$45,W390,X390)*OFFSET($M$6,W390,0)</f>
        <v>0</v>
      </c>
      <c r="V390">
        <f t="shared" si="17"/>
        <v>384</v>
      </c>
      <c r="W390">
        <f t="shared" si="18"/>
        <v>21</v>
      </c>
      <c r="X390">
        <f t="shared" si="19"/>
        <v>11</v>
      </c>
      <c r="AC390" t="s">
        <v>247</v>
      </c>
      <c r="AD390" t="s">
        <v>489</v>
      </c>
      <c r="AE390" t="s">
        <v>231</v>
      </c>
      <c r="AF390">
        <f ca="1">OFFSET('Calculations 2'!$CE$45,W390,0)*OFFSET($AA$6,X390,0)*OFFSET($M$6,W390,)</f>
        <v>0</v>
      </c>
      <c r="AY390" t="s">
        <v>247</v>
      </c>
      <c r="AZ390" t="s">
        <v>489</v>
      </c>
      <c r="BA390" t="s">
        <v>231</v>
      </c>
      <c r="BB390">
        <v>0</v>
      </c>
      <c r="BE390" t="s">
        <v>247</v>
      </c>
      <c r="BF390" t="s">
        <v>489</v>
      </c>
      <c r="BG390" t="s">
        <v>231</v>
      </c>
      <c r="BH390">
        <v>0</v>
      </c>
      <c r="CT390" t="s">
        <v>247</v>
      </c>
      <c r="CU390" t="s">
        <v>231</v>
      </c>
      <c r="CV390">
        <f ca="1">OFFSET('Calculations 2'!$AJ$12,W390,X390)</f>
        <v>0</v>
      </c>
    </row>
    <row r="391" spans="17:100">
      <c r="Q391" t="s">
        <v>218</v>
      </c>
      <c r="R391" t="s">
        <v>489</v>
      </c>
      <c r="S391" t="s">
        <v>231</v>
      </c>
      <c r="T391">
        <f ca="1">OFFSET('Calculations 2'!$C$45,W391,X391)*OFFSET($M$6,W391,0)</f>
        <v>660.61267144451688</v>
      </c>
      <c r="V391">
        <f t="shared" si="17"/>
        <v>385</v>
      </c>
      <c r="W391">
        <f t="shared" si="18"/>
        <v>22</v>
      </c>
      <c r="X391">
        <f t="shared" si="19"/>
        <v>11</v>
      </c>
      <c r="AC391" t="s">
        <v>218</v>
      </c>
      <c r="AD391" t="s">
        <v>489</v>
      </c>
      <c r="AE391" t="s">
        <v>231</v>
      </c>
      <c r="AF391">
        <f ca="1">OFFSET('Calculations 2'!$CE$45,W391,0)*OFFSET($AA$6,X391,0)*OFFSET($M$6,W391,)</f>
        <v>0</v>
      </c>
      <c r="AY391" t="s">
        <v>218</v>
      </c>
      <c r="AZ391" t="s">
        <v>489</v>
      </c>
      <c r="BA391" t="s">
        <v>231</v>
      </c>
      <c r="BB391">
        <v>0</v>
      </c>
      <c r="BE391" t="s">
        <v>218</v>
      </c>
      <c r="BF391" t="s">
        <v>489</v>
      </c>
      <c r="BG391" t="s">
        <v>231</v>
      </c>
      <c r="BH391">
        <v>0</v>
      </c>
      <c r="CT391" t="s">
        <v>218</v>
      </c>
      <c r="CU391" t="s">
        <v>231</v>
      </c>
      <c r="CV391">
        <f ca="1">OFFSET('Calculations 2'!$AJ$12,W391,X391)</f>
        <v>0</v>
      </c>
    </row>
    <row r="392" spans="17:100">
      <c r="Q392" t="s">
        <v>257</v>
      </c>
      <c r="R392" t="s">
        <v>489</v>
      </c>
      <c r="S392" t="s">
        <v>231</v>
      </c>
      <c r="T392">
        <f ca="1">OFFSET('Calculations 2'!$C$45,W392,X392)*OFFSET($M$6,W392,0)</f>
        <v>410.47094306175262</v>
      </c>
      <c r="V392">
        <f t="shared" ref="V392:V455" si="20">V391+1</f>
        <v>386</v>
      </c>
      <c r="W392">
        <f t="shared" ref="W392:W455" si="21">MOD(V392,$V$3)</f>
        <v>23</v>
      </c>
      <c r="X392">
        <f t="shared" ref="X392:X455" si="22">FLOOR(V392/$V$3,1)</f>
        <v>11</v>
      </c>
      <c r="AC392" t="s">
        <v>257</v>
      </c>
      <c r="AD392" t="s">
        <v>489</v>
      </c>
      <c r="AE392" t="s">
        <v>231</v>
      </c>
      <c r="AF392">
        <f ca="1">OFFSET('Calculations 2'!$CE$45,W392,0)*OFFSET($AA$6,X392,0)*OFFSET($M$6,W392,)</f>
        <v>0</v>
      </c>
      <c r="AY392" t="s">
        <v>257</v>
      </c>
      <c r="AZ392" t="s">
        <v>489</v>
      </c>
      <c r="BA392" t="s">
        <v>231</v>
      </c>
      <c r="BB392">
        <v>0</v>
      </c>
      <c r="BE392" t="s">
        <v>257</v>
      </c>
      <c r="BF392" t="s">
        <v>489</v>
      </c>
      <c r="BG392" t="s">
        <v>231</v>
      </c>
      <c r="BH392">
        <v>0</v>
      </c>
      <c r="CT392" t="s">
        <v>257</v>
      </c>
      <c r="CU392" t="s">
        <v>231</v>
      </c>
      <c r="CV392">
        <f ca="1">OFFSET('Calculations 2'!$AJ$12,W392,X392)</f>
        <v>0</v>
      </c>
    </row>
    <row r="393" spans="17:100">
      <c r="Q393" t="s">
        <v>220</v>
      </c>
      <c r="R393" t="s">
        <v>489</v>
      </c>
      <c r="S393" t="s">
        <v>231</v>
      </c>
      <c r="T393">
        <f ca="1">OFFSET('Calculations 2'!$C$45,W393,X393)*OFFSET($M$6,W393,0)</f>
        <v>46.326582738165563</v>
      </c>
      <c r="V393">
        <f t="shared" si="20"/>
        <v>387</v>
      </c>
      <c r="W393">
        <f t="shared" si="21"/>
        <v>24</v>
      </c>
      <c r="X393">
        <f t="shared" si="22"/>
        <v>11</v>
      </c>
      <c r="AC393" t="s">
        <v>220</v>
      </c>
      <c r="AD393" t="s">
        <v>489</v>
      </c>
      <c r="AE393" t="s">
        <v>231</v>
      </c>
      <c r="AF393">
        <f ca="1">OFFSET('Calculations 2'!$CE$45,W393,0)*OFFSET($AA$6,X393,0)*OFFSET($M$6,W393,)</f>
        <v>0</v>
      </c>
      <c r="AY393" t="s">
        <v>220</v>
      </c>
      <c r="AZ393" t="s">
        <v>489</v>
      </c>
      <c r="BA393" t="s">
        <v>231</v>
      </c>
      <c r="BB393">
        <v>0</v>
      </c>
      <c r="BE393" t="s">
        <v>220</v>
      </c>
      <c r="BF393" t="s">
        <v>489</v>
      </c>
      <c r="BG393" t="s">
        <v>231</v>
      </c>
      <c r="BH393">
        <v>0</v>
      </c>
      <c r="CT393" t="s">
        <v>220</v>
      </c>
      <c r="CU393" t="s">
        <v>231</v>
      </c>
      <c r="CV393">
        <f ca="1">OFFSET('Calculations 2'!$AJ$12,W393,X393)</f>
        <v>0</v>
      </c>
    </row>
    <row r="394" spans="17:100">
      <c r="Q394" t="s">
        <v>235</v>
      </c>
      <c r="R394" t="s">
        <v>489</v>
      </c>
      <c r="S394" t="s">
        <v>231</v>
      </c>
      <c r="T394">
        <f ca="1">OFFSET('Calculations 2'!$C$45,W394,X394)*OFFSET($M$6,W394,0)</f>
        <v>501.03336390205055</v>
      </c>
      <c r="V394">
        <f t="shared" si="20"/>
        <v>388</v>
      </c>
      <c r="W394">
        <f t="shared" si="21"/>
        <v>25</v>
      </c>
      <c r="X394">
        <f t="shared" si="22"/>
        <v>11</v>
      </c>
      <c r="AC394" t="s">
        <v>235</v>
      </c>
      <c r="AD394" t="s">
        <v>489</v>
      </c>
      <c r="AE394" t="s">
        <v>231</v>
      </c>
      <c r="AF394">
        <f ca="1">OFFSET('Calculations 2'!$CE$45,W394,0)*OFFSET($AA$6,X394,0)*OFFSET($M$6,W394,)</f>
        <v>0</v>
      </c>
      <c r="AY394" t="s">
        <v>235</v>
      </c>
      <c r="AZ394" t="s">
        <v>489</v>
      </c>
      <c r="BA394" t="s">
        <v>231</v>
      </c>
      <c r="BB394">
        <v>0</v>
      </c>
      <c r="BE394" t="s">
        <v>235</v>
      </c>
      <c r="BF394" t="s">
        <v>489</v>
      </c>
      <c r="BG394" t="s">
        <v>231</v>
      </c>
      <c r="BH394">
        <v>0</v>
      </c>
      <c r="CT394" t="s">
        <v>235</v>
      </c>
      <c r="CU394" t="s">
        <v>231</v>
      </c>
      <c r="CV394">
        <f ca="1">OFFSET('Calculations 2'!$AJ$12,W394,X394)</f>
        <v>0</v>
      </c>
    </row>
    <row r="395" spans="17:100">
      <c r="Q395" t="s">
        <v>473</v>
      </c>
      <c r="R395" t="s">
        <v>489</v>
      </c>
      <c r="S395" t="s">
        <v>231</v>
      </c>
      <c r="T395">
        <f ca="1">OFFSET('Calculations 2'!$C$45,W395,X395)*OFFSET($M$6,W395,0)</f>
        <v>185.44641990021549</v>
      </c>
      <c r="V395">
        <f t="shared" si="20"/>
        <v>389</v>
      </c>
      <c r="W395">
        <f t="shared" si="21"/>
        <v>26</v>
      </c>
      <c r="X395">
        <f t="shared" si="22"/>
        <v>11</v>
      </c>
      <c r="AC395" t="s">
        <v>473</v>
      </c>
      <c r="AD395" t="s">
        <v>489</v>
      </c>
      <c r="AE395" t="s">
        <v>231</v>
      </c>
      <c r="AF395">
        <f ca="1">OFFSET('Calculations 2'!$CE$45,W395,0)*OFFSET($AA$6,X395,0)*OFFSET($M$6,W395,)</f>
        <v>0</v>
      </c>
      <c r="AY395" t="s">
        <v>473</v>
      </c>
      <c r="AZ395" t="s">
        <v>489</v>
      </c>
      <c r="BA395" t="s">
        <v>231</v>
      </c>
      <c r="BB395">
        <v>0</v>
      </c>
      <c r="BE395" t="s">
        <v>473</v>
      </c>
      <c r="BF395" t="s">
        <v>489</v>
      </c>
      <c r="BG395" t="s">
        <v>231</v>
      </c>
      <c r="BH395">
        <v>0</v>
      </c>
      <c r="CT395" t="s">
        <v>473</v>
      </c>
      <c r="CU395" t="s">
        <v>231</v>
      </c>
      <c r="CV395">
        <f ca="1">OFFSET('Calculations 2'!$AJ$12,W395,X395)</f>
        <v>0</v>
      </c>
    </row>
    <row r="396" spans="17:100">
      <c r="Q396" t="s">
        <v>233</v>
      </c>
      <c r="R396" t="s">
        <v>489</v>
      </c>
      <c r="S396" t="s">
        <v>231</v>
      </c>
      <c r="T396">
        <f ca="1">OFFSET('Calculations 2'!$C$45,W396,X396)*OFFSET($M$6,W396,0)</f>
        <v>730.54701490823038</v>
      </c>
      <c r="V396">
        <f t="shared" si="20"/>
        <v>390</v>
      </c>
      <c r="W396">
        <f t="shared" si="21"/>
        <v>27</v>
      </c>
      <c r="X396">
        <f t="shared" si="22"/>
        <v>11</v>
      </c>
      <c r="AC396" t="s">
        <v>233</v>
      </c>
      <c r="AD396" t="s">
        <v>489</v>
      </c>
      <c r="AE396" t="s">
        <v>231</v>
      </c>
      <c r="AF396">
        <f ca="1">OFFSET('Calculations 2'!$CE$45,W396,0)*OFFSET($AA$6,X396,0)*OFFSET($M$6,W396,)</f>
        <v>0</v>
      </c>
      <c r="AY396" t="s">
        <v>233</v>
      </c>
      <c r="AZ396" t="s">
        <v>489</v>
      </c>
      <c r="BA396" t="s">
        <v>231</v>
      </c>
      <c r="BB396">
        <v>0</v>
      </c>
      <c r="BE396" t="s">
        <v>233</v>
      </c>
      <c r="BF396" t="s">
        <v>489</v>
      </c>
      <c r="BG396" t="s">
        <v>231</v>
      </c>
      <c r="BH396">
        <v>0</v>
      </c>
      <c r="CT396" t="s">
        <v>233</v>
      </c>
      <c r="CU396" t="s">
        <v>231</v>
      </c>
      <c r="CV396">
        <f ca="1">OFFSET('Calculations 2'!$AJ$12,W396,X396)</f>
        <v>0</v>
      </c>
    </row>
    <row r="397" spans="17:100">
      <c r="Q397" t="s">
        <v>474</v>
      </c>
      <c r="R397" t="s">
        <v>489</v>
      </c>
      <c r="S397" t="s">
        <v>231</v>
      </c>
      <c r="T397">
        <f ca="1">OFFSET('Calculations 2'!$C$45,W397,X397)*OFFSET($M$6,W397,0)</f>
        <v>10.335139866966351</v>
      </c>
      <c r="V397">
        <f t="shared" si="20"/>
        <v>391</v>
      </c>
      <c r="W397">
        <f t="shared" si="21"/>
        <v>28</v>
      </c>
      <c r="X397">
        <f t="shared" si="22"/>
        <v>11</v>
      </c>
      <c r="AC397" t="s">
        <v>474</v>
      </c>
      <c r="AD397" t="s">
        <v>489</v>
      </c>
      <c r="AE397" t="s">
        <v>231</v>
      </c>
      <c r="AF397">
        <f ca="1">OFFSET('Calculations 2'!$CE$45,W397,0)*OFFSET($AA$6,X397,0)*OFFSET($M$6,W397,)</f>
        <v>0</v>
      </c>
      <c r="AY397" t="s">
        <v>474</v>
      </c>
      <c r="AZ397" t="s">
        <v>489</v>
      </c>
      <c r="BA397" t="s">
        <v>231</v>
      </c>
      <c r="BB397">
        <v>0</v>
      </c>
      <c r="BE397" t="s">
        <v>474</v>
      </c>
      <c r="BF397" t="s">
        <v>489</v>
      </c>
      <c r="BG397" t="s">
        <v>231</v>
      </c>
      <c r="BH397">
        <v>0</v>
      </c>
      <c r="CT397" t="s">
        <v>474</v>
      </c>
      <c r="CU397" t="s">
        <v>231</v>
      </c>
      <c r="CV397">
        <f ca="1">OFFSET('Calculations 2'!$AJ$12,W397,X397)</f>
        <v>0</v>
      </c>
    </row>
    <row r="398" spans="17:100">
      <c r="Q398" t="s">
        <v>223</v>
      </c>
      <c r="R398" t="s">
        <v>489</v>
      </c>
      <c r="S398" t="s">
        <v>231</v>
      </c>
      <c r="T398">
        <f ca="1">OFFSET('Calculations 2'!$C$45,W398,X398)*OFFSET($M$6,W398,0)</f>
        <v>44.441761918549865</v>
      </c>
      <c r="V398">
        <f t="shared" si="20"/>
        <v>392</v>
      </c>
      <c r="W398">
        <f t="shared" si="21"/>
        <v>29</v>
      </c>
      <c r="X398">
        <f t="shared" si="22"/>
        <v>11</v>
      </c>
      <c r="AC398" t="s">
        <v>223</v>
      </c>
      <c r="AD398" t="s">
        <v>489</v>
      </c>
      <c r="AE398" t="s">
        <v>231</v>
      </c>
      <c r="AF398">
        <f ca="1">OFFSET('Calculations 2'!$CE$45,W398,0)*OFFSET($AA$6,X398,0)*OFFSET($M$6,W398,)</f>
        <v>0</v>
      </c>
      <c r="AY398" t="s">
        <v>223</v>
      </c>
      <c r="AZ398" t="s">
        <v>489</v>
      </c>
      <c r="BA398" t="s">
        <v>231</v>
      </c>
      <c r="BB398">
        <v>0</v>
      </c>
      <c r="BE398" t="s">
        <v>223</v>
      </c>
      <c r="BF398" t="s">
        <v>489</v>
      </c>
      <c r="BG398" t="s">
        <v>231</v>
      </c>
      <c r="BH398">
        <v>0</v>
      </c>
      <c r="CT398" t="s">
        <v>223</v>
      </c>
      <c r="CU398" t="s">
        <v>231</v>
      </c>
      <c r="CV398">
        <f ca="1">OFFSET('Calculations 2'!$AJ$12,W398,X398)</f>
        <v>0</v>
      </c>
    </row>
    <row r="399" spans="17:100">
      <c r="Q399" t="s">
        <v>475</v>
      </c>
      <c r="R399" t="s">
        <v>489</v>
      </c>
      <c r="S399" t="s">
        <v>231</v>
      </c>
      <c r="T399">
        <f ca="1">OFFSET('Calculations 2'!$C$45,W399,X399)*OFFSET($M$6,W399,0)</f>
        <v>9.1584782542646774</v>
      </c>
      <c r="V399">
        <f t="shared" si="20"/>
        <v>393</v>
      </c>
      <c r="W399">
        <f t="shared" si="21"/>
        <v>30</v>
      </c>
      <c r="X399">
        <f t="shared" si="22"/>
        <v>11</v>
      </c>
      <c r="AC399" t="s">
        <v>475</v>
      </c>
      <c r="AD399" t="s">
        <v>489</v>
      </c>
      <c r="AE399" t="s">
        <v>231</v>
      </c>
      <c r="AF399">
        <f ca="1">OFFSET('Calculations 2'!$CE$45,W399,0)*OFFSET($AA$6,X399,0)*OFFSET($M$6,W399,)</f>
        <v>0</v>
      </c>
      <c r="AY399" t="s">
        <v>475</v>
      </c>
      <c r="AZ399" t="s">
        <v>489</v>
      </c>
      <c r="BA399" t="s">
        <v>231</v>
      </c>
      <c r="BB399">
        <v>0</v>
      </c>
      <c r="BE399" t="s">
        <v>475</v>
      </c>
      <c r="BF399" t="s">
        <v>489</v>
      </c>
      <c r="BG399" t="s">
        <v>231</v>
      </c>
      <c r="BH399">
        <v>0</v>
      </c>
      <c r="CT399" t="s">
        <v>475</v>
      </c>
      <c r="CU399" t="s">
        <v>231</v>
      </c>
      <c r="CV399">
        <f ca="1">OFFSET('Calculations 2'!$AJ$12,W399,X399)</f>
        <v>0</v>
      </c>
    </row>
    <row r="400" spans="17:100">
      <c r="Q400" t="s">
        <v>476</v>
      </c>
      <c r="R400" t="s">
        <v>489</v>
      </c>
      <c r="S400" t="s">
        <v>231</v>
      </c>
      <c r="T400">
        <f ca="1">OFFSET('Calculations 2'!$C$45,W400,X400)*OFFSET($M$6,W400,0)</f>
        <v>6.8003841576440518</v>
      </c>
      <c r="V400">
        <f t="shared" si="20"/>
        <v>394</v>
      </c>
      <c r="W400">
        <f t="shared" si="21"/>
        <v>31</v>
      </c>
      <c r="X400">
        <f t="shared" si="22"/>
        <v>11</v>
      </c>
      <c r="AC400" t="s">
        <v>476</v>
      </c>
      <c r="AD400" t="s">
        <v>489</v>
      </c>
      <c r="AE400" t="s">
        <v>231</v>
      </c>
      <c r="AF400">
        <f ca="1">OFFSET('Calculations 2'!$CE$45,W400,0)*OFFSET($AA$6,X400,0)*OFFSET($M$6,W400,)</f>
        <v>0</v>
      </c>
      <c r="AY400" t="s">
        <v>476</v>
      </c>
      <c r="AZ400" t="s">
        <v>489</v>
      </c>
      <c r="BA400" t="s">
        <v>231</v>
      </c>
      <c r="BB400">
        <v>0</v>
      </c>
      <c r="BE400" t="s">
        <v>476</v>
      </c>
      <c r="BF400" t="s">
        <v>489</v>
      </c>
      <c r="BG400" t="s">
        <v>231</v>
      </c>
      <c r="BH400">
        <v>0</v>
      </c>
      <c r="CT400" t="s">
        <v>476</v>
      </c>
      <c r="CU400" t="s">
        <v>231</v>
      </c>
      <c r="CV400">
        <f ca="1">OFFSET('Calculations 2'!$AJ$12,W400,X400)</f>
        <v>0</v>
      </c>
    </row>
    <row r="401" spans="17:100">
      <c r="Q401" t="s">
        <v>222</v>
      </c>
      <c r="R401" t="s">
        <v>489</v>
      </c>
      <c r="S401" t="s">
        <v>231</v>
      </c>
      <c r="T401">
        <f ca="1">OFFSET('Calculations 2'!$C$45,W401,X401)*OFFSET($M$6,W401,0)</f>
        <v>0</v>
      </c>
      <c r="V401">
        <f t="shared" si="20"/>
        <v>395</v>
      </c>
      <c r="W401">
        <f t="shared" si="21"/>
        <v>32</v>
      </c>
      <c r="X401">
        <f t="shared" si="22"/>
        <v>11</v>
      </c>
      <c r="AC401" t="s">
        <v>222</v>
      </c>
      <c r="AD401" t="s">
        <v>489</v>
      </c>
      <c r="AE401" t="s">
        <v>231</v>
      </c>
      <c r="AF401">
        <f ca="1">OFFSET('Calculations 2'!$CE$45,W401,0)*OFFSET($AA$6,X401,0)*OFFSET($M$6,W401,)</f>
        <v>0</v>
      </c>
      <c r="AY401" t="s">
        <v>222</v>
      </c>
      <c r="AZ401" t="s">
        <v>489</v>
      </c>
      <c r="BA401" t="s">
        <v>231</v>
      </c>
      <c r="BB401">
        <v>0</v>
      </c>
      <c r="BE401" t="s">
        <v>222</v>
      </c>
      <c r="BF401" t="s">
        <v>489</v>
      </c>
      <c r="BG401" t="s">
        <v>231</v>
      </c>
      <c r="BH401">
        <v>0</v>
      </c>
      <c r="CT401" t="s">
        <v>222</v>
      </c>
      <c r="CU401" t="s">
        <v>231</v>
      </c>
      <c r="CV401">
        <f ca="1">OFFSET('Calculations 2'!$AJ$12,W401,X401)</f>
        <v>0</v>
      </c>
    </row>
    <row r="402" spans="17:100">
      <c r="Q402" t="s">
        <v>217</v>
      </c>
      <c r="R402" t="s">
        <v>489</v>
      </c>
      <c r="S402" t="s">
        <v>468</v>
      </c>
      <c r="T402">
        <f ca="1">OFFSET('Calculations 2'!$C$45,W402,X402)*OFFSET($M$6,W402,0)</f>
        <v>0</v>
      </c>
      <c r="V402">
        <f t="shared" si="20"/>
        <v>396</v>
      </c>
      <c r="W402">
        <f t="shared" si="21"/>
        <v>0</v>
      </c>
      <c r="X402">
        <f t="shared" si="22"/>
        <v>12</v>
      </c>
      <c r="AC402" t="s">
        <v>217</v>
      </c>
      <c r="AD402" t="s">
        <v>489</v>
      </c>
      <c r="AE402" t="s">
        <v>468</v>
      </c>
      <c r="AF402">
        <f ca="1">OFFSET('Calculations 2'!$CE$45,W402,0)*OFFSET($AA$6,X402,0)*OFFSET($M$6,W402,)</f>
        <v>9.0557773116362608E-2</v>
      </c>
      <c r="AY402" t="s">
        <v>217</v>
      </c>
      <c r="AZ402" t="s">
        <v>489</v>
      </c>
      <c r="BA402" t="s">
        <v>468</v>
      </c>
      <c r="BB402">
        <v>0</v>
      </c>
      <c r="BE402" t="s">
        <v>217</v>
      </c>
      <c r="BF402" t="s">
        <v>489</v>
      </c>
      <c r="BG402" t="s">
        <v>468</v>
      </c>
      <c r="BH402">
        <v>0</v>
      </c>
      <c r="CT402" t="s">
        <v>217</v>
      </c>
      <c r="CU402" t="s">
        <v>468</v>
      </c>
      <c r="CV402">
        <f ca="1">OFFSET('Calculations 2'!$AJ$12,W402,X402)</f>
        <v>0</v>
      </c>
    </row>
    <row r="403" spans="17:100">
      <c r="Q403" t="s">
        <v>232</v>
      </c>
      <c r="R403" t="s">
        <v>489</v>
      </c>
      <c r="S403" t="s">
        <v>468</v>
      </c>
      <c r="T403">
        <f ca="1">OFFSET('Calculations 2'!$C$45,W403,X403)*OFFSET($M$6,W403,0)</f>
        <v>1.8463467200331225E-3</v>
      </c>
      <c r="V403">
        <f t="shared" si="20"/>
        <v>397</v>
      </c>
      <c r="W403">
        <f t="shared" si="21"/>
        <v>1</v>
      </c>
      <c r="X403">
        <f t="shared" si="22"/>
        <v>12</v>
      </c>
      <c r="AC403" t="s">
        <v>232</v>
      </c>
      <c r="AD403" t="s">
        <v>489</v>
      </c>
      <c r="AE403" t="s">
        <v>468</v>
      </c>
      <c r="AF403">
        <f ca="1">OFFSET('Calculations 2'!$CE$45,W403,0)*OFFSET($AA$6,X403,0)*OFFSET($M$6,W403,)</f>
        <v>0.15797062940039608</v>
      </c>
      <c r="AY403" t="s">
        <v>232</v>
      </c>
      <c r="AZ403" t="s">
        <v>489</v>
      </c>
      <c r="BA403" t="s">
        <v>468</v>
      </c>
      <c r="BB403">
        <v>0</v>
      </c>
      <c r="BE403" t="s">
        <v>232</v>
      </c>
      <c r="BF403" t="s">
        <v>489</v>
      </c>
      <c r="BG403" t="s">
        <v>468</v>
      </c>
      <c r="BH403">
        <v>0</v>
      </c>
      <c r="CT403" t="s">
        <v>232</v>
      </c>
      <c r="CU403" t="s">
        <v>468</v>
      </c>
      <c r="CV403">
        <f ca="1">OFFSET('Calculations 2'!$AJ$12,W403,X403)</f>
        <v>0</v>
      </c>
    </row>
    <row r="404" spans="17:100">
      <c r="Q404" t="s">
        <v>226</v>
      </c>
      <c r="R404" t="s">
        <v>489</v>
      </c>
      <c r="S404" t="s">
        <v>468</v>
      </c>
      <c r="T404">
        <f ca="1">OFFSET('Calculations 2'!$C$45,W404,X404)*OFFSET($M$6,W404,0)</f>
        <v>0</v>
      </c>
      <c r="V404">
        <f t="shared" si="20"/>
        <v>398</v>
      </c>
      <c r="W404">
        <f t="shared" si="21"/>
        <v>2</v>
      </c>
      <c r="X404">
        <f t="shared" si="22"/>
        <v>12</v>
      </c>
      <c r="AC404" t="s">
        <v>226</v>
      </c>
      <c r="AD404" t="s">
        <v>489</v>
      </c>
      <c r="AE404" t="s">
        <v>468</v>
      </c>
      <c r="AF404">
        <f ca="1">OFFSET('Calculations 2'!$CE$45,W404,0)*OFFSET($AA$6,X404,0)*OFFSET($M$6,W404,)</f>
        <v>0.26598927645304449</v>
      </c>
      <c r="AY404" t="s">
        <v>226</v>
      </c>
      <c r="AZ404" t="s">
        <v>489</v>
      </c>
      <c r="BA404" t="s">
        <v>468</v>
      </c>
      <c r="BB404">
        <v>0</v>
      </c>
      <c r="BE404" t="s">
        <v>226</v>
      </c>
      <c r="BF404" t="s">
        <v>489</v>
      </c>
      <c r="BG404" t="s">
        <v>468</v>
      </c>
      <c r="BH404">
        <v>0</v>
      </c>
      <c r="CT404" t="s">
        <v>226</v>
      </c>
      <c r="CU404" t="s">
        <v>468</v>
      </c>
      <c r="CV404">
        <f ca="1">OFFSET('Calculations 2'!$AJ$12,W404,X404)</f>
        <v>0</v>
      </c>
    </row>
    <row r="405" spans="17:100">
      <c r="Q405" t="s">
        <v>243</v>
      </c>
      <c r="R405" t="s">
        <v>489</v>
      </c>
      <c r="S405" t="s">
        <v>468</v>
      </c>
      <c r="T405">
        <f ca="1">OFFSET('Calculations 2'!$C$45,W405,X405)*OFFSET($M$6,W405,0)</f>
        <v>0.57251630062591308</v>
      </c>
      <c r="V405">
        <f t="shared" si="20"/>
        <v>399</v>
      </c>
      <c r="W405">
        <f t="shared" si="21"/>
        <v>3</v>
      </c>
      <c r="X405">
        <f t="shared" si="22"/>
        <v>12</v>
      </c>
      <c r="AC405" t="s">
        <v>243</v>
      </c>
      <c r="AD405" t="s">
        <v>489</v>
      </c>
      <c r="AE405" t="s">
        <v>468</v>
      </c>
      <c r="AF405">
        <f ca="1">OFFSET('Calculations 2'!$CE$45,W405,0)*OFFSET($AA$6,X405,0)*OFFSET($M$6,W405,)</f>
        <v>1.3854996034799938</v>
      </c>
      <c r="AY405" t="s">
        <v>243</v>
      </c>
      <c r="AZ405" t="s">
        <v>489</v>
      </c>
      <c r="BA405" t="s">
        <v>468</v>
      </c>
      <c r="BB405">
        <v>0</v>
      </c>
      <c r="BE405" t="s">
        <v>243</v>
      </c>
      <c r="BF405" t="s">
        <v>489</v>
      </c>
      <c r="BG405" t="s">
        <v>468</v>
      </c>
      <c r="BH405">
        <v>0</v>
      </c>
      <c r="CT405" t="s">
        <v>243</v>
      </c>
      <c r="CU405" t="s">
        <v>468</v>
      </c>
      <c r="CV405">
        <f ca="1">OFFSET('Calculations 2'!$AJ$12,W405,X405)</f>
        <v>0</v>
      </c>
    </row>
    <row r="406" spans="17:100">
      <c r="Q406" t="s">
        <v>228</v>
      </c>
      <c r="R406" t="s">
        <v>489</v>
      </c>
      <c r="S406" t="s">
        <v>468</v>
      </c>
      <c r="T406">
        <f ca="1">OFFSET('Calculations 2'!$C$45,W406,X406)*OFFSET($M$6,W406,0)</f>
        <v>0</v>
      </c>
      <c r="V406">
        <f t="shared" si="20"/>
        <v>400</v>
      </c>
      <c r="W406">
        <f t="shared" si="21"/>
        <v>4</v>
      </c>
      <c r="X406">
        <f t="shared" si="22"/>
        <v>12</v>
      </c>
      <c r="AC406" t="s">
        <v>228</v>
      </c>
      <c r="AD406" t="s">
        <v>489</v>
      </c>
      <c r="AE406" t="s">
        <v>468</v>
      </c>
      <c r="AF406">
        <f ca="1">OFFSET('Calculations 2'!$CE$45,W406,0)*OFFSET($AA$6,X406,0)*OFFSET($M$6,W406,)</f>
        <v>9.8311224005935595E-3</v>
      </c>
      <c r="AY406" t="s">
        <v>228</v>
      </c>
      <c r="AZ406" t="s">
        <v>489</v>
      </c>
      <c r="BA406" t="s">
        <v>468</v>
      </c>
      <c r="BB406">
        <v>0</v>
      </c>
      <c r="BE406" t="s">
        <v>228</v>
      </c>
      <c r="BF406" t="s">
        <v>489</v>
      </c>
      <c r="BG406" t="s">
        <v>468</v>
      </c>
      <c r="BH406">
        <v>0</v>
      </c>
      <c r="CT406" t="s">
        <v>228</v>
      </c>
      <c r="CU406" t="s">
        <v>468</v>
      </c>
      <c r="CV406">
        <f ca="1">OFFSET('Calculations 2'!$AJ$12,W406,X406)</f>
        <v>0</v>
      </c>
    </row>
    <row r="407" spans="17:100">
      <c r="Q407" t="s">
        <v>246</v>
      </c>
      <c r="R407" t="s">
        <v>489</v>
      </c>
      <c r="S407" t="s">
        <v>468</v>
      </c>
      <c r="T407">
        <f ca="1">OFFSET('Calculations 2'!$C$45,W407,X407)*OFFSET($M$6,W407,0)</f>
        <v>0</v>
      </c>
      <c r="V407">
        <f t="shared" si="20"/>
        <v>401</v>
      </c>
      <c r="W407">
        <f t="shared" si="21"/>
        <v>5</v>
      </c>
      <c r="X407">
        <f t="shared" si="22"/>
        <v>12</v>
      </c>
      <c r="AC407" t="s">
        <v>246</v>
      </c>
      <c r="AD407" t="s">
        <v>489</v>
      </c>
      <c r="AE407" t="s">
        <v>468</v>
      </c>
      <c r="AF407">
        <f ca="1">OFFSET('Calculations 2'!$CE$45,W407,0)*OFFSET($AA$6,X407,0)*OFFSET($M$6,W407,)</f>
        <v>6.0520263142918161E-2</v>
      </c>
      <c r="AY407" t="s">
        <v>246</v>
      </c>
      <c r="AZ407" t="s">
        <v>489</v>
      </c>
      <c r="BA407" t="s">
        <v>468</v>
      </c>
      <c r="BB407">
        <v>0</v>
      </c>
      <c r="BE407" t="s">
        <v>246</v>
      </c>
      <c r="BF407" t="s">
        <v>489</v>
      </c>
      <c r="BG407" t="s">
        <v>468</v>
      </c>
      <c r="BH407">
        <v>0</v>
      </c>
      <c r="CT407" t="s">
        <v>246</v>
      </c>
      <c r="CU407" t="s">
        <v>468</v>
      </c>
      <c r="CV407">
        <f ca="1">OFFSET('Calculations 2'!$AJ$12,W407,X407)</f>
        <v>0</v>
      </c>
    </row>
    <row r="408" spans="17:100">
      <c r="Q408" t="s">
        <v>239</v>
      </c>
      <c r="R408" t="s">
        <v>489</v>
      </c>
      <c r="S408" t="s">
        <v>468</v>
      </c>
      <c r="T408">
        <f ca="1">OFFSET('Calculations 2'!$C$45,W408,X408)*OFFSET($M$6,W408,0)</f>
        <v>3.1826923246673657</v>
      </c>
      <c r="V408">
        <f t="shared" si="20"/>
        <v>402</v>
      </c>
      <c r="W408">
        <f t="shared" si="21"/>
        <v>6</v>
      </c>
      <c r="X408">
        <f t="shared" si="22"/>
        <v>12</v>
      </c>
      <c r="AC408" t="s">
        <v>239</v>
      </c>
      <c r="AD408" t="s">
        <v>489</v>
      </c>
      <c r="AE408" t="s">
        <v>468</v>
      </c>
      <c r="AF408">
        <f ca="1">OFFSET('Calculations 2'!$CE$45,W408,0)*OFFSET($AA$6,X408,0)*OFFSET($M$6,W408,)</f>
        <v>1.2113506592531065</v>
      </c>
      <c r="AY408" t="s">
        <v>239</v>
      </c>
      <c r="AZ408" t="s">
        <v>489</v>
      </c>
      <c r="BA408" t="s">
        <v>468</v>
      </c>
      <c r="BB408">
        <v>0</v>
      </c>
      <c r="BE408" t="s">
        <v>239</v>
      </c>
      <c r="BF408" t="s">
        <v>489</v>
      </c>
      <c r="BG408" t="s">
        <v>468</v>
      </c>
      <c r="BH408">
        <v>0</v>
      </c>
      <c r="CT408" t="s">
        <v>239</v>
      </c>
      <c r="CU408" t="s">
        <v>468</v>
      </c>
      <c r="CV408">
        <f ca="1">OFFSET('Calculations 2'!$AJ$12,W408,X408)</f>
        <v>0</v>
      </c>
    </row>
    <row r="409" spans="17:100">
      <c r="Q409" t="s">
        <v>466</v>
      </c>
      <c r="R409" t="s">
        <v>489</v>
      </c>
      <c r="S409" t="s">
        <v>468</v>
      </c>
      <c r="T409">
        <f ca="1">OFFSET('Calculations 2'!$C$45,W409,X409)*OFFSET($M$6,W409,0)</f>
        <v>21.423116288661074</v>
      </c>
      <c r="V409">
        <f t="shared" si="20"/>
        <v>403</v>
      </c>
      <c r="W409">
        <f t="shared" si="21"/>
        <v>7</v>
      </c>
      <c r="X409">
        <f t="shared" si="22"/>
        <v>12</v>
      </c>
      <c r="AC409" t="s">
        <v>466</v>
      </c>
      <c r="AD409" t="s">
        <v>489</v>
      </c>
      <c r="AE409" t="s">
        <v>468</v>
      </c>
      <c r="AF409">
        <f ca="1">OFFSET('Calculations 2'!$CE$45,W409,0)*OFFSET($AA$6,X409,0)*OFFSET($M$6,W409,)</f>
        <v>0.18458639791797599</v>
      </c>
      <c r="AY409" t="s">
        <v>466</v>
      </c>
      <c r="AZ409" t="s">
        <v>489</v>
      </c>
      <c r="BA409" t="s">
        <v>468</v>
      </c>
      <c r="BB409">
        <v>0</v>
      </c>
      <c r="BE409" t="s">
        <v>466</v>
      </c>
      <c r="BF409" t="s">
        <v>489</v>
      </c>
      <c r="BG409" t="s">
        <v>468</v>
      </c>
      <c r="BH409">
        <v>0</v>
      </c>
      <c r="CT409" t="s">
        <v>466</v>
      </c>
      <c r="CU409" t="s">
        <v>468</v>
      </c>
      <c r="CV409">
        <f ca="1">OFFSET('Calculations 2'!$AJ$12,W409,X409)</f>
        <v>0</v>
      </c>
    </row>
    <row r="410" spans="17:100">
      <c r="Q410" t="s">
        <v>219</v>
      </c>
      <c r="R410" t="s">
        <v>489</v>
      </c>
      <c r="S410" t="s">
        <v>468</v>
      </c>
      <c r="T410">
        <f ca="1">OFFSET('Calculations 2'!$C$45,W410,X410)*OFFSET($M$6,W410,0)</f>
        <v>0.96226369966145242</v>
      </c>
      <c r="V410">
        <f t="shared" si="20"/>
        <v>404</v>
      </c>
      <c r="W410">
        <f t="shared" si="21"/>
        <v>8</v>
      </c>
      <c r="X410">
        <f t="shared" si="22"/>
        <v>12</v>
      </c>
      <c r="AC410" t="s">
        <v>219</v>
      </c>
      <c r="AD410" t="s">
        <v>489</v>
      </c>
      <c r="AE410" t="s">
        <v>468</v>
      </c>
      <c r="AF410">
        <f ca="1">OFFSET('Calculations 2'!$CE$45,W410,0)*OFFSET($AA$6,X410,0)*OFFSET($M$6,W410,)</f>
        <v>1.1494572191122481</v>
      </c>
      <c r="AY410" t="s">
        <v>219</v>
      </c>
      <c r="AZ410" t="s">
        <v>489</v>
      </c>
      <c r="BA410" t="s">
        <v>468</v>
      </c>
      <c r="BB410">
        <v>0</v>
      </c>
      <c r="BE410" t="s">
        <v>219</v>
      </c>
      <c r="BF410" t="s">
        <v>489</v>
      </c>
      <c r="BG410" t="s">
        <v>468</v>
      </c>
      <c r="BH410">
        <v>0</v>
      </c>
      <c r="CT410" t="s">
        <v>219</v>
      </c>
      <c r="CU410" t="s">
        <v>468</v>
      </c>
      <c r="CV410">
        <f ca="1">OFFSET('Calculations 2'!$AJ$12,W410,X410)</f>
        <v>0</v>
      </c>
    </row>
    <row r="411" spans="17:100">
      <c r="Q411" t="s">
        <v>242</v>
      </c>
      <c r="R411" t="s">
        <v>489</v>
      </c>
      <c r="S411" t="s">
        <v>468</v>
      </c>
      <c r="T411">
        <f ca="1">OFFSET('Calculations 2'!$C$45,W411,X411)*OFFSET($M$6,W411,0)</f>
        <v>5.6159875563006372</v>
      </c>
      <c r="V411">
        <f t="shared" si="20"/>
        <v>405</v>
      </c>
      <c r="W411">
        <f t="shared" si="21"/>
        <v>9</v>
      </c>
      <c r="X411">
        <f t="shared" si="22"/>
        <v>12</v>
      </c>
      <c r="AC411" t="s">
        <v>242</v>
      </c>
      <c r="AD411" t="s">
        <v>489</v>
      </c>
      <c r="AE411" t="s">
        <v>468</v>
      </c>
      <c r="AF411">
        <f ca="1">OFFSET('Calculations 2'!$CE$45,W411,0)*OFFSET($AA$6,X411,0)*OFFSET($M$6,W411,)</f>
        <v>1.7993644350762585</v>
      </c>
      <c r="AY411" t="s">
        <v>242</v>
      </c>
      <c r="AZ411" t="s">
        <v>489</v>
      </c>
      <c r="BA411" t="s">
        <v>468</v>
      </c>
      <c r="BB411">
        <v>0</v>
      </c>
      <c r="BE411" t="s">
        <v>242</v>
      </c>
      <c r="BF411" t="s">
        <v>489</v>
      </c>
      <c r="BG411" t="s">
        <v>468</v>
      </c>
      <c r="BH411">
        <v>0</v>
      </c>
      <c r="CT411" t="s">
        <v>242</v>
      </c>
      <c r="CU411" t="s">
        <v>468</v>
      </c>
      <c r="CV411">
        <f ca="1">OFFSET('Calculations 2'!$AJ$12,W411,X411)</f>
        <v>0</v>
      </c>
    </row>
    <row r="412" spans="17:100">
      <c r="Q412" t="s">
        <v>467</v>
      </c>
      <c r="R412" t="s">
        <v>489</v>
      </c>
      <c r="S412" t="s">
        <v>468</v>
      </c>
      <c r="T412">
        <f ca="1">OFFSET('Calculations 2'!$C$45,W412,X412)*OFFSET($M$6,W412,0)</f>
        <v>0</v>
      </c>
      <c r="V412">
        <f t="shared" si="20"/>
        <v>406</v>
      </c>
      <c r="W412">
        <f t="shared" si="21"/>
        <v>10</v>
      </c>
      <c r="X412">
        <f t="shared" si="22"/>
        <v>12</v>
      </c>
      <c r="AC412" t="s">
        <v>467</v>
      </c>
      <c r="AD412" t="s">
        <v>489</v>
      </c>
      <c r="AE412" t="s">
        <v>468</v>
      </c>
      <c r="AF412">
        <f ca="1">OFFSET('Calculations 2'!$CE$45,W412,0)*OFFSET($AA$6,X412,0)*OFFSET($M$6,W412,)</f>
        <v>1.6668874927579536</v>
      </c>
      <c r="AY412" t="s">
        <v>467</v>
      </c>
      <c r="AZ412" t="s">
        <v>489</v>
      </c>
      <c r="BA412" t="s">
        <v>468</v>
      </c>
      <c r="BB412">
        <v>0</v>
      </c>
      <c r="BE412" t="s">
        <v>467</v>
      </c>
      <c r="BF412" t="s">
        <v>489</v>
      </c>
      <c r="BG412" t="s">
        <v>468</v>
      </c>
      <c r="BH412">
        <v>0</v>
      </c>
      <c r="CT412" t="s">
        <v>467</v>
      </c>
      <c r="CU412" t="s">
        <v>468</v>
      </c>
      <c r="CV412">
        <f ca="1">OFFSET('Calculations 2'!$AJ$12,W412,X412)</f>
        <v>0</v>
      </c>
    </row>
    <row r="413" spans="17:100">
      <c r="Q413" t="s">
        <v>231</v>
      </c>
      <c r="R413" t="s">
        <v>489</v>
      </c>
      <c r="S413" t="s">
        <v>468</v>
      </c>
      <c r="T413">
        <f ca="1">OFFSET('Calculations 2'!$C$45,W413,X413)*OFFSET($M$6,W413,0)</f>
        <v>433.54255192412842</v>
      </c>
      <c r="V413">
        <f t="shared" si="20"/>
        <v>407</v>
      </c>
      <c r="W413">
        <f t="shared" si="21"/>
        <v>11</v>
      </c>
      <c r="X413">
        <f t="shared" si="22"/>
        <v>12</v>
      </c>
      <c r="AC413" t="s">
        <v>231</v>
      </c>
      <c r="AD413" t="s">
        <v>489</v>
      </c>
      <c r="AE413" t="s">
        <v>468</v>
      </c>
      <c r="AF413">
        <f ca="1">OFFSET('Calculations 2'!$CE$45,W413,0)*OFFSET($AA$6,X413,0)*OFFSET($M$6,W413,)</f>
        <v>4.8753577228983467</v>
      </c>
      <c r="AY413" t="s">
        <v>231</v>
      </c>
      <c r="AZ413" t="s">
        <v>489</v>
      </c>
      <c r="BA413" t="s">
        <v>468</v>
      </c>
      <c r="BB413">
        <v>0</v>
      </c>
      <c r="BE413" t="s">
        <v>231</v>
      </c>
      <c r="BF413" t="s">
        <v>489</v>
      </c>
      <c r="BG413" t="s">
        <v>468</v>
      </c>
      <c r="BH413">
        <v>0</v>
      </c>
      <c r="CT413" t="s">
        <v>231</v>
      </c>
      <c r="CU413" t="s">
        <v>468</v>
      </c>
      <c r="CV413">
        <f ca="1">OFFSET('Calculations 2'!$AJ$12,W413,X413)</f>
        <v>0</v>
      </c>
    </row>
    <row r="414" spans="17:100">
      <c r="Q414" t="s">
        <v>468</v>
      </c>
      <c r="R414" t="s">
        <v>489</v>
      </c>
      <c r="S414" t="s">
        <v>468</v>
      </c>
      <c r="T414">
        <f ca="1">OFFSET('Calculations 2'!$C$45,W414,X414)*OFFSET($M$6,W414,0)</f>
        <v>97.648198610804229</v>
      </c>
      <c r="V414">
        <f t="shared" si="20"/>
        <v>408</v>
      </c>
      <c r="W414">
        <f t="shared" si="21"/>
        <v>12</v>
      </c>
      <c r="X414">
        <f t="shared" si="22"/>
        <v>12</v>
      </c>
      <c r="AC414" t="s">
        <v>468</v>
      </c>
      <c r="AD414" t="s">
        <v>489</v>
      </c>
      <c r="AE414" t="s">
        <v>468</v>
      </c>
      <c r="AF414">
        <f ca="1">OFFSET('Calculations 2'!$CE$45,W414,0)*OFFSET($AA$6,X414,0)*OFFSET($M$6,W414,)</f>
        <v>7.0566960192603325</v>
      </c>
      <c r="AY414" t="s">
        <v>468</v>
      </c>
      <c r="AZ414" t="s">
        <v>489</v>
      </c>
      <c r="BA414" t="s">
        <v>468</v>
      </c>
      <c r="BB414">
        <v>0</v>
      </c>
      <c r="BE414" t="s">
        <v>468</v>
      </c>
      <c r="BF414" t="s">
        <v>489</v>
      </c>
      <c r="BG414" t="s">
        <v>468</v>
      </c>
      <c r="BH414">
        <v>0</v>
      </c>
      <c r="CT414" t="s">
        <v>468</v>
      </c>
      <c r="CU414" t="s">
        <v>468</v>
      </c>
      <c r="CV414">
        <f ca="1">OFFSET('Calculations 2'!$AJ$12,W414,X414)</f>
        <v>7111.3470000000007</v>
      </c>
    </row>
    <row r="415" spans="17:100">
      <c r="Q415" t="s">
        <v>469</v>
      </c>
      <c r="R415" t="s">
        <v>489</v>
      </c>
      <c r="S415" t="s">
        <v>468</v>
      </c>
      <c r="T415">
        <f ca="1">OFFSET('Calculations 2'!$C$45,W415,X415)*OFFSET($M$6,W415,0)</f>
        <v>20.176969776835616</v>
      </c>
      <c r="V415">
        <f t="shared" si="20"/>
        <v>409</v>
      </c>
      <c r="W415">
        <f t="shared" si="21"/>
        <v>13</v>
      </c>
      <c r="X415">
        <f t="shared" si="22"/>
        <v>12</v>
      </c>
      <c r="AC415" t="s">
        <v>469</v>
      </c>
      <c r="AD415" t="s">
        <v>489</v>
      </c>
      <c r="AE415" t="s">
        <v>468</v>
      </c>
      <c r="AF415">
        <f ca="1">OFFSET('Calculations 2'!$CE$45,W415,0)*OFFSET($AA$6,X415,0)*OFFSET($M$6,W415,)</f>
        <v>1.4679458817498812</v>
      </c>
      <c r="AY415" t="s">
        <v>469</v>
      </c>
      <c r="AZ415" t="s">
        <v>489</v>
      </c>
      <c r="BA415" t="s">
        <v>468</v>
      </c>
      <c r="BB415">
        <v>0</v>
      </c>
      <c r="BE415" t="s">
        <v>469</v>
      </c>
      <c r="BF415" t="s">
        <v>489</v>
      </c>
      <c r="BG415" t="s">
        <v>468</v>
      </c>
      <c r="BH415">
        <v>0</v>
      </c>
      <c r="CT415" t="s">
        <v>469</v>
      </c>
      <c r="CU415" t="s">
        <v>468</v>
      </c>
      <c r="CV415">
        <f ca="1">OFFSET('Calculations 2'!$AJ$12,W415,X415)</f>
        <v>0</v>
      </c>
    </row>
    <row r="416" spans="17:100">
      <c r="Q416" t="s">
        <v>245</v>
      </c>
      <c r="R416" t="s">
        <v>489</v>
      </c>
      <c r="S416" t="s">
        <v>468</v>
      </c>
      <c r="T416">
        <f ca="1">OFFSET('Calculations 2'!$C$45,W416,X416)*OFFSET($M$6,W416,0)</f>
        <v>2.5086925312765596</v>
      </c>
      <c r="V416">
        <f t="shared" si="20"/>
        <v>410</v>
      </c>
      <c r="W416">
        <f t="shared" si="21"/>
        <v>14</v>
      </c>
      <c r="X416">
        <f t="shared" si="22"/>
        <v>12</v>
      </c>
      <c r="AC416" t="s">
        <v>245</v>
      </c>
      <c r="AD416" t="s">
        <v>489</v>
      </c>
      <c r="AE416" t="s">
        <v>468</v>
      </c>
      <c r="AF416">
        <f ca="1">OFFSET('Calculations 2'!$CE$45,W416,0)*OFFSET($AA$6,X416,0)*OFFSET($M$6,W416,)</f>
        <v>2.1204595157625863</v>
      </c>
      <c r="AY416" t="s">
        <v>245</v>
      </c>
      <c r="AZ416" t="s">
        <v>489</v>
      </c>
      <c r="BA416" t="s">
        <v>468</v>
      </c>
      <c r="BB416">
        <v>0</v>
      </c>
      <c r="BE416" t="s">
        <v>245</v>
      </c>
      <c r="BF416" t="s">
        <v>489</v>
      </c>
      <c r="BG416" t="s">
        <v>468</v>
      </c>
      <c r="BH416">
        <v>0</v>
      </c>
      <c r="CT416" t="s">
        <v>245</v>
      </c>
      <c r="CU416" t="s">
        <v>468</v>
      </c>
      <c r="CV416">
        <f ca="1">OFFSET('Calculations 2'!$AJ$12,W416,X416)</f>
        <v>0</v>
      </c>
    </row>
    <row r="417" spans="17:100">
      <c r="Q417" t="s">
        <v>470</v>
      </c>
      <c r="R417" t="s">
        <v>489</v>
      </c>
      <c r="S417" t="s">
        <v>468</v>
      </c>
      <c r="T417">
        <f ca="1">OFFSET('Calculations 2'!$C$45,W417,X417)*OFFSET($M$6,W417,0)</f>
        <v>2.8784873483904327</v>
      </c>
      <c r="V417">
        <f t="shared" si="20"/>
        <v>411</v>
      </c>
      <c r="W417">
        <f t="shared" si="21"/>
        <v>15</v>
      </c>
      <c r="X417">
        <f t="shared" si="22"/>
        <v>12</v>
      </c>
      <c r="AC417" t="s">
        <v>470</v>
      </c>
      <c r="AD417" t="s">
        <v>489</v>
      </c>
      <c r="AE417" t="s">
        <v>468</v>
      </c>
      <c r="AF417">
        <f ca="1">OFFSET('Calculations 2'!$CE$45,W417,0)*OFFSET($AA$6,X417,0)*OFFSET($M$6,W417,)</f>
        <v>5.7738738073155549</v>
      </c>
      <c r="AY417" t="s">
        <v>470</v>
      </c>
      <c r="AZ417" t="s">
        <v>489</v>
      </c>
      <c r="BA417" t="s">
        <v>468</v>
      </c>
      <c r="BB417">
        <v>0</v>
      </c>
      <c r="BE417" t="s">
        <v>470</v>
      </c>
      <c r="BF417" t="s">
        <v>489</v>
      </c>
      <c r="BG417" t="s">
        <v>468</v>
      </c>
      <c r="BH417">
        <v>0</v>
      </c>
      <c r="CT417" t="s">
        <v>470</v>
      </c>
      <c r="CU417" t="s">
        <v>468</v>
      </c>
      <c r="CV417">
        <f ca="1">OFFSET('Calculations 2'!$AJ$12,W417,X417)</f>
        <v>0</v>
      </c>
    </row>
    <row r="418" spans="17:100">
      <c r="Q418" t="s">
        <v>471</v>
      </c>
      <c r="R418" t="s">
        <v>489</v>
      </c>
      <c r="S418" t="s">
        <v>468</v>
      </c>
      <c r="T418">
        <f ca="1">OFFSET('Calculations 2'!$C$45,W418,X418)*OFFSET($M$6,W418,0)</f>
        <v>49.496130589681265</v>
      </c>
      <c r="V418">
        <f t="shared" si="20"/>
        <v>412</v>
      </c>
      <c r="W418">
        <f t="shared" si="21"/>
        <v>16</v>
      </c>
      <c r="X418">
        <f t="shared" si="22"/>
        <v>12</v>
      </c>
      <c r="AC418" t="s">
        <v>471</v>
      </c>
      <c r="AD418" t="s">
        <v>489</v>
      </c>
      <c r="AE418" t="s">
        <v>468</v>
      </c>
      <c r="AF418">
        <f ca="1">OFFSET('Calculations 2'!$CE$45,W418,0)*OFFSET($AA$6,X418,0)*OFFSET($M$6,W418,)</f>
        <v>0</v>
      </c>
      <c r="AY418" t="s">
        <v>471</v>
      </c>
      <c r="AZ418" t="s">
        <v>489</v>
      </c>
      <c r="BA418" t="s">
        <v>468</v>
      </c>
      <c r="BB418">
        <v>0</v>
      </c>
      <c r="BE418" t="s">
        <v>471</v>
      </c>
      <c r="BF418" t="s">
        <v>489</v>
      </c>
      <c r="BG418" t="s">
        <v>468</v>
      </c>
      <c r="BH418">
        <v>0</v>
      </c>
      <c r="CT418" t="s">
        <v>471</v>
      </c>
      <c r="CU418" t="s">
        <v>468</v>
      </c>
      <c r="CV418">
        <f ca="1">OFFSET('Calculations 2'!$AJ$12,W418,X418)</f>
        <v>0</v>
      </c>
    </row>
    <row r="419" spans="17:100">
      <c r="Q419" t="s">
        <v>221</v>
      </c>
      <c r="R419" t="s">
        <v>489</v>
      </c>
      <c r="S419" t="s">
        <v>468</v>
      </c>
      <c r="T419">
        <f ca="1">OFFSET('Calculations 2'!$C$45,W419,X419)*OFFSET($M$6,W419,0)</f>
        <v>0</v>
      </c>
      <c r="V419">
        <f t="shared" si="20"/>
        <v>413</v>
      </c>
      <c r="W419">
        <f t="shared" si="21"/>
        <v>17</v>
      </c>
      <c r="X419">
        <f t="shared" si="22"/>
        <v>12</v>
      </c>
      <c r="AC419" t="s">
        <v>221</v>
      </c>
      <c r="AD419" t="s">
        <v>489</v>
      </c>
      <c r="AE419" t="s">
        <v>468</v>
      </c>
      <c r="AF419">
        <f ca="1">OFFSET('Calculations 2'!$CE$45,W419,0)*OFFSET($AA$6,X419,0)*OFFSET($M$6,W419,)</f>
        <v>191.79908332622551</v>
      </c>
      <c r="AY419" t="s">
        <v>221</v>
      </c>
      <c r="AZ419" t="s">
        <v>489</v>
      </c>
      <c r="BA419" t="s">
        <v>468</v>
      </c>
      <c r="BB419">
        <v>0</v>
      </c>
      <c r="BE419" t="s">
        <v>221</v>
      </c>
      <c r="BF419" t="s">
        <v>489</v>
      </c>
      <c r="BG419" t="s">
        <v>468</v>
      </c>
      <c r="BH419">
        <v>0</v>
      </c>
      <c r="CT419" t="s">
        <v>221</v>
      </c>
      <c r="CU419" t="s">
        <v>468</v>
      </c>
      <c r="CV419">
        <f ca="1">OFFSET('Calculations 2'!$AJ$12,W419,X419)</f>
        <v>0</v>
      </c>
    </row>
    <row r="420" spans="17:100">
      <c r="Q420" t="s">
        <v>244</v>
      </c>
      <c r="R420" t="s">
        <v>489</v>
      </c>
      <c r="S420" t="s">
        <v>468</v>
      </c>
      <c r="T420">
        <f ca="1">OFFSET('Calculations 2'!$C$45,W420,X420)*OFFSET($M$6,W420,0)</f>
        <v>579.62447978176397</v>
      </c>
      <c r="V420">
        <f t="shared" si="20"/>
        <v>414</v>
      </c>
      <c r="W420">
        <f t="shared" si="21"/>
        <v>18</v>
      </c>
      <c r="X420">
        <f t="shared" si="22"/>
        <v>12</v>
      </c>
      <c r="AC420" t="s">
        <v>244</v>
      </c>
      <c r="AD420" t="s">
        <v>489</v>
      </c>
      <c r="AE420" t="s">
        <v>468</v>
      </c>
      <c r="AF420">
        <f ca="1">OFFSET('Calculations 2'!$CE$45,W420,0)*OFFSET($AA$6,X420,0)*OFFSET($M$6,W420,)</f>
        <v>30.667394577459341</v>
      </c>
      <c r="AY420" t="s">
        <v>244</v>
      </c>
      <c r="AZ420" t="s">
        <v>489</v>
      </c>
      <c r="BA420" t="s">
        <v>468</v>
      </c>
      <c r="BB420">
        <v>0</v>
      </c>
      <c r="BE420" t="s">
        <v>244</v>
      </c>
      <c r="BF420" t="s">
        <v>489</v>
      </c>
      <c r="BG420" t="s">
        <v>468</v>
      </c>
      <c r="BH420">
        <v>0</v>
      </c>
      <c r="CT420" t="s">
        <v>244</v>
      </c>
      <c r="CU420" t="s">
        <v>468</v>
      </c>
      <c r="CV420">
        <f ca="1">OFFSET('Calculations 2'!$AJ$12,W420,X420)</f>
        <v>0</v>
      </c>
    </row>
    <row r="421" spans="17:100">
      <c r="Q421" t="s">
        <v>472</v>
      </c>
      <c r="R421" t="s">
        <v>489</v>
      </c>
      <c r="S421" t="s">
        <v>468</v>
      </c>
      <c r="T421">
        <f ca="1">OFFSET('Calculations 2'!$C$45,W421,X421)*OFFSET($M$6,W421,0)</f>
        <v>0</v>
      </c>
      <c r="V421">
        <f t="shared" si="20"/>
        <v>415</v>
      </c>
      <c r="W421">
        <f t="shared" si="21"/>
        <v>19</v>
      </c>
      <c r="X421">
        <f t="shared" si="22"/>
        <v>12</v>
      </c>
      <c r="AC421" t="s">
        <v>472</v>
      </c>
      <c r="AD421" t="s">
        <v>489</v>
      </c>
      <c r="AE421" t="s">
        <v>468</v>
      </c>
      <c r="AF421">
        <f ca="1">OFFSET('Calculations 2'!$CE$45,W421,0)*OFFSET($AA$6,X421,0)*OFFSET($M$6,W421,)</f>
        <v>0</v>
      </c>
      <c r="AY421" t="s">
        <v>472</v>
      </c>
      <c r="AZ421" t="s">
        <v>489</v>
      </c>
      <c r="BA421" t="s">
        <v>468</v>
      </c>
      <c r="BB421">
        <v>0</v>
      </c>
      <c r="BE421" t="s">
        <v>472</v>
      </c>
      <c r="BF421" t="s">
        <v>489</v>
      </c>
      <c r="BG421" t="s">
        <v>468</v>
      </c>
      <c r="BH421">
        <v>0</v>
      </c>
      <c r="CT421" t="s">
        <v>472</v>
      </c>
      <c r="CU421" t="s">
        <v>468</v>
      </c>
      <c r="CV421">
        <f ca="1">OFFSET('Calculations 2'!$AJ$12,W421,X421)</f>
        <v>0</v>
      </c>
    </row>
    <row r="422" spans="17:100">
      <c r="Q422" t="s">
        <v>238</v>
      </c>
      <c r="R422" t="s">
        <v>489</v>
      </c>
      <c r="S422" t="s">
        <v>468</v>
      </c>
      <c r="T422">
        <f ca="1">OFFSET('Calculations 2'!$C$45,W422,X422)*OFFSET($M$6,W422,0)</f>
        <v>25.908300090386469</v>
      </c>
      <c r="V422">
        <f t="shared" si="20"/>
        <v>416</v>
      </c>
      <c r="W422">
        <f t="shared" si="21"/>
        <v>20</v>
      </c>
      <c r="X422">
        <f t="shared" si="22"/>
        <v>12</v>
      </c>
      <c r="AC422" t="s">
        <v>238</v>
      </c>
      <c r="AD422" t="s">
        <v>489</v>
      </c>
      <c r="AE422" t="s">
        <v>468</v>
      </c>
      <c r="AF422">
        <f ca="1">OFFSET('Calculations 2'!$CE$45,W422,0)*OFFSET($AA$6,X422,0)*OFFSET($M$6,W422,)</f>
        <v>0</v>
      </c>
      <c r="AY422" t="s">
        <v>238</v>
      </c>
      <c r="AZ422" t="s">
        <v>489</v>
      </c>
      <c r="BA422" t="s">
        <v>468</v>
      </c>
      <c r="BB422">
        <v>0</v>
      </c>
      <c r="BE422" t="s">
        <v>238</v>
      </c>
      <c r="BF422" t="s">
        <v>489</v>
      </c>
      <c r="BG422" t="s">
        <v>468</v>
      </c>
      <c r="BH422">
        <v>0</v>
      </c>
      <c r="CT422" t="s">
        <v>238</v>
      </c>
      <c r="CU422" t="s">
        <v>468</v>
      </c>
      <c r="CV422">
        <f ca="1">OFFSET('Calculations 2'!$AJ$12,W422,X422)</f>
        <v>0</v>
      </c>
    </row>
    <row r="423" spans="17:100">
      <c r="Q423" t="s">
        <v>247</v>
      </c>
      <c r="R423" t="s">
        <v>489</v>
      </c>
      <c r="S423" t="s">
        <v>468</v>
      </c>
      <c r="T423">
        <f ca="1">OFFSET('Calculations 2'!$C$45,W423,X423)*OFFSET($M$6,W423,0)</f>
        <v>0</v>
      </c>
      <c r="V423">
        <f t="shared" si="20"/>
        <v>417</v>
      </c>
      <c r="W423">
        <f t="shared" si="21"/>
        <v>21</v>
      </c>
      <c r="X423">
        <f t="shared" si="22"/>
        <v>12</v>
      </c>
      <c r="AC423" t="s">
        <v>247</v>
      </c>
      <c r="AD423" t="s">
        <v>489</v>
      </c>
      <c r="AE423" t="s">
        <v>468</v>
      </c>
      <c r="AF423">
        <f ca="1">OFFSET('Calculations 2'!$CE$45,W423,0)*OFFSET($AA$6,X423,0)*OFFSET($M$6,W423,)</f>
        <v>0</v>
      </c>
      <c r="AY423" t="s">
        <v>247</v>
      </c>
      <c r="AZ423" t="s">
        <v>489</v>
      </c>
      <c r="BA423" t="s">
        <v>468</v>
      </c>
      <c r="BB423">
        <v>0</v>
      </c>
      <c r="BE423" t="s">
        <v>247</v>
      </c>
      <c r="BF423" t="s">
        <v>489</v>
      </c>
      <c r="BG423" t="s">
        <v>468</v>
      </c>
      <c r="BH423">
        <v>0</v>
      </c>
      <c r="CT423" t="s">
        <v>247</v>
      </c>
      <c r="CU423" t="s">
        <v>468</v>
      </c>
      <c r="CV423">
        <f ca="1">OFFSET('Calculations 2'!$AJ$12,W423,X423)</f>
        <v>0</v>
      </c>
    </row>
    <row r="424" spans="17:100">
      <c r="Q424" t="s">
        <v>218</v>
      </c>
      <c r="R424" t="s">
        <v>489</v>
      </c>
      <c r="S424" t="s">
        <v>468</v>
      </c>
      <c r="T424">
        <f ca="1">OFFSET('Calculations 2'!$C$45,W424,X424)*OFFSET($M$6,W424,0)</f>
        <v>176.73323705642593</v>
      </c>
      <c r="V424">
        <f t="shared" si="20"/>
        <v>418</v>
      </c>
      <c r="W424">
        <f t="shared" si="21"/>
        <v>22</v>
      </c>
      <c r="X424">
        <f t="shared" si="22"/>
        <v>12</v>
      </c>
      <c r="AC424" t="s">
        <v>218</v>
      </c>
      <c r="AD424" t="s">
        <v>489</v>
      </c>
      <c r="AE424" t="s">
        <v>468</v>
      </c>
      <c r="AF424">
        <f ca="1">OFFSET('Calculations 2'!$CE$45,W424,0)*OFFSET($AA$6,X424,0)*OFFSET($M$6,W424,)</f>
        <v>0</v>
      </c>
      <c r="AY424" t="s">
        <v>218</v>
      </c>
      <c r="AZ424" t="s">
        <v>489</v>
      </c>
      <c r="BA424" t="s">
        <v>468</v>
      </c>
      <c r="BB424">
        <v>0</v>
      </c>
      <c r="BE424" t="s">
        <v>218</v>
      </c>
      <c r="BF424" t="s">
        <v>489</v>
      </c>
      <c r="BG424" t="s">
        <v>468</v>
      </c>
      <c r="BH424">
        <v>0</v>
      </c>
      <c r="CT424" t="s">
        <v>218</v>
      </c>
      <c r="CU424" t="s">
        <v>468</v>
      </c>
      <c r="CV424">
        <f ca="1">OFFSET('Calculations 2'!$AJ$12,W424,X424)</f>
        <v>0</v>
      </c>
    </row>
    <row r="425" spans="17:100">
      <c r="Q425" t="s">
        <v>257</v>
      </c>
      <c r="R425" t="s">
        <v>489</v>
      </c>
      <c r="S425" t="s">
        <v>468</v>
      </c>
      <c r="T425">
        <f ca="1">OFFSET('Calculations 2'!$C$45,W425,X425)*OFFSET($M$6,W425,0)</f>
        <v>134.5781800122223</v>
      </c>
      <c r="V425">
        <f t="shared" si="20"/>
        <v>419</v>
      </c>
      <c r="W425">
        <f t="shared" si="21"/>
        <v>23</v>
      </c>
      <c r="X425">
        <f t="shared" si="22"/>
        <v>12</v>
      </c>
      <c r="AC425" t="s">
        <v>257</v>
      </c>
      <c r="AD425" t="s">
        <v>489</v>
      </c>
      <c r="AE425" t="s">
        <v>468</v>
      </c>
      <c r="AF425">
        <f ca="1">OFFSET('Calculations 2'!$CE$45,W425,0)*OFFSET($AA$6,X425,0)*OFFSET($M$6,W425,)</f>
        <v>0</v>
      </c>
      <c r="AY425" t="s">
        <v>257</v>
      </c>
      <c r="AZ425" t="s">
        <v>489</v>
      </c>
      <c r="BA425" t="s">
        <v>468</v>
      </c>
      <c r="BB425">
        <v>0</v>
      </c>
      <c r="BE425" t="s">
        <v>257</v>
      </c>
      <c r="BF425" t="s">
        <v>489</v>
      </c>
      <c r="BG425" t="s">
        <v>468</v>
      </c>
      <c r="BH425">
        <v>0</v>
      </c>
      <c r="CT425" t="s">
        <v>257</v>
      </c>
      <c r="CU425" t="s">
        <v>468</v>
      </c>
      <c r="CV425">
        <f ca="1">OFFSET('Calculations 2'!$AJ$12,W425,X425)</f>
        <v>0</v>
      </c>
    </row>
    <row r="426" spans="17:100">
      <c r="Q426" t="s">
        <v>220</v>
      </c>
      <c r="R426" t="s">
        <v>489</v>
      </c>
      <c r="S426" t="s">
        <v>468</v>
      </c>
      <c r="T426">
        <f ca="1">OFFSET('Calculations 2'!$C$45,W426,X426)*OFFSET($M$6,W426,0)</f>
        <v>14.251038705505948</v>
      </c>
      <c r="V426">
        <f t="shared" si="20"/>
        <v>420</v>
      </c>
      <c r="W426">
        <f t="shared" si="21"/>
        <v>24</v>
      </c>
      <c r="X426">
        <f t="shared" si="22"/>
        <v>12</v>
      </c>
      <c r="AC426" t="s">
        <v>220</v>
      </c>
      <c r="AD426" t="s">
        <v>489</v>
      </c>
      <c r="AE426" t="s">
        <v>468</v>
      </c>
      <c r="AF426">
        <f ca="1">OFFSET('Calculations 2'!$CE$45,W426,0)*OFFSET($AA$6,X426,0)*OFFSET($M$6,W426,)</f>
        <v>0</v>
      </c>
      <c r="AY426" t="s">
        <v>220</v>
      </c>
      <c r="AZ426" t="s">
        <v>489</v>
      </c>
      <c r="BA426" t="s">
        <v>468</v>
      </c>
      <c r="BB426">
        <v>0</v>
      </c>
      <c r="BE426" t="s">
        <v>220</v>
      </c>
      <c r="BF426" t="s">
        <v>489</v>
      </c>
      <c r="BG426" t="s">
        <v>468</v>
      </c>
      <c r="BH426">
        <v>0</v>
      </c>
      <c r="CT426" t="s">
        <v>220</v>
      </c>
      <c r="CU426" t="s">
        <v>468</v>
      </c>
      <c r="CV426">
        <f ca="1">OFFSET('Calculations 2'!$AJ$12,W426,X426)</f>
        <v>0</v>
      </c>
    </row>
    <row r="427" spans="17:100">
      <c r="Q427" t="s">
        <v>235</v>
      </c>
      <c r="R427" t="s">
        <v>489</v>
      </c>
      <c r="S427" t="s">
        <v>468</v>
      </c>
      <c r="T427">
        <f ca="1">OFFSET('Calculations 2'!$C$45,W427,X427)*OFFSET($M$6,W427,0)</f>
        <v>83.034239645840913</v>
      </c>
      <c r="V427">
        <f t="shared" si="20"/>
        <v>421</v>
      </c>
      <c r="W427">
        <f t="shared" si="21"/>
        <v>25</v>
      </c>
      <c r="X427">
        <f t="shared" si="22"/>
        <v>12</v>
      </c>
      <c r="AC427" t="s">
        <v>235</v>
      </c>
      <c r="AD427" t="s">
        <v>489</v>
      </c>
      <c r="AE427" t="s">
        <v>468</v>
      </c>
      <c r="AF427">
        <f ca="1">OFFSET('Calculations 2'!$CE$45,W427,0)*OFFSET($AA$6,X427,0)*OFFSET($M$6,W427,)</f>
        <v>0</v>
      </c>
      <c r="AY427" t="s">
        <v>235</v>
      </c>
      <c r="AZ427" t="s">
        <v>489</v>
      </c>
      <c r="BA427" t="s">
        <v>468</v>
      </c>
      <c r="BB427">
        <v>0</v>
      </c>
      <c r="BE427" t="s">
        <v>235</v>
      </c>
      <c r="BF427" t="s">
        <v>489</v>
      </c>
      <c r="BG427" t="s">
        <v>468</v>
      </c>
      <c r="BH427">
        <v>0</v>
      </c>
      <c r="CT427" t="s">
        <v>235</v>
      </c>
      <c r="CU427" t="s">
        <v>468</v>
      </c>
      <c r="CV427">
        <f ca="1">OFFSET('Calculations 2'!$AJ$12,W427,X427)</f>
        <v>0</v>
      </c>
    </row>
    <row r="428" spans="17:100">
      <c r="Q428" t="s">
        <v>473</v>
      </c>
      <c r="R428" t="s">
        <v>489</v>
      </c>
      <c r="S428" t="s">
        <v>468</v>
      </c>
      <c r="T428">
        <f ca="1">OFFSET('Calculations 2'!$C$45,W428,X428)*OFFSET($M$6,W428,0)</f>
        <v>27.627509253872788</v>
      </c>
      <c r="V428">
        <f t="shared" si="20"/>
        <v>422</v>
      </c>
      <c r="W428">
        <f t="shared" si="21"/>
        <v>26</v>
      </c>
      <c r="X428">
        <f t="shared" si="22"/>
        <v>12</v>
      </c>
      <c r="AC428" t="s">
        <v>473</v>
      </c>
      <c r="AD428" t="s">
        <v>489</v>
      </c>
      <c r="AE428" t="s">
        <v>468</v>
      </c>
      <c r="AF428">
        <f ca="1">OFFSET('Calculations 2'!$CE$45,W428,0)*OFFSET($AA$6,X428,0)*OFFSET($M$6,W428,)</f>
        <v>0</v>
      </c>
      <c r="AY428" t="s">
        <v>473</v>
      </c>
      <c r="AZ428" t="s">
        <v>489</v>
      </c>
      <c r="BA428" t="s">
        <v>468</v>
      </c>
      <c r="BB428">
        <v>0</v>
      </c>
      <c r="BE428" t="s">
        <v>473</v>
      </c>
      <c r="BF428" t="s">
        <v>489</v>
      </c>
      <c r="BG428" t="s">
        <v>468</v>
      </c>
      <c r="BH428">
        <v>0</v>
      </c>
      <c r="CT428" t="s">
        <v>473</v>
      </c>
      <c r="CU428" t="s">
        <v>468</v>
      </c>
      <c r="CV428">
        <f ca="1">OFFSET('Calculations 2'!$AJ$12,W428,X428)</f>
        <v>0</v>
      </c>
    </row>
    <row r="429" spans="17:100">
      <c r="Q429" t="s">
        <v>233</v>
      </c>
      <c r="R429" t="s">
        <v>489</v>
      </c>
      <c r="S429" t="s">
        <v>468</v>
      </c>
      <c r="T429">
        <f ca="1">OFFSET('Calculations 2'!$C$45,W429,X429)*OFFSET($M$6,W429,0)</f>
        <v>206.93615559878364</v>
      </c>
      <c r="V429">
        <f t="shared" si="20"/>
        <v>423</v>
      </c>
      <c r="W429">
        <f t="shared" si="21"/>
        <v>27</v>
      </c>
      <c r="X429">
        <f t="shared" si="22"/>
        <v>12</v>
      </c>
      <c r="AC429" t="s">
        <v>233</v>
      </c>
      <c r="AD429" t="s">
        <v>489</v>
      </c>
      <c r="AE429" t="s">
        <v>468</v>
      </c>
      <c r="AF429">
        <f ca="1">OFFSET('Calculations 2'!$CE$45,W429,0)*OFFSET($AA$6,X429,0)*OFFSET($M$6,W429,)</f>
        <v>0</v>
      </c>
      <c r="AY429" t="s">
        <v>233</v>
      </c>
      <c r="AZ429" t="s">
        <v>489</v>
      </c>
      <c r="BA429" t="s">
        <v>468</v>
      </c>
      <c r="BB429">
        <v>0</v>
      </c>
      <c r="BE429" t="s">
        <v>233</v>
      </c>
      <c r="BF429" t="s">
        <v>489</v>
      </c>
      <c r="BG429" t="s">
        <v>468</v>
      </c>
      <c r="BH429">
        <v>0</v>
      </c>
      <c r="CT429" t="s">
        <v>233</v>
      </c>
      <c r="CU429" t="s">
        <v>468</v>
      </c>
      <c r="CV429">
        <f ca="1">OFFSET('Calculations 2'!$AJ$12,W429,X429)</f>
        <v>0</v>
      </c>
    </row>
    <row r="430" spans="17:100">
      <c r="Q430" t="s">
        <v>474</v>
      </c>
      <c r="R430" t="s">
        <v>489</v>
      </c>
      <c r="S430" t="s">
        <v>468</v>
      </c>
      <c r="T430">
        <f ca="1">OFFSET('Calculations 2'!$C$45,W430,X430)*OFFSET($M$6,W430,0)</f>
        <v>34.251604761308698</v>
      </c>
      <c r="V430">
        <f t="shared" si="20"/>
        <v>424</v>
      </c>
      <c r="W430">
        <f t="shared" si="21"/>
        <v>28</v>
      </c>
      <c r="X430">
        <f t="shared" si="22"/>
        <v>12</v>
      </c>
      <c r="AC430" t="s">
        <v>474</v>
      </c>
      <c r="AD430" t="s">
        <v>489</v>
      </c>
      <c r="AE430" t="s">
        <v>468</v>
      </c>
      <c r="AF430">
        <f ca="1">OFFSET('Calculations 2'!$CE$45,W430,0)*OFFSET($AA$6,X430,0)*OFFSET($M$6,W430,)</f>
        <v>0</v>
      </c>
      <c r="AY430" t="s">
        <v>474</v>
      </c>
      <c r="AZ430" t="s">
        <v>489</v>
      </c>
      <c r="BA430" t="s">
        <v>468</v>
      </c>
      <c r="BB430">
        <v>0</v>
      </c>
      <c r="BE430" t="s">
        <v>474</v>
      </c>
      <c r="BF430" t="s">
        <v>489</v>
      </c>
      <c r="BG430" t="s">
        <v>468</v>
      </c>
      <c r="BH430">
        <v>0</v>
      </c>
      <c r="CT430" t="s">
        <v>474</v>
      </c>
      <c r="CU430" t="s">
        <v>468</v>
      </c>
      <c r="CV430">
        <f ca="1">OFFSET('Calculations 2'!$AJ$12,W430,X430)</f>
        <v>0</v>
      </c>
    </row>
    <row r="431" spans="17:100">
      <c r="Q431" t="s">
        <v>223</v>
      </c>
      <c r="R431" t="s">
        <v>489</v>
      </c>
      <c r="S431" t="s">
        <v>468</v>
      </c>
      <c r="T431">
        <f ca="1">OFFSET('Calculations 2'!$C$45,W431,X431)*OFFSET($M$6,W431,0)</f>
        <v>31.999548298973949</v>
      </c>
      <c r="V431">
        <f t="shared" si="20"/>
        <v>425</v>
      </c>
      <c r="W431">
        <f t="shared" si="21"/>
        <v>29</v>
      </c>
      <c r="X431">
        <f t="shared" si="22"/>
        <v>12</v>
      </c>
      <c r="AC431" t="s">
        <v>223</v>
      </c>
      <c r="AD431" t="s">
        <v>489</v>
      </c>
      <c r="AE431" t="s">
        <v>468</v>
      </c>
      <c r="AF431">
        <f ca="1">OFFSET('Calculations 2'!$CE$45,W431,0)*OFFSET($AA$6,X431,0)*OFFSET($M$6,W431,)</f>
        <v>0</v>
      </c>
      <c r="AY431" t="s">
        <v>223</v>
      </c>
      <c r="AZ431" t="s">
        <v>489</v>
      </c>
      <c r="BA431" t="s">
        <v>468</v>
      </c>
      <c r="BB431">
        <v>0</v>
      </c>
      <c r="BE431" t="s">
        <v>223</v>
      </c>
      <c r="BF431" t="s">
        <v>489</v>
      </c>
      <c r="BG431" t="s">
        <v>468</v>
      </c>
      <c r="BH431">
        <v>0</v>
      </c>
      <c r="CT431" t="s">
        <v>223</v>
      </c>
      <c r="CU431" t="s">
        <v>468</v>
      </c>
      <c r="CV431">
        <f ca="1">OFFSET('Calculations 2'!$AJ$12,W431,X431)</f>
        <v>0</v>
      </c>
    </row>
    <row r="432" spans="17:100">
      <c r="Q432" t="s">
        <v>475</v>
      </c>
      <c r="R432" t="s">
        <v>489</v>
      </c>
      <c r="S432" t="s">
        <v>468</v>
      </c>
      <c r="T432">
        <f ca="1">OFFSET('Calculations 2'!$C$45,W432,X432)*OFFSET($M$6,W432,0)</f>
        <v>0.78913533904664357</v>
      </c>
      <c r="V432">
        <f t="shared" si="20"/>
        <v>426</v>
      </c>
      <c r="W432">
        <f t="shared" si="21"/>
        <v>30</v>
      </c>
      <c r="X432">
        <f t="shared" si="22"/>
        <v>12</v>
      </c>
      <c r="AC432" t="s">
        <v>475</v>
      </c>
      <c r="AD432" t="s">
        <v>489</v>
      </c>
      <c r="AE432" t="s">
        <v>468</v>
      </c>
      <c r="AF432">
        <f ca="1">OFFSET('Calculations 2'!$CE$45,W432,0)*OFFSET($AA$6,X432,0)*OFFSET($M$6,W432,)</f>
        <v>0</v>
      </c>
      <c r="AY432" t="s">
        <v>475</v>
      </c>
      <c r="AZ432" t="s">
        <v>489</v>
      </c>
      <c r="BA432" t="s">
        <v>468</v>
      </c>
      <c r="BB432">
        <v>0</v>
      </c>
      <c r="BE432" t="s">
        <v>475</v>
      </c>
      <c r="BF432" t="s">
        <v>489</v>
      </c>
      <c r="BG432" t="s">
        <v>468</v>
      </c>
      <c r="BH432">
        <v>0</v>
      </c>
      <c r="CT432" t="s">
        <v>475</v>
      </c>
      <c r="CU432" t="s">
        <v>468</v>
      </c>
      <c r="CV432">
        <f ca="1">OFFSET('Calculations 2'!$AJ$12,W432,X432)</f>
        <v>0</v>
      </c>
    </row>
    <row r="433" spans="17:100">
      <c r="Q433" t="s">
        <v>476</v>
      </c>
      <c r="R433" t="s">
        <v>489</v>
      </c>
      <c r="S433" t="s">
        <v>468</v>
      </c>
      <c r="T433">
        <f ca="1">OFFSET('Calculations 2'!$C$45,W433,X433)*OFFSET($M$6,W433,0)</f>
        <v>1.4065246037845633</v>
      </c>
      <c r="V433">
        <f t="shared" si="20"/>
        <v>427</v>
      </c>
      <c r="W433">
        <f t="shared" si="21"/>
        <v>31</v>
      </c>
      <c r="X433">
        <f t="shared" si="22"/>
        <v>12</v>
      </c>
      <c r="AC433" t="s">
        <v>476</v>
      </c>
      <c r="AD433" t="s">
        <v>489</v>
      </c>
      <c r="AE433" t="s">
        <v>468</v>
      </c>
      <c r="AF433">
        <f ca="1">OFFSET('Calculations 2'!$CE$45,W433,0)*OFFSET($AA$6,X433,0)*OFFSET($M$6,W433,)</f>
        <v>0</v>
      </c>
      <c r="AY433" t="s">
        <v>476</v>
      </c>
      <c r="AZ433" t="s">
        <v>489</v>
      </c>
      <c r="BA433" t="s">
        <v>468</v>
      </c>
      <c r="BB433">
        <v>0</v>
      </c>
      <c r="BE433" t="s">
        <v>476</v>
      </c>
      <c r="BF433" t="s">
        <v>489</v>
      </c>
      <c r="BG433" t="s">
        <v>468</v>
      </c>
      <c r="BH433">
        <v>0</v>
      </c>
      <c r="CT433" t="s">
        <v>476</v>
      </c>
      <c r="CU433" t="s">
        <v>468</v>
      </c>
      <c r="CV433">
        <f ca="1">OFFSET('Calculations 2'!$AJ$12,W433,X433)</f>
        <v>0</v>
      </c>
    </row>
    <row r="434" spans="17:100">
      <c r="Q434" t="s">
        <v>222</v>
      </c>
      <c r="R434" t="s">
        <v>489</v>
      </c>
      <c r="S434" t="s">
        <v>468</v>
      </c>
      <c r="T434">
        <f ca="1">OFFSET('Calculations 2'!$C$45,W434,X434)*OFFSET($M$6,W434,0)</f>
        <v>0</v>
      </c>
      <c r="V434">
        <f t="shared" si="20"/>
        <v>428</v>
      </c>
      <c r="W434">
        <f t="shared" si="21"/>
        <v>32</v>
      </c>
      <c r="X434">
        <f t="shared" si="22"/>
        <v>12</v>
      </c>
      <c r="AC434" t="s">
        <v>222</v>
      </c>
      <c r="AD434" t="s">
        <v>489</v>
      </c>
      <c r="AE434" t="s">
        <v>468</v>
      </c>
      <c r="AF434">
        <f ca="1">OFFSET('Calculations 2'!$CE$45,W434,0)*OFFSET($AA$6,X434,0)*OFFSET($M$6,W434,)</f>
        <v>0</v>
      </c>
      <c r="AY434" t="s">
        <v>222</v>
      </c>
      <c r="AZ434" t="s">
        <v>489</v>
      </c>
      <c r="BA434" t="s">
        <v>468</v>
      </c>
      <c r="BB434">
        <v>0</v>
      </c>
      <c r="BE434" t="s">
        <v>222</v>
      </c>
      <c r="BF434" t="s">
        <v>489</v>
      </c>
      <c r="BG434" t="s">
        <v>468</v>
      </c>
      <c r="BH434">
        <v>0</v>
      </c>
      <c r="CT434" t="s">
        <v>222</v>
      </c>
      <c r="CU434" t="s">
        <v>468</v>
      </c>
      <c r="CV434">
        <f ca="1">OFFSET('Calculations 2'!$AJ$12,W434,X434)</f>
        <v>0</v>
      </c>
    </row>
    <row r="435" spans="17:100">
      <c r="Q435" t="s">
        <v>217</v>
      </c>
      <c r="R435" t="s">
        <v>489</v>
      </c>
      <c r="S435" t="s">
        <v>469</v>
      </c>
      <c r="T435">
        <f ca="1">OFFSET('Calculations 2'!$C$45,W435,X435)*OFFSET($M$6,W435,0)</f>
        <v>0</v>
      </c>
      <c r="V435">
        <f t="shared" si="20"/>
        <v>429</v>
      </c>
      <c r="W435">
        <f t="shared" si="21"/>
        <v>0</v>
      </c>
      <c r="X435">
        <f t="shared" si="22"/>
        <v>13</v>
      </c>
      <c r="AC435" t="s">
        <v>217</v>
      </c>
      <c r="AD435" t="s">
        <v>489</v>
      </c>
      <c r="AE435" t="s">
        <v>469</v>
      </c>
      <c r="AF435">
        <f ca="1">OFFSET('Calculations 2'!$CE$45,W435,0)*OFFSET($AA$6,X435,0)*OFFSET($M$6,W435,)</f>
        <v>6.3185032458111232E-2</v>
      </c>
      <c r="AY435" t="s">
        <v>217</v>
      </c>
      <c r="AZ435" t="s">
        <v>489</v>
      </c>
      <c r="BA435" t="s">
        <v>469</v>
      </c>
      <c r="BB435">
        <v>0</v>
      </c>
      <c r="BE435" t="s">
        <v>217</v>
      </c>
      <c r="BF435" t="s">
        <v>489</v>
      </c>
      <c r="BG435" t="s">
        <v>469</v>
      </c>
      <c r="BH435">
        <v>0</v>
      </c>
      <c r="CT435" t="s">
        <v>217</v>
      </c>
      <c r="CU435" t="s">
        <v>469</v>
      </c>
      <c r="CV435">
        <f ca="1">OFFSET('Calculations 2'!$AJ$12,W435,X435)</f>
        <v>0</v>
      </c>
    </row>
    <row r="436" spans="17:100">
      <c r="Q436" t="s">
        <v>232</v>
      </c>
      <c r="R436" t="s">
        <v>489</v>
      </c>
      <c r="S436" t="s">
        <v>469</v>
      </c>
      <c r="T436">
        <f ca="1">OFFSET('Calculations 2'!$C$45,W436,X436)*OFFSET($M$6,W436,0)</f>
        <v>0</v>
      </c>
      <c r="V436">
        <f t="shared" si="20"/>
        <v>430</v>
      </c>
      <c r="W436">
        <f t="shared" si="21"/>
        <v>1</v>
      </c>
      <c r="X436">
        <f t="shared" si="22"/>
        <v>13</v>
      </c>
      <c r="AC436" t="s">
        <v>232</v>
      </c>
      <c r="AD436" t="s">
        <v>489</v>
      </c>
      <c r="AE436" t="s">
        <v>469</v>
      </c>
      <c r="AF436">
        <f ca="1">OFFSET('Calculations 2'!$CE$45,W436,0)*OFFSET($AA$6,X436,0)*OFFSET($M$6,W436,)</f>
        <v>0.11022112186070068</v>
      </c>
      <c r="AY436" t="s">
        <v>232</v>
      </c>
      <c r="AZ436" t="s">
        <v>489</v>
      </c>
      <c r="BA436" t="s">
        <v>469</v>
      </c>
      <c r="BB436">
        <v>0</v>
      </c>
      <c r="BE436" t="s">
        <v>232</v>
      </c>
      <c r="BF436" t="s">
        <v>489</v>
      </c>
      <c r="BG436" t="s">
        <v>469</v>
      </c>
      <c r="BH436">
        <v>0</v>
      </c>
      <c r="CT436" t="s">
        <v>232</v>
      </c>
      <c r="CU436" t="s">
        <v>469</v>
      </c>
      <c r="CV436">
        <f ca="1">OFFSET('Calculations 2'!$AJ$12,W436,X436)</f>
        <v>0</v>
      </c>
    </row>
    <row r="437" spans="17:100">
      <c r="Q437" t="s">
        <v>226</v>
      </c>
      <c r="R437" t="s">
        <v>489</v>
      </c>
      <c r="S437" t="s">
        <v>469</v>
      </c>
      <c r="T437">
        <f ca="1">OFFSET('Calculations 2'!$C$45,W437,X437)*OFFSET($M$6,W437,0)</f>
        <v>0.13316657659239461</v>
      </c>
      <c r="V437">
        <f t="shared" si="20"/>
        <v>431</v>
      </c>
      <c r="W437">
        <f t="shared" si="21"/>
        <v>2</v>
      </c>
      <c r="X437">
        <f t="shared" si="22"/>
        <v>13</v>
      </c>
      <c r="AC437" t="s">
        <v>226</v>
      </c>
      <c r="AD437" t="s">
        <v>489</v>
      </c>
      <c r="AE437" t="s">
        <v>469</v>
      </c>
      <c r="AF437">
        <f ca="1">OFFSET('Calculations 2'!$CE$45,W437,0)*OFFSET($AA$6,X437,0)*OFFSET($M$6,W437,)</f>
        <v>0.18558916024358837</v>
      </c>
      <c r="AY437" t="s">
        <v>226</v>
      </c>
      <c r="AZ437" t="s">
        <v>489</v>
      </c>
      <c r="BA437" t="s">
        <v>469</v>
      </c>
      <c r="BB437">
        <v>0</v>
      </c>
      <c r="BE437" t="s">
        <v>226</v>
      </c>
      <c r="BF437" t="s">
        <v>489</v>
      </c>
      <c r="BG437" t="s">
        <v>469</v>
      </c>
      <c r="BH437">
        <v>0</v>
      </c>
      <c r="CT437" t="s">
        <v>226</v>
      </c>
      <c r="CU437" t="s">
        <v>469</v>
      </c>
      <c r="CV437">
        <f ca="1">OFFSET('Calculations 2'!$AJ$12,W437,X437)</f>
        <v>0</v>
      </c>
    </row>
    <row r="438" spans="17:100">
      <c r="Q438" t="s">
        <v>243</v>
      </c>
      <c r="R438" t="s">
        <v>489</v>
      </c>
      <c r="S438" t="s">
        <v>469</v>
      </c>
      <c r="T438">
        <f ca="1">OFFSET('Calculations 2'!$C$45,W438,X438)*OFFSET($M$6,W438,0)</f>
        <v>0.34117488056362383</v>
      </c>
      <c r="V438">
        <f t="shared" si="20"/>
        <v>432</v>
      </c>
      <c r="W438">
        <f t="shared" si="21"/>
        <v>3</v>
      </c>
      <c r="X438">
        <f t="shared" si="22"/>
        <v>13</v>
      </c>
      <c r="AC438" t="s">
        <v>243</v>
      </c>
      <c r="AD438" t="s">
        <v>489</v>
      </c>
      <c r="AE438" t="s">
        <v>469</v>
      </c>
      <c r="AF438">
        <f ca="1">OFFSET('Calculations 2'!$CE$45,W438,0)*OFFSET($AA$6,X438,0)*OFFSET($M$6,W438,)</f>
        <v>0.96670704682738939</v>
      </c>
      <c r="AY438" t="s">
        <v>243</v>
      </c>
      <c r="AZ438" t="s">
        <v>489</v>
      </c>
      <c r="BA438" t="s">
        <v>469</v>
      </c>
      <c r="BB438">
        <v>0</v>
      </c>
      <c r="BE438" t="s">
        <v>243</v>
      </c>
      <c r="BF438" t="s">
        <v>489</v>
      </c>
      <c r="BG438" t="s">
        <v>469</v>
      </c>
      <c r="BH438">
        <v>0</v>
      </c>
      <c r="CT438" t="s">
        <v>243</v>
      </c>
      <c r="CU438" t="s">
        <v>469</v>
      </c>
      <c r="CV438">
        <f ca="1">OFFSET('Calculations 2'!$AJ$12,W438,X438)</f>
        <v>0</v>
      </c>
    </row>
    <row r="439" spans="17:100">
      <c r="Q439" t="s">
        <v>228</v>
      </c>
      <c r="R439" t="s">
        <v>489</v>
      </c>
      <c r="S439" t="s">
        <v>469</v>
      </c>
      <c r="T439">
        <f ca="1">OFFSET('Calculations 2'!$C$45,W439,X439)*OFFSET($M$6,W439,0)</f>
        <v>1.4574980937573597E-3</v>
      </c>
      <c r="V439">
        <f t="shared" si="20"/>
        <v>433</v>
      </c>
      <c r="W439">
        <f t="shared" si="21"/>
        <v>4</v>
      </c>
      <c r="X439">
        <f t="shared" si="22"/>
        <v>13</v>
      </c>
      <c r="AC439" t="s">
        <v>228</v>
      </c>
      <c r="AD439" t="s">
        <v>489</v>
      </c>
      <c r="AE439" t="s">
        <v>469</v>
      </c>
      <c r="AF439">
        <f ca="1">OFFSET('Calculations 2'!$CE$45,W439,0)*OFFSET($AA$6,X439,0)*OFFSET($M$6,W439,)</f>
        <v>6.8594861225549451E-3</v>
      </c>
      <c r="AY439" t="s">
        <v>228</v>
      </c>
      <c r="AZ439" t="s">
        <v>489</v>
      </c>
      <c r="BA439" t="s">
        <v>469</v>
      </c>
      <c r="BB439">
        <v>0</v>
      </c>
      <c r="BE439" t="s">
        <v>228</v>
      </c>
      <c r="BF439" t="s">
        <v>489</v>
      </c>
      <c r="BG439" t="s">
        <v>469</v>
      </c>
      <c r="BH439">
        <v>0</v>
      </c>
      <c r="CT439" t="s">
        <v>228</v>
      </c>
      <c r="CU439" t="s">
        <v>469</v>
      </c>
      <c r="CV439">
        <f ca="1">OFFSET('Calculations 2'!$AJ$12,W439,X439)</f>
        <v>0</v>
      </c>
    </row>
    <row r="440" spans="17:100">
      <c r="Q440" t="s">
        <v>246</v>
      </c>
      <c r="R440" t="s">
        <v>489</v>
      </c>
      <c r="S440" t="s">
        <v>469</v>
      </c>
      <c r="T440">
        <f ca="1">OFFSET('Calculations 2'!$C$45,W440,X440)*OFFSET($M$6,W440,0)</f>
        <v>5.4573453564772727</v>
      </c>
      <c r="V440">
        <f t="shared" si="20"/>
        <v>434</v>
      </c>
      <c r="W440">
        <f t="shared" si="21"/>
        <v>5</v>
      </c>
      <c r="X440">
        <f t="shared" si="22"/>
        <v>13</v>
      </c>
      <c r="AC440" t="s">
        <v>246</v>
      </c>
      <c r="AD440" t="s">
        <v>489</v>
      </c>
      <c r="AE440" t="s">
        <v>469</v>
      </c>
      <c r="AF440">
        <f ca="1">OFFSET('Calculations 2'!$CE$45,W440,0)*OFFSET($AA$6,X440,0)*OFFSET($M$6,W440,)</f>
        <v>4.2226908408459697E-2</v>
      </c>
      <c r="AY440" t="s">
        <v>246</v>
      </c>
      <c r="AZ440" t="s">
        <v>489</v>
      </c>
      <c r="BA440" t="s">
        <v>469</v>
      </c>
      <c r="BB440">
        <v>0</v>
      </c>
      <c r="BE440" t="s">
        <v>246</v>
      </c>
      <c r="BF440" t="s">
        <v>489</v>
      </c>
      <c r="BG440" t="s">
        <v>469</v>
      </c>
      <c r="BH440">
        <v>0</v>
      </c>
      <c r="CT440" t="s">
        <v>246</v>
      </c>
      <c r="CU440" t="s">
        <v>469</v>
      </c>
      <c r="CV440">
        <f ca="1">OFFSET('Calculations 2'!$AJ$12,W440,X440)</f>
        <v>0</v>
      </c>
    </row>
    <row r="441" spans="17:100">
      <c r="Q441" t="s">
        <v>239</v>
      </c>
      <c r="R441" t="s">
        <v>489</v>
      </c>
      <c r="S441" t="s">
        <v>469</v>
      </c>
      <c r="T441">
        <f ca="1">OFFSET('Calculations 2'!$C$45,W441,X441)*OFFSET($M$6,W441,0)</f>
        <v>4.0234219698693465</v>
      </c>
      <c r="V441">
        <f t="shared" si="20"/>
        <v>435</v>
      </c>
      <c r="W441">
        <f t="shared" si="21"/>
        <v>6</v>
      </c>
      <c r="X441">
        <f t="shared" si="22"/>
        <v>13</v>
      </c>
      <c r="AC441" t="s">
        <v>239</v>
      </c>
      <c r="AD441" t="s">
        <v>489</v>
      </c>
      <c r="AE441" t="s">
        <v>469</v>
      </c>
      <c r="AF441">
        <f ca="1">OFFSET('Calculations 2'!$CE$45,W441,0)*OFFSET($AA$6,X441,0)*OFFSET($M$6,W441,)</f>
        <v>0.84519780123913346</v>
      </c>
      <c r="AY441" t="s">
        <v>239</v>
      </c>
      <c r="AZ441" t="s">
        <v>489</v>
      </c>
      <c r="BA441" t="s">
        <v>469</v>
      </c>
      <c r="BB441">
        <v>0</v>
      </c>
      <c r="BE441" t="s">
        <v>239</v>
      </c>
      <c r="BF441" t="s">
        <v>489</v>
      </c>
      <c r="BG441" t="s">
        <v>469</v>
      </c>
      <c r="BH441">
        <v>0</v>
      </c>
      <c r="CT441" t="s">
        <v>239</v>
      </c>
      <c r="CU441" t="s">
        <v>469</v>
      </c>
      <c r="CV441">
        <f ca="1">OFFSET('Calculations 2'!$AJ$12,W441,X441)</f>
        <v>0</v>
      </c>
    </row>
    <row r="442" spans="17:100">
      <c r="Q442" t="s">
        <v>466</v>
      </c>
      <c r="R442" t="s">
        <v>489</v>
      </c>
      <c r="S442" t="s">
        <v>469</v>
      </c>
      <c r="T442">
        <f ca="1">OFFSET('Calculations 2'!$C$45,W442,X442)*OFFSET($M$6,W442,0)</f>
        <v>8.5847305754813164</v>
      </c>
      <c r="V442">
        <f t="shared" si="20"/>
        <v>436</v>
      </c>
      <c r="W442">
        <f t="shared" si="21"/>
        <v>7</v>
      </c>
      <c r="X442">
        <f t="shared" si="22"/>
        <v>13</v>
      </c>
      <c r="AC442" t="s">
        <v>466</v>
      </c>
      <c r="AD442" t="s">
        <v>489</v>
      </c>
      <c r="AE442" t="s">
        <v>469</v>
      </c>
      <c r="AF442">
        <f ca="1">OFFSET('Calculations 2'!$CE$45,W442,0)*OFFSET($AA$6,X442,0)*OFFSET($M$6,W442,)</f>
        <v>0.12879178829614771</v>
      </c>
      <c r="AY442" t="s">
        <v>466</v>
      </c>
      <c r="AZ442" t="s">
        <v>489</v>
      </c>
      <c r="BA442" t="s">
        <v>469</v>
      </c>
      <c r="BB442">
        <v>0</v>
      </c>
      <c r="BE442" t="s">
        <v>466</v>
      </c>
      <c r="BF442" t="s">
        <v>489</v>
      </c>
      <c r="BG442" t="s">
        <v>469</v>
      </c>
      <c r="BH442">
        <v>0</v>
      </c>
      <c r="CT442" t="s">
        <v>466</v>
      </c>
      <c r="CU442" t="s">
        <v>469</v>
      </c>
      <c r="CV442">
        <f ca="1">OFFSET('Calculations 2'!$AJ$12,W442,X442)</f>
        <v>0</v>
      </c>
    </row>
    <row r="443" spans="17:100">
      <c r="Q443" t="s">
        <v>219</v>
      </c>
      <c r="R443" t="s">
        <v>489</v>
      </c>
      <c r="S443" t="s">
        <v>469</v>
      </c>
      <c r="T443">
        <f ca="1">OFFSET('Calculations 2'!$C$45,W443,X443)*OFFSET($M$6,W443,0)</f>
        <v>70.884214162768487</v>
      </c>
      <c r="V443">
        <f t="shared" si="20"/>
        <v>437</v>
      </c>
      <c r="W443">
        <f t="shared" si="21"/>
        <v>8</v>
      </c>
      <c r="X443">
        <f t="shared" si="22"/>
        <v>13</v>
      </c>
      <c r="AC443" t="s">
        <v>219</v>
      </c>
      <c r="AD443" t="s">
        <v>489</v>
      </c>
      <c r="AE443" t="s">
        <v>469</v>
      </c>
      <c r="AF443">
        <f ca="1">OFFSET('Calculations 2'!$CE$45,W443,0)*OFFSET($AA$6,X443,0)*OFFSET($M$6,W443,)</f>
        <v>0.80201278365683082</v>
      </c>
      <c r="AY443" t="s">
        <v>219</v>
      </c>
      <c r="AZ443" t="s">
        <v>489</v>
      </c>
      <c r="BA443" t="s">
        <v>469</v>
      </c>
      <c r="BB443">
        <v>0</v>
      </c>
      <c r="BE443" t="s">
        <v>219</v>
      </c>
      <c r="BF443" t="s">
        <v>489</v>
      </c>
      <c r="BG443" t="s">
        <v>469</v>
      </c>
      <c r="BH443">
        <v>0</v>
      </c>
      <c r="CT443" t="s">
        <v>219</v>
      </c>
      <c r="CU443" t="s">
        <v>469</v>
      </c>
      <c r="CV443">
        <f ca="1">OFFSET('Calculations 2'!$AJ$12,W443,X443)</f>
        <v>0</v>
      </c>
    </row>
    <row r="444" spans="17:100">
      <c r="Q444" t="s">
        <v>242</v>
      </c>
      <c r="R444" t="s">
        <v>489</v>
      </c>
      <c r="S444" t="s">
        <v>469</v>
      </c>
      <c r="T444">
        <f ca="1">OFFSET('Calculations 2'!$C$45,W444,X444)*OFFSET($M$6,W444,0)</f>
        <v>68.662877489348773</v>
      </c>
      <c r="V444">
        <f t="shared" si="20"/>
        <v>438</v>
      </c>
      <c r="W444">
        <f t="shared" si="21"/>
        <v>9</v>
      </c>
      <c r="X444">
        <f t="shared" si="22"/>
        <v>13</v>
      </c>
      <c r="AC444" t="s">
        <v>242</v>
      </c>
      <c r="AD444" t="s">
        <v>489</v>
      </c>
      <c r="AE444" t="s">
        <v>469</v>
      </c>
      <c r="AF444">
        <f ca="1">OFFSET('Calculations 2'!$CE$45,W444,0)*OFFSET($AA$6,X444,0)*OFFSET($M$6,W444,)</f>
        <v>1.2554736752213882</v>
      </c>
      <c r="AY444" t="s">
        <v>242</v>
      </c>
      <c r="AZ444" t="s">
        <v>489</v>
      </c>
      <c r="BA444" t="s">
        <v>469</v>
      </c>
      <c r="BB444">
        <v>0</v>
      </c>
      <c r="BE444" t="s">
        <v>242</v>
      </c>
      <c r="BF444" t="s">
        <v>489</v>
      </c>
      <c r="BG444" t="s">
        <v>469</v>
      </c>
      <c r="BH444">
        <v>0</v>
      </c>
      <c r="CT444" t="s">
        <v>242</v>
      </c>
      <c r="CU444" t="s">
        <v>469</v>
      </c>
      <c r="CV444">
        <f ca="1">OFFSET('Calculations 2'!$AJ$12,W444,X444)</f>
        <v>0</v>
      </c>
    </row>
    <row r="445" spans="17:100">
      <c r="Q445" t="s">
        <v>467</v>
      </c>
      <c r="R445" t="s">
        <v>489</v>
      </c>
      <c r="S445" t="s">
        <v>469</v>
      </c>
      <c r="T445">
        <f ca="1">OFFSET('Calculations 2'!$C$45,W445,X445)*OFFSET($M$6,W445,0)</f>
        <v>0</v>
      </c>
      <c r="V445">
        <f t="shared" si="20"/>
        <v>439</v>
      </c>
      <c r="W445">
        <f t="shared" si="21"/>
        <v>10</v>
      </c>
      <c r="X445">
        <f t="shared" si="22"/>
        <v>13</v>
      </c>
      <c r="AC445" t="s">
        <v>467</v>
      </c>
      <c r="AD445" t="s">
        <v>489</v>
      </c>
      <c r="AE445" t="s">
        <v>469</v>
      </c>
      <c r="AF445">
        <f ca="1">OFFSET('Calculations 2'!$CE$45,W445,0)*OFFSET($AA$6,X445,0)*OFFSET($M$6,W445,)</f>
        <v>1.1630403079655742</v>
      </c>
      <c r="AY445" t="s">
        <v>467</v>
      </c>
      <c r="AZ445" t="s">
        <v>489</v>
      </c>
      <c r="BA445" t="s">
        <v>469</v>
      </c>
      <c r="BB445">
        <v>0</v>
      </c>
      <c r="BE445" t="s">
        <v>467</v>
      </c>
      <c r="BF445" t="s">
        <v>489</v>
      </c>
      <c r="BG445" t="s">
        <v>469</v>
      </c>
      <c r="BH445">
        <v>0</v>
      </c>
      <c r="CT445" t="s">
        <v>467</v>
      </c>
      <c r="CU445" t="s">
        <v>469</v>
      </c>
      <c r="CV445">
        <f ca="1">OFFSET('Calculations 2'!$AJ$12,W445,X445)</f>
        <v>0</v>
      </c>
    </row>
    <row r="446" spans="17:100">
      <c r="Q446" t="s">
        <v>231</v>
      </c>
      <c r="R446" t="s">
        <v>489</v>
      </c>
      <c r="S446" t="s">
        <v>469</v>
      </c>
      <c r="T446">
        <f ca="1">OFFSET('Calculations 2'!$C$45,W446,X446)*OFFSET($M$6,W446,0)</f>
        <v>627.28536208729213</v>
      </c>
      <c r="V446">
        <f t="shared" si="20"/>
        <v>440</v>
      </c>
      <c r="W446">
        <f t="shared" si="21"/>
        <v>11</v>
      </c>
      <c r="X446">
        <f t="shared" si="22"/>
        <v>13</v>
      </c>
      <c r="AC446" t="s">
        <v>231</v>
      </c>
      <c r="AD446" t="s">
        <v>489</v>
      </c>
      <c r="AE446" t="s">
        <v>469</v>
      </c>
      <c r="AF446">
        <f ca="1">OFFSET('Calculations 2'!$CE$45,W446,0)*OFFSET($AA$6,X446,0)*OFFSET($M$6,W446,)</f>
        <v>3.4016918191043146</v>
      </c>
      <c r="AY446" t="s">
        <v>231</v>
      </c>
      <c r="AZ446" t="s">
        <v>489</v>
      </c>
      <c r="BA446" t="s">
        <v>469</v>
      </c>
      <c r="BB446">
        <v>0</v>
      </c>
      <c r="BE446" t="s">
        <v>231</v>
      </c>
      <c r="BF446" t="s">
        <v>489</v>
      </c>
      <c r="BG446" t="s">
        <v>469</v>
      </c>
      <c r="BH446">
        <v>0</v>
      </c>
      <c r="CT446" t="s">
        <v>231</v>
      </c>
      <c r="CU446" t="s">
        <v>469</v>
      </c>
      <c r="CV446">
        <f ca="1">OFFSET('Calculations 2'!$AJ$12,W446,X446)</f>
        <v>0</v>
      </c>
    </row>
    <row r="447" spans="17:100">
      <c r="Q447" t="s">
        <v>468</v>
      </c>
      <c r="R447" t="s">
        <v>489</v>
      </c>
      <c r="S447" t="s">
        <v>469</v>
      </c>
      <c r="T447">
        <f ca="1">OFFSET('Calculations 2'!$C$45,W447,X447)*OFFSET($M$6,W447,0)</f>
        <v>14.406750085737896</v>
      </c>
      <c r="V447">
        <f t="shared" si="20"/>
        <v>441</v>
      </c>
      <c r="W447">
        <f t="shared" si="21"/>
        <v>12</v>
      </c>
      <c r="X447">
        <f t="shared" si="22"/>
        <v>13</v>
      </c>
      <c r="AC447" t="s">
        <v>468</v>
      </c>
      <c r="AD447" t="s">
        <v>489</v>
      </c>
      <c r="AE447" t="s">
        <v>469</v>
      </c>
      <c r="AF447">
        <f ca="1">OFFSET('Calculations 2'!$CE$45,W447,0)*OFFSET($AA$6,X447,0)*OFFSET($M$6,W447,)</f>
        <v>4.9236807805670777</v>
      </c>
      <c r="AY447" t="s">
        <v>468</v>
      </c>
      <c r="AZ447" t="s">
        <v>489</v>
      </c>
      <c r="BA447" t="s">
        <v>469</v>
      </c>
      <c r="BB447">
        <v>0</v>
      </c>
      <c r="BE447" t="s">
        <v>468</v>
      </c>
      <c r="BF447" t="s">
        <v>489</v>
      </c>
      <c r="BG447" t="s">
        <v>469</v>
      </c>
      <c r="BH447">
        <v>0</v>
      </c>
      <c r="CT447" t="s">
        <v>468</v>
      </c>
      <c r="CU447" t="s">
        <v>469</v>
      </c>
      <c r="CV447">
        <f ca="1">OFFSET('Calculations 2'!$AJ$12,W447,X447)</f>
        <v>0</v>
      </c>
    </row>
    <row r="448" spans="17:100">
      <c r="Q448" t="s">
        <v>469</v>
      </c>
      <c r="R448" t="s">
        <v>489</v>
      </c>
      <c r="S448" t="s">
        <v>469</v>
      </c>
      <c r="T448">
        <f ca="1">OFFSET('Calculations 2'!$C$45,W448,X448)*OFFSET($M$6,W448,0)</f>
        <v>12.267401681272538</v>
      </c>
      <c r="V448">
        <f t="shared" si="20"/>
        <v>442</v>
      </c>
      <c r="W448">
        <f t="shared" si="21"/>
        <v>13</v>
      </c>
      <c r="X448">
        <f t="shared" si="22"/>
        <v>13</v>
      </c>
      <c r="AC448" t="s">
        <v>469</v>
      </c>
      <c r="AD448" t="s">
        <v>489</v>
      </c>
      <c r="AE448" t="s">
        <v>469</v>
      </c>
      <c r="AF448">
        <f ca="1">OFFSET('Calculations 2'!$CE$45,W448,0)*OFFSET($AA$6,X448,0)*OFFSET($M$6,W448,)</f>
        <v>1.0242324318856053</v>
      </c>
      <c r="AY448" t="s">
        <v>469</v>
      </c>
      <c r="AZ448" t="s">
        <v>489</v>
      </c>
      <c r="BA448" t="s">
        <v>469</v>
      </c>
      <c r="BB448">
        <v>0</v>
      </c>
      <c r="BE448" t="s">
        <v>469</v>
      </c>
      <c r="BF448" t="s">
        <v>489</v>
      </c>
      <c r="BG448" t="s">
        <v>469</v>
      </c>
      <c r="BH448">
        <v>0</v>
      </c>
      <c r="CT448" t="s">
        <v>469</v>
      </c>
      <c r="CU448" t="s">
        <v>469</v>
      </c>
      <c r="CV448">
        <f ca="1">OFFSET('Calculations 2'!$AJ$12,W448,X448)</f>
        <v>6245.6820000000007</v>
      </c>
    </row>
    <row r="449" spans="17:100">
      <c r="Q449" t="s">
        <v>245</v>
      </c>
      <c r="R449" t="s">
        <v>489</v>
      </c>
      <c r="S449" t="s">
        <v>469</v>
      </c>
      <c r="T449">
        <f ca="1">OFFSET('Calculations 2'!$C$45,W449,X449)*OFFSET($M$6,W449,0)</f>
        <v>4.2288751290126925</v>
      </c>
      <c r="V449">
        <f t="shared" si="20"/>
        <v>443</v>
      </c>
      <c r="W449">
        <f t="shared" si="21"/>
        <v>14</v>
      </c>
      <c r="X449">
        <f t="shared" si="22"/>
        <v>13</v>
      </c>
      <c r="AC449" t="s">
        <v>245</v>
      </c>
      <c r="AD449" t="s">
        <v>489</v>
      </c>
      <c r="AE449" t="s">
        <v>469</v>
      </c>
      <c r="AF449">
        <f ca="1">OFFSET('Calculations 2'!$CE$45,W449,0)*OFFSET($AA$6,X449,0)*OFFSET($M$6,W449,)</f>
        <v>1.4795119040461606</v>
      </c>
      <c r="AY449" t="s">
        <v>245</v>
      </c>
      <c r="AZ449" t="s">
        <v>489</v>
      </c>
      <c r="BA449" t="s">
        <v>469</v>
      </c>
      <c r="BB449">
        <v>0</v>
      </c>
      <c r="BE449" t="s">
        <v>245</v>
      </c>
      <c r="BF449" t="s">
        <v>489</v>
      </c>
      <c r="BG449" t="s">
        <v>469</v>
      </c>
      <c r="BH449">
        <v>0</v>
      </c>
      <c r="CT449" t="s">
        <v>245</v>
      </c>
      <c r="CU449" t="s">
        <v>469</v>
      </c>
      <c r="CV449">
        <f ca="1">OFFSET('Calculations 2'!$AJ$12,W449,X449)</f>
        <v>0</v>
      </c>
    </row>
    <row r="450" spans="17:100">
      <c r="Q450" t="s">
        <v>470</v>
      </c>
      <c r="R450" t="s">
        <v>489</v>
      </c>
      <c r="S450" t="s">
        <v>469</v>
      </c>
      <c r="T450">
        <f ca="1">OFFSET('Calculations 2'!$C$45,W450,X450)*OFFSET($M$6,W450,0)</f>
        <v>4.6152453776592317</v>
      </c>
      <c r="V450">
        <f t="shared" si="20"/>
        <v>444</v>
      </c>
      <c r="W450">
        <f t="shared" si="21"/>
        <v>15</v>
      </c>
      <c r="X450">
        <f t="shared" si="22"/>
        <v>13</v>
      </c>
      <c r="AC450" t="s">
        <v>470</v>
      </c>
      <c r="AD450" t="s">
        <v>489</v>
      </c>
      <c r="AE450" t="s">
        <v>469</v>
      </c>
      <c r="AF450">
        <f ca="1">OFFSET('Calculations 2'!$CE$45,W450,0)*OFFSET($AA$6,X450,0)*OFFSET($M$6,W450,)</f>
        <v>4.0286150086253949</v>
      </c>
      <c r="AY450" t="s">
        <v>470</v>
      </c>
      <c r="AZ450" t="s">
        <v>489</v>
      </c>
      <c r="BA450" t="s">
        <v>469</v>
      </c>
      <c r="BB450">
        <v>0</v>
      </c>
      <c r="BE450" t="s">
        <v>470</v>
      </c>
      <c r="BF450" t="s">
        <v>489</v>
      </c>
      <c r="BG450" t="s">
        <v>469</v>
      </c>
      <c r="BH450">
        <v>0</v>
      </c>
      <c r="CT450" t="s">
        <v>470</v>
      </c>
      <c r="CU450" t="s">
        <v>469</v>
      </c>
      <c r="CV450">
        <f ca="1">OFFSET('Calculations 2'!$AJ$12,W450,X450)</f>
        <v>0</v>
      </c>
    </row>
    <row r="451" spans="17:100">
      <c r="Q451" t="s">
        <v>471</v>
      </c>
      <c r="R451" t="s">
        <v>489</v>
      </c>
      <c r="S451" t="s">
        <v>469</v>
      </c>
      <c r="T451">
        <f ca="1">OFFSET('Calculations 2'!$C$45,W451,X451)*OFFSET($M$6,W451,0)</f>
        <v>41.596772317939958</v>
      </c>
      <c r="V451">
        <f t="shared" si="20"/>
        <v>445</v>
      </c>
      <c r="W451">
        <f t="shared" si="21"/>
        <v>16</v>
      </c>
      <c r="X451">
        <f t="shared" si="22"/>
        <v>13</v>
      </c>
      <c r="AC451" t="s">
        <v>471</v>
      </c>
      <c r="AD451" t="s">
        <v>489</v>
      </c>
      <c r="AE451" t="s">
        <v>469</v>
      </c>
      <c r="AF451">
        <f ca="1">OFFSET('Calculations 2'!$CE$45,W451,0)*OFFSET($AA$6,X451,0)*OFFSET($M$6,W451,)</f>
        <v>0</v>
      </c>
      <c r="AY451" t="s">
        <v>471</v>
      </c>
      <c r="AZ451" t="s">
        <v>489</v>
      </c>
      <c r="BA451" t="s">
        <v>469</v>
      </c>
      <c r="BB451">
        <v>0</v>
      </c>
      <c r="BE451" t="s">
        <v>471</v>
      </c>
      <c r="BF451" t="s">
        <v>489</v>
      </c>
      <c r="BG451" t="s">
        <v>469</v>
      </c>
      <c r="BH451">
        <v>0</v>
      </c>
      <c r="CT451" t="s">
        <v>471</v>
      </c>
      <c r="CU451" t="s">
        <v>469</v>
      </c>
      <c r="CV451">
        <f ca="1">OFFSET('Calculations 2'!$AJ$12,W451,X451)</f>
        <v>0</v>
      </c>
    </row>
    <row r="452" spans="17:100">
      <c r="Q452" t="s">
        <v>221</v>
      </c>
      <c r="R452" t="s">
        <v>489</v>
      </c>
      <c r="S452" t="s">
        <v>469</v>
      </c>
      <c r="T452">
        <f ca="1">OFFSET('Calculations 2'!$C$45,W452,X452)*OFFSET($M$6,W452,0)</f>
        <v>10.610085211773335</v>
      </c>
      <c r="V452">
        <f t="shared" si="20"/>
        <v>446</v>
      </c>
      <c r="W452">
        <f t="shared" si="21"/>
        <v>17</v>
      </c>
      <c r="X452">
        <f t="shared" si="22"/>
        <v>13</v>
      </c>
      <c r="AC452" t="s">
        <v>221</v>
      </c>
      <c r="AD452" t="s">
        <v>489</v>
      </c>
      <c r="AE452" t="s">
        <v>469</v>
      </c>
      <c r="AF452">
        <f ca="1">OFFSET('Calculations 2'!$CE$45,W452,0)*OFFSET($AA$6,X452,0)*OFFSET($M$6,W452,)</f>
        <v>133.82430782425928</v>
      </c>
      <c r="AY452" t="s">
        <v>221</v>
      </c>
      <c r="AZ452" t="s">
        <v>489</v>
      </c>
      <c r="BA452" t="s">
        <v>469</v>
      </c>
      <c r="BB452">
        <v>0</v>
      </c>
      <c r="BE452" t="s">
        <v>221</v>
      </c>
      <c r="BF452" t="s">
        <v>489</v>
      </c>
      <c r="BG452" t="s">
        <v>469</v>
      </c>
      <c r="BH452">
        <v>0</v>
      </c>
      <c r="CT452" t="s">
        <v>221</v>
      </c>
      <c r="CU452" t="s">
        <v>469</v>
      </c>
      <c r="CV452">
        <f ca="1">OFFSET('Calculations 2'!$AJ$12,W452,X452)</f>
        <v>0</v>
      </c>
    </row>
    <row r="453" spans="17:100">
      <c r="Q453" t="s">
        <v>244</v>
      </c>
      <c r="R453" t="s">
        <v>489</v>
      </c>
      <c r="S453" t="s">
        <v>469</v>
      </c>
      <c r="T453">
        <f ca="1">OFFSET('Calculations 2'!$C$45,W453,X453)*OFFSET($M$6,W453,0)</f>
        <v>571.06367722571997</v>
      </c>
      <c r="V453">
        <f t="shared" si="20"/>
        <v>447</v>
      </c>
      <c r="W453">
        <f t="shared" si="21"/>
        <v>18</v>
      </c>
      <c r="X453">
        <f t="shared" si="22"/>
        <v>13</v>
      </c>
      <c r="AC453" t="s">
        <v>244</v>
      </c>
      <c r="AD453" t="s">
        <v>489</v>
      </c>
      <c r="AE453" t="s">
        <v>469</v>
      </c>
      <c r="AF453">
        <f ca="1">OFFSET('Calculations 2'!$CE$45,W453,0)*OFFSET($AA$6,X453,0)*OFFSET($M$6,W453,)</f>
        <v>21.397614529374426</v>
      </c>
      <c r="AY453" t="s">
        <v>244</v>
      </c>
      <c r="AZ453" t="s">
        <v>489</v>
      </c>
      <c r="BA453" t="s">
        <v>469</v>
      </c>
      <c r="BB453">
        <v>0</v>
      </c>
      <c r="BE453" t="s">
        <v>244</v>
      </c>
      <c r="BF453" t="s">
        <v>489</v>
      </c>
      <c r="BG453" t="s">
        <v>469</v>
      </c>
      <c r="BH453">
        <v>0</v>
      </c>
      <c r="CT453" t="s">
        <v>244</v>
      </c>
      <c r="CU453" t="s">
        <v>469</v>
      </c>
      <c r="CV453">
        <f ca="1">OFFSET('Calculations 2'!$AJ$12,W453,X453)</f>
        <v>0</v>
      </c>
    </row>
    <row r="454" spans="17:100">
      <c r="Q454" t="s">
        <v>472</v>
      </c>
      <c r="R454" t="s">
        <v>489</v>
      </c>
      <c r="S454" t="s">
        <v>469</v>
      </c>
      <c r="T454">
        <f ca="1">OFFSET('Calculations 2'!$C$45,W454,X454)*OFFSET($M$6,W454,0)</f>
        <v>0</v>
      </c>
      <c r="V454">
        <f t="shared" si="20"/>
        <v>448</v>
      </c>
      <c r="W454">
        <f t="shared" si="21"/>
        <v>19</v>
      </c>
      <c r="X454">
        <f t="shared" si="22"/>
        <v>13</v>
      </c>
      <c r="AC454" t="s">
        <v>472</v>
      </c>
      <c r="AD454" t="s">
        <v>489</v>
      </c>
      <c r="AE454" t="s">
        <v>469</v>
      </c>
      <c r="AF454">
        <f ca="1">OFFSET('Calculations 2'!$CE$45,W454,0)*OFFSET($AA$6,X454,0)*OFFSET($M$6,W454,)</f>
        <v>0</v>
      </c>
      <c r="AY454" t="s">
        <v>472</v>
      </c>
      <c r="AZ454" t="s">
        <v>489</v>
      </c>
      <c r="BA454" t="s">
        <v>469</v>
      </c>
      <c r="BB454">
        <v>0</v>
      </c>
      <c r="BE454" t="s">
        <v>472</v>
      </c>
      <c r="BF454" t="s">
        <v>489</v>
      </c>
      <c r="BG454" t="s">
        <v>469</v>
      </c>
      <c r="BH454">
        <v>0</v>
      </c>
      <c r="CT454" t="s">
        <v>472</v>
      </c>
      <c r="CU454" t="s">
        <v>469</v>
      </c>
      <c r="CV454">
        <f ca="1">OFFSET('Calculations 2'!$AJ$12,W454,X454)</f>
        <v>0</v>
      </c>
    </row>
    <row r="455" spans="17:100">
      <c r="Q455" t="s">
        <v>238</v>
      </c>
      <c r="R455" t="s">
        <v>489</v>
      </c>
      <c r="S455" t="s">
        <v>469</v>
      </c>
      <c r="T455">
        <f ca="1">OFFSET('Calculations 2'!$C$45,W455,X455)*OFFSET($M$6,W455,0)</f>
        <v>20.916226514591596</v>
      </c>
      <c r="V455">
        <f t="shared" si="20"/>
        <v>449</v>
      </c>
      <c r="W455">
        <f t="shared" si="21"/>
        <v>20</v>
      </c>
      <c r="X455">
        <f t="shared" si="22"/>
        <v>13</v>
      </c>
      <c r="AC455" t="s">
        <v>238</v>
      </c>
      <c r="AD455" t="s">
        <v>489</v>
      </c>
      <c r="AE455" t="s">
        <v>469</v>
      </c>
      <c r="AF455">
        <f ca="1">OFFSET('Calculations 2'!$CE$45,W455,0)*OFFSET($AA$6,X455,0)*OFFSET($M$6,W455,)</f>
        <v>0</v>
      </c>
      <c r="AY455" t="s">
        <v>238</v>
      </c>
      <c r="AZ455" t="s">
        <v>489</v>
      </c>
      <c r="BA455" t="s">
        <v>469</v>
      </c>
      <c r="BB455">
        <v>0</v>
      </c>
      <c r="BE455" t="s">
        <v>238</v>
      </c>
      <c r="BF455" t="s">
        <v>489</v>
      </c>
      <c r="BG455" t="s">
        <v>469</v>
      </c>
      <c r="BH455">
        <v>0</v>
      </c>
      <c r="CT455" t="s">
        <v>238</v>
      </c>
      <c r="CU455" t="s">
        <v>469</v>
      </c>
      <c r="CV455">
        <f ca="1">OFFSET('Calculations 2'!$AJ$12,W455,X455)</f>
        <v>0</v>
      </c>
    </row>
    <row r="456" spans="17:100">
      <c r="Q456" t="s">
        <v>247</v>
      </c>
      <c r="R456" t="s">
        <v>489</v>
      </c>
      <c r="S456" t="s">
        <v>469</v>
      </c>
      <c r="T456">
        <f ca="1">OFFSET('Calculations 2'!$C$45,W456,X456)*OFFSET($M$6,W456,0)</f>
        <v>0</v>
      </c>
      <c r="V456">
        <f t="shared" ref="V456:V519" si="23">V455+1</f>
        <v>450</v>
      </c>
      <c r="W456">
        <f t="shared" ref="W456:W519" si="24">MOD(V456,$V$3)</f>
        <v>21</v>
      </c>
      <c r="X456">
        <f t="shared" ref="X456:X519" si="25">FLOOR(V456/$V$3,1)</f>
        <v>13</v>
      </c>
      <c r="AC456" t="s">
        <v>247</v>
      </c>
      <c r="AD456" t="s">
        <v>489</v>
      </c>
      <c r="AE456" t="s">
        <v>469</v>
      </c>
      <c r="AF456">
        <f ca="1">OFFSET('Calculations 2'!$CE$45,W456,0)*OFFSET($AA$6,X456,0)*OFFSET($M$6,W456,)</f>
        <v>0</v>
      </c>
      <c r="AY456" t="s">
        <v>247</v>
      </c>
      <c r="AZ456" t="s">
        <v>489</v>
      </c>
      <c r="BA456" t="s">
        <v>469</v>
      </c>
      <c r="BB456">
        <v>0</v>
      </c>
      <c r="BE456" t="s">
        <v>247</v>
      </c>
      <c r="BF456" t="s">
        <v>489</v>
      </c>
      <c r="BG456" t="s">
        <v>469</v>
      </c>
      <c r="BH456">
        <v>0</v>
      </c>
      <c r="CT456" t="s">
        <v>247</v>
      </c>
      <c r="CU456" t="s">
        <v>469</v>
      </c>
      <c r="CV456">
        <f ca="1">OFFSET('Calculations 2'!$AJ$12,W456,X456)</f>
        <v>0</v>
      </c>
    </row>
    <row r="457" spans="17:100">
      <c r="Q457" t="s">
        <v>218</v>
      </c>
      <c r="R457" t="s">
        <v>489</v>
      </c>
      <c r="S457" t="s">
        <v>469</v>
      </c>
      <c r="T457">
        <f ca="1">OFFSET('Calculations 2'!$C$45,W457,X457)*OFFSET($M$6,W457,0)</f>
        <v>112.80743022729608</v>
      </c>
      <c r="V457">
        <f t="shared" si="23"/>
        <v>451</v>
      </c>
      <c r="W457">
        <f t="shared" si="24"/>
        <v>22</v>
      </c>
      <c r="X457">
        <f t="shared" si="25"/>
        <v>13</v>
      </c>
      <c r="AC457" t="s">
        <v>218</v>
      </c>
      <c r="AD457" t="s">
        <v>489</v>
      </c>
      <c r="AE457" t="s">
        <v>469</v>
      </c>
      <c r="AF457">
        <f ca="1">OFFSET('Calculations 2'!$CE$45,W457,0)*OFFSET($AA$6,X457,0)*OFFSET($M$6,W457,)</f>
        <v>0</v>
      </c>
      <c r="AY457" t="s">
        <v>218</v>
      </c>
      <c r="AZ457" t="s">
        <v>489</v>
      </c>
      <c r="BA457" t="s">
        <v>469</v>
      </c>
      <c r="BB457">
        <v>0</v>
      </c>
      <c r="BE457" t="s">
        <v>218</v>
      </c>
      <c r="BF457" t="s">
        <v>489</v>
      </c>
      <c r="BG457" t="s">
        <v>469</v>
      </c>
      <c r="BH457">
        <v>0</v>
      </c>
      <c r="CT457" t="s">
        <v>218</v>
      </c>
      <c r="CU457" t="s">
        <v>469</v>
      </c>
      <c r="CV457">
        <f ca="1">OFFSET('Calculations 2'!$AJ$12,W457,X457)</f>
        <v>0</v>
      </c>
    </row>
    <row r="458" spans="17:100">
      <c r="Q458" t="s">
        <v>257</v>
      </c>
      <c r="R458" t="s">
        <v>489</v>
      </c>
      <c r="S458" t="s">
        <v>469</v>
      </c>
      <c r="T458">
        <f ca="1">OFFSET('Calculations 2'!$C$45,W458,X458)*OFFSET($M$6,W458,0)</f>
        <v>39.757572728048132</v>
      </c>
      <c r="V458">
        <f t="shared" si="23"/>
        <v>452</v>
      </c>
      <c r="W458">
        <f t="shared" si="24"/>
        <v>23</v>
      </c>
      <c r="X458">
        <f t="shared" si="25"/>
        <v>13</v>
      </c>
      <c r="AC458" t="s">
        <v>257</v>
      </c>
      <c r="AD458" t="s">
        <v>489</v>
      </c>
      <c r="AE458" t="s">
        <v>469</v>
      </c>
      <c r="AF458">
        <f ca="1">OFFSET('Calculations 2'!$CE$45,W458,0)*OFFSET($AA$6,X458,0)*OFFSET($M$6,W458,)</f>
        <v>0</v>
      </c>
      <c r="AY458" t="s">
        <v>257</v>
      </c>
      <c r="AZ458" t="s">
        <v>489</v>
      </c>
      <c r="BA458" t="s">
        <v>469</v>
      </c>
      <c r="BB458">
        <v>0</v>
      </c>
      <c r="BE458" t="s">
        <v>257</v>
      </c>
      <c r="BF458" t="s">
        <v>489</v>
      </c>
      <c r="BG458" t="s">
        <v>469</v>
      </c>
      <c r="BH458">
        <v>0</v>
      </c>
      <c r="CT458" t="s">
        <v>257</v>
      </c>
      <c r="CU458" t="s">
        <v>469</v>
      </c>
      <c r="CV458">
        <f ca="1">OFFSET('Calculations 2'!$AJ$12,W458,X458)</f>
        <v>0</v>
      </c>
    </row>
    <row r="459" spans="17:100">
      <c r="Q459" t="s">
        <v>220</v>
      </c>
      <c r="R459" t="s">
        <v>489</v>
      </c>
      <c r="S459" t="s">
        <v>469</v>
      </c>
      <c r="T459">
        <f ca="1">OFFSET('Calculations 2'!$C$45,W459,X459)*OFFSET($M$6,W459,0)</f>
        <v>11.630460677962629</v>
      </c>
      <c r="V459">
        <f t="shared" si="23"/>
        <v>453</v>
      </c>
      <c r="W459">
        <f t="shared" si="24"/>
        <v>24</v>
      </c>
      <c r="X459">
        <f t="shared" si="25"/>
        <v>13</v>
      </c>
      <c r="AC459" t="s">
        <v>220</v>
      </c>
      <c r="AD459" t="s">
        <v>489</v>
      </c>
      <c r="AE459" t="s">
        <v>469</v>
      </c>
      <c r="AF459">
        <f ca="1">OFFSET('Calculations 2'!$CE$45,W459,0)*OFFSET($AA$6,X459,0)*OFFSET($M$6,W459,)</f>
        <v>0</v>
      </c>
      <c r="AY459" t="s">
        <v>220</v>
      </c>
      <c r="AZ459" t="s">
        <v>489</v>
      </c>
      <c r="BA459" t="s">
        <v>469</v>
      </c>
      <c r="BB459">
        <v>0</v>
      </c>
      <c r="BE459" t="s">
        <v>220</v>
      </c>
      <c r="BF459" t="s">
        <v>489</v>
      </c>
      <c r="BG459" t="s">
        <v>469</v>
      </c>
      <c r="BH459">
        <v>0</v>
      </c>
      <c r="CT459" t="s">
        <v>220</v>
      </c>
      <c r="CU459" t="s">
        <v>469</v>
      </c>
      <c r="CV459">
        <f ca="1">OFFSET('Calculations 2'!$AJ$12,W459,X459)</f>
        <v>0</v>
      </c>
    </row>
    <row r="460" spans="17:100">
      <c r="Q460" t="s">
        <v>235</v>
      </c>
      <c r="R460" t="s">
        <v>489</v>
      </c>
      <c r="S460" t="s">
        <v>469</v>
      </c>
      <c r="T460">
        <f ca="1">OFFSET('Calculations 2'!$C$45,W460,X460)*OFFSET($M$6,W460,0)</f>
        <v>53.343296095546997</v>
      </c>
      <c r="V460">
        <f t="shared" si="23"/>
        <v>454</v>
      </c>
      <c r="W460">
        <f t="shared" si="24"/>
        <v>25</v>
      </c>
      <c r="X460">
        <f t="shared" si="25"/>
        <v>13</v>
      </c>
      <c r="AC460" t="s">
        <v>235</v>
      </c>
      <c r="AD460" t="s">
        <v>489</v>
      </c>
      <c r="AE460" t="s">
        <v>469</v>
      </c>
      <c r="AF460">
        <f ca="1">OFFSET('Calculations 2'!$CE$45,W460,0)*OFFSET($AA$6,X460,0)*OFFSET($M$6,W460,)</f>
        <v>0</v>
      </c>
      <c r="AY460" t="s">
        <v>235</v>
      </c>
      <c r="AZ460" t="s">
        <v>489</v>
      </c>
      <c r="BA460" t="s">
        <v>469</v>
      </c>
      <c r="BB460">
        <v>0</v>
      </c>
      <c r="BE460" t="s">
        <v>235</v>
      </c>
      <c r="BF460" t="s">
        <v>489</v>
      </c>
      <c r="BG460" t="s">
        <v>469</v>
      </c>
      <c r="BH460">
        <v>0</v>
      </c>
      <c r="CT460" t="s">
        <v>235</v>
      </c>
      <c r="CU460" t="s">
        <v>469</v>
      </c>
      <c r="CV460">
        <f ca="1">OFFSET('Calculations 2'!$AJ$12,W460,X460)</f>
        <v>0</v>
      </c>
    </row>
    <row r="461" spans="17:100">
      <c r="Q461" t="s">
        <v>473</v>
      </c>
      <c r="R461" t="s">
        <v>489</v>
      </c>
      <c r="S461" t="s">
        <v>469</v>
      </c>
      <c r="T461">
        <f ca="1">OFFSET('Calculations 2'!$C$45,W461,X461)*OFFSET($M$6,W461,0)</f>
        <v>27.1535741001892</v>
      </c>
      <c r="V461">
        <f t="shared" si="23"/>
        <v>455</v>
      </c>
      <c r="W461">
        <f t="shared" si="24"/>
        <v>26</v>
      </c>
      <c r="X461">
        <f t="shared" si="25"/>
        <v>13</v>
      </c>
      <c r="AC461" t="s">
        <v>473</v>
      </c>
      <c r="AD461" t="s">
        <v>489</v>
      </c>
      <c r="AE461" t="s">
        <v>469</v>
      </c>
      <c r="AF461">
        <f ca="1">OFFSET('Calculations 2'!$CE$45,W461,0)*OFFSET($AA$6,X461,0)*OFFSET($M$6,W461,)</f>
        <v>0</v>
      </c>
      <c r="AY461" t="s">
        <v>473</v>
      </c>
      <c r="AZ461" t="s">
        <v>489</v>
      </c>
      <c r="BA461" t="s">
        <v>469</v>
      </c>
      <c r="BB461">
        <v>0</v>
      </c>
      <c r="BE461" t="s">
        <v>473</v>
      </c>
      <c r="BF461" t="s">
        <v>489</v>
      </c>
      <c r="BG461" t="s">
        <v>469</v>
      </c>
      <c r="BH461">
        <v>0</v>
      </c>
      <c r="CT461" t="s">
        <v>473</v>
      </c>
      <c r="CU461" t="s">
        <v>469</v>
      </c>
      <c r="CV461">
        <f ca="1">OFFSET('Calculations 2'!$AJ$12,W461,X461)</f>
        <v>0</v>
      </c>
    </row>
    <row r="462" spans="17:100">
      <c r="Q462" t="s">
        <v>233</v>
      </c>
      <c r="R462" t="s">
        <v>489</v>
      </c>
      <c r="S462" t="s">
        <v>469</v>
      </c>
      <c r="T462">
        <f ca="1">OFFSET('Calculations 2'!$C$45,W462,X462)*OFFSET($M$6,W462,0)</f>
        <v>58.767466851571278</v>
      </c>
      <c r="V462">
        <f t="shared" si="23"/>
        <v>456</v>
      </c>
      <c r="W462">
        <f t="shared" si="24"/>
        <v>27</v>
      </c>
      <c r="X462">
        <f t="shared" si="25"/>
        <v>13</v>
      </c>
      <c r="AC462" t="s">
        <v>233</v>
      </c>
      <c r="AD462" t="s">
        <v>489</v>
      </c>
      <c r="AE462" t="s">
        <v>469</v>
      </c>
      <c r="AF462">
        <f ca="1">OFFSET('Calculations 2'!$CE$45,W462,0)*OFFSET($AA$6,X462,0)*OFFSET($M$6,W462,)</f>
        <v>0</v>
      </c>
      <c r="AY462" t="s">
        <v>233</v>
      </c>
      <c r="AZ462" t="s">
        <v>489</v>
      </c>
      <c r="BA462" t="s">
        <v>469</v>
      </c>
      <c r="BB462">
        <v>0</v>
      </c>
      <c r="BE462" t="s">
        <v>233</v>
      </c>
      <c r="BF462" t="s">
        <v>489</v>
      </c>
      <c r="BG462" t="s">
        <v>469</v>
      </c>
      <c r="BH462">
        <v>0</v>
      </c>
      <c r="CT462" t="s">
        <v>233</v>
      </c>
      <c r="CU462" t="s">
        <v>469</v>
      </c>
      <c r="CV462">
        <f ca="1">OFFSET('Calculations 2'!$AJ$12,W462,X462)</f>
        <v>0</v>
      </c>
    </row>
    <row r="463" spans="17:100">
      <c r="Q463" t="s">
        <v>474</v>
      </c>
      <c r="R463" t="s">
        <v>489</v>
      </c>
      <c r="S463" t="s">
        <v>469</v>
      </c>
      <c r="T463">
        <f ca="1">OFFSET('Calculations 2'!$C$45,W463,X463)*OFFSET($M$6,W463,0)</f>
        <v>24.079210831720108</v>
      </c>
      <c r="V463">
        <f t="shared" si="23"/>
        <v>457</v>
      </c>
      <c r="W463">
        <f t="shared" si="24"/>
        <v>28</v>
      </c>
      <c r="X463">
        <f t="shared" si="25"/>
        <v>13</v>
      </c>
      <c r="AC463" t="s">
        <v>474</v>
      </c>
      <c r="AD463" t="s">
        <v>489</v>
      </c>
      <c r="AE463" t="s">
        <v>469</v>
      </c>
      <c r="AF463">
        <f ca="1">OFFSET('Calculations 2'!$CE$45,W463,0)*OFFSET($AA$6,X463,0)*OFFSET($M$6,W463,)</f>
        <v>0</v>
      </c>
      <c r="AY463" t="s">
        <v>474</v>
      </c>
      <c r="AZ463" t="s">
        <v>489</v>
      </c>
      <c r="BA463" t="s">
        <v>469</v>
      </c>
      <c r="BB463">
        <v>0</v>
      </c>
      <c r="BE463" t="s">
        <v>474</v>
      </c>
      <c r="BF463" t="s">
        <v>489</v>
      </c>
      <c r="BG463" t="s">
        <v>469</v>
      </c>
      <c r="BH463">
        <v>0</v>
      </c>
      <c r="CT463" t="s">
        <v>474</v>
      </c>
      <c r="CU463" t="s">
        <v>469</v>
      </c>
      <c r="CV463">
        <f ca="1">OFFSET('Calculations 2'!$AJ$12,W463,X463)</f>
        <v>0</v>
      </c>
    </row>
    <row r="464" spans="17:100">
      <c r="Q464" t="s">
        <v>223</v>
      </c>
      <c r="R464" t="s">
        <v>489</v>
      </c>
      <c r="S464" t="s">
        <v>469</v>
      </c>
      <c r="T464">
        <f ca="1">OFFSET('Calculations 2'!$C$45,W464,X464)*OFFSET($M$6,W464,0)</f>
        <v>7.6589754952430189</v>
      </c>
      <c r="V464">
        <f t="shared" si="23"/>
        <v>458</v>
      </c>
      <c r="W464">
        <f t="shared" si="24"/>
        <v>29</v>
      </c>
      <c r="X464">
        <f t="shared" si="25"/>
        <v>13</v>
      </c>
      <c r="AC464" t="s">
        <v>223</v>
      </c>
      <c r="AD464" t="s">
        <v>489</v>
      </c>
      <c r="AE464" t="s">
        <v>469</v>
      </c>
      <c r="AF464">
        <f ca="1">OFFSET('Calculations 2'!$CE$45,W464,0)*OFFSET($AA$6,X464,0)*OFFSET($M$6,W464,)</f>
        <v>0</v>
      </c>
      <c r="AY464" t="s">
        <v>223</v>
      </c>
      <c r="AZ464" t="s">
        <v>489</v>
      </c>
      <c r="BA464" t="s">
        <v>469</v>
      </c>
      <c r="BB464">
        <v>0</v>
      </c>
      <c r="BE464" t="s">
        <v>223</v>
      </c>
      <c r="BF464" t="s">
        <v>489</v>
      </c>
      <c r="BG464" t="s">
        <v>469</v>
      </c>
      <c r="BH464">
        <v>0</v>
      </c>
      <c r="CT464" t="s">
        <v>223</v>
      </c>
      <c r="CU464" t="s">
        <v>469</v>
      </c>
      <c r="CV464">
        <f ca="1">OFFSET('Calculations 2'!$AJ$12,W464,X464)</f>
        <v>0</v>
      </c>
    </row>
    <row r="465" spans="17:100">
      <c r="Q465" t="s">
        <v>475</v>
      </c>
      <c r="R465" t="s">
        <v>489</v>
      </c>
      <c r="S465" t="s">
        <v>469</v>
      </c>
      <c r="T465">
        <f ca="1">OFFSET('Calculations 2'!$C$45,W465,X465)*OFFSET($M$6,W465,0)</f>
        <v>0.21547016897713195</v>
      </c>
      <c r="V465">
        <f t="shared" si="23"/>
        <v>459</v>
      </c>
      <c r="W465">
        <f t="shared" si="24"/>
        <v>30</v>
      </c>
      <c r="X465">
        <f t="shared" si="25"/>
        <v>13</v>
      </c>
      <c r="AC465" t="s">
        <v>475</v>
      </c>
      <c r="AD465" t="s">
        <v>489</v>
      </c>
      <c r="AE465" t="s">
        <v>469</v>
      </c>
      <c r="AF465">
        <f ca="1">OFFSET('Calculations 2'!$CE$45,W465,0)*OFFSET($AA$6,X465,0)*OFFSET($M$6,W465,)</f>
        <v>0</v>
      </c>
      <c r="AY465" t="s">
        <v>475</v>
      </c>
      <c r="AZ465" t="s">
        <v>489</v>
      </c>
      <c r="BA465" t="s">
        <v>469</v>
      </c>
      <c r="BB465">
        <v>0</v>
      </c>
      <c r="BE465" t="s">
        <v>475</v>
      </c>
      <c r="BF465" t="s">
        <v>489</v>
      </c>
      <c r="BG465" t="s">
        <v>469</v>
      </c>
      <c r="BH465">
        <v>0</v>
      </c>
      <c r="CT465" t="s">
        <v>475</v>
      </c>
      <c r="CU465" t="s">
        <v>469</v>
      </c>
      <c r="CV465">
        <f ca="1">OFFSET('Calculations 2'!$AJ$12,W465,X465)</f>
        <v>0</v>
      </c>
    </row>
    <row r="466" spans="17:100">
      <c r="Q466" t="s">
        <v>476</v>
      </c>
      <c r="R466" t="s">
        <v>489</v>
      </c>
      <c r="S466" t="s">
        <v>469</v>
      </c>
      <c r="T466">
        <f ca="1">OFFSET('Calculations 2'!$C$45,W466,X466)*OFFSET($M$6,W466,0)</f>
        <v>2.8690413087160218</v>
      </c>
      <c r="V466">
        <f t="shared" si="23"/>
        <v>460</v>
      </c>
      <c r="W466">
        <f t="shared" si="24"/>
        <v>31</v>
      </c>
      <c r="X466">
        <f t="shared" si="25"/>
        <v>13</v>
      </c>
      <c r="AC466" t="s">
        <v>476</v>
      </c>
      <c r="AD466" t="s">
        <v>489</v>
      </c>
      <c r="AE466" t="s">
        <v>469</v>
      </c>
      <c r="AF466">
        <f ca="1">OFFSET('Calculations 2'!$CE$45,W466,0)*OFFSET($AA$6,X466,0)*OFFSET($M$6,W466,)</f>
        <v>0</v>
      </c>
      <c r="AY466" t="s">
        <v>476</v>
      </c>
      <c r="AZ466" t="s">
        <v>489</v>
      </c>
      <c r="BA466" t="s">
        <v>469</v>
      </c>
      <c r="BB466">
        <v>0</v>
      </c>
      <c r="BE466" t="s">
        <v>476</v>
      </c>
      <c r="BF466" t="s">
        <v>489</v>
      </c>
      <c r="BG466" t="s">
        <v>469</v>
      </c>
      <c r="BH466">
        <v>0</v>
      </c>
      <c r="CT466" t="s">
        <v>476</v>
      </c>
      <c r="CU466" t="s">
        <v>469</v>
      </c>
      <c r="CV466">
        <f ca="1">OFFSET('Calculations 2'!$AJ$12,W466,X466)</f>
        <v>0</v>
      </c>
    </row>
    <row r="467" spans="17:100">
      <c r="Q467" t="s">
        <v>222</v>
      </c>
      <c r="R467" t="s">
        <v>489</v>
      </c>
      <c r="S467" t="s">
        <v>469</v>
      </c>
      <c r="T467">
        <f ca="1">OFFSET('Calculations 2'!$C$45,W467,X467)*OFFSET($M$6,W467,0)</f>
        <v>0</v>
      </c>
      <c r="V467">
        <f t="shared" si="23"/>
        <v>461</v>
      </c>
      <c r="W467">
        <f t="shared" si="24"/>
        <v>32</v>
      </c>
      <c r="X467">
        <f t="shared" si="25"/>
        <v>13</v>
      </c>
      <c r="AC467" t="s">
        <v>222</v>
      </c>
      <c r="AD467" t="s">
        <v>489</v>
      </c>
      <c r="AE467" t="s">
        <v>469</v>
      </c>
      <c r="AF467">
        <f ca="1">OFFSET('Calculations 2'!$CE$45,W467,0)*OFFSET($AA$6,X467,0)*OFFSET($M$6,W467,)</f>
        <v>0</v>
      </c>
      <c r="AY467" t="s">
        <v>222</v>
      </c>
      <c r="AZ467" t="s">
        <v>489</v>
      </c>
      <c r="BA467" t="s">
        <v>469</v>
      </c>
      <c r="BB467">
        <v>0</v>
      </c>
      <c r="BE467" t="s">
        <v>222</v>
      </c>
      <c r="BF467" t="s">
        <v>489</v>
      </c>
      <c r="BG467" t="s">
        <v>469</v>
      </c>
      <c r="BH467">
        <v>0</v>
      </c>
      <c r="CT467" t="s">
        <v>222</v>
      </c>
      <c r="CU467" t="s">
        <v>469</v>
      </c>
      <c r="CV467">
        <f ca="1">OFFSET('Calculations 2'!$AJ$12,W467,X467)</f>
        <v>0</v>
      </c>
    </row>
    <row r="468" spans="17:100">
      <c r="Q468" t="s">
        <v>217</v>
      </c>
      <c r="R468" t="s">
        <v>489</v>
      </c>
      <c r="S468" t="s">
        <v>245</v>
      </c>
      <c r="T468">
        <f ca="1">OFFSET('Calculations 2'!$C$45,W468,X468)*OFFSET($M$6,W468,0)</f>
        <v>0</v>
      </c>
      <c r="V468">
        <f t="shared" si="23"/>
        <v>462</v>
      </c>
      <c r="W468">
        <f t="shared" si="24"/>
        <v>0</v>
      </c>
      <c r="X468">
        <f t="shared" si="25"/>
        <v>14</v>
      </c>
      <c r="AC468" t="s">
        <v>217</v>
      </c>
      <c r="AD468" t="s">
        <v>489</v>
      </c>
      <c r="AE468" t="s">
        <v>245</v>
      </c>
      <c r="AF468">
        <f ca="1">OFFSET('Calculations 2'!$CE$45,W468,0)*OFFSET($AA$6,X468,0)*OFFSET($M$6,W468,)</f>
        <v>5.6636384779589106E-2</v>
      </c>
      <c r="AY468" t="s">
        <v>217</v>
      </c>
      <c r="AZ468" t="s">
        <v>489</v>
      </c>
      <c r="BA468" t="s">
        <v>245</v>
      </c>
      <c r="BB468">
        <v>0</v>
      </c>
      <c r="BE468" t="s">
        <v>217</v>
      </c>
      <c r="BF468" t="s">
        <v>489</v>
      </c>
      <c r="BG468" t="s">
        <v>245</v>
      </c>
      <c r="BH468">
        <v>0</v>
      </c>
      <c r="CT468" t="s">
        <v>217</v>
      </c>
      <c r="CU468" t="s">
        <v>245</v>
      </c>
      <c r="CV468">
        <f ca="1">OFFSET('Calculations 2'!$AJ$12,W468,X468)</f>
        <v>0</v>
      </c>
    </row>
    <row r="469" spans="17:100">
      <c r="Q469" t="s">
        <v>232</v>
      </c>
      <c r="R469" t="s">
        <v>489</v>
      </c>
      <c r="S469" t="s">
        <v>245</v>
      </c>
      <c r="T469">
        <f ca="1">OFFSET('Calculations 2'!$C$45,W469,X469)*OFFSET($M$6,W469,0)</f>
        <v>0</v>
      </c>
      <c r="V469">
        <f t="shared" si="23"/>
        <v>463</v>
      </c>
      <c r="W469">
        <f t="shared" si="24"/>
        <v>1</v>
      </c>
      <c r="X469">
        <f t="shared" si="25"/>
        <v>14</v>
      </c>
      <c r="AC469" t="s">
        <v>232</v>
      </c>
      <c r="AD469" t="s">
        <v>489</v>
      </c>
      <c r="AE469" t="s">
        <v>245</v>
      </c>
      <c r="AF469">
        <f ca="1">OFFSET('Calculations 2'!$CE$45,W469,0)*OFFSET($AA$6,X469,0)*OFFSET($M$6,W469,)</f>
        <v>9.8797541532943456E-2</v>
      </c>
      <c r="AY469" t="s">
        <v>232</v>
      </c>
      <c r="AZ469" t="s">
        <v>489</v>
      </c>
      <c r="BA469" t="s">
        <v>245</v>
      </c>
      <c r="BB469">
        <v>0</v>
      </c>
      <c r="BE469" t="s">
        <v>232</v>
      </c>
      <c r="BF469" t="s">
        <v>489</v>
      </c>
      <c r="BG469" t="s">
        <v>245</v>
      </c>
      <c r="BH469">
        <v>0</v>
      </c>
      <c r="CT469" t="s">
        <v>232</v>
      </c>
      <c r="CU469" t="s">
        <v>245</v>
      </c>
      <c r="CV469">
        <f ca="1">OFFSET('Calculations 2'!$AJ$12,W469,X469)</f>
        <v>0</v>
      </c>
    </row>
    <row r="470" spans="17:100">
      <c r="Q470" t="s">
        <v>226</v>
      </c>
      <c r="R470" t="s">
        <v>489</v>
      </c>
      <c r="S470" t="s">
        <v>245</v>
      </c>
      <c r="T470">
        <f ca="1">OFFSET('Calculations 2'!$C$45,W470,X470)*OFFSET($M$6,W470,0)</f>
        <v>3.0853717936900803E-2</v>
      </c>
      <c r="V470">
        <f t="shared" si="23"/>
        <v>464</v>
      </c>
      <c r="W470">
        <f t="shared" si="24"/>
        <v>2</v>
      </c>
      <c r="X470">
        <f t="shared" si="25"/>
        <v>14</v>
      </c>
      <c r="AC470" t="s">
        <v>226</v>
      </c>
      <c r="AD470" t="s">
        <v>489</v>
      </c>
      <c r="AE470" t="s">
        <v>245</v>
      </c>
      <c r="AF470">
        <f ca="1">OFFSET('Calculations 2'!$CE$45,W470,0)*OFFSET($AA$6,X470,0)*OFFSET($M$6,W470,)</f>
        <v>0.1663542564047121</v>
      </c>
      <c r="AY470" t="s">
        <v>226</v>
      </c>
      <c r="AZ470" t="s">
        <v>489</v>
      </c>
      <c r="BA470" t="s">
        <v>245</v>
      </c>
      <c r="BB470">
        <v>0</v>
      </c>
      <c r="BE470" t="s">
        <v>226</v>
      </c>
      <c r="BF470" t="s">
        <v>489</v>
      </c>
      <c r="BG470" t="s">
        <v>245</v>
      </c>
      <c r="BH470">
        <v>0</v>
      </c>
      <c r="CT470" t="s">
        <v>226</v>
      </c>
      <c r="CU470" t="s">
        <v>245</v>
      </c>
      <c r="CV470">
        <f ca="1">OFFSET('Calculations 2'!$AJ$12,W470,X470)</f>
        <v>0</v>
      </c>
    </row>
    <row r="471" spans="17:100">
      <c r="Q471" t="s">
        <v>243</v>
      </c>
      <c r="R471" t="s">
        <v>489</v>
      </c>
      <c r="S471" t="s">
        <v>245</v>
      </c>
      <c r="T471">
        <f ca="1">OFFSET('Calculations 2'!$C$45,W471,X471)*OFFSET($M$6,W471,0)</f>
        <v>8.9180304325700916</v>
      </c>
      <c r="V471">
        <f t="shared" si="23"/>
        <v>465</v>
      </c>
      <c r="W471">
        <f t="shared" si="24"/>
        <v>3</v>
      </c>
      <c r="X471">
        <f t="shared" si="25"/>
        <v>14</v>
      </c>
      <c r="AC471" t="s">
        <v>243</v>
      </c>
      <c r="AD471" t="s">
        <v>489</v>
      </c>
      <c r="AE471" t="s">
        <v>245</v>
      </c>
      <c r="AF471">
        <f ca="1">OFFSET('Calculations 2'!$CE$45,W471,0)*OFFSET($AA$6,X471,0)*OFFSET($M$6,W471,)</f>
        <v>0.86651521955858057</v>
      </c>
      <c r="AY471" t="s">
        <v>243</v>
      </c>
      <c r="AZ471" t="s">
        <v>489</v>
      </c>
      <c r="BA471" t="s">
        <v>245</v>
      </c>
      <c r="BB471">
        <v>0</v>
      </c>
      <c r="BE471" t="s">
        <v>243</v>
      </c>
      <c r="BF471" t="s">
        <v>489</v>
      </c>
      <c r="BG471" t="s">
        <v>245</v>
      </c>
      <c r="BH471">
        <v>0</v>
      </c>
      <c r="CT471" t="s">
        <v>243</v>
      </c>
      <c r="CU471" t="s">
        <v>245</v>
      </c>
      <c r="CV471">
        <f ca="1">OFFSET('Calculations 2'!$AJ$12,W471,X471)</f>
        <v>0</v>
      </c>
    </row>
    <row r="472" spans="17:100">
      <c r="Q472" t="s">
        <v>228</v>
      </c>
      <c r="R472" t="s">
        <v>489</v>
      </c>
      <c r="S472" t="s">
        <v>245</v>
      </c>
      <c r="T472">
        <f ca="1">OFFSET('Calculations 2'!$C$45,W472,X472)*OFFSET($M$6,W472,0)</f>
        <v>0</v>
      </c>
      <c r="V472">
        <f t="shared" si="23"/>
        <v>466</v>
      </c>
      <c r="W472">
        <f t="shared" si="24"/>
        <v>4</v>
      </c>
      <c r="X472">
        <f t="shared" si="25"/>
        <v>14</v>
      </c>
      <c r="AC472" t="s">
        <v>228</v>
      </c>
      <c r="AD472" t="s">
        <v>489</v>
      </c>
      <c r="AE472" t="s">
        <v>245</v>
      </c>
      <c r="AF472">
        <f ca="1">OFFSET('Calculations 2'!$CE$45,W472,0)*OFFSET($AA$6,X472,0)*OFFSET($M$6,W472,)</f>
        <v>6.148552597244116E-3</v>
      </c>
      <c r="AY472" t="s">
        <v>228</v>
      </c>
      <c r="AZ472" t="s">
        <v>489</v>
      </c>
      <c r="BA472" t="s">
        <v>245</v>
      </c>
      <c r="BB472">
        <v>0</v>
      </c>
      <c r="BE472" t="s">
        <v>228</v>
      </c>
      <c r="BF472" t="s">
        <v>489</v>
      </c>
      <c r="BG472" t="s">
        <v>245</v>
      </c>
      <c r="BH472">
        <v>0</v>
      </c>
      <c r="CT472" t="s">
        <v>228</v>
      </c>
      <c r="CU472" t="s">
        <v>245</v>
      </c>
      <c r="CV472">
        <f ca="1">OFFSET('Calculations 2'!$AJ$12,W472,X472)</f>
        <v>0</v>
      </c>
    </row>
    <row r="473" spans="17:100">
      <c r="Q473" t="s">
        <v>246</v>
      </c>
      <c r="R473" t="s">
        <v>489</v>
      </c>
      <c r="S473" t="s">
        <v>245</v>
      </c>
      <c r="T473">
        <f ca="1">OFFSET('Calculations 2'!$C$45,W473,X473)*OFFSET($M$6,W473,0)</f>
        <v>0.2054002221853613</v>
      </c>
      <c r="V473">
        <f t="shared" si="23"/>
        <v>467</v>
      </c>
      <c r="W473">
        <f t="shared" si="24"/>
        <v>5</v>
      </c>
      <c r="X473">
        <f t="shared" si="25"/>
        <v>14</v>
      </c>
      <c r="AC473" t="s">
        <v>246</v>
      </c>
      <c r="AD473" t="s">
        <v>489</v>
      </c>
      <c r="AE473" t="s">
        <v>245</v>
      </c>
      <c r="AF473">
        <f ca="1">OFFSET('Calculations 2'!$CE$45,W473,0)*OFFSET($AA$6,X473,0)*OFFSET($M$6,W473,)</f>
        <v>3.7850410763965295E-2</v>
      </c>
      <c r="AY473" t="s">
        <v>246</v>
      </c>
      <c r="AZ473" t="s">
        <v>489</v>
      </c>
      <c r="BA473" t="s">
        <v>245</v>
      </c>
      <c r="BB473">
        <v>0</v>
      </c>
      <c r="BE473" t="s">
        <v>246</v>
      </c>
      <c r="BF473" t="s">
        <v>489</v>
      </c>
      <c r="BG473" t="s">
        <v>245</v>
      </c>
      <c r="BH473">
        <v>0</v>
      </c>
      <c r="CT473" t="s">
        <v>246</v>
      </c>
      <c r="CU473" t="s">
        <v>245</v>
      </c>
      <c r="CV473">
        <f ca="1">OFFSET('Calculations 2'!$AJ$12,W473,X473)</f>
        <v>0</v>
      </c>
    </row>
    <row r="474" spans="17:100">
      <c r="Q474" t="s">
        <v>239</v>
      </c>
      <c r="R474" t="s">
        <v>489</v>
      </c>
      <c r="S474" t="s">
        <v>245</v>
      </c>
      <c r="T474">
        <f ca="1">OFFSET('Calculations 2'!$C$45,W474,X474)*OFFSET($M$6,W474,0)</f>
        <v>0.19794599106979155</v>
      </c>
      <c r="V474">
        <f t="shared" si="23"/>
        <v>468</v>
      </c>
      <c r="W474">
        <f t="shared" si="24"/>
        <v>6</v>
      </c>
      <c r="X474">
        <f t="shared" si="25"/>
        <v>14</v>
      </c>
      <c r="AC474" t="s">
        <v>239</v>
      </c>
      <c r="AD474" t="s">
        <v>489</v>
      </c>
      <c r="AE474" t="s">
        <v>245</v>
      </c>
      <c r="AF474">
        <f ca="1">OFFSET('Calculations 2'!$CE$45,W474,0)*OFFSET($AA$6,X474,0)*OFFSET($M$6,W474,)</f>
        <v>0.75759948240237351</v>
      </c>
      <c r="AY474" t="s">
        <v>239</v>
      </c>
      <c r="AZ474" t="s">
        <v>489</v>
      </c>
      <c r="BA474" t="s">
        <v>245</v>
      </c>
      <c r="BB474">
        <v>0</v>
      </c>
      <c r="BE474" t="s">
        <v>239</v>
      </c>
      <c r="BF474" t="s">
        <v>489</v>
      </c>
      <c r="BG474" t="s">
        <v>245</v>
      </c>
      <c r="BH474">
        <v>0</v>
      </c>
      <c r="CT474" t="s">
        <v>239</v>
      </c>
      <c r="CU474" t="s">
        <v>245</v>
      </c>
      <c r="CV474">
        <f ca="1">OFFSET('Calculations 2'!$AJ$12,W474,X474)</f>
        <v>0</v>
      </c>
    </row>
    <row r="475" spans="17:100">
      <c r="Q475" t="s">
        <v>466</v>
      </c>
      <c r="R475" t="s">
        <v>489</v>
      </c>
      <c r="S475" t="s">
        <v>245</v>
      </c>
      <c r="T475">
        <f ca="1">OFFSET('Calculations 2'!$C$45,W475,X475)*OFFSET($M$6,W475,0)</f>
        <v>3.3364280835165721</v>
      </c>
      <c r="V475">
        <f t="shared" si="23"/>
        <v>469</v>
      </c>
      <c r="W475">
        <f t="shared" si="24"/>
        <v>7</v>
      </c>
      <c r="X475">
        <f t="shared" si="25"/>
        <v>14</v>
      </c>
      <c r="AC475" t="s">
        <v>466</v>
      </c>
      <c r="AD475" t="s">
        <v>489</v>
      </c>
      <c r="AE475" t="s">
        <v>245</v>
      </c>
      <c r="AF475">
        <f ca="1">OFFSET('Calculations 2'!$CE$45,W475,0)*OFFSET($AA$6,X475,0)*OFFSET($M$6,W475,)</f>
        <v>0.11544349974383233</v>
      </c>
      <c r="AY475" t="s">
        <v>466</v>
      </c>
      <c r="AZ475" t="s">
        <v>489</v>
      </c>
      <c r="BA475" t="s">
        <v>245</v>
      </c>
      <c r="BB475">
        <v>0</v>
      </c>
      <c r="BE475" t="s">
        <v>466</v>
      </c>
      <c r="BF475" t="s">
        <v>489</v>
      </c>
      <c r="BG475" t="s">
        <v>245</v>
      </c>
      <c r="BH475">
        <v>0</v>
      </c>
      <c r="CT475" t="s">
        <v>466</v>
      </c>
      <c r="CU475" t="s">
        <v>245</v>
      </c>
      <c r="CV475">
        <f ca="1">OFFSET('Calculations 2'!$AJ$12,W475,X475)</f>
        <v>0</v>
      </c>
    </row>
    <row r="476" spans="17:100">
      <c r="Q476" t="s">
        <v>219</v>
      </c>
      <c r="R476" t="s">
        <v>489</v>
      </c>
      <c r="S476" t="s">
        <v>245</v>
      </c>
      <c r="T476">
        <f ca="1">OFFSET('Calculations 2'!$C$45,W476,X476)*OFFSET($M$6,W476,0)</f>
        <v>16.957950220970147</v>
      </c>
      <c r="V476">
        <f t="shared" si="23"/>
        <v>470</v>
      </c>
      <c r="W476">
        <f t="shared" si="24"/>
        <v>8</v>
      </c>
      <c r="X476">
        <f t="shared" si="25"/>
        <v>14</v>
      </c>
      <c r="AC476" t="s">
        <v>219</v>
      </c>
      <c r="AD476" t="s">
        <v>489</v>
      </c>
      <c r="AE476" t="s">
        <v>245</v>
      </c>
      <c r="AF476">
        <f ca="1">OFFSET('Calculations 2'!$CE$45,W476,0)*OFFSET($AA$6,X476,0)*OFFSET($M$6,W476,)</f>
        <v>0.7188902631877423</v>
      </c>
      <c r="AY476" t="s">
        <v>219</v>
      </c>
      <c r="AZ476" t="s">
        <v>489</v>
      </c>
      <c r="BA476" t="s">
        <v>245</v>
      </c>
      <c r="BB476">
        <v>0</v>
      </c>
      <c r="BE476" t="s">
        <v>219</v>
      </c>
      <c r="BF476" t="s">
        <v>489</v>
      </c>
      <c r="BG476" t="s">
        <v>245</v>
      </c>
      <c r="BH476">
        <v>0</v>
      </c>
      <c r="CT476" t="s">
        <v>219</v>
      </c>
      <c r="CU476" t="s">
        <v>245</v>
      </c>
      <c r="CV476">
        <f ca="1">OFFSET('Calculations 2'!$AJ$12,W476,X476)</f>
        <v>0</v>
      </c>
    </row>
    <row r="477" spans="17:100">
      <c r="Q477" t="s">
        <v>242</v>
      </c>
      <c r="R477" t="s">
        <v>489</v>
      </c>
      <c r="S477" t="s">
        <v>245</v>
      </c>
      <c r="T477">
        <f ca="1">OFFSET('Calculations 2'!$C$45,W477,X477)*OFFSET($M$6,W477,0)</f>
        <v>12.329137031079915</v>
      </c>
      <c r="V477">
        <f t="shared" si="23"/>
        <v>471</v>
      </c>
      <c r="W477">
        <f t="shared" si="24"/>
        <v>9</v>
      </c>
      <c r="X477">
        <f t="shared" si="25"/>
        <v>14</v>
      </c>
      <c r="AC477" t="s">
        <v>242</v>
      </c>
      <c r="AD477" t="s">
        <v>489</v>
      </c>
      <c r="AE477" t="s">
        <v>245</v>
      </c>
      <c r="AF477">
        <f ca="1">OFFSET('Calculations 2'!$CE$45,W477,0)*OFFSET($AA$6,X477,0)*OFFSET($M$6,W477,)</f>
        <v>1.1253533848799255</v>
      </c>
      <c r="AY477" t="s">
        <v>242</v>
      </c>
      <c r="AZ477" t="s">
        <v>489</v>
      </c>
      <c r="BA477" t="s">
        <v>245</v>
      </c>
      <c r="BB477">
        <v>0</v>
      </c>
      <c r="BE477" t="s">
        <v>242</v>
      </c>
      <c r="BF477" t="s">
        <v>489</v>
      </c>
      <c r="BG477" t="s">
        <v>245</v>
      </c>
      <c r="BH477">
        <v>0</v>
      </c>
      <c r="CT477" t="s">
        <v>242</v>
      </c>
      <c r="CU477" t="s">
        <v>245</v>
      </c>
      <c r="CV477">
        <f ca="1">OFFSET('Calculations 2'!$AJ$12,W477,X477)</f>
        <v>0</v>
      </c>
    </row>
    <row r="478" spans="17:100">
      <c r="Q478" t="s">
        <v>467</v>
      </c>
      <c r="R478" t="s">
        <v>489</v>
      </c>
      <c r="S478" t="s">
        <v>245</v>
      </c>
      <c r="T478">
        <f ca="1">OFFSET('Calculations 2'!$C$45,W478,X478)*OFFSET($M$6,W478,0)</f>
        <v>2.29531687944647</v>
      </c>
      <c r="V478">
        <f t="shared" si="23"/>
        <v>472</v>
      </c>
      <c r="W478">
        <f t="shared" si="24"/>
        <v>10</v>
      </c>
      <c r="X478">
        <f t="shared" si="25"/>
        <v>14</v>
      </c>
      <c r="AC478" t="s">
        <v>467</v>
      </c>
      <c r="AD478" t="s">
        <v>489</v>
      </c>
      <c r="AE478" t="s">
        <v>245</v>
      </c>
      <c r="AF478">
        <f ca="1">OFFSET('Calculations 2'!$CE$45,W478,0)*OFFSET($AA$6,X478,0)*OFFSET($M$6,W478,)</f>
        <v>1.042500032579379</v>
      </c>
      <c r="AY478" t="s">
        <v>467</v>
      </c>
      <c r="AZ478" t="s">
        <v>489</v>
      </c>
      <c r="BA478" t="s">
        <v>245</v>
      </c>
      <c r="BB478">
        <v>0</v>
      </c>
      <c r="BE478" t="s">
        <v>467</v>
      </c>
      <c r="BF478" t="s">
        <v>489</v>
      </c>
      <c r="BG478" t="s">
        <v>245</v>
      </c>
      <c r="BH478">
        <v>0</v>
      </c>
      <c r="CT478" t="s">
        <v>467</v>
      </c>
      <c r="CU478" t="s">
        <v>245</v>
      </c>
      <c r="CV478">
        <f ca="1">OFFSET('Calculations 2'!$AJ$12,W478,X478)</f>
        <v>0</v>
      </c>
    </row>
    <row r="479" spans="17:100">
      <c r="Q479" t="s">
        <v>231</v>
      </c>
      <c r="R479" t="s">
        <v>489</v>
      </c>
      <c r="S479" t="s">
        <v>245</v>
      </c>
      <c r="T479">
        <f ca="1">OFFSET('Calculations 2'!$C$45,W479,X479)*OFFSET($M$6,W479,0)</f>
        <v>54.755719220533393</v>
      </c>
      <c r="V479">
        <f t="shared" si="23"/>
        <v>473</v>
      </c>
      <c r="W479">
        <f t="shared" si="24"/>
        <v>11</v>
      </c>
      <c r="X479">
        <f t="shared" si="25"/>
        <v>14</v>
      </c>
      <c r="AC479" t="s">
        <v>231</v>
      </c>
      <c r="AD479" t="s">
        <v>489</v>
      </c>
      <c r="AE479" t="s">
        <v>245</v>
      </c>
      <c r="AF479">
        <f ca="1">OFFSET('Calculations 2'!$CE$45,W479,0)*OFFSET($AA$6,X479,0)*OFFSET($M$6,W479,)</f>
        <v>3.0491323541868369</v>
      </c>
      <c r="AY479" t="s">
        <v>231</v>
      </c>
      <c r="AZ479" t="s">
        <v>489</v>
      </c>
      <c r="BA479" t="s">
        <v>245</v>
      </c>
      <c r="BB479">
        <v>0</v>
      </c>
      <c r="BE479" t="s">
        <v>231</v>
      </c>
      <c r="BF479" t="s">
        <v>489</v>
      </c>
      <c r="BG479" t="s">
        <v>245</v>
      </c>
      <c r="BH479">
        <v>0</v>
      </c>
      <c r="CT479" t="s">
        <v>231</v>
      </c>
      <c r="CU479" t="s">
        <v>245</v>
      </c>
      <c r="CV479">
        <f ca="1">OFFSET('Calculations 2'!$AJ$12,W479,X479)</f>
        <v>0</v>
      </c>
    </row>
    <row r="480" spans="17:100">
      <c r="Q480" t="s">
        <v>468</v>
      </c>
      <c r="R480" t="s">
        <v>489</v>
      </c>
      <c r="S480" t="s">
        <v>245</v>
      </c>
      <c r="T480">
        <f ca="1">OFFSET('Calculations 2'!$C$45,W480,X480)*OFFSET($M$6,W480,0)</f>
        <v>4.4350398844273728</v>
      </c>
      <c r="V480">
        <f t="shared" si="23"/>
        <v>474</v>
      </c>
      <c r="W480">
        <f t="shared" si="24"/>
        <v>12</v>
      </c>
      <c r="X480">
        <f t="shared" si="25"/>
        <v>14</v>
      </c>
      <c r="AC480" t="s">
        <v>468</v>
      </c>
      <c r="AD480" t="s">
        <v>489</v>
      </c>
      <c r="AE480" t="s">
        <v>245</v>
      </c>
      <c r="AF480">
        <f ca="1">OFFSET('Calculations 2'!$CE$45,W480,0)*OFFSET($AA$6,X480,0)*OFFSET($M$6,W480,)</f>
        <v>4.4133787444824941</v>
      </c>
      <c r="AY480" t="s">
        <v>468</v>
      </c>
      <c r="AZ480" t="s">
        <v>489</v>
      </c>
      <c r="BA480" t="s">
        <v>245</v>
      </c>
      <c r="BB480">
        <v>0</v>
      </c>
      <c r="BE480" t="s">
        <v>468</v>
      </c>
      <c r="BF480" t="s">
        <v>489</v>
      </c>
      <c r="BG480" t="s">
        <v>245</v>
      </c>
      <c r="BH480">
        <v>0</v>
      </c>
      <c r="CT480" t="s">
        <v>468</v>
      </c>
      <c r="CU480" t="s">
        <v>245</v>
      </c>
      <c r="CV480">
        <f ca="1">OFFSET('Calculations 2'!$AJ$12,W480,X480)</f>
        <v>0</v>
      </c>
    </row>
    <row r="481" spans="17:100">
      <c r="Q481" t="s">
        <v>469</v>
      </c>
      <c r="R481" t="s">
        <v>489</v>
      </c>
      <c r="S481" t="s">
        <v>245</v>
      </c>
      <c r="T481">
        <f ca="1">OFFSET('Calculations 2'!$C$45,W481,X481)*OFFSET($M$6,W481,0)</f>
        <v>9.3739964300109531</v>
      </c>
      <c r="V481">
        <f t="shared" si="23"/>
        <v>475</v>
      </c>
      <c r="W481">
        <f t="shared" si="24"/>
        <v>13</v>
      </c>
      <c r="X481">
        <f t="shared" si="25"/>
        <v>14</v>
      </c>
      <c r="AC481" t="s">
        <v>469</v>
      </c>
      <c r="AD481" t="s">
        <v>489</v>
      </c>
      <c r="AE481" t="s">
        <v>245</v>
      </c>
      <c r="AF481">
        <f ca="1">OFFSET('Calculations 2'!$CE$45,W481,0)*OFFSET($AA$6,X481,0)*OFFSET($M$6,W481,)</f>
        <v>0.91807853631260861</v>
      </c>
      <c r="AY481" t="s">
        <v>469</v>
      </c>
      <c r="AZ481" t="s">
        <v>489</v>
      </c>
      <c r="BA481" t="s">
        <v>245</v>
      </c>
      <c r="BB481">
        <v>0</v>
      </c>
      <c r="BE481" t="s">
        <v>469</v>
      </c>
      <c r="BF481" t="s">
        <v>489</v>
      </c>
      <c r="BG481" t="s">
        <v>245</v>
      </c>
      <c r="BH481">
        <v>0</v>
      </c>
      <c r="CT481" t="s">
        <v>469</v>
      </c>
      <c r="CU481" t="s">
        <v>245</v>
      </c>
      <c r="CV481">
        <f ca="1">OFFSET('Calculations 2'!$AJ$12,W481,X481)</f>
        <v>0</v>
      </c>
    </row>
    <row r="482" spans="17:100">
      <c r="Q482" t="s">
        <v>245</v>
      </c>
      <c r="R482" t="s">
        <v>489</v>
      </c>
      <c r="S482" t="s">
        <v>245</v>
      </c>
      <c r="T482">
        <f ca="1">OFFSET('Calculations 2'!$C$45,W482,X482)*OFFSET($M$6,W482,0)</f>
        <v>2.9953213306634709</v>
      </c>
      <c r="V482">
        <f t="shared" si="23"/>
        <v>476</v>
      </c>
      <c r="W482">
        <f t="shared" si="24"/>
        <v>14</v>
      </c>
      <c r="X482">
        <f t="shared" si="25"/>
        <v>14</v>
      </c>
      <c r="AC482" t="s">
        <v>245</v>
      </c>
      <c r="AD482" t="s">
        <v>489</v>
      </c>
      <c r="AE482" t="s">
        <v>245</v>
      </c>
      <c r="AF482">
        <f ca="1">OFFSET('Calculations 2'!$CE$45,W482,0)*OFFSET($AA$6,X482,0)*OFFSET($M$6,W482,)</f>
        <v>1.3261717565642239</v>
      </c>
      <c r="AY482" t="s">
        <v>245</v>
      </c>
      <c r="AZ482" t="s">
        <v>489</v>
      </c>
      <c r="BA482" t="s">
        <v>245</v>
      </c>
      <c r="BB482">
        <v>0</v>
      </c>
      <c r="BE482" t="s">
        <v>245</v>
      </c>
      <c r="BF482" t="s">
        <v>489</v>
      </c>
      <c r="BG482" t="s">
        <v>245</v>
      </c>
      <c r="BH482">
        <v>0</v>
      </c>
      <c r="CT482" t="s">
        <v>245</v>
      </c>
      <c r="CU482" t="s">
        <v>245</v>
      </c>
      <c r="CV482">
        <f ca="1">OFFSET('Calculations 2'!$AJ$12,W482,X482)</f>
        <v>2014.7720000000002</v>
      </c>
    </row>
    <row r="483" spans="17:100">
      <c r="Q483" t="s">
        <v>470</v>
      </c>
      <c r="R483" t="s">
        <v>489</v>
      </c>
      <c r="S483" t="s">
        <v>245</v>
      </c>
      <c r="T483">
        <f ca="1">OFFSET('Calculations 2'!$C$45,W483,X483)*OFFSET($M$6,W483,0)</f>
        <v>3.8128925975673971</v>
      </c>
      <c r="V483">
        <f t="shared" si="23"/>
        <v>477</v>
      </c>
      <c r="W483">
        <f t="shared" si="24"/>
        <v>15</v>
      </c>
      <c r="X483">
        <f t="shared" si="25"/>
        <v>14</v>
      </c>
      <c r="AC483" t="s">
        <v>470</v>
      </c>
      <c r="AD483" t="s">
        <v>489</v>
      </c>
      <c r="AE483" t="s">
        <v>245</v>
      </c>
      <c r="AF483">
        <f ca="1">OFFSET('Calculations 2'!$CE$45,W483,0)*OFFSET($AA$6,X483,0)*OFFSET($M$6,W483,)</f>
        <v>3.6110797269685544</v>
      </c>
      <c r="AY483" t="s">
        <v>470</v>
      </c>
      <c r="AZ483" t="s">
        <v>489</v>
      </c>
      <c r="BA483" t="s">
        <v>245</v>
      </c>
      <c r="BB483">
        <v>0</v>
      </c>
      <c r="BE483" t="s">
        <v>470</v>
      </c>
      <c r="BF483" t="s">
        <v>489</v>
      </c>
      <c r="BG483" t="s">
        <v>245</v>
      </c>
      <c r="BH483">
        <v>0</v>
      </c>
      <c r="CT483" t="s">
        <v>470</v>
      </c>
      <c r="CU483" t="s">
        <v>245</v>
      </c>
      <c r="CV483">
        <f ca="1">OFFSET('Calculations 2'!$AJ$12,W483,X483)</f>
        <v>0</v>
      </c>
    </row>
    <row r="484" spans="17:100">
      <c r="Q484" t="s">
        <v>471</v>
      </c>
      <c r="R484" t="s">
        <v>489</v>
      </c>
      <c r="S484" t="s">
        <v>245</v>
      </c>
      <c r="T484">
        <f ca="1">OFFSET('Calculations 2'!$C$45,W484,X484)*OFFSET($M$6,W484,0)</f>
        <v>10.216768738657388</v>
      </c>
      <c r="V484">
        <f t="shared" si="23"/>
        <v>478</v>
      </c>
      <c r="W484">
        <f t="shared" si="24"/>
        <v>16</v>
      </c>
      <c r="X484">
        <f t="shared" si="25"/>
        <v>14</v>
      </c>
      <c r="AC484" t="s">
        <v>471</v>
      </c>
      <c r="AD484" t="s">
        <v>489</v>
      </c>
      <c r="AE484" t="s">
        <v>245</v>
      </c>
      <c r="AF484">
        <f ca="1">OFFSET('Calculations 2'!$CE$45,W484,0)*OFFSET($AA$6,X484,0)*OFFSET($M$6,W484,)</f>
        <v>0</v>
      </c>
      <c r="AY484" t="s">
        <v>471</v>
      </c>
      <c r="AZ484" t="s">
        <v>489</v>
      </c>
      <c r="BA484" t="s">
        <v>245</v>
      </c>
      <c r="BB484">
        <v>0</v>
      </c>
      <c r="BE484" t="s">
        <v>471</v>
      </c>
      <c r="BF484" t="s">
        <v>489</v>
      </c>
      <c r="BG484" t="s">
        <v>245</v>
      </c>
      <c r="BH484">
        <v>0</v>
      </c>
      <c r="CT484" t="s">
        <v>471</v>
      </c>
      <c r="CU484" t="s">
        <v>245</v>
      </c>
      <c r="CV484">
        <f ca="1">OFFSET('Calculations 2'!$AJ$12,W484,X484)</f>
        <v>0</v>
      </c>
    </row>
    <row r="485" spans="17:100">
      <c r="Q485" t="s">
        <v>221</v>
      </c>
      <c r="R485" t="s">
        <v>489</v>
      </c>
      <c r="S485" t="s">
        <v>245</v>
      </c>
      <c r="T485">
        <f ca="1">OFFSET('Calculations 2'!$C$45,W485,X485)*OFFSET($M$6,W485,0)</f>
        <v>0</v>
      </c>
      <c r="V485">
        <f t="shared" si="23"/>
        <v>479</v>
      </c>
      <c r="W485">
        <f t="shared" si="24"/>
        <v>17</v>
      </c>
      <c r="X485">
        <f t="shared" si="25"/>
        <v>14</v>
      </c>
      <c r="AC485" t="s">
        <v>221</v>
      </c>
      <c r="AD485" t="s">
        <v>489</v>
      </c>
      <c r="AE485" t="s">
        <v>245</v>
      </c>
      <c r="AF485">
        <f ca="1">OFFSET('Calculations 2'!$CE$45,W485,0)*OFFSET($AA$6,X485,0)*OFFSET($M$6,W485,)</f>
        <v>119.95443692810746</v>
      </c>
      <c r="AY485" t="s">
        <v>221</v>
      </c>
      <c r="AZ485" t="s">
        <v>489</v>
      </c>
      <c r="BA485" t="s">
        <v>245</v>
      </c>
      <c r="BB485">
        <v>0</v>
      </c>
      <c r="BE485" t="s">
        <v>221</v>
      </c>
      <c r="BF485" t="s">
        <v>489</v>
      </c>
      <c r="BG485" t="s">
        <v>245</v>
      </c>
      <c r="BH485">
        <v>0</v>
      </c>
      <c r="CT485" t="s">
        <v>221</v>
      </c>
      <c r="CU485" t="s">
        <v>245</v>
      </c>
      <c r="CV485">
        <f ca="1">OFFSET('Calculations 2'!$AJ$12,W485,X485)</f>
        <v>0</v>
      </c>
    </row>
    <row r="486" spans="17:100">
      <c r="Q486" t="s">
        <v>244</v>
      </c>
      <c r="R486" t="s">
        <v>489</v>
      </c>
      <c r="S486" t="s">
        <v>245</v>
      </c>
      <c r="T486">
        <f ca="1">OFFSET('Calculations 2'!$C$45,W486,X486)*OFFSET($M$6,W486,0)</f>
        <v>134.63156437986655</v>
      </c>
      <c r="V486">
        <f t="shared" si="23"/>
        <v>480</v>
      </c>
      <c r="W486">
        <f t="shared" si="24"/>
        <v>18</v>
      </c>
      <c r="X486">
        <f t="shared" si="25"/>
        <v>14</v>
      </c>
      <c r="AC486" t="s">
        <v>244</v>
      </c>
      <c r="AD486" t="s">
        <v>489</v>
      </c>
      <c r="AE486" t="s">
        <v>245</v>
      </c>
      <c r="AF486">
        <f ca="1">OFFSET('Calculations 2'!$CE$45,W486,0)*OFFSET($AA$6,X486,0)*OFFSET($M$6,W486,)</f>
        <v>19.179914652325284</v>
      </c>
      <c r="AY486" t="s">
        <v>244</v>
      </c>
      <c r="AZ486" t="s">
        <v>489</v>
      </c>
      <c r="BA486" t="s">
        <v>245</v>
      </c>
      <c r="BB486">
        <v>0</v>
      </c>
      <c r="BE486" t="s">
        <v>244</v>
      </c>
      <c r="BF486" t="s">
        <v>489</v>
      </c>
      <c r="BG486" t="s">
        <v>245</v>
      </c>
      <c r="BH486">
        <v>0</v>
      </c>
      <c r="CT486" t="s">
        <v>244</v>
      </c>
      <c r="CU486" t="s">
        <v>245</v>
      </c>
      <c r="CV486">
        <f ca="1">OFFSET('Calculations 2'!$AJ$12,W486,X486)</f>
        <v>0</v>
      </c>
    </row>
    <row r="487" spans="17:100">
      <c r="Q487" t="s">
        <v>472</v>
      </c>
      <c r="R487" t="s">
        <v>489</v>
      </c>
      <c r="S487" t="s">
        <v>245</v>
      </c>
      <c r="T487">
        <f ca="1">OFFSET('Calculations 2'!$C$45,W487,X487)*OFFSET($M$6,W487,0)</f>
        <v>0</v>
      </c>
      <c r="V487">
        <f t="shared" si="23"/>
        <v>481</v>
      </c>
      <c r="W487">
        <f t="shared" si="24"/>
        <v>19</v>
      </c>
      <c r="X487">
        <f t="shared" si="25"/>
        <v>14</v>
      </c>
      <c r="AC487" t="s">
        <v>472</v>
      </c>
      <c r="AD487" t="s">
        <v>489</v>
      </c>
      <c r="AE487" t="s">
        <v>245</v>
      </c>
      <c r="AF487">
        <f ca="1">OFFSET('Calculations 2'!$CE$45,W487,0)*OFFSET($AA$6,X487,0)*OFFSET($M$6,W487,)</f>
        <v>0</v>
      </c>
      <c r="AY487" t="s">
        <v>472</v>
      </c>
      <c r="AZ487" t="s">
        <v>489</v>
      </c>
      <c r="BA487" t="s">
        <v>245</v>
      </c>
      <c r="BB487">
        <v>0</v>
      </c>
      <c r="BE487" t="s">
        <v>472</v>
      </c>
      <c r="BF487" t="s">
        <v>489</v>
      </c>
      <c r="BG487" t="s">
        <v>245</v>
      </c>
      <c r="BH487">
        <v>0</v>
      </c>
      <c r="CT487" t="s">
        <v>472</v>
      </c>
      <c r="CU487" t="s">
        <v>245</v>
      </c>
      <c r="CV487">
        <f ca="1">OFFSET('Calculations 2'!$AJ$12,W487,X487)</f>
        <v>0</v>
      </c>
    </row>
    <row r="488" spans="17:100">
      <c r="Q488" t="s">
        <v>238</v>
      </c>
      <c r="R488" t="s">
        <v>489</v>
      </c>
      <c r="S488" t="s">
        <v>245</v>
      </c>
      <c r="T488">
        <f ca="1">OFFSET('Calculations 2'!$C$45,W488,X488)*OFFSET($M$6,W488,0)</f>
        <v>1.1368307308866734</v>
      </c>
      <c r="V488">
        <f t="shared" si="23"/>
        <v>482</v>
      </c>
      <c r="W488">
        <f t="shared" si="24"/>
        <v>20</v>
      </c>
      <c r="X488">
        <f t="shared" si="25"/>
        <v>14</v>
      </c>
      <c r="AC488" t="s">
        <v>238</v>
      </c>
      <c r="AD488" t="s">
        <v>489</v>
      </c>
      <c r="AE488" t="s">
        <v>245</v>
      </c>
      <c r="AF488">
        <f ca="1">OFFSET('Calculations 2'!$CE$45,W488,0)*OFFSET($AA$6,X488,0)*OFFSET($M$6,W488,)</f>
        <v>0</v>
      </c>
      <c r="AY488" t="s">
        <v>238</v>
      </c>
      <c r="AZ488" t="s">
        <v>489</v>
      </c>
      <c r="BA488" t="s">
        <v>245</v>
      </c>
      <c r="BB488">
        <v>0</v>
      </c>
      <c r="BE488" t="s">
        <v>238</v>
      </c>
      <c r="BF488" t="s">
        <v>489</v>
      </c>
      <c r="BG488" t="s">
        <v>245</v>
      </c>
      <c r="BH488">
        <v>0</v>
      </c>
      <c r="CT488" t="s">
        <v>238</v>
      </c>
      <c r="CU488" t="s">
        <v>245</v>
      </c>
      <c r="CV488">
        <f ca="1">OFFSET('Calculations 2'!$AJ$12,W488,X488)</f>
        <v>0</v>
      </c>
    </row>
    <row r="489" spans="17:100">
      <c r="Q489" t="s">
        <v>247</v>
      </c>
      <c r="R489" t="s">
        <v>489</v>
      </c>
      <c r="S489" t="s">
        <v>245</v>
      </c>
      <c r="T489">
        <f ca="1">OFFSET('Calculations 2'!$C$45,W489,X489)*OFFSET($M$6,W489,0)</f>
        <v>0</v>
      </c>
      <c r="V489">
        <f t="shared" si="23"/>
        <v>483</v>
      </c>
      <c r="W489">
        <f t="shared" si="24"/>
        <v>21</v>
      </c>
      <c r="X489">
        <f t="shared" si="25"/>
        <v>14</v>
      </c>
      <c r="AC489" t="s">
        <v>247</v>
      </c>
      <c r="AD489" t="s">
        <v>489</v>
      </c>
      <c r="AE489" t="s">
        <v>245</v>
      </c>
      <c r="AF489">
        <f ca="1">OFFSET('Calculations 2'!$CE$45,W489,0)*OFFSET($AA$6,X489,0)*OFFSET($M$6,W489,)</f>
        <v>0</v>
      </c>
      <c r="AY489" t="s">
        <v>247</v>
      </c>
      <c r="AZ489" t="s">
        <v>489</v>
      </c>
      <c r="BA489" t="s">
        <v>245</v>
      </c>
      <c r="BB489">
        <v>0</v>
      </c>
      <c r="BE489" t="s">
        <v>247</v>
      </c>
      <c r="BF489" t="s">
        <v>489</v>
      </c>
      <c r="BG489" t="s">
        <v>245</v>
      </c>
      <c r="BH489">
        <v>0</v>
      </c>
      <c r="CT489" t="s">
        <v>247</v>
      </c>
      <c r="CU489" t="s">
        <v>245</v>
      </c>
      <c r="CV489">
        <f ca="1">OFFSET('Calculations 2'!$AJ$12,W489,X489)</f>
        <v>0</v>
      </c>
    </row>
    <row r="490" spans="17:100">
      <c r="Q490" t="s">
        <v>218</v>
      </c>
      <c r="R490" t="s">
        <v>489</v>
      </c>
      <c r="S490" t="s">
        <v>245</v>
      </c>
      <c r="T490">
        <f ca="1">OFFSET('Calculations 2'!$C$45,W490,X490)*OFFSET($M$6,W490,0)</f>
        <v>39.473443195820245</v>
      </c>
      <c r="V490">
        <f t="shared" si="23"/>
        <v>484</v>
      </c>
      <c r="W490">
        <f t="shared" si="24"/>
        <v>22</v>
      </c>
      <c r="X490">
        <f t="shared" si="25"/>
        <v>14</v>
      </c>
      <c r="AC490" t="s">
        <v>218</v>
      </c>
      <c r="AD490" t="s">
        <v>489</v>
      </c>
      <c r="AE490" t="s">
        <v>245</v>
      </c>
      <c r="AF490">
        <f ca="1">OFFSET('Calculations 2'!$CE$45,W490,0)*OFFSET($AA$6,X490,0)*OFFSET($M$6,W490,)</f>
        <v>0</v>
      </c>
      <c r="AY490" t="s">
        <v>218</v>
      </c>
      <c r="AZ490" t="s">
        <v>489</v>
      </c>
      <c r="BA490" t="s">
        <v>245</v>
      </c>
      <c r="BB490">
        <v>0</v>
      </c>
      <c r="BE490" t="s">
        <v>218</v>
      </c>
      <c r="BF490" t="s">
        <v>489</v>
      </c>
      <c r="BG490" t="s">
        <v>245</v>
      </c>
      <c r="BH490">
        <v>0</v>
      </c>
      <c r="CT490" t="s">
        <v>218</v>
      </c>
      <c r="CU490" t="s">
        <v>245</v>
      </c>
      <c r="CV490">
        <f ca="1">OFFSET('Calculations 2'!$AJ$12,W490,X490)</f>
        <v>0</v>
      </c>
    </row>
    <row r="491" spans="17:100">
      <c r="Q491" t="s">
        <v>257</v>
      </c>
      <c r="R491" t="s">
        <v>489</v>
      </c>
      <c r="S491" t="s">
        <v>245</v>
      </c>
      <c r="T491">
        <f ca="1">OFFSET('Calculations 2'!$C$45,W491,X491)*OFFSET($M$6,W491,0)</f>
        <v>14.685629486522696</v>
      </c>
      <c r="V491">
        <f t="shared" si="23"/>
        <v>485</v>
      </c>
      <c r="W491">
        <f t="shared" si="24"/>
        <v>23</v>
      </c>
      <c r="X491">
        <f t="shared" si="25"/>
        <v>14</v>
      </c>
      <c r="AC491" t="s">
        <v>257</v>
      </c>
      <c r="AD491" t="s">
        <v>489</v>
      </c>
      <c r="AE491" t="s">
        <v>245</v>
      </c>
      <c r="AF491">
        <f ca="1">OFFSET('Calculations 2'!$CE$45,W491,0)*OFFSET($AA$6,X491,0)*OFFSET($M$6,W491,)</f>
        <v>0</v>
      </c>
      <c r="AY491" t="s">
        <v>257</v>
      </c>
      <c r="AZ491" t="s">
        <v>489</v>
      </c>
      <c r="BA491" t="s">
        <v>245</v>
      </c>
      <c r="BB491">
        <v>0</v>
      </c>
      <c r="BE491" t="s">
        <v>257</v>
      </c>
      <c r="BF491" t="s">
        <v>489</v>
      </c>
      <c r="BG491" t="s">
        <v>245</v>
      </c>
      <c r="BH491">
        <v>0</v>
      </c>
      <c r="CT491" t="s">
        <v>257</v>
      </c>
      <c r="CU491" t="s">
        <v>245</v>
      </c>
      <c r="CV491">
        <f ca="1">OFFSET('Calculations 2'!$AJ$12,W491,X491)</f>
        <v>0</v>
      </c>
    </row>
    <row r="492" spans="17:100">
      <c r="Q492" t="s">
        <v>220</v>
      </c>
      <c r="R492" t="s">
        <v>489</v>
      </c>
      <c r="S492" t="s">
        <v>245</v>
      </c>
      <c r="T492">
        <f ca="1">OFFSET('Calculations 2'!$C$45,W492,X492)*OFFSET($M$6,W492,0)</f>
        <v>1.3936849595355951</v>
      </c>
      <c r="V492">
        <f t="shared" si="23"/>
        <v>486</v>
      </c>
      <c r="W492">
        <f t="shared" si="24"/>
        <v>24</v>
      </c>
      <c r="X492">
        <f t="shared" si="25"/>
        <v>14</v>
      </c>
      <c r="AC492" t="s">
        <v>220</v>
      </c>
      <c r="AD492" t="s">
        <v>489</v>
      </c>
      <c r="AE492" t="s">
        <v>245</v>
      </c>
      <c r="AF492">
        <f ca="1">OFFSET('Calculations 2'!$CE$45,W492,0)*OFFSET($AA$6,X492,0)*OFFSET($M$6,W492,)</f>
        <v>0</v>
      </c>
      <c r="AY492" t="s">
        <v>220</v>
      </c>
      <c r="AZ492" t="s">
        <v>489</v>
      </c>
      <c r="BA492" t="s">
        <v>245</v>
      </c>
      <c r="BB492">
        <v>0</v>
      </c>
      <c r="BE492" t="s">
        <v>220</v>
      </c>
      <c r="BF492" t="s">
        <v>489</v>
      </c>
      <c r="BG492" t="s">
        <v>245</v>
      </c>
      <c r="BH492">
        <v>0</v>
      </c>
      <c r="CT492" t="s">
        <v>220</v>
      </c>
      <c r="CU492" t="s">
        <v>245</v>
      </c>
      <c r="CV492">
        <f ca="1">OFFSET('Calculations 2'!$AJ$12,W492,X492)</f>
        <v>0</v>
      </c>
    </row>
    <row r="493" spans="17:100">
      <c r="Q493" t="s">
        <v>235</v>
      </c>
      <c r="R493" t="s">
        <v>489</v>
      </c>
      <c r="S493" t="s">
        <v>245</v>
      </c>
      <c r="T493">
        <f ca="1">OFFSET('Calculations 2'!$C$45,W493,X493)*OFFSET($M$6,W493,0)</f>
        <v>9.7694082253073127</v>
      </c>
      <c r="V493">
        <f t="shared" si="23"/>
        <v>487</v>
      </c>
      <c r="W493">
        <f t="shared" si="24"/>
        <v>25</v>
      </c>
      <c r="X493">
        <f t="shared" si="25"/>
        <v>14</v>
      </c>
      <c r="AC493" t="s">
        <v>235</v>
      </c>
      <c r="AD493" t="s">
        <v>489</v>
      </c>
      <c r="AE493" t="s">
        <v>245</v>
      </c>
      <c r="AF493">
        <f ca="1">OFFSET('Calculations 2'!$CE$45,W493,0)*OFFSET($AA$6,X493,0)*OFFSET($M$6,W493,)</f>
        <v>0</v>
      </c>
      <c r="AY493" t="s">
        <v>235</v>
      </c>
      <c r="AZ493" t="s">
        <v>489</v>
      </c>
      <c r="BA493" t="s">
        <v>245</v>
      </c>
      <c r="BB493">
        <v>0</v>
      </c>
      <c r="BE493" t="s">
        <v>235</v>
      </c>
      <c r="BF493" t="s">
        <v>489</v>
      </c>
      <c r="BG493" t="s">
        <v>245</v>
      </c>
      <c r="BH493">
        <v>0</v>
      </c>
      <c r="CT493" t="s">
        <v>235</v>
      </c>
      <c r="CU493" t="s">
        <v>245</v>
      </c>
      <c r="CV493">
        <f ca="1">OFFSET('Calculations 2'!$AJ$12,W493,X493)</f>
        <v>0</v>
      </c>
    </row>
    <row r="494" spans="17:100">
      <c r="Q494" t="s">
        <v>473</v>
      </c>
      <c r="R494" t="s">
        <v>489</v>
      </c>
      <c r="S494" t="s">
        <v>245</v>
      </c>
      <c r="T494">
        <f ca="1">OFFSET('Calculations 2'!$C$45,W494,X494)*OFFSET($M$6,W494,0)</f>
        <v>28.173242567779059</v>
      </c>
      <c r="V494">
        <f t="shared" si="23"/>
        <v>488</v>
      </c>
      <c r="W494">
        <f t="shared" si="24"/>
        <v>26</v>
      </c>
      <c r="X494">
        <f t="shared" si="25"/>
        <v>14</v>
      </c>
      <c r="AC494" t="s">
        <v>473</v>
      </c>
      <c r="AD494" t="s">
        <v>489</v>
      </c>
      <c r="AE494" t="s">
        <v>245</v>
      </c>
      <c r="AF494">
        <f ca="1">OFFSET('Calculations 2'!$CE$45,W494,0)*OFFSET($AA$6,X494,0)*OFFSET($M$6,W494,)</f>
        <v>0</v>
      </c>
      <c r="AY494" t="s">
        <v>473</v>
      </c>
      <c r="AZ494" t="s">
        <v>489</v>
      </c>
      <c r="BA494" t="s">
        <v>245</v>
      </c>
      <c r="BB494">
        <v>0</v>
      </c>
      <c r="BE494" t="s">
        <v>473</v>
      </c>
      <c r="BF494" t="s">
        <v>489</v>
      </c>
      <c r="BG494" t="s">
        <v>245</v>
      </c>
      <c r="BH494">
        <v>0</v>
      </c>
      <c r="CT494" t="s">
        <v>473</v>
      </c>
      <c r="CU494" t="s">
        <v>245</v>
      </c>
      <c r="CV494">
        <f ca="1">OFFSET('Calculations 2'!$AJ$12,W494,X494)</f>
        <v>0</v>
      </c>
    </row>
    <row r="495" spans="17:100">
      <c r="Q495" t="s">
        <v>233</v>
      </c>
      <c r="R495" t="s">
        <v>489</v>
      </c>
      <c r="S495" t="s">
        <v>245</v>
      </c>
      <c r="T495">
        <f ca="1">OFFSET('Calculations 2'!$C$45,W495,X495)*OFFSET($M$6,W495,0)</f>
        <v>56.286859589971321</v>
      </c>
      <c r="V495">
        <f t="shared" si="23"/>
        <v>489</v>
      </c>
      <c r="W495">
        <f t="shared" si="24"/>
        <v>27</v>
      </c>
      <c r="X495">
        <f t="shared" si="25"/>
        <v>14</v>
      </c>
      <c r="AC495" t="s">
        <v>233</v>
      </c>
      <c r="AD495" t="s">
        <v>489</v>
      </c>
      <c r="AE495" t="s">
        <v>245</v>
      </c>
      <c r="AF495">
        <f ca="1">OFFSET('Calculations 2'!$CE$45,W495,0)*OFFSET($AA$6,X495,0)*OFFSET($M$6,W495,)</f>
        <v>0</v>
      </c>
      <c r="AY495" t="s">
        <v>233</v>
      </c>
      <c r="AZ495" t="s">
        <v>489</v>
      </c>
      <c r="BA495" t="s">
        <v>245</v>
      </c>
      <c r="BB495">
        <v>0</v>
      </c>
      <c r="BE495" t="s">
        <v>233</v>
      </c>
      <c r="BF495" t="s">
        <v>489</v>
      </c>
      <c r="BG495" t="s">
        <v>245</v>
      </c>
      <c r="BH495">
        <v>0</v>
      </c>
      <c r="CT495" t="s">
        <v>233</v>
      </c>
      <c r="CU495" t="s">
        <v>245</v>
      </c>
      <c r="CV495">
        <f ca="1">OFFSET('Calculations 2'!$AJ$12,W495,X495)</f>
        <v>0</v>
      </c>
    </row>
    <row r="496" spans="17:100">
      <c r="Q496" t="s">
        <v>474</v>
      </c>
      <c r="R496" t="s">
        <v>489</v>
      </c>
      <c r="S496" t="s">
        <v>245</v>
      </c>
      <c r="T496">
        <f ca="1">OFFSET('Calculations 2'!$C$45,W496,X496)*OFFSET($M$6,W496,0)</f>
        <v>11.078786299707243</v>
      </c>
      <c r="V496">
        <f t="shared" si="23"/>
        <v>490</v>
      </c>
      <c r="W496">
        <f t="shared" si="24"/>
        <v>28</v>
      </c>
      <c r="X496">
        <f t="shared" si="25"/>
        <v>14</v>
      </c>
      <c r="AC496" t="s">
        <v>474</v>
      </c>
      <c r="AD496" t="s">
        <v>489</v>
      </c>
      <c r="AE496" t="s">
        <v>245</v>
      </c>
      <c r="AF496">
        <f ca="1">OFFSET('Calculations 2'!$CE$45,W496,0)*OFFSET($AA$6,X496,0)*OFFSET($M$6,W496,)</f>
        <v>0</v>
      </c>
      <c r="AY496" t="s">
        <v>474</v>
      </c>
      <c r="AZ496" t="s">
        <v>489</v>
      </c>
      <c r="BA496" t="s">
        <v>245</v>
      </c>
      <c r="BB496">
        <v>0</v>
      </c>
      <c r="BE496" t="s">
        <v>474</v>
      </c>
      <c r="BF496" t="s">
        <v>489</v>
      </c>
      <c r="BG496" t="s">
        <v>245</v>
      </c>
      <c r="BH496">
        <v>0</v>
      </c>
      <c r="CT496" t="s">
        <v>474</v>
      </c>
      <c r="CU496" t="s">
        <v>245</v>
      </c>
      <c r="CV496">
        <f ca="1">OFFSET('Calculations 2'!$AJ$12,W496,X496)</f>
        <v>0</v>
      </c>
    </row>
    <row r="497" spans="17:100">
      <c r="Q497" t="s">
        <v>223</v>
      </c>
      <c r="R497" t="s">
        <v>489</v>
      </c>
      <c r="S497" t="s">
        <v>245</v>
      </c>
      <c r="T497">
        <f ca="1">OFFSET('Calculations 2'!$C$45,W497,X497)*OFFSET($M$6,W497,0)</f>
        <v>0.20590724784025952</v>
      </c>
      <c r="V497">
        <f t="shared" si="23"/>
        <v>491</v>
      </c>
      <c r="W497">
        <f t="shared" si="24"/>
        <v>29</v>
      </c>
      <c r="X497">
        <f t="shared" si="25"/>
        <v>14</v>
      </c>
      <c r="AC497" t="s">
        <v>223</v>
      </c>
      <c r="AD497" t="s">
        <v>489</v>
      </c>
      <c r="AE497" t="s">
        <v>245</v>
      </c>
      <c r="AF497">
        <f ca="1">OFFSET('Calculations 2'!$CE$45,W497,0)*OFFSET($AA$6,X497,0)*OFFSET($M$6,W497,)</f>
        <v>0</v>
      </c>
      <c r="AY497" t="s">
        <v>223</v>
      </c>
      <c r="AZ497" t="s">
        <v>489</v>
      </c>
      <c r="BA497" t="s">
        <v>245</v>
      </c>
      <c r="BB497">
        <v>0</v>
      </c>
      <c r="BE497" t="s">
        <v>223</v>
      </c>
      <c r="BF497" t="s">
        <v>489</v>
      </c>
      <c r="BG497" t="s">
        <v>245</v>
      </c>
      <c r="BH497">
        <v>0</v>
      </c>
      <c r="CT497" t="s">
        <v>223</v>
      </c>
      <c r="CU497" t="s">
        <v>245</v>
      </c>
      <c r="CV497">
        <f ca="1">OFFSET('Calculations 2'!$AJ$12,W497,X497)</f>
        <v>0</v>
      </c>
    </row>
    <row r="498" spans="17:100">
      <c r="Q498" t="s">
        <v>475</v>
      </c>
      <c r="R498" t="s">
        <v>489</v>
      </c>
      <c r="S498" t="s">
        <v>245</v>
      </c>
      <c r="T498">
        <f ca="1">OFFSET('Calculations 2'!$C$45,W498,X498)*OFFSET($M$6,W498,0)</f>
        <v>1.4054004039262111</v>
      </c>
      <c r="V498">
        <f t="shared" si="23"/>
        <v>492</v>
      </c>
      <c r="W498">
        <f t="shared" si="24"/>
        <v>30</v>
      </c>
      <c r="X498">
        <f t="shared" si="25"/>
        <v>14</v>
      </c>
      <c r="AC498" t="s">
        <v>475</v>
      </c>
      <c r="AD498" t="s">
        <v>489</v>
      </c>
      <c r="AE498" t="s">
        <v>245</v>
      </c>
      <c r="AF498">
        <f ca="1">OFFSET('Calculations 2'!$CE$45,W498,0)*OFFSET($AA$6,X498,0)*OFFSET($M$6,W498,)</f>
        <v>0</v>
      </c>
      <c r="AY498" t="s">
        <v>475</v>
      </c>
      <c r="AZ498" t="s">
        <v>489</v>
      </c>
      <c r="BA498" t="s">
        <v>245</v>
      </c>
      <c r="BB498">
        <v>0</v>
      </c>
      <c r="BE498" t="s">
        <v>475</v>
      </c>
      <c r="BF498" t="s">
        <v>489</v>
      </c>
      <c r="BG498" t="s">
        <v>245</v>
      </c>
      <c r="BH498">
        <v>0</v>
      </c>
      <c r="CT498" t="s">
        <v>475</v>
      </c>
      <c r="CU498" t="s">
        <v>245</v>
      </c>
      <c r="CV498">
        <f ca="1">OFFSET('Calculations 2'!$AJ$12,W498,X498)</f>
        <v>0</v>
      </c>
    </row>
    <row r="499" spans="17:100">
      <c r="Q499" t="s">
        <v>476</v>
      </c>
      <c r="R499" t="s">
        <v>489</v>
      </c>
      <c r="S499" t="s">
        <v>245</v>
      </c>
      <c r="T499">
        <f ca="1">OFFSET('Calculations 2'!$C$45,W499,X499)*OFFSET($M$6,W499,0)</f>
        <v>0.2900960811659285</v>
      </c>
      <c r="V499">
        <f t="shared" si="23"/>
        <v>493</v>
      </c>
      <c r="W499">
        <f t="shared" si="24"/>
        <v>31</v>
      </c>
      <c r="X499">
        <f t="shared" si="25"/>
        <v>14</v>
      </c>
      <c r="AC499" t="s">
        <v>476</v>
      </c>
      <c r="AD499" t="s">
        <v>489</v>
      </c>
      <c r="AE499" t="s">
        <v>245</v>
      </c>
      <c r="AF499">
        <f ca="1">OFFSET('Calculations 2'!$CE$45,W499,0)*OFFSET($AA$6,X499,0)*OFFSET($M$6,W499,)</f>
        <v>0</v>
      </c>
      <c r="AY499" t="s">
        <v>476</v>
      </c>
      <c r="AZ499" t="s">
        <v>489</v>
      </c>
      <c r="BA499" t="s">
        <v>245</v>
      </c>
      <c r="BB499">
        <v>0</v>
      </c>
      <c r="BE499" t="s">
        <v>476</v>
      </c>
      <c r="BF499" t="s">
        <v>489</v>
      </c>
      <c r="BG499" t="s">
        <v>245</v>
      </c>
      <c r="BH499">
        <v>0</v>
      </c>
      <c r="CT499" t="s">
        <v>476</v>
      </c>
      <c r="CU499" t="s">
        <v>245</v>
      </c>
      <c r="CV499">
        <f ca="1">OFFSET('Calculations 2'!$AJ$12,W499,X499)</f>
        <v>0</v>
      </c>
    </row>
    <row r="500" spans="17:100">
      <c r="Q500" t="s">
        <v>222</v>
      </c>
      <c r="R500" t="s">
        <v>489</v>
      </c>
      <c r="S500" t="s">
        <v>245</v>
      </c>
      <c r="T500">
        <f ca="1">OFFSET('Calculations 2'!$C$45,W500,X500)*OFFSET($M$6,W500,0)</f>
        <v>0</v>
      </c>
      <c r="V500">
        <f t="shared" si="23"/>
        <v>494</v>
      </c>
      <c r="W500">
        <f t="shared" si="24"/>
        <v>32</v>
      </c>
      <c r="X500">
        <f t="shared" si="25"/>
        <v>14</v>
      </c>
      <c r="AC500" t="s">
        <v>222</v>
      </c>
      <c r="AD500" t="s">
        <v>489</v>
      </c>
      <c r="AE500" t="s">
        <v>245</v>
      </c>
      <c r="AF500">
        <f ca="1">OFFSET('Calculations 2'!$CE$45,W500,0)*OFFSET($AA$6,X500,0)*OFFSET($M$6,W500,)</f>
        <v>0</v>
      </c>
      <c r="AY500" t="s">
        <v>222</v>
      </c>
      <c r="AZ500" t="s">
        <v>489</v>
      </c>
      <c r="BA500" t="s">
        <v>245</v>
      </c>
      <c r="BB500">
        <v>0</v>
      </c>
      <c r="BE500" t="s">
        <v>222</v>
      </c>
      <c r="BF500" t="s">
        <v>489</v>
      </c>
      <c r="BG500" t="s">
        <v>245</v>
      </c>
      <c r="BH500">
        <v>0</v>
      </c>
      <c r="CT500" t="s">
        <v>222</v>
      </c>
      <c r="CU500" t="s">
        <v>245</v>
      </c>
      <c r="CV500">
        <f ca="1">OFFSET('Calculations 2'!$AJ$12,W500,X500)</f>
        <v>0</v>
      </c>
    </row>
    <row r="501" spans="17:100">
      <c r="Q501" t="s">
        <v>217</v>
      </c>
      <c r="R501" t="s">
        <v>489</v>
      </c>
      <c r="S501" t="s">
        <v>470</v>
      </c>
      <c r="T501">
        <f ca="1">OFFSET('Calculations 2'!$C$45,W501,X501)*OFFSET($M$6,W501,0)</f>
        <v>0</v>
      </c>
      <c r="V501">
        <f t="shared" si="23"/>
        <v>495</v>
      </c>
      <c r="W501">
        <f t="shared" si="24"/>
        <v>0</v>
      </c>
      <c r="X501">
        <f t="shared" si="25"/>
        <v>15</v>
      </c>
      <c r="AC501" t="s">
        <v>217</v>
      </c>
      <c r="AD501" t="s">
        <v>489</v>
      </c>
      <c r="AE501" t="s">
        <v>470</v>
      </c>
      <c r="AF501">
        <f ca="1">OFFSET('Calculations 2'!$CE$45,W501,0)*OFFSET($AA$6,X501,0)*OFFSET($M$6,W501,)</f>
        <v>0.18473942445912869</v>
      </c>
      <c r="AY501" t="s">
        <v>217</v>
      </c>
      <c r="AZ501" t="s">
        <v>489</v>
      </c>
      <c r="BA501" t="s">
        <v>470</v>
      </c>
      <c r="BB501">
        <v>0</v>
      </c>
      <c r="BE501" t="s">
        <v>217</v>
      </c>
      <c r="BF501" t="s">
        <v>489</v>
      </c>
      <c r="BG501" t="s">
        <v>470</v>
      </c>
      <c r="BH501">
        <v>0</v>
      </c>
      <c r="CT501" t="s">
        <v>217</v>
      </c>
      <c r="CU501" t="s">
        <v>470</v>
      </c>
      <c r="CV501">
        <f ca="1">OFFSET('Calculations 2'!$AJ$12,W501,X501)</f>
        <v>0</v>
      </c>
    </row>
    <row r="502" spans="17:100">
      <c r="Q502" t="s">
        <v>232</v>
      </c>
      <c r="R502" t="s">
        <v>489</v>
      </c>
      <c r="S502" t="s">
        <v>470</v>
      </c>
      <c r="T502">
        <f ca="1">OFFSET('Calculations 2'!$C$45,W502,X502)*OFFSET($M$6,W502,0)</f>
        <v>26.566723382358564</v>
      </c>
      <c r="V502">
        <f t="shared" si="23"/>
        <v>496</v>
      </c>
      <c r="W502">
        <f t="shared" si="24"/>
        <v>1</v>
      </c>
      <c r="X502">
        <f t="shared" si="25"/>
        <v>15</v>
      </c>
      <c r="AC502" t="s">
        <v>232</v>
      </c>
      <c r="AD502" t="s">
        <v>489</v>
      </c>
      <c r="AE502" t="s">
        <v>470</v>
      </c>
      <c r="AF502">
        <f ca="1">OFFSET('Calculations 2'!$CE$45,W502,0)*OFFSET($AA$6,X502,0)*OFFSET($M$6,W502,)</f>
        <v>0.32226281800653539</v>
      </c>
      <c r="AY502" t="s">
        <v>232</v>
      </c>
      <c r="AZ502" t="s">
        <v>489</v>
      </c>
      <c r="BA502" t="s">
        <v>470</v>
      </c>
      <c r="BB502">
        <v>0</v>
      </c>
      <c r="BE502" t="s">
        <v>232</v>
      </c>
      <c r="BF502" t="s">
        <v>489</v>
      </c>
      <c r="BG502" t="s">
        <v>470</v>
      </c>
      <c r="BH502">
        <v>0</v>
      </c>
      <c r="CT502" t="s">
        <v>232</v>
      </c>
      <c r="CU502" t="s">
        <v>470</v>
      </c>
      <c r="CV502">
        <f ca="1">OFFSET('Calculations 2'!$AJ$12,W502,X502)</f>
        <v>0</v>
      </c>
    </row>
    <row r="503" spans="17:100">
      <c r="Q503" t="s">
        <v>226</v>
      </c>
      <c r="R503" t="s">
        <v>489</v>
      </c>
      <c r="S503" t="s">
        <v>470</v>
      </c>
      <c r="T503">
        <f ca="1">OFFSET('Calculations 2'!$C$45,W503,X503)*OFFSET($M$6,W503,0)</f>
        <v>8.210050580803506E-2</v>
      </c>
      <c r="V503">
        <f t="shared" si="23"/>
        <v>497</v>
      </c>
      <c r="W503">
        <f t="shared" si="24"/>
        <v>2</v>
      </c>
      <c r="X503">
        <f t="shared" si="25"/>
        <v>15</v>
      </c>
      <c r="AC503" t="s">
        <v>226</v>
      </c>
      <c r="AD503" t="s">
        <v>489</v>
      </c>
      <c r="AE503" t="s">
        <v>470</v>
      </c>
      <c r="AF503">
        <f ca="1">OFFSET('Calculations 2'!$CE$45,W503,0)*OFFSET($AA$6,X503,0)*OFFSET($M$6,W503,)</f>
        <v>0.54262272749457441</v>
      </c>
      <c r="AY503" t="s">
        <v>226</v>
      </c>
      <c r="AZ503" t="s">
        <v>489</v>
      </c>
      <c r="BA503" t="s">
        <v>470</v>
      </c>
      <c r="BB503">
        <v>0</v>
      </c>
      <c r="BE503" t="s">
        <v>226</v>
      </c>
      <c r="BF503" t="s">
        <v>489</v>
      </c>
      <c r="BG503" t="s">
        <v>470</v>
      </c>
      <c r="BH503">
        <v>0</v>
      </c>
      <c r="CT503" t="s">
        <v>226</v>
      </c>
      <c r="CU503" t="s">
        <v>470</v>
      </c>
      <c r="CV503">
        <f ca="1">OFFSET('Calculations 2'!$AJ$12,W503,X503)</f>
        <v>0</v>
      </c>
    </row>
    <row r="504" spans="17:100">
      <c r="Q504" t="s">
        <v>243</v>
      </c>
      <c r="R504" t="s">
        <v>489</v>
      </c>
      <c r="S504" t="s">
        <v>470</v>
      </c>
      <c r="T504">
        <f ca="1">OFFSET('Calculations 2'!$C$45,W504,X504)*OFFSET($M$6,W504,0)</f>
        <v>9.5418348288530908</v>
      </c>
      <c r="V504">
        <f t="shared" si="23"/>
        <v>498</v>
      </c>
      <c r="W504">
        <f t="shared" si="24"/>
        <v>3</v>
      </c>
      <c r="X504">
        <f t="shared" si="25"/>
        <v>15</v>
      </c>
      <c r="AC504" t="s">
        <v>243</v>
      </c>
      <c r="AD504" t="s">
        <v>489</v>
      </c>
      <c r="AE504" t="s">
        <v>470</v>
      </c>
      <c r="AF504">
        <f ca="1">OFFSET('Calculations 2'!$CE$45,W504,0)*OFFSET($AA$6,X504,0)*OFFSET($M$6,W504,)</f>
        <v>2.8264431702218737</v>
      </c>
      <c r="AY504" t="s">
        <v>243</v>
      </c>
      <c r="AZ504" t="s">
        <v>489</v>
      </c>
      <c r="BA504" t="s">
        <v>470</v>
      </c>
      <c r="BB504">
        <v>0</v>
      </c>
      <c r="BE504" t="s">
        <v>243</v>
      </c>
      <c r="BF504" t="s">
        <v>489</v>
      </c>
      <c r="BG504" t="s">
        <v>470</v>
      </c>
      <c r="BH504">
        <v>0</v>
      </c>
      <c r="CT504" t="s">
        <v>243</v>
      </c>
      <c r="CU504" t="s">
        <v>470</v>
      </c>
      <c r="CV504">
        <f ca="1">OFFSET('Calculations 2'!$AJ$12,W504,X504)</f>
        <v>0</v>
      </c>
    </row>
    <row r="505" spans="17:100">
      <c r="Q505" t="s">
        <v>228</v>
      </c>
      <c r="R505" t="s">
        <v>489</v>
      </c>
      <c r="S505" t="s">
        <v>470</v>
      </c>
      <c r="T505">
        <f ca="1">OFFSET('Calculations 2'!$C$45,W505,X505)*OFFSET($M$6,W505,0)</f>
        <v>8.971298034741444E-4</v>
      </c>
      <c r="V505">
        <f t="shared" si="23"/>
        <v>499</v>
      </c>
      <c r="W505">
        <f t="shared" si="24"/>
        <v>4</v>
      </c>
      <c r="X505">
        <f t="shared" si="25"/>
        <v>15</v>
      </c>
      <c r="AC505" t="s">
        <v>228</v>
      </c>
      <c r="AD505" t="s">
        <v>489</v>
      </c>
      <c r="AE505" t="s">
        <v>470</v>
      </c>
      <c r="AF505">
        <f ca="1">OFFSET('Calculations 2'!$CE$45,W505,0)*OFFSET($AA$6,X505,0)*OFFSET($M$6,W505,)</f>
        <v>2.0055659846440494E-2</v>
      </c>
      <c r="AY505" t="s">
        <v>228</v>
      </c>
      <c r="AZ505" t="s">
        <v>489</v>
      </c>
      <c r="BA505" t="s">
        <v>470</v>
      </c>
      <c r="BB505">
        <v>0</v>
      </c>
      <c r="BE505" t="s">
        <v>228</v>
      </c>
      <c r="BF505" t="s">
        <v>489</v>
      </c>
      <c r="BG505" t="s">
        <v>470</v>
      </c>
      <c r="BH505">
        <v>0</v>
      </c>
      <c r="CT505" t="s">
        <v>228</v>
      </c>
      <c r="CU505" t="s">
        <v>470</v>
      </c>
      <c r="CV505">
        <f ca="1">OFFSET('Calculations 2'!$AJ$12,W505,X505)</f>
        <v>0</v>
      </c>
    </row>
    <row r="506" spans="17:100">
      <c r="Q506" t="s">
        <v>246</v>
      </c>
      <c r="R506" t="s">
        <v>489</v>
      </c>
      <c r="S506" t="s">
        <v>470</v>
      </c>
      <c r="T506">
        <f ca="1">OFFSET('Calculations 2'!$C$45,W506,X506)*OFFSET($M$6,W506,0)</f>
        <v>344.33120716568584</v>
      </c>
      <c r="V506">
        <f t="shared" si="23"/>
        <v>500</v>
      </c>
      <c r="W506">
        <f t="shared" si="24"/>
        <v>5</v>
      </c>
      <c r="X506">
        <f t="shared" si="25"/>
        <v>15</v>
      </c>
      <c r="AC506" t="s">
        <v>246</v>
      </c>
      <c r="AD506" t="s">
        <v>489</v>
      </c>
      <c r="AE506" t="s">
        <v>470</v>
      </c>
      <c r="AF506">
        <f ca="1">OFFSET('Calculations 2'!$CE$45,W506,0)*OFFSET($AA$6,X506,0)*OFFSET($M$6,W506,)</f>
        <v>0.12346238424802383</v>
      </c>
      <c r="AY506" t="s">
        <v>246</v>
      </c>
      <c r="AZ506" t="s">
        <v>489</v>
      </c>
      <c r="BA506" t="s">
        <v>470</v>
      </c>
      <c r="BB506">
        <v>0</v>
      </c>
      <c r="BE506" t="s">
        <v>246</v>
      </c>
      <c r="BF506" t="s">
        <v>489</v>
      </c>
      <c r="BG506" t="s">
        <v>470</v>
      </c>
      <c r="BH506">
        <v>0</v>
      </c>
      <c r="CT506" t="s">
        <v>246</v>
      </c>
      <c r="CU506" t="s">
        <v>470</v>
      </c>
      <c r="CV506">
        <f ca="1">OFFSET('Calculations 2'!$AJ$12,W506,X506)</f>
        <v>0</v>
      </c>
    </row>
    <row r="507" spans="17:100">
      <c r="Q507" t="s">
        <v>239</v>
      </c>
      <c r="R507" t="s">
        <v>489</v>
      </c>
      <c r="S507" t="s">
        <v>470</v>
      </c>
      <c r="T507">
        <f ca="1">OFFSET('Calculations 2'!$C$45,W507,X507)*OFFSET($M$6,W507,0)</f>
        <v>7.1002728605131056</v>
      </c>
      <c r="V507">
        <f t="shared" si="23"/>
        <v>501</v>
      </c>
      <c r="W507">
        <f t="shared" si="24"/>
        <v>6</v>
      </c>
      <c r="X507">
        <f t="shared" si="25"/>
        <v>15</v>
      </c>
      <c r="AC507" t="s">
        <v>239</v>
      </c>
      <c r="AD507" t="s">
        <v>489</v>
      </c>
      <c r="AE507" t="s">
        <v>470</v>
      </c>
      <c r="AF507">
        <f ca="1">OFFSET('Calculations 2'!$CE$45,W507,0)*OFFSET($AA$6,X507,0)*OFFSET($M$6,W507,)</f>
        <v>2.47117630996792</v>
      </c>
      <c r="AY507" t="s">
        <v>239</v>
      </c>
      <c r="AZ507" t="s">
        <v>489</v>
      </c>
      <c r="BA507" t="s">
        <v>470</v>
      </c>
      <c r="BB507">
        <v>0</v>
      </c>
      <c r="BE507" t="s">
        <v>239</v>
      </c>
      <c r="BF507" t="s">
        <v>489</v>
      </c>
      <c r="BG507" t="s">
        <v>470</v>
      </c>
      <c r="BH507">
        <v>0</v>
      </c>
      <c r="CT507" t="s">
        <v>239</v>
      </c>
      <c r="CU507" t="s">
        <v>470</v>
      </c>
      <c r="CV507">
        <f ca="1">OFFSET('Calculations 2'!$AJ$12,W507,X507)</f>
        <v>0</v>
      </c>
    </row>
    <row r="508" spans="17:100">
      <c r="Q508" t="s">
        <v>466</v>
      </c>
      <c r="R508" t="s">
        <v>489</v>
      </c>
      <c r="S508" t="s">
        <v>470</v>
      </c>
      <c r="T508">
        <f ca="1">OFFSET('Calculations 2'!$C$45,W508,X508)*OFFSET($M$6,W508,0)</f>
        <v>78.08558917184736</v>
      </c>
      <c r="V508">
        <f t="shared" si="23"/>
        <v>502</v>
      </c>
      <c r="W508">
        <f t="shared" si="24"/>
        <v>7</v>
      </c>
      <c r="X508">
        <f t="shared" si="25"/>
        <v>15</v>
      </c>
      <c r="AC508" t="s">
        <v>466</v>
      </c>
      <c r="AD508" t="s">
        <v>489</v>
      </c>
      <c r="AE508" t="s">
        <v>470</v>
      </c>
      <c r="AF508">
        <f ca="1">OFFSET('Calculations 2'!$CE$45,W508,0)*OFFSET($AA$6,X508,0)*OFFSET($M$6,W508,)</f>
        <v>0.37655944642690314</v>
      </c>
      <c r="AY508" t="s">
        <v>466</v>
      </c>
      <c r="AZ508" t="s">
        <v>489</v>
      </c>
      <c r="BA508" t="s">
        <v>470</v>
      </c>
      <c r="BB508">
        <v>0</v>
      </c>
      <c r="BE508" t="s">
        <v>466</v>
      </c>
      <c r="BF508" t="s">
        <v>489</v>
      </c>
      <c r="BG508" t="s">
        <v>470</v>
      </c>
      <c r="BH508">
        <v>0</v>
      </c>
      <c r="CT508" t="s">
        <v>466</v>
      </c>
      <c r="CU508" t="s">
        <v>470</v>
      </c>
      <c r="CV508">
        <f ca="1">OFFSET('Calculations 2'!$AJ$12,W508,X508)</f>
        <v>0</v>
      </c>
    </row>
    <row r="509" spans="17:100">
      <c r="Q509" t="s">
        <v>219</v>
      </c>
      <c r="R509" t="s">
        <v>489</v>
      </c>
      <c r="S509" t="s">
        <v>470</v>
      </c>
      <c r="T509">
        <f ca="1">OFFSET('Calculations 2'!$C$45,W509,X509)*OFFSET($M$6,W509,0)</f>
        <v>10.569975030130122</v>
      </c>
      <c r="V509">
        <f t="shared" si="23"/>
        <v>503</v>
      </c>
      <c r="W509">
        <f t="shared" si="24"/>
        <v>8</v>
      </c>
      <c r="X509">
        <f t="shared" si="25"/>
        <v>15</v>
      </c>
      <c r="AC509" t="s">
        <v>219</v>
      </c>
      <c r="AD509" t="s">
        <v>489</v>
      </c>
      <c r="AE509" t="s">
        <v>470</v>
      </c>
      <c r="AF509">
        <f ca="1">OFFSET('Calculations 2'!$CE$45,W509,0)*OFFSET($AA$6,X509,0)*OFFSET($M$6,W509,)</f>
        <v>2.3449126208782456</v>
      </c>
      <c r="AY509" t="s">
        <v>219</v>
      </c>
      <c r="AZ509" t="s">
        <v>489</v>
      </c>
      <c r="BA509" t="s">
        <v>470</v>
      </c>
      <c r="BB509">
        <v>0</v>
      </c>
      <c r="BE509" t="s">
        <v>219</v>
      </c>
      <c r="BF509" t="s">
        <v>489</v>
      </c>
      <c r="BG509" t="s">
        <v>470</v>
      </c>
      <c r="BH509">
        <v>0</v>
      </c>
      <c r="CT509" t="s">
        <v>219</v>
      </c>
      <c r="CU509" t="s">
        <v>470</v>
      </c>
      <c r="CV509">
        <f ca="1">OFFSET('Calculations 2'!$AJ$12,W509,X509)</f>
        <v>0</v>
      </c>
    </row>
    <row r="510" spans="17:100">
      <c r="Q510" t="s">
        <v>242</v>
      </c>
      <c r="R510" t="s">
        <v>489</v>
      </c>
      <c r="S510" t="s">
        <v>470</v>
      </c>
      <c r="T510">
        <f ca="1">OFFSET('Calculations 2'!$C$45,W510,X510)*OFFSET($M$6,W510,0)</f>
        <v>19.042817706218422</v>
      </c>
      <c r="V510">
        <f t="shared" si="23"/>
        <v>504</v>
      </c>
      <c r="W510">
        <f t="shared" si="24"/>
        <v>9</v>
      </c>
      <c r="X510">
        <f t="shared" si="25"/>
        <v>15</v>
      </c>
      <c r="AC510" t="s">
        <v>242</v>
      </c>
      <c r="AD510" t="s">
        <v>489</v>
      </c>
      <c r="AE510" t="s">
        <v>470</v>
      </c>
      <c r="AF510">
        <f ca="1">OFFSET('Calculations 2'!$CE$45,W510,0)*OFFSET($AA$6,X510,0)*OFFSET($M$6,W510,)</f>
        <v>3.6707345895208476</v>
      </c>
      <c r="AY510" t="s">
        <v>242</v>
      </c>
      <c r="AZ510" t="s">
        <v>489</v>
      </c>
      <c r="BA510" t="s">
        <v>470</v>
      </c>
      <c r="BB510">
        <v>0</v>
      </c>
      <c r="BE510" t="s">
        <v>242</v>
      </c>
      <c r="BF510" t="s">
        <v>489</v>
      </c>
      <c r="BG510" t="s">
        <v>470</v>
      </c>
      <c r="BH510">
        <v>0</v>
      </c>
      <c r="CT510" t="s">
        <v>242</v>
      </c>
      <c r="CU510" t="s">
        <v>470</v>
      </c>
      <c r="CV510">
        <f ca="1">OFFSET('Calculations 2'!$AJ$12,W510,X510)</f>
        <v>0</v>
      </c>
    </row>
    <row r="511" spans="17:100">
      <c r="Q511" t="s">
        <v>467</v>
      </c>
      <c r="R511" t="s">
        <v>489</v>
      </c>
      <c r="S511" t="s">
        <v>470</v>
      </c>
      <c r="T511">
        <f ca="1">OFFSET('Calculations 2'!$C$45,W511,X511)*OFFSET($M$6,W511,0)</f>
        <v>198.3679948711418</v>
      </c>
      <c r="V511">
        <f t="shared" si="23"/>
        <v>505</v>
      </c>
      <c r="W511">
        <f t="shared" si="24"/>
        <v>10</v>
      </c>
      <c r="X511">
        <f t="shared" si="25"/>
        <v>15</v>
      </c>
      <c r="AC511" t="s">
        <v>467</v>
      </c>
      <c r="AD511" t="s">
        <v>489</v>
      </c>
      <c r="AE511" t="s">
        <v>470</v>
      </c>
      <c r="AF511">
        <f ca="1">OFFSET('Calculations 2'!$CE$45,W511,0)*OFFSET($AA$6,X511,0)*OFFSET($M$6,W511,)</f>
        <v>3.400479334386191</v>
      </c>
      <c r="AY511" t="s">
        <v>467</v>
      </c>
      <c r="AZ511" t="s">
        <v>489</v>
      </c>
      <c r="BA511" t="s">
        <v>470</v>
      </c>
      <c r="BB511">
        <v>0</v>
      </c>
      <c r="BE511" t="s">
        <v>467</v>
      </c>
      <c r="BF511" t="s">
        <v>489</v>
      </c>
      <c r="BG511" t="s">
        <v>470</v>
      </c>
      <c r="BH511">
        <v>0</v>
      </c>
      <c r="CT511" t="s">
        <v>467</v>
      </c>
      <c r="CU511" t="s">
        <v>470</v>
      </c>
      <c r="CV511">
        <f ca="1">OFFSET('Calculations 2'!$AJ$12,W511,X511)</f>
        <v>0</v>
      </c>
    </row>
    <row r="512" spans="17:100">
      <c r="Q512" t="s">
        <v>231</v>
      </c>
      <c r="R512" t="s">
        <v>489</v>
      </c>
      <c r="S512" t="s">
        <v>470</v>
      </c>
      <c r="T512">
        <f ca="1">OFFSET('Calculations 2'!$C$45,W512,X512)*OFFSET($M$6,W512,0)</f>
        <v>548.73199141361999</v>
      </c>
      <c r="V512">
        <f t="shared" si="23"/>
        <v>506</v>
      </c>
      <c r="W512">
        <f t="shared" si="24"/>
        <v>11</v>
      </c>
      <c r="X512">
        <f t="shared" si="25"/>
        <v>15</v>
      </c>
      <c r="AC512" t="s">
        <v>231</v>
      </c>
      <c r="AD512" t="s">
        <v>489</v>
      </c>
      <c r="AE512" t="s">
        <v>470</v>
      </c>
      <c r="AF512">
        <f ca="1">OFFSET('Calculations 2'!$CE$45,W512,0)*OFFSET($AA$6,X512,0)*OFFSET($M$6,W512,)</f>
        <v>9.9458141335177057</v>
      </c>
      <c r="AY512" t="s">
        <v>231</v>
      </c>
      <c r="AZ512" t="s">
        <v>489</v>
      </c>
      <c r="BA512" t="s">
        <v>470</v>
      </c>
      <c r="BB512">
        <v>0</v>
      </c>
      <c r="BE512" t="s">
        <v>231</v>
      </c>
      <c r="BF512" t="s">
        <v>489</v>
      </c>
      <c r="BG512" t="s">
        <v>470</v>
      </c>
      <c r="BH512">
        <v>0</v>
      </c>
      <c r="CT512" t="s">
        <v>231</v>
      </c>
      <c r="CU512" t="s">
        <v>470</v>
      </c>
      <c r="CV512">
        <f ca="1">OFFSET('Calculations 2'!$AJ$12,W512,X512)</f>
        <v>0</v>
      </c>
    </row>
    <row r="513" spans="17:100">
      <c r="Q513" t="s">
        <v>468</v>
      </c>
      <c r="R513" t="s">
        <v>489</v>
      </c>
      <c r="S513" t="s">
        <v>470</v>
      </c>
      <c r="T513">
        <f ca="1">OFFSET('Calculations 2'!$C$45,W513,X513)*OFFSET($M$6,W513,0)</f>
        <v>24.985078294150863</v>
      </c>
      <c r="V513">
        <f t="shared" si="23"/>
        <v>507</v>
      </c>
      <c r="W513">
        <f t="shared" si="24"/>
        <v>12</v>
      </c>
      <c r="X513">
        <f t="shared" si="25"/>
        <v>15</v>
      </c>
      <c r="AC513" t="s">
        <v>468</v>
      </c>
      <c r="AD513" t="s">
        <v>489</v>
      </c>
      <c r="AE513" t="s">
        <v>470</v>
      </c>
      <c r="AF513">
        <f ca="1">OFFSET('Calculations 2'!$CE$45,W513,0)*OFFSET($AA$6,X513,0)*OFFSET($M$6,W513,)</f>
        <v>14.39578201096054</v>
      </c>
      <c r="AY513" t="s">
        <v>468</v>
      </c>
      <c r="AZ513" t="s">
        <v>489</v>
      </c>
      <c r="BA513" t="s">
        <v>470</v>
      </c>
      <c r="BB513">
        <v>0</v>
      </c>
      <c r="BE513" t="s">
        <v>468</v>
      </c>
      <c r="BF513" t="s">
        <v>489</v>
      </c>
      <c r="BG513" t="s">
        <v>470</v>
      </c>
      <c r="BH513">
        <v>0</v>
      </c>
      <c r="CT513" t="s">
        <v>468</v>
      </c>
      <c r="CU513" t="s">
        <v>470</v>
      </c>
      <c r="CV513">
        <f ca="1">OFFSET('Calculations 2'!$AJ$12,W513,X513)</f>
        <v>0</v>
      </c>
    </row>
    <row r="514" spans="17:100">
      <c r="Q514" t="s">
        <v>469</v>
      </c>
      <c r="R514" t="s">
        <v>489</v>
      </c>
      <c r="S514" t="s">
        <v>470</v>
      </c>
      <c r="T514">
        <f ca="1">OFFSET('Calculations 2'!$C$45,W514,X514)*OFFSET($M$6,W514,0)</f>
        <v>0.11485123299919255</v>
      </c>
      <c r="V514">
        <f t="shared" si="23"/>
        <v>508</v>
      </c>
      <c r="W514">
        <f t="shared" si="24"/>
        <v>13</v>
      </c>
      <c r="X514">
        <f t="shared" si="25"/>
        <v>15</v>
      </c>
      <c r="AC514" t="s">
        <v>469</v>
      </c>
      <c r="AD514" t="s">
        <v>489</v>
      </c>
      <c r="AE514" t="s">
        <v>470</v>
      </c>
      <c r="AF514">
        <f ca="1">OFFSET('Calculations 2'!$CE$45,W514,0)*OFFSET($AA$6,X514,0)*OFFSET($M$6,W514,)</f>
        <v>2.9946350048069066</v>
      </c>
      <c r="AY514" t="s">
        <v>469</v>
      </c>
      <c r="AZ514" t="s">
        <v>489</v>
      </c>
      <c r="BA514" t="s">
        <v>470</v>
      </c>
      <c r="BB514">
        <v>0</v>
      </c>
      <c r="BE514" t="s">
        <v>469</v>
      </c>
      <c r="BF514" t="s">
        <v>489</v>
      </c>
      <c r="BG514" t="s">
        <v>470</v>
      </c>
      <c r="BH514">
        <v>0</v>
      </c>
      <c r="CT514" t="s">
        <v>469</v>
      </c>
      <c r="CU514" t="s">
        <v>470</v>
      </c>
      <c r="CV514">
        <f ca="1">OFFSET('Calculations 2'!$AJ$12,W514,X514)</f>
        <v>0</v>
      </c>
    </row>
    <row r="515" spans="17:100">
      <c r="Q515" t="s">
        <v>245</v>
      </c>
      <c r="R515" t="s">
        <v>489</v>
      </c>
      <c r="S515" t="s">
        <v>470</v>
      </c>
      <c r="T515">
        <f ca="1">OFFSET('Calculations 2'!$C$45,W515,X515)*OFFSET($M$6,W515,0)</f>
        <v>4.480027237060435</v>
      </c>
      <c r="V515">
        <f t="shared" si="23"/>
        <v>509</v>
      </c>
      <c r="W515">
        <f t="shared" si="24"/>
        <v>14</v>
      </c>
      <c r="X515">
        <f t="shared" si="25"/>
        <v>15</v>
      </c>
      <c r="AC515" t="s">
        <v>245</v>
      </c>
      <c r="AD515" t="s">
        <v>489</v>
      </c>
      <c r="AE515" t="s">
        <v>470</v>
      </c>
      <c r="AF515">
        <f ca="1">OFFSET('Calculations 2'!$CE$45,W515,0)*OFFSET($AA$6,X515,0)*OFFSET($M$6,W515,)</f>
        <v>4.3257741113786512</v>
      </c>
      <c r="AY515" t="s">
        <v>245</v>
      </c>
      <c r="AZ515" t="s">
        <v>489</v>
      </c>
      <c r="BA515" t="s">
        <v>470</v>
      </c>
      <c r="BB515">
        <v>0</v>
      </c>
      <c r="BE515" t="s">
        <v>245</v>
      </c>
      <c r="BF515" t="s">
        <v>489</v>
      </c>
      <c r="BG515" t="s">
        <v>470</v>
      </c>
      <c r="BH515">
        <v>0</v>
      </c>
      <c r="CT515" t="s">
        <v>245</v>
      </c>
      <c r="CU515" t="s">
        <v>470</v>
      </c>
      <c r="CV515">
        <f ca="1">OFFSET('Calculations 2'!$AJ$12,W515,X515)</f>
        <v>0</v>
      </c>
    </row>
    <row r="516" spans="17:100">
      <c r="Q516" t="s">
        <v>470</v>
      </c>
      <c r="R516" t="s">
        <v>489</v>
      </c>
      <c r="S516" t="s">
        <v>470</v>
      </c>
      <c r="T516">
        <f ca="1">OFFSET('Calculations 2'!$C$45,W516,X516)*OFFSET($M$6,W516,0)</f>
        <v>152.67388829200954</v>
      </c>
      <c r="V516">
        <f t="shared" si="23"/>
        <v>510</v>
      </c>
      <c r="W516">
        <f t="shared" si="24"/>
        <v>15</v>
      </c>
      <c r="X516">
        <f t="shared" si="25"/>
        <v>15</v>
      </c>
      <c r="AC516" t="s">
        <v>470</v>
      </c>
      <c r="AD516" t="s">
        <v>489</v>
      </c>
      <c r="AE516" t="s">
        <v>470</v>
      </c>
      <c r="AF516">
        <f ca="1">OFFSET('Calculations 2'!$CE$45,W516,0)*OFFSET($AA$6,X516,0)*OFFSET($M$6,W516,)</f>
        <v>11.77880249652895</v>
      </c>
      <c r="AY516" t="s">
        <v>470</v>
      </c>
      <c r="AZ516" t="s">
        <v>489</v>
      </c>
      <c r="BA516" t="s">
        <v>470</v>
      </c>
      <c r="BB516">
        <v>0</v>
      </c>
      <c r="BE516" t="s">
        <v>470</v>
      </c>
      <c r="BF516" t="s">
        <v>489</v>
      </c>
      <c r="BG516" t="s">
        <v>470</v>
      </c>
      <c r="BH516">
        <v>0</v>
      </c>
      <c r="CT516" t="s">
        <v>470</v>
      </c>
      <c r="CU516" t="s">
        <v>470</v>
      </c>
      <c r="CV516">
        <f ca="1">OFFSET('Calculations 2'!$AJ$12,W516,X516)</f>
        <v>13743.5</v>
      </c>
    </row>
    <row r="517" spans="17:100">
      <c r="Q517" t="s">
        <v>471</v>
      </c>
      <c r="R517" t="s">
        <v>489</v>
      </c>
      <c r="S517" t="s">
        <v>470</v>
      </c>
      <c r="T517">
        <f ca="1">OFFSET('Calculations 2'!$C$45,W517,X517)*OFFSET($M$6,W517,0)</f>
        <v>341.59265598446012</v>
      </c>
      <c r="V517">
        <f t="shared" si="23"/>
        <v>511</v>
      </c>
      <c r="W517">
        <f t="shared" si="24"/>
        <v>16</v>
      </c>
      <c r="X517">
        <f t="shared" si="25"/>
        <v>15</v>
      </c>
      <c r="AC517" t="s">
        <v>471</v>
      </c>
      <c r="AD517" t="s">
        <v>489</v>
      </c>
      <c r="AE517" t="s">
        <v>470</v>
      </c>
      <c r="AF517">
        <f ca="1">OFFSET('Calculations 2'!$CE$45,W517,0)*OFFSET($AA$6,X517,0)*OFFSET($M$6,W517,)</f>
        <v>0</v>
      </c>
      <c r="AY517" t="s">
        <v>471</v>
      </c>
      <c r="AZ517" t="s">
        <v>489</v>
      </c>
      <c r="BA517" t="s">
        <v>470</v>
      </c>
      <c r="BB517">
        <v>0</v>
      </c>
      <c r="BE517" t="s">
        <v>471</v>
      </c>
      <c r="BF517" t="s">
        <v>489</v>
      </c>
      <c r="BG517" t="s">
        <v>470</v>
      </c>
      <c r="BH517">
        <v>0</v>
      </c>
      <c r="CT517" t="s">
        <v>471</v>
      </c>
      <c r="CU517" t="s">
        <v>470</v>
      </c>
      <c r="CV517">
        <f ca="1">OFFSET('Calculations 2'!$AJ$12,W517,X517)</f>
        <v>0</v>
      </c>
    </row>
    <row r="518" spans="17:100">
      <c r="Q518" t="s">
        <v>221</v>
      </c>
      <c r="R518" t="s">
        <v>489</v>
      </c>
      <c r="S518" t="s">
        <v>470</v>
      </c>
      <c r="T518">
        <f ca="1">OFFSET('Calculations 2'!$C$45,W518,X518)*OFFSET($M$6,W518,0)</f>
        <v>655.10484816641292</v>
      </c>
      <c r="V518">
        <f t="shared" si="23"/>
        <v>512</v>
      </c>
      <c r="W518">
        <f t="shared" si="24"/>
        <v>17</v>
      </c>
      <c r="X518">
        <f t="shared" si="25"/>
        <v>15</v>
      </c>
      <c r="AC518" t="s">
        <v>221</v>
      </c>
      <c r="AD518" t="s">
        <v>489</v>
      </c>
      <c r="AE518" t="s">
        <v>470</v>
      </c>
      <c r="AF518">
        <f ca="1">OFFSET('Calculations 2'!$CE$45,W518,0)*OFFSET($AA$6,X518,0)*OFFSET($M$6,W518,)</f>
        <v>391.27344949114166</v>
      </c>
      <c r="AY518" t="s">
        <v>221</v>
      </c>
      <c r="AZ518" t="s">
        <v>489</v>
      </c>
      <c r="BA518" t="s">
        <v>470</v>
      </c>
      <c r="BB518">
        <v>0</v>
      </c>
      <c r="BE518" t="s">
        <v>221</v>
      </c>
      <c r="BF518" t="s">
        <v>489</v>
      </c>
      <c r="BG518" t="s">
        <v>470</v>
      </c>
      <c r="BH518">
        <v>0</v>
      </c>
      <c r="CT518" t="s">
        <v>221</v>
      </c>
      <c r="CU518" t="s">
        <v>470</v>
      </c>
      <c r="CV518">
        <f ca="1">OFFSET('Calculations 2'!$AJ$12,W518,X518)</f>
        <v>0</v>
      </c>
    </row>
    <row r="519" spans="17:100">
      <c r="Q519" t="s">
        <v>244</v>
      </c>
      <c r="R519" t="s">
        <v>489</v>
      </c>
      <c r="S519" t="s">
        <v>470</v>
      </c>
      <c r="T519">
        <f ca="1">OFFSET('Calculations 2'!$C$45,W519,X519)*OFFSET($M$6,W519,0)</f>
        <v>1254.8435356747527</v>
      </c>
      <c r="V519">
        <f t="shared" si="23"/>
        <v>513</v>
      </c>
      <c r="W519">
        <f t="shared" si="24"/>
        <v>18</v>
      </c>
      <c r="X519">
        <f t="shared" si="25"/>
        <v>15</v>
      </c>
      <c r="AC519" t="s">
        <v>244</v>
      </c>
      <c r="AD519" t="s">
        <v>489</v>
      </c>
      <c r="AE519" t="s">
        <v>470</v>
      </c>
      <c r="AF519">
        <f ca="1">OFFSET('Calculations 2'!$CE$45,W519,0)*OFFSET($AA$6,X519,0)*OFFSET($M$6,W519,)</f>
        <v>62.5620157048359</v>
      </c>
      <c r="AY519" t="s">
        <v>244</v>
      </c>
      <c r="AZ519" t="s">
        <v>489</v>
      </c>
      <c r="BA519" t="s">
        <v>470</v>
      </c>
      <c r="BB519">
        <v>0</v>
      </c>
      <c r="BE519" t="s">
        <v>244</v>
      </c>
      <c r="BF519" t="s">
        <v>489</v>
      </c>
      <c r="BG519" t="s">
        <v>470</v>
      </c>
      <c r="BH519">
        <v>0</v>
      </c>
      <c r="CT519" t="s">
        <v>244</v>
      </c>
      <c r="CU519" t="s">
        <v>470</v>
      </c>
      <c r="CV519">
        <f ca="1">OFFSET('Calculations 2'!$AJ$12,W519,X519)</f>
        <v>0</v>
      </c>
    </row>
    <row r="520" spans="17:100">
      <c r="Q520" t="s">
        <v>472</v>
      </c>
      <c r="R520" t="s">
        <v>489</v>
      </c>
      <c r="S520" t="s">
        <v>470</v>
      </c>
      <c r="T520">
        <f ca="1">OFFSET('Calculations 2'!$C$45,W520,X520)*OFFSET($M$6,W520,0)</f>
        <v>0</v>
      </c>
      <c r="V520">
        <f t="shared" ref="V520:V583" si="26">V519+1</f>
        <v>514</v>
      </c>
      <c r="W520">
        <f t="shared" ref="W520:W583" si="27">MOD(V520,$V$3)</f>
        <v>19</v>
      </c>
      <c r="X520">
        <f t="shared" ref="X520:X583" si="28">FLOOR(V520/$V$3,1)</f>
        <v>15</v>
      </c>
      <c r="AC520" t="s">
        <v>472</v>
      </c>
      <c r="AD520" t="s">
        <v>489</v>
      </c>
      <c r="AE520" t="s">
        <v>470</v>
      </c>
      <c r="AF520">
        <f ca="1">OFFSET('Calculations 2'!$CE$45,W520,0)*OFFSET($AA$6,X520,0)*OFFSET($M$6,W520,)</f>
        <v>0</v>
      </c>
      <c r="AY520" t="s">
        <v>472</v>
      </c>
      <c r="AZ520" t="s">
        <v>489</v>
      </c>
      <c r="BA520" t="s">
        <v>470</v>
      </c>
      <c r="BB520">
        <v>0</v>
      </c>
      <c r="BE520" t="s">
        <v>472</v>
      </c>
      <c r="BF520" t="s">
        <v>489</v>
      </c>
      <c r="BG520" t="s">
        <v>470</v>
      </c>
      <c r="BH520">
        <v>0</v>
      </c>
      <c r="CT520" t="s">
        <v>472</v>
      </c>
      <c r="CU520" t="s">
        <v>470</v>
      </c>
      <c r="CV520">
        <f ca="1">OFFSET('Calculations 2'!$AJ$12,W520,X520)</f>
        <v>0</v>
      </c>
    </row>
    <row r="521" spans="17:100">
      <c r="Q521" t="s">
        <v>238</v>
      </c>
      <c r="R521" t="s">
        <v>489</v>
      </c>
      <c r="S521" t="s">
        <v>470</v>
      </c>
      <c r="T521">
        <f ca="1">OFFSET('Calculations 2'!$C$45,W521,X521)*OFFSET($M$6,W521,0)</f>
        <v>12.120384331813595</v>
      </c>
      <c r="V521">
        <f t="shared" si="26"/>
        <v>515</v>
      </c>
      <c r="W521">
        <f t="shared" si="27"/>
        <v>20</v>
      </c>
      <c r="X521">
        <f t="shared" si="28"/>
        <v>15</v>
      </c>
      <c r="AC521" t="s">
        <v>238</v>
      </c>
      <c r="AD521" t="s">
        <v>489</v>
      </c>
      <c r="AE521" t="s">
        <v>470</v>
      </c>
      <c r="AF521">
        <f ca="1">OFFSET('Calculations 2'!$CE$45,W521,0)*OFFSET($AA$6,X521,0)*OFFSET($M$6,W521,)</f>
        <v>0</v>
      </c>
      <c r="AY521" t="s">
        <v>238</v>
      </c>
      <c r="AZ521" t="s">
        <v>489</v>
      </c>
      <c r="BA521" t="s">
        <v>470</v>
      </c>
      <c r="BB521">
        <v>0</v>
      </c>
      <c r="BE521" t="s">
        <v>238</v>
      </c>
      <c r="BF521" t="s">
        <v>489</v>
      </c>
      <c r="BG521" t="s">
        <v>470</v>
      </c>
      <c r="BH521">
        <v>0</v>
      </c>
      <c r="CT521" t="s">
        <v>238</v>
      </c>
      <c r="CU521" t="s">
        <v>470</v>
      </c>
      <c r="CV521">
        <f ca="1">OFFSET('Calculations 2'!$AJ$12,W521,X521)</f>
        <v>0</v>
      </c>
    </row>
    <row r="522" spans="17:100">
      <c r="Q522" t="s">
        <v>247</v>
      </c>
      <c r="R522" t="s">
        <v>489</v>
      </c>
      <c r="S522" t="s">
        <v>470</v>
      </c>
      <c r="T522">
        <f ca="1">OFFSET('Calculations 2'!$C$45,W522,X522)*OFFSET($M$6,W522,0)</f>
        <v>0</v>
      </c>
      <c r="V522">
        <f t="shared" si="26"/>
        <v>516</v>
      </c>
      <c r="W522">
        <f t="shared" si="27"/>
        <v>21</v>
      </c>
      <c r="X522">
        <f t="shared" si="28"/>
        <v>15</v>
      </c>
      <c r="AC522" t="s">
        <v>247</v>
      </c>
      <c r="AD522" t="s">
        <v>489</v>
      </c>
      <c r="AE522" t="s">
        <v>470</v>
      </c>
      <c r="AF522">
        <f ca="1">OFFSET('Calculations 2'!$CE$45,W522,0)*OFFSET($AA$6,X522,0)*OFFSET($M$6,W522,)</f>
        <v>0</v>
      </c>
      <c r="AY522" t="s">
        <v>247</v>
      </c>
      <c r="AZ522" t="s">
        <v>489</v>
      </c>
      <c r="BA522" t="s">
        <v>470</v>
      </c>
      <c r="BB522">
        <v>0</v>
      </c>
      <c r="BE522" t="s">
        <v>247</v>
      </c>
      <c r="BF522" t="s">
        <v>489</v>
      </c>
      <c r="BG522" t="s">
        <v>470</v>
      </c>
      <c r="BH522">
        <v>0</v>
      </c>
      <c r="CT522" t="s">
        <v>247</v>
      </c>
      <c r="CU522" t="s">
        <v>470</v>
      </c>
      <c r="CV522">
        <f ca="1">OFFSET('Calculations 2'!$AJ$12,W522,X522)</f>
        <v>0</v>
      </c>
    </row>
    <row r="523" spans="17:100">
      <c r="Q523" t="s">
        <v>218</v>
      </c>
      <c r="R523" t="s">
        <v>489</v>
      </c>
      <c r="S523" t="s">
        <v>470</v>
      </c>
      <c r="T523">
        <f ca="1">OFFSET('Calculations 2'!$C$45,W523,X523)*OFFSET($M$6,W523,0)</f>
        <v>163.43244418978782</v>
      </c>
      <c r="V523">
        <f t="shared" si="26"/>
        <v>517</v>
      </c>
      <c r="W523">
        <f t="shared" si="27"/>
        <v>22</v>
      </c>
      <c r="X523">
        <f t="shared" si="28"/>
        <v>15</v>
      </c>
      <c r="AC523" t="s">
        <v>218</v>
      </c>
      <c r="AD523" t="s">
        <v>489</v>
      </c>
      <c r="AE523" t="s">
        <v>470</v>
      </c>
      <c r="AF523">
        <f ca="1">OFFSET('Calculations 2'!$CE$45,W523,0)*OFFSET($AA$6,X523,0)*OFFSET($M$6,W523,)</f>
        <v>0</v>
      </c>
      <c r="AY523" t="s">
        <v>218</v>
      </c>
      <c r="AZ523" t="s">
        <v>489</v>
      </c>
      <c r="BA523" t="s">
        <v>470</v>
      </c>
      <c r="BB523">
        <v>0</v>
      </c>
      <c r="BE523" t="s">
        <v>218</v>
      </c>
      <c r="BF523" t="s">
        <v>489</v>
      </c>
      <c r="BG523" t="s">
        <v>470</v>
      </c>
      <c r="BH523">
        <v>0</v>
      </c>
      <c r="CT523" t="s">
        <v>218</v>
      </c>
      <c r="CU523" t="s">
        <v>470</v>
      </c>
      <c r="CV523">
        <f ca="1">OFFSET('Calculations 2'!$AJ$12,W523,X523)</f>
        <v>0</v>
      </c>
    </row>
    <row r="524" spans="17:100">
      <c r="Q524" t="s">
        <v>257</v>
      </c>
      <c r="R524" t="s">
        <v>489</v>
      </c>
      <c r="S524" t="s">
        <v>470</v>
      </c>
      <c r="T524">
        <f ca="1">OFFSET('Calculations 2'!$C$45,W524,X524)*OFFSET($M$6,W524,0)</f>
        <v>114.5796481116484</v>
      </c>
      <c r="V524">
        <f t="shared" si="26"/>
        <v>518</v>
      </c>
      <c r="W524">
        <f t="shared" si="27"/>
        <v>23</v>
      </c>
      <c r="X524">
        <f t="shared" si="28"/>
        <v>15</v>
      </c>
      <c r="AC524" t="s">
        <v>257</v>
      </c>
      <c r="AD524" t="s">
        <v>489</v>
      </c>
      <c r="AE524" t="s">
        <v>470</v>
      </c>
      <c r="AF524">
        <f ca="1">OFFSET('Calculations 2'!$CE$45,W524,0)*OFFSET($AA$6,X524,0)*OFFSET($M$6,W524,)</f>
        <v>0</v>
      </c>
      <c r="AY524" t="s">
        <v>257</v>
      </c>
      <c r="AZ524" t="s">
        <v>489</v>
      </c>
      <c r="BA524" t="s">
        <v>470</v>
      </c>
      <c r="BB524">
        <v>0</v>
      </c>
      <c r="BE524" t="s">
        <v>257</v>
      </c>
      <c r="BF524" t="s">
        <v>489</v>
      </c>
      <c r="BG524" t="s">
        <v>470</v>
      </c>
      <c r="BH524">
        <v>0</v>
      </c>
      <c r="CT524" t="s">
        <v>257</v>
      </c>
      <c r="CU524" t="s">
        <v>470</v>
      </c>
      <c r="CV524">
        <f ca="1">OFFSET('Calculations 2'!$AJ$12,W524,X524)</f>
        <v>0</v>
      </c>
    </row>
    <row r="525" spans="17:100">
      <c r="Q525" t="s">
        <v>220</v>
      </c>
      <c r="R525" t="s">
        <v>489</v>
      </c>
      <c r="S525" t="s">
        <v>470</v>
      </c>
      <c r="T525">
        <f ca="1">OFFSET('Calculations 2'!$C$45,W525,X525)*OFFSET($M$6,W525,0)</f>
        <v>41.932134067556802</v>
      </c>
      <c r="V525">
        <f t="shared" si="26"/>
        <v>519</v>
      </c>
      <c r="W525">
        <f t="shared" si="27"/>
        <v>24</v>
      </c>
      <c r="X525">
        <f t="shared" si="28"/>
        <v>15</v>
      </c>
      <c r="AC525" t="s">
        <v>220</v>
      </c>
      <c r="AD525" t="s">
        <v>489</v>
      </c>
      <c r="AE525" t="s">
        <v>470</v>
      </c>
      <c r="AF525">
        <f ca="1">OFFSET('Calculations 2'!$CE$45,W525,0)*OFFSET($AA$6,X525,0)*OFFSET($M$6,W525,)</f>
        <v>0</v>
      </c>
      <c r="AY525" t="s">
        <v>220</v>
      </c>
      <c r="AZ525" t="s">
        <v>489</v>
      </c>
      <c r="BA525" t="s">
        <v>470</v>
      </c>
      <c r="BB525">
        <v>0</v>
      </c>
      <c r="BE525" t="s">
        <v>220</v>
      </c>
      <c r="BF525" t="s">
        <v>489</v>
      </c>
      <c r="BG525" t="s">
        <v>470</v>
      </c>
      <c r="BH525">
        <v>0</v>
      </c>
      <c r="CT525" t="s">
        <v>220</v>
      </c>
      <c r="CU525" t="s">
        <v>470</v>
      </c>
      <c r="CV525">
        <f ca="1">OFFSET('Calculations 2'!$AJ$12,W525,X525)</f>
        <v>0</v>
      </c>
    </row>
    <row r="526" spans="17:100">
      <c r="Q526" t="s">
        <v>235</v>
      </c>
      <c r="R526" t="s">
        <v>489</v>
      </c>
      <c r="S526" t="s">
        <v>470</v>
      </c>
      <c r="T526">
        <f ca="1">OFFSET('Calculations 2'!$C$45,W526,X526)*OFFSET($M$6,W526,0)</f>
        <v>307.87543241798369</v>
      </c>
      <c r="V526">
        <f t="shared" si="26"/>
        <v>520</v>
      </c>
      <c r="W526">
        <f t="shared" si="27"/>
        <v>25</v>
      </c>
      <c r="X526">
        <f t="shared" si="28"/>
        <v>15</v>
      </c>
      <c r="AC526" t="s">
        <v>235</v>
      </c>
      <c r="AD526" t="s">
        <v>489</v>
      </c>
      <c r="AE526" t="s">
        <v>470</v>
      </c>
      <c r="AF526">
        <f ca="1">OFFSET('Calculations 2'!$CE$45,W526,0)*OFFSET($AA$6,X526,0)*OFFSET($M$6,W526,)</f>
        <v>0</v>
      </c>
      <c r="AY526" t="s">
        <v>235</v>
      </c>
      <c r="AZ526" t="s">
        <v>489</v>
      </c>
      <c r="BA526" t="s">
        <v>470</v>
      </c>
      <c r="BB526">
        <v>0</v>
      </c>
      <c r="BE526" t="s">
        <v>235</v>
      </c>
      <c r="BF526" t="s">
        <v>489</v>
      </c>
      <c r="BG526" t="s">
        <v>470</v>
      </c>
      <c r="BH526">
        <v>0</v>
      </c>
      <c r="CT526" t="s">
        <v>235</v>
      </c>
      <c r="CU526" t="s">
        <v>470</v>
      </c>
      <c r="CV526">
        <f ca="1">OFFSET('Calculations 2'!$AJ$12,W526,X526)</f>
        <v>0</v>
      </c>
    </row>
    <row r="527" spans="17:100">
      <c r="Q527" t="s">
        <v>473</v>
      </c>
      <c r="R527" t="s">
        <v>489</v>
      </c>
      <c r="S527" t="s">
        <v>470</v>
      </c>
      <c r="T527">
        <f ca="1">OFFSET('Calculations 2'!$C$45,W527,X527)*OFFSET($M$6,W527,0)</f>
        <v>175.82838243353811</v>
      </c>
      <c r="V527">
        <f t="shared" si="26"/>
        <v>521</v>
      </c>
      <c r="W527">
        <f t="shared" si="27"/>
        <v>26</v>
      </c>
      <c r="X527">
        <f t="shared" si="28"/>
        <v>15</v>
      </c>
      <c r="AC527" t="s">
        <v>473</v>
      </c>
      <c r="AD527" t="s">
        <v>489</v>
      </c>
      <c r="AE527" t="s">
        <v>470</v>
      </c>
      <c r="AF527">
        <f ca="1">OFFSET('Calculations 2'!$CE$45,W527,0)*OFFSET($AA$6,X527,0)*OFFSET($M$6,W527,)</f>
        <v>0</v>
      </c>
      <c r="AY527" t="s">
        <v>473</v>
      </c>
      <c r="AZ527" t="s">
        <v>489</v>
      </c>
      <c r="BA527" t="s">
        <v>470</v>
      </c>
      <c r="BB527">
        <v>0</v>
      </c>
      <c r="BE527" t="s">
        <v>473</v>
      </c>
      <c r="BF527" t="s">
        <v>489</v>
      </c>
      <c r="BG527" t="s">
        <v>470</v>
      </c>
      <c r="BH527">
        <v>0</v>
      </c>
      <c r="CT527" t="s">
        <v>473</v>
      </c>
      <c r="CU527" t="s">
        <v>470</v>
      </c>
      <c r="CV527">
        <f ca="1">OFFSET('Calculations 2'!$AJ$12,W527,X527)</f>
        <v>0</v>
      </c>
    </row>
    <row r="528" spans="17:100">
      <c r="Q528" t="s">
        <v>233</v>
      </c>
      <c r="R528" t="s">
        <v>489</v>
      </c>
      <c r="S528" t="s">
        <v>470</v>
      </c>
      <c r="T528">
        <f ca="1">OFFSET('Calculations 2'!$C$45,W528,X528)*OFFSET($M$6,W528,0)</f>
        <v>239.3594980908131</v>
      </c>
      <c r="V528">
        <f t="shared" si="26"/>
        <v>522</v>
      </c>
      <c r="W528">
        <f t="shared" si="27"/>
        <v>27</v>
      </c>
      <c r="X528">
        <f t="shared" si="28"/>
        <v>15</v>
      </c>
      <c r="AC528" t="s">
        <v>233</v>
      </c>
      <c r="AD528" t="s">
        <v>489</v>
      </c>
      <c r="AE528" t="s">
        <v>470</v>
      </c>
      <c r="AF528">
        <f ca="1">OFFSET('Calculations 2'!$CE$45,W528,0)*OFFSET($AA$6,X528,0)*OFFSET($M$6,W528,)</f>
        <v>0</v>
      </c>
      <c r="AY528" t="s">
        <v>233</v>
      </c>
      <c r="AZ528" t="s">
        <v>489</v>
      </c>
      <c r="BA528" t="s">
        <v>470</v>
      </c>
      <c r="BB528">
        <v>0</v>
      </c>
      <c r="BE528" t="s">
        <v>233</v>
      </c>
      <c r="BF528" t="s">
        <v>489</v>
      </c>
      <c r="BG528" t="s">
        <v>470</v>
      </c>
      <c r="BH528">
        <v>0</v>
      </c>
      <c r="CT528" t="s">
        <v>233</v>
      </c>
      <c r="CU528" t="s">
        <v>470</v>
      </c>
      <c r="CV528">
        <f ca="1">OFFSET('Calculations 2'!$AJ$12,W528,X528)</f>
        <v>0</v>
      </c>
    </row>
    <row r="529" spans="17:100">
      <c r="Q529" t="s">
        <v>474</v>
      </c>
      <c r="R529" t="s">
        <v>489</v>
      </c>
      <c r="S529" t="s">
        <v>470</v>
      </c>
      <c r="T529">
        <f ca="1">OFFSET('Calculations 2'!$C$45,W529,X529)*OFFSET($M$6,W529,0)</f>
        <v>117.96696602865548</v>
      </c>
      <c r="V529">
        <f t="shared" si="26"/>
        <v>523</v>
      </c>
      <c r="W529">
        <f t="shared" si="27"/>
        <v>28</v>
      </c>
      <c r="X529">
        <f t="shared" si="28"/>
        <v>15</v>
      </c>
      <c r="AC529" t="s">
        <v>474</v>
      </c>
      <c r="AD529" t="s">
        <v>489</v>
      </c>
      <c r="AE529" t="s">
        <v>470</v>
      </c>
      <c r="AF529">
        <f ca="1">OFFSET('Calculations 2'!$CE$45,W529,0)*OFFSET($AA$6,X529,0)*OFFSET($M$6,W529,)</f>
        <v>0</v>
      </c>
      <c r="AY529" t="s">
        <v>474</v>
      </c>
      <c r="AZ529" t="s">
        <v>489</v>
      </c>
      <c r="BA529" t="s">
        <v>470</v>
      </c>
      <c r="BB529">
        <v>0</v>
      </c>
      <c r="BE529" t="s">
        <v>474</v>
      </c>
      <c r="BF529" t="s">
        <v>489</v>
      </c>
      <c r="BG529" t="s">
        <v>470</v>
      </c>
      <c r="BH529">
        <v>0</v>
      </c>
      <c r="CT529" t="s">
        <v>474</v>
      </c>
      <c r="CU529" t="s">
        <v>470</v>
      </c>
      <c r="CV529">
        <f ca="1">OFFSET('Calculations 2'!$AJ$12,W529,X529)</f>
        <v>0</v>
      </c>
    </row>
    <row r="530" spans="17:100">
      <c r="Q530" t="s">
        <v>223</v>
      </c>
      <c r="R530" t="s">
        <v>489</v>
      </c>
      <c r="S530" t="s">
        <v>470</v>
      </c>
      <c r="T530">
        <f ca="1">OFFSET('Calculations 2'!$C$45,W530,X530)*OFFSET($M$6,W530,0)</f>
        <v>37.250044212769076</v>
      </c>
      <c r="V530">
        <f t="shared" si="26"/>
        <v>524</v>
      </c>
      <c r="W530">
        <f t="shared" si="27"/>
        <v>29</v>
      </c>
      <c r="X530">
        <f t="shared" si="28"/>
        <v>15</v>
      </c>
      <c r="AC530" t="s">
        <v>223</v>
      </c>
      <c r="AD530" t="s">
        <v>489</v>
      </c>
      <c r="AE530" t="s">
        <v>470</v>
      </c>
      <c r="AF530">
        <f ca="1">OFFSET('Calculations 2'!$CE$45,W530,0)*OFFSET($AA$6,X530,0)*OFFSET($M$6,W530,)</f>
        <v>0</v>
      </c>
      <c r="AY530" t="s">
        <v>223</v>
      </c>
      <c r="AZ530" t="s">
        <v>489</v>
      </c>
      <c r="BA530" t="s">
        <v>470</v>
      </c>
      <c r="BB530">
        <v>0</v>
      </c>
      <c r="BE530" t="s">
        <v>223</v>
      </c>
      <c r="BF530" t="s">
        <v>489</v>
      </c>
      <c r="BG530" t="s">
        <v>470</v>
      </c>
      <c r="BH530">
        <v>0</v>
      </c>
      <c r="CT530" t="s">
        <v>223</v>
      </c>
      <c r="CU530" t="s">
        <v>470</v>
      </c>
      <c r="CV530">
        <f ca="1">OFFSET('Calculations 2'!$AJ$12,W530,X530)</f>
        <v>0</v>
      </c>
    </row>
    <row r="531" spans="17:100">
      <c r="Q531" t="s">
        <v>475</v>
      </c>
      <c r="R531" t="s">
        <v>489</v>
      </c>
      <c r="S531" t="s">
        <v>470</v>
      </c>
      <c r="T531">
        <f ca="1">OFFSET('Calculations 2'!$C$45,W531,X531)*OFFSET($M$6,W531,0)</f>
        <v>13.834189188027917</v>
      </c>
      <c r="V531">
        <f t="shared" si="26"/>
        <v>525</v>
      </c>
      <c r="W531">
        <f t="shared" si="27"/>
        <v>30</v>
      </c>
      <c r="X531">
        <f t="shared" si="28"/>
        <v>15</v>
      </c>
      <c r="AC531" t="s">
        <v>475</v>
      </c>
      <c r="AD531" t="s">
        <v>489</v>
      </c>
      <c r="AE531" t="s">
        <v>470</v>
      </c>
      <c r="AF531">
        <f ca="1">OFFSET('Calculations 2'!$CE$45,W531,0)*OFFSET($AA$6,X531,0)*OFFSET($M$6,W531,)</f>
        <v>0</v>
      </c>
      <c r="AY531" t="s">
        <v>475</v>
      </c>
      <c r="AZ531" t="s">
        <v>489</v>
      </c>
      <c r="BA531" t="s">
        <v>470</v>
      </c>
      <c r="BB531">
        <v>0</v>
      </c>
      <c r="BE531" t="s">
        <v>475</v>
      </c>
      <c r="BF531" t="s">
        <v>489</v>
      </c>
      <c r="BG531" t="s">
        <v>470</v>
      </c>
      <c r="BH531">
        <v>0</v>
      </c>
      <c r="CT531" t="s">
        <v>475</v>
      </c>
      <c r="CU531" t="s">
        <v>470</v>
      </c>
      <c r="CV531">
        <f ca="1">OFFSET('Calculations 2'!$AJ$12,W531,X531)</f>
        <v>0</v>
      </c>
    </row>
    <row r="532" spans="17:100">
      <c r="Q532" t="s">
        <v>476</v>
      </c>
      <c r="R532" t="s">
        <v>489</v>
      </c>
      <c r="S532" t="s">
        <v>470</v>
      </c>
      <c r="T532">
        <f ca="1">OFFSET('Calculations 2'!$C$45,W532,X532)*OFFSET($M$6,W532,0)</f>
        <v>3.9543550343142759</v>
      </c>
      <c r="V532">
        <f t="shared" si="26"/>
        <v>526</v>
      </c>
      <c r="W532">
        <f t="shared" si="27"/>
        <v>31</v>
      </c>
      <c r="X532">
        <f t="shared" si="28"/>
        <v>15</v>
      </c>
      <c r="AC532" t="s">
        <v>476</v>
      </c>
      <c r="AD532" t="s">
        <v>489</v>
      </c>
      <c r="AE532" t="s">
        <v>470</v>
      </c>
      <c r="AF532">
        <f ca="1">OFFSET('Calculations 2'!$CE$45,W532,0)*OFFSET($AA$6,X532,0)*OFFSET($M$6,W532,)</f>
        <v>0</v>
      </c>
      <c r="AY532" t="s">
        <v>476</v>
      </c>
      <c r="AZ532" t="s">
        <v>489</v>
      </c>
      <c r="BA532" t="s">
        <v>470</v>
      </c>
      <c r="BB532">
        <v>0</v>
      </c>
      <c r="BE532" t="s">
        <v>476</v>
      </c>
      <c r="BF532" t="s">
        <v>489</v>
      </c>
      <c r="BG532" t="s">
        <v>470</v>
      </c>
      <c r="BH532">
        <v>0</v>
      </c>
      <c r="CT532" t="s">
        <v>476</v>
      </c>
      <c r="CU532" t="s">
        <v>470</v>
      </c>
      <c r="CV532">
        <f ca="1">OFFSET('Calculations 2'!$AJ$12,W532,X532)</f>
        <v>0</v>
      </c>
    </row>
    <row r="533" spans="17:100">
      <c r="Q533" t="s">
        <v>222</v>
      </c>
      <c r="R533" t="s">
        <v>489</v>
      </c>
      <c r="S533" t="s">
        <v>470</v>
      </c>
      <c r="T533">
        <f ca="1">OFFSET('Calculations 2'!$C$45,W533,X533)*OFFSET($M$6,W533,0)</f>
        <v>0</v>
      </c>
      <c r="V533">
        <f t="shared" si="26"/>
        <v>527</v>
      </c>
      <c r="W533">
        <f t="shared" si="27"/>
        <v>32</v>
      </c>
      <c r="X533">
        <f t="shared" si="28"/>
        <v>15</v>
      </c>
      <c r="AC533" t="s">
        <v>222</v>
      </c>
      <c r="AD533" t="s">
        <v>489</v>
      </c>
      <c r="AE533" t="s">
        <v>470</v>
      </c>
      <c r="AF533">
        <f ca="1">OFFSET('Calculations 2'!$CE$45,W533,0)*OFFSET($AA$6,X533,0)*OFFSET($M$6,W533,)</f>
        <v>0</v>
      </c>
      <c r="AY533" t="s">
        <v>222</v>
      </c>
      <c r="AZ533" t="s">
        <v>489</v>
      </c>
      <c r="BA533" t="s">
        <v>470</v>
      </c>
      <c r="BB533">
        <v>0</v>
      </c>
      <c r="BE533" t="s">
        <v>222</v>
      </c>
      <c r="BF533" t="s">
        <v>489</v>
      </c>
      <c r="BG533" t="s">
        <v>470</v>
      </c>
      <c r="BH533">
        <v>0</v>
      </c>
      <c r="CT533" t="s">
        <v>222</v>
      </c>
      <c r="CU533" t="s">
        <v>470</v>
      </c>
      <c r="CV533">
        <f ca="1">OFFSET('Calculations 2'!$AJ$12,W533,X533)</f>
        <v>0</v>
      </c>
    </row>
    <row r="534" spans="17:100">
      <c r="Q534" t="s">
        <v>217</v>
      </c>
      <c r="R534" t="s">
        <v>489</v>
      </c>
      <c r="S534" t="s">
        <v>471</v>
      </c>
      <c r="T534">
        <f ca="1">OFFSET('Calculations 2'!$C$45,W534,X534)*OFFSET($M$6,W534,0)</f>
        <v>0</v>
      </c>
      <c r="V534">
        <f t="shared" si="26"/>
        <v>528</v>
      </c>
      <c r="W534">
        <f t="shared" si="27"/>
        <v>0</v>
      </c>
      <c r="X534">
        <f t="shared" si="28"/>
        <v>16</v>
      </c>
      <c r="AC534" t="s">
        <v>217</v>
      </c>
      <c r="AD534" t="s">
        <v>489</v>
      </c>
      <c r="AE534" t="s">
        <v>471</v>
      </c>
      <c r="AF534">
        <f ca="1">OFFSET('Calculations 2'!$CE$45,W534,0)*OFFSET($AA$6,X534,0)*OFFSET($M$6,W534,)</f>
        <v>1.3223686525618326</v>
      </c>
      <c r="AY534" t="s">
        <v>217</v>
      </c>
      <c r="AZ534" t="s">
        <v>489</v>
      </c>
      <c r="BA534" t="s">
        <v>471</v>
      </c>
      <c r="BB534">
        <v>0</v>
      </c>
      <c r="BE534" t="s">
        <v>217</v>
      </c>
      <c r="BF534" t="s">
        <v>489</v>
      </c>
      <c r="BG534" t="s">
        <v>471</v>
      </c>
      <c r="BH534">
        <v>0</v>
      </c>
      <c r="CT534" t="s">
        <v>217</v>
      </c>
      <c r="CU534" t="s">
        <v>471</v>
      </c>
      <c r="CV534">
        <f ca="1">OFFSET('Calculations 2'!$AJ$12,W534,X534)</f>
        <v>0</v>
      </c>
    </row>
    <row r="535" spans="17:100">
      <c r="Q535" t="s">
        <v>232</v>
      </c>
      <c r="R535" t="s">
        <v>489</v>
      </c>
      <c r="S535" t="s">
        <v>471</v>
      </c>
      <c r="T535">
        <f ca="1">OFFSET('Calculations 2'!$C$45,W535,X535)*OFFSET($M$6,W535,0)</f>
        <v>0</v>
      </c>
      <c r="V535">
        <f t="shared" si="26"/>
        <v>529</v>
      </c>
      <c r="W535">
        <f t="shared" si="27"/>
        <v>1</v>
      </c>
      <c r="X535">
        <f t="shared" si="28"/>
        <v>16</v>
      </c>
      <c r="AC535" t="s">
        <v>232</v>
      </c>
      <c r="AD535" t="s">
        <v>489</v>
      </c>
      <c r="AE535" t="s">
        <v>471</v>
      </c>
      <c r="AF535">
        <f ca="1">OFFSET('Calculations 2'!$CE$45,W535,0)*OFFSET($AA$6,X535,0)*OFFSET($M$6,W535,)</f>
        <v>2.3067639712841137</v>
      </c>
      <c r="AY535" t="s">
        <v>232</v>
      </c>
      <c r="AZ535" t="s">
        <v>489</v>
      </c>
      <c r="BA535" t="s">
        <v>471</v>
      </c>
      <c r="BB535">
        <v>0</v>
      </c>
      <c r="BE535" t="s">
        <v>232</v>
      </c>
      <c r="BF535" t="s">
        <v>489</v>
      </c>
      <c r="BG535" t="s">
        <v>471</v>
      </c>
      <c r="BH535">
        <v>0</v>
      </c>
      <c r="CT535" t="s">
        <v>232</v>
      </c>
      <c r="CU535" t="s">
        <v>471</v>
      </c>
      <c r="CV535">
        <f ca="1">OFFSET('Calculations 2'!$AJ$12,W535,X535)</f>
        <v>0</v>
      </c>
    </row>
    <row r="536" spans="17:100">
      <c r="Q536" t="s">
        <v>226</v>
      </c>
      <c r="R536" t="s">
        <v>489</v>
      </c>
      <c r="S536" t="s">
        <v>471</v>
      </c>
      <c r="T536">
        <f ca="1">OFFSET('Calculations 2'!$C$45,W536,X536)*OFFSET($M$6,W536,0)</f>
        <v>1.7404361637484728E-2</v>
      </c>
      <c r="V536">
        <f t="shared" si="26"/>
        <v>530</v>
      </c>
      <c r="W536">
        <f t="shared" si="27"/>
        <v>2</v>
      </c>
      <c r="X536">
        <f t="shared" si="28"/>
        <v>16</v>
      </c>
      <c r="AC536" t="s">
        <v>226</v>
      </c>
      <c r="AD536" t="s">
        <v>489</v>
      </c>
      <c r="AE536" t="s">
        <v>471</v>
      </c>
      <c r="AF536">
        <f ca="1">OFFSET('Calculations 2'!$CE$45,W536,0)*OFFSET($AA$6,X536,0)*OFFSET($M$6,W536,)</f>
        <v>3.8841047984599255</v>
      </c>
      <c r="AY536" t="s">
        <v>226</v>
      </c>
      <c r="AZ536" t="s">
        <v>489</v>
      </c>
      <c r="BA536" t="s">
        <v>471</v>
      </c>
      <c r="BB536">
        <v>0</v>
      </c>
      <c r="BE536" t="s">
        <v>226</v>
      </c>
      <c r="BF536" t="s">
        <v>489</v>
      </c>
      <c r="BG536" t="s">
        <v>471</v>
      </c>
      <c r="BH536">
        <v>0</v>
      </c>
      <c r="CT536" t="s">
        <v>226</v>
      </c>
      <c r="CU536" t="s">
        <v>471</v>
      </c>
      <c r="CV536">
        <f ca="1">OFFSET('Calculations 2'!$AJ$12,W536,X536)</f>
        <v>0</v>
      </c>
    </row>
    <row r="537" spans="17:100">
      <c r="Q537" t="s">
        <v>243</v>
      </c>
      <c r="R537" t="s">
        <v>489</v>
      </c>
      <c r="S537" t="s">
        <v>471</v>
      </c>
      <c r="T537">
        <f ca="1">OFFSET('Calculations 2'!$C$45,W537,X537)*OFFSET($M$6,W537,0)</f>
        <v>7.5391564101314382E-2</v>
      </c>
      <c r="V537">
        <f t="shared" si="26"/>
        <v>531</v>
      </c>
      <c r="W537">
        <f t="shared" si="27"/>
        <v>3</v>
      </c>
      <c r="X537">
        <f t="shared" si="28"/>
        <v>16</v>
      </c>
      <c r="AC537" t="s">
        <v>243</v>
      </c>
      <c r="AD537" t="s">
        <v>489</v>
      </c>
      <c r="AE537" t="s">
        <v>471</v>
      </c>
      <c r="AF537">
        <f ca="1">OFFSET('Calculations 2'!$CE$45,W537,0)*OFFSET($AA$6,X537,0)*OFFSET($M$6,W537,)</f>
        <v>20.23173915092385</v>
      </c>
      <c r="AY537" t="s">
        <v>243</v>
      </c>
      <c r="AZ537" t="s">
        <v>489</v>
      </c>
      <c r="BA537" t="s">
        <v>471</v>
      </c>
      <c r="BB537">
        <v>0</v>
      </c>
      <c r="BE537" t="s">
        <v>243</v>
      </c>
      <c r="BF537" t="s">
        <v>489</v>
      </c>
      <c r="BG537" t="s">
        <v>471</v>
      </c>
      <c r="BH537">
        <v>0</v>
      </c>
      <c r="CT537" t="s">
        <v>243</v>
      </c>
      <c r="CU537" t="s">
        <v>471</v>
      </c>
      <c r="CV537">
        <f ca="1">OFFSET('Calculations 2'!$AJ$12,W537,X537)</f>
        <v>0</v>
      </c>
    </row>
    <row r="538" spans="17:100">
      <c r="Q538" t="s">
        <v>228</v>
      </c>
      <c r="R538" t="s">
        <v>489</v>
      </c>
      <c r="S538" t="s">
        <v>471</v>
      </c>
      <c r="T538">
        <f ca="1">OFFSET('Calculations 2'!$C$45,W538,X538)*OFFSET($M$6,W538,0)</f>
        <v>0</v>
      </c>
      <c r="V538">
        <f t="shared" si="26"/>
        <v>532</v>
      </c>
      <c r="W538">
        <f t="shared" si="27"/>
        <v>4</v>
      </c>
      <c r="X538">
        <f t="shared" si="28"/>
        <v>16</v>
      </c>
      <c r="AC538" t="s">
        <v>228</v>
      </c>
      <c r="AD538" t="s">
        <v>489</v>
      </c>
      <c r="AE538" t="s">
        <v>471</v>
      </c>
      <c r="AF538">
        <f ca="1">OFFSET('Calculations 2'!$CE$45,W538,0)*OFFSET($AA$6,X538,0)*OFFSET($M$6,W538,)</f>
        <v>0.14355883139196096</v>
      </c>
      <c r="AY538" t="s">
        <v>228</v>
      </c>
      <c r="AZ538" t="s">
        <v>489</v>
      </c>
      <c r="BA538" t="s">
        <v>471</v>
      </c>
      <c r="BB538">
        <v>0</v>
      </c>
      <c r="BE538" t="s">
        <v>228</v>
      </c>
      <c r="BF538" t="s">
        <v>489</v>
      </c>
      <c r="BG538" t="s">
        <v>471</v>
      </c>
      <c r="BH538">
        <v>0</v>
      </c>
      <c r="CT538" t="s">
        <v>228</v>
      </c>
      <c r="CU538" t="s">
        <v>471</v>
      </c>
      <c r="CV538">
        <f ca="1">OFFSET('Calculations 2'!$AJ$12,W538,X538)</f>
        <v>0</v>
      </c>
    </row>
    <row r="539" spans="17:100">
      <c r="Q539" t="s">
        <v>246</v>
      </c>
      <c r="R539" t="s">
        <v>489</v>
      </c>
      <c r="S539" t="s">
        <v>471</v>
      </c>
      <c r="T539">
        <f ca="1">OFFSET('Calculations 2'!$C$45,W539,X539)*OFFSET($M$6,W539,0)</f>
        <v>0</v>
      </c>
      <c r="V539">
        <f t="shared" si="26"/>
        <v>533</v>
      </c>
      <c r="W539">
        <f t="shared" si="27"/>
        <v>5</v>
      </c>
      <c r="X539">
        <f t="shared" si="28"/>
        <v>16</v>
      </c>
      <c r="AC539" t="s">
        <v>246</v>
      </c>
      <c r="AD539" t="s">
        <v>489</v>
      </c>
      <c r="AE539" t="s">
        <v>471</v>
      </c>
      <c r="AF539">
        <f ca="1">OFFSET('Calculations 2'!$CE$45,W539,0)*OFFSET($AA$6,X539,0)*OFFSET($M$6,W539,)</f>
        <v>0.88374632094975658</v>
      </c>
      <c r="AY539" t="s">
        <v>246</v>
      </c>
      <c r="AZ539" t="s">
        <v>489</v>
      </c>
      <c r="BA539" t="s">
        <v>471</v>
      </c>
      <c r="BB539">
        <v>0</v>
      </c>
      <c r="BE539" t="s">
        <v>246</v>
      </c>
      <c r="BF539" t="s">
        <v>489</v>
      </c>
      <c r="BG539" t="s">
        <v>471</v>
      </c>
      <c r="BH539">
        <v>0</v>
      </c>
      <c r="CT539" t="s">
        <v>246</v>
      </c>
      <c r="CU539" t="s">
        <v>471</v>
      </c>
      <c r="CV539">
        <f ca="1">OFFSET('Calculations 2'!$AJ$12,W539,X539)</f>
        <v>0</v>
      </c>
    </row>
    <row r="540" spans="17:100">
      <c r="Q540" t="s">
        <v>239</v>
      </c>
      <c r="R540" t="s">
        <v>489</v>
      </c>
      <c r="S540" t="s">
        <v>471</v>
      </c>
      <c r="T540">
        <f ca="1">OFFSET('Calculations 2'!$C$45,W540,X540)*OFFSET($M$6,W540,0)</f>
        <v>2.9972487740095182</v>
      </c>
      <c r="V540">
        <f t="shared" si="26"/>
        <v>534</v>
      </c>
      <c r="W540">
        <f t="shared" si="27"/>
        <v>6</v>
      </c>
      <c r="X540">
        <f t="shared" si="28"/>
        <v>16</v>
      </c>
      <c r="AC540" t="s">
        <v>239</v>
      </c>
      <c r="AD540" t="s">
        <v>489</v>
      </c>
      <c r="AE540" t="s">
        <v>471</v>
      </c>
      <c r="AF540">
        <f ca="1">OFFSET('Calculations 2'!$CE$45,W540,0)*OFFSET($AA$6,X540,0)*OFFSET($M$6,W540,)</f>
        <v>17.688731557015114</v>
      </c>
      <c r="AY540" t="s">
        <v>239</v>
      </c>
      <c r="AZ540" t="s">
        <v>489</v>
      </c>
      <c r="BA540" t="s">
        <v>471</v>
      </c>
      <c r="BB540">
        <v>0</v>
      </c>
      <c r="BE540" t="s">
        <v>239</v>
      </c>
      <c r="BF540" t="s">
        <v>489</v>
      </c>
      <c r="BG540" t="s">
        <v>471</v>
      </c>
      <c r="BH540">
        <v>0</v>
      </c>
      <c r="CT540" t="s">
        <v>239</v>
      </c>
      <c r="CU540" t="s">
        <v>471</v>
      </c>
      <c r="CV540">
        <f ca="1">OFFSET('Calculations 2'!$AJ$12,W540,X540)</f>
        <v>0</v>
      </c>
    </row>
    <row r="541" spans="17:100">
      <c r="Q541" t="s">
        <v>466</v>
      </c>
      <c r="R541" t="s">
        <v>489</v>
      </c>
      <c r="S541" t="s">
        <v>471</v>
      </c>
      <c r="T541">
        <f ca="1">OFFSET('Calculations 2'!$C$45,W541,X541)*OFFSET($M$6,W541,0)</f>
        <v>4016.5551319311203</v>
      </c>
      <c r="V541">
        <f t="shared" si="26"/>
        <v>535</v>
      </c>
      <c r="W541">
        <f t="shared" si="27"/>
        <v>7</v>
      </c>
      <c r="X541">
        <f t="shared" si="28"/>
        <v>16</v>
      </c>
      <c r="AC541" t="s">
        <v>466</v>
      </c>
      <c r="AD541" t="s">
        <v>489</v>
      </c>
      <c r="AE541" t="s">
        <v>471</v>
      </c>
      <c r="AF541">
        <f ca="1">OFFSET('Calculations 2'!$CE$45,W541,0)*OFFSET($AA$6,X541,0)*OFFSET($M$6,W541,)</f>
        <v>2.6954203697388852</v>
      </c>
      <c r="AY541" t="s">
        <v>466</v>
      </c>
      <c r="AZ541" t="s">
        <v>489</v>
      </c>
      <c r="BA541" t="s">
        <v>471</v>
      </c>
      <c r="BB541">
        <v>0</v>
      </c>
      <c r="BE541" t="s">
        <v>466</v>
      </c>
      <c r="BF541" t="s">
        <v>489</v>
      </c>
      <c r="BG541" t="s">
        <v>471</v>
      </c>
      <c r="BH541">
        <v>0</v>
      </c>
      <c r="CT541" t="s">
        <v>466</v>
      </c>
      <c r="CU541" t="s">
        <v>471</v>
      </c>
      <c r="CV541">
        <f ca="1">OFFSET('Calculations 2'!$AJ$12,W541,X541)</f>
        <v>0</v>
      </c>
    </row>
    <row r="542" spans="17:100">
      <c r="Q542" t="s">
        <v>219</v>
      </c>
      <c r="R542" t="s">
        <v>489</v>
      </c>
      <c r="S542" t="s">
        <v>471</v>
      </c>
      <c r="T542">
        <f ca="1">OFFSET('Calculations 2'!$C$45,W542,X542)*OFFSET($M$6,W542,0)</f>
        <v>3.1001256680565077</v>
      </c>
      <c r="V542">
        <f t="shared" si="26"/>
        <v>536</v>
      </c>
      <c r="W542">
        <f t="shared" si="27"/>
        <v>8</v>
      </c>
      <c r="X542">
        <f t="shared" si="28"/>
        <v>16</v>
      </c>
      <c r="AC542" t="s">
        <v>219</v>
      </c>
      <c r="AD542" t="s">
        <v>489</v>
      </c>
      <c r="AE542" t="s">
        <v>471</v>
      </c>
      <c r="AF542">
        <f ca="1">OFFSET('Calculations 2'!$CE$45,W542,0)*OFFSET($AA$6,X542,0)*OFFSET($M$6,W542,)</f>
        <v>16.784933437594542</v>
      </c>
      <c r="AY542" t="s">
        <v>219</v>
      </c>
      <c r="AZ542" t="s">
        <v>489</v>
      </c>
      <c r="BA542" t="s">
        <v>471</v>
      </c>
      <c r="BB542">
        <v>0</v>
      </c>
      <c r="BE542" t="s">
        <v>219</v>
      </c>
      <c r="BF542" t="s">
        <v>489</v>
      </c>
      <c r="BG542" t="s">
        <v>471</v>
      </c>
      <c r="BH542">
        <v>0</v>
      </c>
      <c r="CT542" t="s">
        <v>219</v>
      </c>
      <c r="CU542" t="s">
        <v>471</v>
      </c>
      <c r="CV542">
        <f ca="1">OFFSET('Calculations 2'!$AJ$12,W542,X542)</f>
        <v>0</v>
      </c>
    </row>
    <row r="543" spans="17:100">
      <c r="Q543" t="s">
        <v>242</v>
      </c>
      <c r="R543" t="s">
        <v>489</v>
      </c>
      <c r="S543" t="s">
        <v>471</v>
      </c>
      <c r="T543">
        <f ca="1">OFFSET('Calculations 2'!$C$45,W543,X543)*OFFSET($M$6,W543,0)</f>
        <v>0.52264618951276376</v>
      </c>
      <c r="V543">
        <f t="shared" si="26"/>
        <v>537</v>
      </c>
      <c r="W543">
        <f t="shared" si="27"/>
        <v>9</v>
      </c>
      <c r="X543">
        <f t="shared" si="28"/>
        <v>16</v>
      </c>
      <c r="AC543" t="s">
        <v>242</v>
      </c>
      <c r="AD543" t="s">
        <v>489</v>
      </c>
      <c r="AE543" t="s">
        <v>471</v>
      </c>
      <c r="AF543">
        <f ca="1">OFFSET('Calculations 2'!$CE$45,W543,0)*OFFSET($AA$6,X543,0)*OFFSET($M$6,W543,)</f>
        <v>26.275194735873477</v>
      </c>
      <c r="AY543" t="s">
        <v>242</v>
      </c>
      <c r="AZ543" t="s">
        <v>489</v>
      </c>
      <c r="BA543" t="s">
        <v>471</v>
      </c>
      <c r="BB543">
        <v>0</v>
      </c>
      <c r="BE543" t="s">
        <v>242</v>
      </c>
      <c r="BF543" t="s">
        <v>489</v>
      </c>
      <c r="BG543" t="s">
        <v>471</v>
      </c>
      <c r="BH543">
        <v>0</v>
      </c>
      <c r="CT543" t="s">
        <v>242</v>
      </c>
      <c r="CU543" t="s">
        <v>471</v>
      </c>
      <c r="CV543">
        <f ca="1">OFFSET('Calculations 2'!$AJ$12,W543,X543)</f>
        <v>0</v>
      </c>
    </row>
    <row r="544" spans="17:100">
      <c r="Q544" t="s">
        <v>467</v>
      </c>
      <c r="R544" t="s">
        <v>489</v>
      </c>
      <c r="S544" t="s">
        <v>471</v>
      </c>
      <c r="T544">
        <f ca="1">OFFSET('Calculations 2'!$C$45,W544,X544)*OFFSET($M$6,W544,0)</f>
        <v>0</v>
      </c>
      <c r="V544">
        <f t="shared" si="26"/>
        <v>538</v>
      </c>
      <c r="W544">
        <f t="shared" si="27"/>
        <v>10</v>
      </c>
      <c r="X544">
        <f t="shared" si="28"/>
        <v>16</v>
      </c>
      <c r="AC544" t="s">
        <v>467</v>
      </c>
      <c r="AD544" t="s">
        <v>489</v>
      </c>
      <c r="AE544" t="s">
        <v>471</v>
      </c>
      <c r="AF544">
        <f ca="1">OFFSET('Calculations 2'!$CE$45,W544,0)*OFFSET($AA$6,X544,0)*OFFSET($M$6,W544,)</f>
        <v>24.340701984115256</v>
      </c>
      <c r="AY544" t="s">
        <v>467</v>
      </c>
      <c r="AZ544" t="s">
        <v>489</v>
      </c>
      <c r="BA544" t="s">
        <v>471</v>
      </c>
      <c r="BB544">
        <v>0</v>
      </c>
      <c r="BE544" t="s">
        <v>467</v>
      </c>
      <c r="BF544" t="s">
        <v>489</v>
      </c>
      <c r="BG544" t="s">
        <v>471</v>
      </c>
      <c r="BH544">
        <v>0</v>
      </c>
      <c r="CT544" t="s">
        <v>467</v>
      </c>
      <c r="CU544" t="s">
        <v>471</v>
      </c>
      <c r="CV544">
        <f ca="1">OFFSET('Calculations 2'!$AJ$12,W544,X544)</f>
        <v>0</v>
      </c>
    </row>
    <row r="545" spans="17:100">
      <c r="Q545" t="s">
        <v>231</v>
      </c>
      <c r="R545" t="s">
        <v>489</v>
      </c>
      <c r="S545" t="s">
        <v>471</v>
      </c>
      <c r="T545">
        <f ca="1">OFFSET('Calculations 2'!$C$45,W545,X545)*OFFSET($M$6,W545,0)</f>
        <v>8.5716108745720413E-5</v>
      </c>
      <c r="V545">
        <f t="shared" si="26"/>
        <v>539</v>
      </c>
      <c r="W545">
        <f t="shared" si="27"/>
        <v>11</v>
      </c>
      <c r="X545">
        <f t="shared" si="28"/>
        <v>16</v>
      </c>
      <c r="AC545" t="s">
        <v>231</v>
      </c>
      <c r="AD545" t="s">
        <v>489</v>
      </c>
      <c r="AE545" t="s">
        <v>471</v>
      </c>
      <c r="AF545">
        <f ca="1">OFFSET('Calculations 2'!$CE$45,W545,0)*OFFSET($AA$6,X545,0)*OFFSET($M$6,W545,)</f>
        <v>71.192344963053415</v>
      </c>
      <c r="AY545" t="s">
        <v>231</v>
      </c>
      <c r="AZ545" t="s">
        <v>489</v>
      </c>
      <c r="BA545" t="s">
        <v>471</v>
      </c>
      <c r="BB545">
        <v>0</v>
      </c>
      <c r="BE545" t="s">
        <v>231</v>
      </c>
      <c r="BF545" t="s">
        <v>489</v>
      </c>
      <c r="BG545" t="s">
        <v>471</v>
      </c>
      <c r="BH545">
        <v>0</v>
      </c>
      <c r="CT545" t="s">
        <v>231</v>
      </c>
      <c r="CU545" t="s">
        <v>471</v>
      </c>
      <c r="CV545">
        <f ca="1">OFFSET('Calculations 2'!$AJ$12,W545,X545)</f>
        <v>0</v>
      </c>
    </row>
    <row r="546" spans="17:100">
      <c r="Q546" t="s">
        <v>468</v>
      </c>
      <c r="R546" t="s">
        <v>489</v>
      </c>
      <c r="S546" t="s">
        <v>471</v>
      </c>
      <c r="T546">
        <f ca="1">OFFSET('Calculations 2'!$C$45,W546,X546)*OFFSET($M$6,W546,0)</f>
        <v>0.92136914638440837</v>
      </c>
      <c r="V546">
        <f t="shared" si="26"/>
        <v>540</v>
      </c>
      <c r="W546">
        <f t="shared" si="27"/>
        <v>12</v>
      </c>
      <c r="X546">
        <f t="shared" si="28"/>
        <v>16</v>
      </c>
      <c r="AC546" t="s">
        <v>468</v>
      </c>
      <c r="AD546" t="s">
        <v>489</v>
      </c>
      <c r="AE546" t="s">
        <v>471</v>
      </c>
      <c r="AF546">
        <f ca="1">OFFSET('Calculations 2'!$CE$45,W546,0)*OFFSET($AA$6,X546,0)*OFFSET($M$6,W546,)</f>
        <v>103.04530782285376</v>
      </c>
      <c r="AY546" t="s">
        <v>468</v>
      </c>
      <c r="AZ546" t="s">
        <v>489</v>
      </c>
      <c r="BA546" t="s">
        <v>471</v>
      </c>
      <c r="BB546">
        <v>0</v>
      </c>
      <c r="BE546" t="s">
        <v>468</v>
      </c>
      <c r="BF546" t="s">
        <v>489</v>
      </c>
      <c r="BG546" t="s">
        <v>471</v>
      </c>
      <c r="BH546">
        <v>0</v>
      </c>
      <c r="CT546" t="s">
        <v>468</v>
      </c>
      <c r="CU546" t="s">
        <v>471</v>
      </c>
      <c r="CV546">
        <f ca="1">OFFSET('Calculations 2'!$AJ$12,W546,X546)</f>
        <v>0</v>
      </c>
    </row>
    <row r="547" spans="17:100">
      <c r="Q547" t="s">
        <v>469</v>
      </c>
      <c r="R547" t="s">
        <v>489</v>
      </c>
      <c r="S547" t="s">
        <v>471</v>
      </c>
      <c r="T547">
        <f ca="1">OFFSET('Calculations 2'!$C$45,W547,X547)*OFFSET($M$6,W547,0)</f>
        <v>16.135381361312156</v>
      </c>
      <c r="V547">
        <f t="shared" si="26"/>
        <v>541</v>
      </c>
      <c r="W547">
        <f t="shared" si="27"/>
        <v>13</v>
      </c>
      <c r="X547">
        <f t="shared" si="28"/>
        <v>16</v>
      </c>
      <c r="AC547" t="s">
        <v>469</v>
      </c>
      <c r="AD547" t="s">
        <v>489</v>
      </c>
      <c r="AE547" t="s">
        <v>471</v>
      </c>
      <c r="AF547">
        <f ca="1">OFFSET('Calculations 2'!$CE$45,W547,0)*OFFSET($AA$6,X547,0)*OFFSET($M$6,W547,)</f>
        <v>21.435659810107879</v>
      </c>
      <c r="AY547" t="s">
        <v>469</v>
      </c>
      <c r="AZ547" t="s">
        <v>489</v>
      </c>
      <c r="BA547" t="s">
        <v>471</v>
      </c>
      <c r="BB547">
        <v>0</v>
      </c>
      <c r="BE547" t="s">
        <v>469</v>
      </c>
      <c r="BF547" t="s">
        <v>489</v>
      </c>
      <c r="BG547" t="s">
        <v>471</v>
      </c>
      <c r="BH547">
        <v>0</v>
      </c>
      <c r="CT547" t="s">
        <v>469</v>
      </c>
      <c r="CU547" t="s">
        <v>471</v>
      </c>
      <c r="CV547">
        <f ca="1">OFFSET('Calculations 2'!$AJ$12,W547,X547)</f>
        <v>0</v>
      </c>
    </row>
    <row r="548" spans="17:100">
      <c r="Q548" t="s">
        <v>245</v>
      </c>
      <c r="R548" t="s">
        <v>489</v>
      </c>
      <c r="S548" t="s">
        <v>471</v>
      </c>
      <c r="T548">
        <f ca="1">OFFSET('Calculations 2'!$C$45,W548,X548)*OFFSET($M$6,W548,0)</f>
        <v>0.42693771550652182</v>
      </c>
      <c r="V548">
        <f t="shared" si="26"/>
        <v>542</v>
      </c>
      <c r="W548">
        <f t="shared" si="27"/>
        <v>14</v>
      </c>
      <c r="X548">
        <f t="shared" si="28"/>
        <v>16</v>
      </c>
      <c r="AC548" t="s">
        <v>245</v>
      </c>
      <c r="AD548" t="s">
        <v>489</v>
      </c>
      <c r="AE548" t="s">
        <v>471</v>
      </c>
      <c r="AF548">
        <f ca="1">OFFSET('Calculations 2'!$CE$45,W548,0)*OFFSET($AA$6,X548,0)*OFFSET($M$6,W548,)</f>
        <v>30.963981292559367</v>
      </c>
      <c r="AY548" t="s">
        <v>245</v>
      </c>
      <c r="AZ548" t="s">
        <v>489</v>
      </c>
      <c r="BA548" t="s">
        <v>471</v>
      </c>
      <c r="BB548">
        <v>0</v>
      </c>
      <c r="BE548" t="s">
        <v>245</v>
      </c>
      <c r="BF548" t="s">
        <v>489</v>
      </c>
      <c r="BG548" t="s">
        <v>471</v>
      </c>
      <c r="BH548">
        <v>0</v>
      </c>
      <c r="CT548" t="s">
        <v>245</v>
      </c>
      <c r="CU548" t="s">
        <v>471</v>
      </c>
      <c r="CV548">
        <f ca="1">OFFSET('Calculations 2'!$AJ$12,W548,X548)</f>
        <v>0</v>
      </c>
    </row>
    <row r="549" spans="17:100">
      <c r="Q549" t="s">
        <v>470</v>
      </c>
      <c r="R549" t="s">
        <v>489</v>
      </c>
      <c r="S549" t="s">
        <v>471</v>
      </c>
      <c r="T549">
        <f ca="1">OFFSET('Calculations 2'!$C$45,W549,X549)*OFFSET($M$6,W549,0)</f>
        <v>54.25904799110895</v>
      </c>
      <c r="V549">
        <f t="shared" si="26"/>
        <v>543</v>
      </c>
      <c r="W549">
        <f t="shared" si="27"/>
        <v>15</v>
      </c>
      <c r="X549">
        <f t="shared" si="28"/>
        <v>16</v>
      </c>
      <c r="AC549" t="s">
        <v>470</v>
      </c>
      <c r="AD549" t="s">
        <v>489</v>
      </c>
      <c r="AE549" t="s">
        <v>471</v>
      </c>
      <c r="AF549">
        <f ca="1">OFFSET('Calculations 2'!$CE$45,W549,0)*OFFSET($AA$6,X549,0)*OFFSET($M$6,W549,)</f>
        <v>84.31291388792279</v>
      </c>
      <c r="AY549" t="s">
        <v>470</v>
      </c>
      <c r="AZ549" t="s">
        <v>489</v>
      </c>
      <c r="BA549" t="s">
        <v>471</v>
      </c>
      <c r="BB549">
        <v>0</v>
      </c>
      <c r="BE549" t="s">
        <v>470</v>
      </c>
      <c r="BF549" t="s">
        <v>489</v>
      </c>
      <c r="BG549" t="s">
        <v>471</v>
      </c>
      <c r="BH549">
        <v>0</v>
      </c>
      <c r="CT549" t="s">
        <v>470</v>
      </c>
      <c r="CU549" t="s">
        <v>471</v>
      </c>
      <c r="CV549">
        <f ca="1">OFFSET('Calculations 2'!$AJ$12,W549,X549)</f>
        <v>0</v>
      </c>
    </row>
    <row r="550" spans="17:100">
      <c r="Q550" t="s">
        <v>471</v>
      </c>
      <c r="R550" t="s">
        <v>489</v>
      </c>
      <c r="S550" t="s">
        <v>471</v>
      </c>
      <c r="T550">
        <f ca="1">OFFSET('Calculations 2'!$C$45,W550,X550)*OFFSET($M$6,W550,0)</f>
        <v>385.24378281515123</v>
      </c>
      <c r="V550">
        <f t="shared" si="26"/>
        <v>544</v>
      </c>
      <c r="W550">
        <f t="shared" si="27"/>
        <v>16</v>
      </c>
      <c r="X550">
        <f t="shared" si="28"/>
        <v>16</v>
      </c>
      <c r="AC550" t="s">
        <v>471</v>
      </c>
      <c r="AD550" t="s">
        <v>489</v>
      </c>
      <c r="AE550" t="s">
        <v>471</v>
      </c>
      <c r="AF550">
        <f ca="1">OFFSET('Calculations 2'!$CE$45,W550,0)*OFFSET($AA$6,X550,0)*OFFSET($M$6,W550,)</f>
        <v>0</v>
      </c>
      <c r="AY550" t="s">
        <v>471</v>
      </c>
      <c r="AZ550" t="s">
        <v>489</v>
      </c>
      <c r="BA550" t="s">
        <v>471</v>
      </c>
      <c r="BB550">
        <v>0</v>
      </c>
      <c r="BE550" t="s">
        <v>471</v>
      </c>
      <c r="BF550" t="s">
        <v>489</v>
      </c>
      <c r="BG550" t="s">
        <v>471</v>
      </c>
      <c r="BH550">
        <v>0</v>
      </c>
      <c r="CT550" t="s">
        <v>471</v>
      </c>
      <c r="CU550" t="s">
        <v>471</v>
      </c>
      <c r="CV550">
        <f ca="1">OFFSET('Calculations 2'!$AJ$12,W550,X550)</f>
        <v>32516.284247284773</v>
      </c>
    </row>
    <row r="551" spans="17:100">
      <c r="Q551" t="s">
        <v>221</v>
      </c>
      <c r="R551" t="s">
        <v>489</v>
      </c>
      <c r="S551" t="s">
        <v>471</v>
      </c>
      <c r="T551">
        <f ca="1">OFFSET('Calculations 2'!$C$45,W551,X551)*OFFSET($M$6,W551,0)</f>
        <v>248.74028427057394</v>
      </c>
      <c r="V551">
        <f t="shared" si="26"/>
        <v>545</v>
      </c>
      <c r="W551">
        <f t="shared" si="27"/>
        <v>17</v>
      </c>
      <c r="X551">
        <f t="shared" si="28"/>
        <v>16</v>
      </c>
      <c r="AC551" t="s">
        <v>221</v>
      </c>
      <c r="AD551" t="s">
        <v>489</v>
      </c>
      <c r="AE551" t="s">
        <v>471</v>
      </c>
      <c r="AF551">
        <f ca="1">OFFSET('Calculations 2'!$CE$45,W551,0)*OFFSET($AA$6,X551,0)*OFFSET($M$6,W551,)</f>
        <v>2800.7435104968149</v>
      </c>
      <c r="AY551" t="s">
        <v>221</v>
      </c>
      <c r="AZ551" t="s">
        <v>489</v>
      </c>
      <c r="BA551" t="s">
        <v>471</v>
      </c>
      <c r="BB551">
        <v>0</v>
      </c>
      <c r="BE551" t="s">
        <v>221</v>
      </c>
      <c r="BF551" t="s">
        <v>489</v>
      </c>
      <c r="BG551" t="s">
        <v>471</v>
      </c>
      <c r="BH551">
        <v>0</v>
      </c>
      <c r="CT551" t="s">
        <v>221</v>
      </c>
      <c r="CU551" t="s">
        <v>471</v>
      </c>
      <c r="CV551">
        <f ca="1">OFFSET('Calculations 2'!$AJ$12,W551,X551)</f>
        <v>0</v>
      </c>
    </row>
    <row r="552" spans="17:100">
      <c r="Q552" t="s">
        <v>244</v>
      </c>
      <c r="R552" t="s">
        <v>489</v>
      </c>
      <c r="S552" t="s">
        <v>471</v>
      </c>
      <c r="T552">
        <f ca="1">OFFSET('Calculations 2'!$C$45,W552,X552)*OFFSET($M$6,W552,0)</f>
        <v>65.803008445562511</v>
      </c>
      <c r="V552">
        <f t="shared" si="26"/>
        <v>546</v>
      </c>
      <c r="W552">
        <f t="shared" si="27"/>
        <v>18</v>
      </c>
      <c r="X552">
        <f t="shared" si="28"/>
        <v>16</v>
      </c>
      <c r="AC552" t="s">
        <v>244</v>
      </c>
      <c r="AD552" t="s">
        <v>489</v>
      </c>
      <c r="AE552" t="s">
        <v>471</v>
      </c>
      <c r="AF552">
        <f ca="1">OFFSET('Calculations 2'!$CE$45,W552,0)*OFFSET($AA$6,X552,0)*OFFSET($M$6,W552,)</f>
        <v>447.82021299118554</v>
      </c>
      <c r="AY552" t="s">
        <v>244</v>
      </c>
      <c r="AZ552" t="s">
        <v>489</v>
      </c>
      <c r="BA552" t="s">
        <v>471</v>
      </c>
      <c r="BB552">
        <v>0</v>
      </c>
      <c r="BE552" t="s">
        <v>244</v>
      </c>
      <c r="BF552" t="s">
        <v>489</v>
      </c>
      <c r="BG552" t="s">
        <v>471</v>
      </c>
      <c r="BH552">
        <v>0</v>
      </c>
      <c r="CT552" t="s">
        <v>244</v>
      </c>
      <c r="CU552" t="s">
        <v>471</v>
      </c>
      <c r="CV552">
        <f ca="1">OFFSET('Calculations 2'!$AJ$12,W552,X552)</f>
        <v>0</v>
      </c>
    </row>
    <row r="553" spans="17:100">
      <c r="Q553" t="s">
        <v>472</v>
      </c>
      <c r="R553" t="s">
        <v>489</v>
      </c>
      <c r="S553" t="s">
        <v>471</v>
      </c>
      <c r="T553">
        <f ca="1">OFFSET('Calculations 2'!$C$45,W553,X553)*OFFSET($M$6,W553,0)</f>
        <v>16.030822203187661</v>
      </c>
      <c r="V553">
        <f t="shared" si="26"/>
        <v>547</v>
      </c>
      <c r="W553">
        <f t="shared" si="27"/>
        <v>19</v>
      </c>
      <c r="X553">
        <f t="shared" si="28"/>
        <v>16</v>
      </c>
      <c r="AC553" t="s">
        <v>472</v>
      </c>
      <c r="AD553" t="s">
        <v>489</v>
      </c>
      <c r="AE553" t="s">
        <v>471</v>
      </c>
      <c r="AF553">
        <f ca="1">OFFSET('Calculations 2'!$CE$45,W553,0)*OFFSET($AA$6,X553,0)*OFFSET($M$6,W553,)</f>
        <v>0</v>
      </c>
      <c r="AY553" t="s">
        <v>472</v>
      </c>
      <c r="AZ553" t="s">
        <v>489</v>
      </c>
      <c r="BA553" t="s">
        <v>471</v>
      </c>
      <c r="BB553">
        <v>0</v>
      </c>
      <c r="BE553" t="s">
        <v>472</v>
      </c>
      <c r="BF553" t="s">
        <v>489</v>
      </c>
      <c r="BG553" t="s">
        <v>471</v>
      </c>
      <c r="BH553">
        <v>0</v>
      </c>
      <c r="CT553" t="s">
        <v>472</v>
      </c>
      <c r="CU553" t="s">
        <v>471</v>
      </c>
      <c r="CV553">
        <f ca="1">OFFSET('Calculations 2'!$AJ$12,W553,X553)</f>
        <v>0</v>
      </c>
    </row>
    <row r="554" spans="17:100">
      <c r="Q554" t="s">
        <v>238</v>
      </c>
      <c r="R554" t="s">
        <v>489</v>
      </c>
      <c r="S554" t="s">
        <v>471</v>
      </c>
      <c r="T554">
        <f ca="1">OFFSET('Calculations 2'!$C$45,W554,X554)*OFFSET($M$6,W554,0)</f>
        <v>184.39658668334886</v>
      </c>
      <c r="V554">
        <f t="shared" si="26"/>
        <v>548</v>
      </c>
      <c r="W554">
        <f t="shared" si="27"/>
        <v>20</v>
      </c>
      <c r="X554">
        <f t="shared" si="28"/>
        <v>16</v>
      </c>
      <c r="AC554" t="s">
        <v>238</v>
      </c>
      <c r="AD554" t="s">
        <v>489</v>
      </c>
      <c r="AE554" t="s">
        <v>471</v>
      </c>
      <c r="AF554">
        <f ca="1">OFFSET('Calculations 2'!$CE$45,W554,0)*OFFSET($AA$6,X554,0)*OFFSET($M$6,W554,)</f>
        <v>0</v>
      </c>
      <c r="AY554" t="s">
        <v>238</v>
      </c>
      <c r="AZ554" t="s">
        <v>489</v>
      </c>
      <c r="BA554" t="s">
        <v>471</v>
      </c>
      <c r="BB554">
        <v>0</v>
      </c>
      <c r="BE554" t="s">
        <v>238</v>
      </c>
      <c r="BF554" t="s">
        <v>489</v>
      </c>
      <c r="BG554" t="s">
        <v>471</v>
      </c>
      <c r="BH554">
        <v>0</v>
      </c>
      <c r="CT554" t="s">
        <v>238</v>
      </c>
      <c r="CU554" t="s">
        <v>471</v>
      </c>
      <c r="CV554">
        <f ca="1">OFFSET('Calculations 2'!$AJ$12,W554,X554)</f>
        <v>0</v>
      </c>
    </row>
    <row r="555" spans="17:100">
      <c r="Q555" t="s">
        <v>247</v>
      </c>
      <c r="R555" t="s">
        <v>489</v>
      </c>
      <c r="S555" t="s">
        <v>471</v>
      </c>
      <c r="T555">
        <f ca="1">OFFSET('Calculations 2'!$C$45,W555,X555)*OFFSET($M$6,W555,0)</f>
        <v>0</v>
      </c>
      <c r="V555">
        <f t="shared" si="26"/>
        <v>549</v>
      </c>
      <c r="W555">
        <f t="shared" si="27"/>
        <v>21</v>
      </c>
      <c r="X555">
        <f t="shared" si="28"/>
        <v>16</v>
      </c>
      <c r="AC555" t="s">
        <v>247</v>
      </c>
      <c r="AD555" t="s">
        <v>489</v>
      </c>
      <c r="AE555" t="s">
        <v>471</v>
      </c>
      <c r="AF555">
        <f ca="1">OFFSET('Calculations 2'!$CE$45,W555,0)*OFFSET($AA$6,X555,0)*OFFSET($M$6,W555,)</f>
        <v>0</v>
      </c>
      <c r="AY555" t="s">
        <v>247</v>
      </c>
      <c r="AZ555" t="s">
        <v>489</v>
      </c>
      <c r="BA555" t="s">
        <v>471</v>
      </c>
      <c r="BB555">
        <v>0</v>
      </c>
      <c r="BE555" t="s">
        <v>247</v>
      </c>
      <c r="BF555" t="s">
        <v>489</v>
      </c>
      <c r="BG555" t="s">
        <v>471</v>
      </c>
      <c r="BH555">
        <v>0</v>
      </c>
      <c r="CT555" t="s">
        <v>247</v>
      </c>
      <c r="CU555" t="s">
        <v>471</v>
      </c>
      <c r="CV555">
        <f ca="1">OFFSET('Calculations 2'!$AJ$12,W555,X555)</f>
        <v>0</v>
      </c>
    </row>
    <row r="556" spans="17:100">
      <c r="Q556" t="s">
        <v>218</v>
      </c>
      <c r="R556" t="s">
        <v>489</v>
      </c>
      <c r="S556" t="s">
        <v>471</v>
      </c>
      <c r="T556">
        <f ca="1">OFFSET('Calculations 2'!$C$45,W556,X556)*OFFSET($M$6,W556,0)</f>
        <v>3.6153236740479118</v>
      </c>
      <c r="V556">
        <f t="shared" si="26"/>
        <v>550</v>
      </c>
      <c r="W556">
        <f t="shared" si="27"/>
        <v>22</v>
      </c>
      <c r="X556">
        <f t="shared" si="28"/>
        <v>16</v>
      </c>
      <c r="AC556" t="s">
        <v>218</v>
      </c>
      <c r="AD556" t="s">
        <v>489</v>
      </c>
      <c r="AE556" t="s">
        <v>471</v>
      </c>
      <c r="AF556">
        <f ca="1">OFFSET('Calculations 2'!$CE$45,W556,0)*OFFSET($AA$6,X556,0)*OFFSET($M$6,W556,)</f>
        <v>0</v>
      </c>
      <c r="AY556" t="s">
        <v>218</v>
      </c>
      <c r="AZ556" t="s">
        <v>489</v>
      </c>
      <c r="BA556" t="s">
        <v>471</v>
      </c>
      <c r="BB556">
        <v>0</v>
      </c>
      <c r="BE556" t="s">
        <v>218</v>
      </c>
      <c r="BF556" t="s">
        <v>489</v>
      </c>
      <c r="BG556" t="s">
        <v>471</v>
      </c>
      <c r="BH556">
        <v>0</v>
      </c>
      <c r="CT556" t="s">
        <v>218</v>
      </c>
      <c r="CU556" t="s">
        <v>471</v>
      </c>
      <c r="CV556">
        <f ca="1">OFFSET('Calculations 2'!$AJ$12,W556,X556)</f>
        <v>0</v>
      </c>
    </row>
    <row r="557" spans="17:100">
      <c r="Q557" t="s">
        <v>257</v>
      </c>
      <c r="R557" t="s">
        <v>489</v>
      </c>
      <c r="S557" t="s">
        <v>471</v>
      </c>
      <c r="T557">
        <f ca="1">OFFSET('Calculations 2'!$C$45,W557,X557)*OFFSET($M$6,W557,0)</f>
        <v>2.1159795671330683</v>
      </c>
      <c r="V557">
        <f t="shared" si="26"/>
        <v>551</v>
      </c>
      <c r="W557">
        <f t="shared" si="27"/>
        <v>23</v>
      </c>
      <c r="X557">
        <f t="shared" si="28"/>
        <v>16</v>
      </c>
      <c r="AC557" t="s">
        <v>257</v>
      </c>
      <c r="AD557" t="s">
        <v>489</v>
      </c>
      <c r="AE557" t="s">
        <v>471</v>
      </c>
      <c r="AF557">
        <f ca="1">OFFSET('Calculations 2'!$CE$45,W557,0)*OFFSET($AA$6,X557,0)*OFFSET($M$6,W557,)</f>
        <v>0</v>
      </c>
      <c r="AY557" t="s">
        <v>257</v>
      </c>
      <c r="AZ557" t="s">
        <v>489</v>
      </c>
      <c r="BA557" t="s">
        <v>471</v>
      </c>
      <c r="BB557">
        <v>0</v>
      </c>
      <c r="BE557" t="s">
        <v>257</v>
      </c>
      <c r="BF557" t="s">
        <v>489</v>
      </c>
      <c r="BG557" t="s">
        <v>471</v>
      </c>
      <c r="BH557">
        <v>0</v>
      </c>
      <c r="CT557" t="s">
        <v>257</v>
      </c>
      <c r="CU557" t="s">
        <v>471</v>
      </c>
      <c r="CV557">
        <f ca="1">OFFSET('Calculations 2'!$AJ$12,W557,X557)</f>
        <v>0</v>
      </c>
    </row>
    <row r="558" spans="17:100">
      <c r="Q558" t="s">
        <v>220</v>
      </c>
      <c r="R558" t="s">
        <v>489</v>
      </c>
      <c r="S558" t="s">
        <v>471</v>
      </c>
      <c r="T558">
        <f ca="1">OFFSET('Calculations 2'!$C$45,W558,X558)*OFFSET($M$6,W558,0)</f>
        <v>54.089444657386217</v>
      </c>
      <c r="V558">
        <f t="shared" si="26"/>
        <v>552</v>
      </c>
      <c r="W558">
        <f t="shared" si="27"/>
        <v>24</v>
      </c>
      <c r="X558">
        <f t="shared" si="28"/>
        <v>16</v>
      </c>
      <c r="AC558" t="s">
        <v>220</v>
      </c>
      <c r="AD558" t="s">
        <v>489</v>
      </c>
      <c r="AE558" t="s">
        <v>471</v>
      </c>
      <c r="AF558">
        <f ca="1">OFFSET('Calculations 2'!$CE$45,W558,0)*OFFSET($AA$6,X558,0)*OFFSET($M$6,W558,)</f>
        <v>0</v>
      </c>
      <c r="AY558" t="s">
        <v>220</v>
      </c>
      <c r="AZ558" t="s">
        <v>489</v>
      </c>
      <c r="BA558" t="s">
        <v>471</v>
      </c>
      <c r="BB558">
        <v>0</v>
      </c>
      <c r="BE558" t="s">
        <v>220</v>
      </c>
      <c r="BF558" t="s">
        <v>489</v>
      </c>
      <c r="BG558" t="s">
        <v>471</v>
      </c>
      <c r="BH558">
        <v>0</v>
      </c>
      <c r="CT558" t="s">
        <v>220</v>
      </c>
      <c r="CU558" t="s">
        <v>471</v>
      </c>
      <c r="CV558">
        <f ca="1">OFFSET('Calculations 2'!$AJ$12,W558,X558)</f>
        <v>0</v>
      </c>
    </row>
    <row r="559" spans="17:100">
      <c r="Q559" t="s">
        <v>235</v>
      </c>
      <c r="R559" t="s">
        <v>489</v>
      </c>
      <c r="S559" t="s">
        <v>471</v>
      </c>
      <c r="T559">
        <f ca="1">OFFSET('Calculations 2'!$C$45,W559,X559)*OFFSET($M$6,W559,0)</f>
        <v>662.56131885602258</v>
      </c>
      <c r="V559">
        <f t="shared" si="26"/>
        <v>553</v>
      </c>
      <c r="W559">
        <f t="shared" si="27"/>
        <v>25</v>
      </c>
      <c r="X559">
        <f t="shared" si="28"/>
        <v>16</v>
      </c>
      <c r="AC559" t="s">
        <v>235</v>
      </c>
      <c r="AD559" t="s">
        <v>489</v>
      </c>
      <c r="AE559" t="s">
        <v>471</v>
      </c>
      <c r="AF559">
        <f ca="1">OFFSET('Calculations 2'!$CE$45,W559,0)*OFFSET($AA$6,X559,0)*OFFSET($M$6,W559,)</f>
        <v>0</v>
      </c>
      <c r="AY559" t="s">
        <v>235</v>
      </c>
      <c r="AZ559" t="s">
        <v>489</v>
      </c>
      <c r="BA559" t="s">
        <v>471</v>
      </c>
      <c r="BB559">
        <v>0</v>
      </c>
      <c r="BE559" t="s">
        <v>235</v>
      </c>
      <c r="BF559" t="s">
        <v>489</v>
      </c>
      <c r="BG559" t="s">
        <v>471</v>
      </c>
      <c r="BH559">
        <v>0</v>
      </c>
      <c r="CT559" t="s">
        <v>235</v>
      </c>
      <c r="CU559" t="s">
        <v>471</v>
      </c>
      <c r="CV559">
        <f ca="1">OFFSET('Calculations 2'!$AJ$12,W559,X559)</f>
        <v>0</v>
      </c>
    </row>
    <row r="560" spans="17:100">
      <c r="Q560" t="s">
        <v>473</v>
      </c>
      <c r="R560" t="s">
        <v>489</v>
      </c>
      <c r="S560" t="s">
        <v>471</v>
      </c>
      <c r="T560">
        <f ca="1">OFFSET('Calculations 2'!$C$45,W560,X560)*OFFSET($M$6,W560,0)</f>
        <v>96.530966964134876</v>
      </c>
      <c r="V560">
        <f t="shared" si="26"/>
        <v>554</v>
      </c>
      <c r="W560">
        <f t="shared" si="27"/>
        <v>26</v>
      </c>
      <c r="X560">
        <f t="shared" si="28"/>
        <v>16</v>
      </c>
      <c r="AC560" t="s">
        <v>473</v>
      </c>
      <c r="AD560" t="s">
        <v>489</v>
      </c>
      <c r="AE560" t="s">
        <v>471</v>
      </c>
      <c r="AF560">
        <f ca="1">OFFSET('Calculations 2'!$CE$45,W560,0)*OFFSET($AA$6,X560,0)*OFFSET($M$6,W560,)</f>
        <v>0</v>
      </c>
      <c r="AY560" t="s">
        <v>473</v>
      </c>
      <c r="AZ560" t="s">
        <v>489</v>
      </c>
      <c r="BA560" t="s">
        <v>471</v>
      </c>
      <c r="BB560">
        <v>0</v>
      </c>
      <c r="BE560" t="s">
        <v>473</v>
      </c>
      <c r="BF560" t="s">
        <v>489</v>
      </c>
      <c r="BG560" t="s">
        <v>471</v>
      </c>
      <c r="BH560">
        <v>0</v>
      </c>
      <c r="CT560" t="s">
        <v>473</v>
      </c>
      <c r="CU560" t="s">
        <v>471</v>
      </c>
      <c r="CV560">
        <f ca="1">OFFSET('Calculations 2'!$AJ$12,W560,X560)</f>
        <v>0</v>
      </c>
    </row>
    <row r="561" spans="17:100">
      <c r="Q561" t="s">
        <v>233</v>
      </c>
      <c r="R561" t="s">
        <v>489</v>
      </c>
      <c r="S561" t="s">
        <v>471</v>
      </c>
      <c r="T561">
        <f ca="1">OFFSET('Calculations 2'!$C$45,W561,X561)*OFFSET($M$6,W561,0)</f>
        <v>59.054243576680953</v>
      </c>
      <c r="V561">
        <f t="shared" si="26"/>
        <v>555</v>
      </c>
      <c r="W561">
        <f t="shared" si="27"/>
        <v>27</v>
      </c>
      <c r="X561">
        <f t="shared" si="28"/>
        <v>16</v>
      </c>
      <c r="AC561" t="s">
        <v>233</v>
      </c>
      <c r="AD561" t="s">
        <v>489</v>
      </c>
      <c r="AE561" t="s">
        <v>471</v>
      </c>
      <c r="AF561">
        <f ca="1">OFFSET('Calculations 2'!$CE$45,W561,0)*OFFSET($AA$6,X561,0)*OFFSET($M$6,W561,)</f>
        <v>0</v>
      </c>
      <c r="AY561" t="s">
        <v>233</v>
      </c>
      <c r="AZ561" t="s">
        <v>489</v>
      </c>
      <c r="BA561" t="s">
        <v>471</v>
      </c>
      <c r="BB561">
        <v>0</v>
      </c>
      <c r="BE561" t="s">
        <v>233</v>
      </c>
      <c r="BF561" t="s">
        <v>489</v>
      </c>
      <c r="BG561" t="s">
        <v>471</v>
      </c>
      <c r="BH561">
        <v>0</v>
      </c>
      <c r="CT561" t="s">
        <v>233</v>
      </c>
      <c r="CU561" t="s">
        <v>471</v>
      </c>
      <c r="CV561">
        <f ca="1">OFFSET('Calculations 2'!$AJ$12,W561,X561)</f>
        <v>0</v>
      </c>
    </row>
    <row r="562" spans="17:100">
      <c r="Q562" t="s">
        <v>474</v>
      </c>
      <c r="R562" t="s">
        <v>489</v>
      </c>
      <c r="S562" t="s">
        <v>471</v>
      </c>
      <c r="T562">
        <f ca="1">OFFSET('Calculations 2'!$C$45,W562,X562)*OFFSET($M$6,W562,0)</f>
        <v>240.17029532796116</v>
      </c>
      <c r="V562">
        <f t="shared" si="26"/>
        <v>556</v>
      </c>
      <c r="W562">
        <f t="shared" si="27"/>
        <v>28</v>
      </c>
      <c r="X562">
        <f t="shared" si="28"/>
        <v>16</v>
      </c>
      <c r="AC562" t="s">
        <v>474</v>
      </c>
      <c r="AD562" t="s">
        <v>489</v>
      </c>
      <c r="AE562" t="s">
        <v>471</v>
      </c>
      <c r="AF562">
        <f ca="1">OFFSET('Calculations 2'!$CE$45,W562,0)*OFFSET($AA$6,X562,0)*OFFSET($M$6,W562,)</f>
        <v>0</v>
      </c>
      <c r="AY562" t="s">
        <v>474</v>
      </c>
      <c r="AZ562" t="s">
        <v>489</v>
      </c>
      <c r="BA562" t="s">
        <v>471</v>
      </c>
      <c r="BB562">
        <v>0</v>
      </c>
      <c r="BE562" t="s">
        <v>474</v>
      </c>
      <c r="BF562" t="s">
        <v>489</v>
      </c>
      <c r="BG562" t="s">
        <v>471</v>
      </c>
      <c r="BH562">
        <v>0</v>
      </c>
      <c r="CT562" t="s">
        <v>474</v>
      </c>
      <c r="CU562" t="s">
        <v>471</v>
      </c>
      <c r="CV562">
        <f ca="1">OFFSET('Calculations 2'!$AJ$12,W562,X562)</f>
        <v>0</v>
      </c>
    </row>
    <row r="563" spans="17:100">
      <c r="Q563" t="s">
        <v>223</v>
      </c>
      <c r="R563" t="s">
        <v>489</v>
      </c>
      <c r="S563" t="s">
        <v>471</v>
      </c>
      <c r="T563">
        <f ca="1">OFFSET('Calculations 2'!$C$45,W563,X563)*OFFSET($M$6,W563,0)</f>
        <v>106.98132470197824</v>
      </c>
      <c r="V563">
        <f t="shared" si="26"/>
        <v>557</v>
      </c>
      <c r="W563">
        <f t="shared" si="27"/>
        <v>29</v>
      </c>
      <c r="X563">
        <f t="shared" si="28"/>
        <v>16</v>
      </c>
      <c r="AC563" t="s">
        <v>223</v>
      </c>
      <c r="AD563" t="s">
        <v>489</v>
      </c>
      <c r="AE563" t="s">
        <v>471</v>
      </c>
      <c r="AF563">
        <f ca="1">OFFSET('Calculations 2'!$CE$45,W563,0)*OFFSET($AA$6,X563,0)*OFFSET($M$6,W563,)</f>
        <v>0</v>
      </c>
      <c r="AY563" t="s">
        <v>223</v>
      </c>
      <c r="AZ563" t="s">
        <v>489</v>
      </c>
      <c r="BA563" t="s">
        <v>471</v>
      </c>
      <c r="BB563">
        <v>0</v>
      </c>
      <c r="BE563" t="s">
        <v>223</v>
      </c>
      <c r="BF563" t="s">
        <v>489</v>
      </c>
      <c r="BG563" t="s">
        <v>471</v>
      </c>
      <c r="BH563">
        <v>0</v>
      </c>
      <c r="CT563" t="s">
        <v>223</v>
      </c>
      <c r="CU563" t="s">
        <v>471</v>
      </c>
      <c r="CV563">
        <f ca="1">OFFSET('Calculations 2'!$AJ$12,W563,X563)</f>
        <v>0</v>
      </c>
    </row>
    <row r="564" spans="17:100">
      <c r="Q564" t="s">
        <v>475</v>
      </c>
      <c r="R564" t="s">
        <v>489</v>
      </c>
      <c r="S564" t="s">
        <v>471</v>
      </c>
      <c r="T564">
        <f ca="1">OFFSET('Calculations 2'!$C$45,W564,X564)*OFFSET($M$6,W564,0)</f>
        <v>0.178158709874671</v>
      </c>
      <c r="V564">
        <f t="shared" si="26"/>
        <v>558</v>
      </c>
      <c r="W564">
        <f t="shared" si="27"/>
        <v>30</v>
      </c>
      <c r="X564">
        <f t="shared" si="28"/>
        <v>16</v>
      </c>
      <c r="AC564" t="s">
        <v>475</v>
      </c>
      <c r="AD564" t="s">
        <v>489</v>
      </c>
      <c r="AE564" t="s">
        <v>471</v>
      </c>
      <c r="AF564">
        <f ca="1">OFFSET('Calculations 2'!$CE$45,W564,0)*OFFSET($AA$6,X564,0)*OFFSET($M$6,W564,)</f>
        <v>0</v>
      </c>
      <c r="AY564" t="s">
        <v>475</v>
      </c>
      <c r="AZ564" t="s">
        <v>489</v>
      </c>
      <c r="BA564" t="s">
        <v>471</v>
      </c>
      <c r="BB564">
        <v>0</v>
      </c>
      <c r="BE564" t="s">
        <v>475</v>
      </c>
      <c r="BF564" t="s">
        <v>489</v>
      </c>
      <c r="BG564" t="s">
        <v>471</v>
      </c>
      <c r="BH564">
        <v>0</v>
      </c>
      <c r="CT564" t="s">
        <v>475</v>
      </c>
      <c r="CU564" t="s">
        <v>471</v>
      </c>
      <c r="CV564">
        <f ca="1">OFFSET('Calculations 2'!$AJ$12,W564,X564)</f>
        <v>0</v>
      </c>
    </row>
    <row r="565" spans="17:100">
      <c r="Q565" t="s">
        <v>476</v>
      </c>
      <c r="R565" t="s">
        <v>489</v>
      </c>
      <c r="S565" t="s">
        <v>471</v>
      </c>
      <c r="T565">
        <f ca="1">OFFSET('Calculations 2'!$C$45,W565,X565)*OFFSET($M$6,W565,0)</f>
        <v>14.883793089443742</v>
      </c>
      <c r="V565">
        <f t="shared" si="26"/>
        <v>559</v>
      </c>
      <c r="W565">
        <f t="shared" si="27"/>
        <v>31</v>
      </c>
      <c r="X565">
        <f t="shared" si="28"/>
        <v>16</v>
      </c>
      <c r="AC565" t="s">
        <v>476</v>
      </c>
      <c r="AD565" t="s">
        <v>489</v>
      </c>
      <c r="AE565" t="s">
        <v>471</v>
      </c>
      <c r="AF565">
        <f ca="1">OFFSET('Calculations 2'!$CE$45,W565,0)*OFFSET($AA$6,X565,0)*OFFSET($M$6,W565,)</f>
        <v>0</v>
      </c>
      <c r="AY565" t="s">
        <v>476</v>
      </c>
      <c r="AZ565" t="s">
        <v>489</v>
      </c>
      <c r="BA565" t="s">
        <v>471</v>
      </c>
      <c r="BB565">
        <v>0</v>
      </c>
      <c r="BE565" t="s">
        <v>476</v>
      </c>
      <c r="BF565" t="s">
        <v>489</v>
      </c>
      <c r="BG565" t="s">
        <v>471</v>
      </c>
      <c r="BH565">
        <v>0</v>
      </c>
      <c r="CT565" t="s">
        <v>476</v>
      </c>
      <c r="CU565" t="s">
        <v>471</v>
      </c>
      <c r="CV565">
        <f ca="1">OFFSET('Calculations 2'!$AJ$12,W565,X565)</f>
        <v>0</v>
      </c>
    </row>
    <row r="566" spans="17:100">
      <c r="Q566" t="s">
        <v>222</v>
      </c>
      <c r="R566" t="s">
        <v>489</v>
      </c>
      <c r="S566" t="s">
        <v>471</v>
      </c>
      <c r="T566">
        <f ca="1">OFFSET('Calculations 2'!$C$45,W566,X566)*OFFSET($M$6,W566,0)</f>
        <v>0</v>
      </c>
      <c r="V566">
        <f t="shared" si="26"/>
        <v>560</v>
      </c>
      <c r="W566">
        <f t="shared" si="27"/>
        <v>32</v>
      </c>
      <c r="X566">
        <f t="shared" si="28"/>
        <v>16</v>
      </c>
      <c r="AC566" t="s">
        <v>222</v>
      </c>
      <c r="AD566" t="s">
        <v>489</v>
      </c>
      <c r="AE566" t="s">
        <v>471</v>
      </c>
      <c r="AF566">
        <f ca="1">OFFSET('Calculations 2'!$CE$45,W566,0)*OFFSET($AA$6,X566,0)*OFFSET($M$6,W566,)</f>
        <v>0</v>
      </c>
      <c r="AY566" t="s">
        <v>222</v>
      </c>
      <c r="AZ566" t="s">
        <v>489</v>
      </c>
      <c r="BA566" t="s">
        <v>471</v>
      </c>
      <c r="BB566">
        <v>0</v>
      </c>
      <c r="BE566" t="s">
        <v>222</v>
      </c>
      <c r="BF566" t="s">
        <v>489</v>
      </c>
      <c r="BG566" t="s">
        <v>471</v>
      </c>
      <c r="BH566">
        <v>0</v>
      </c>
      <c r="CT566" t="s">
        <v>222</v>
      </c>
      <c r="CU566" t="s">
        <v>471</v>
      </c>
      <c r="CV566">
        <f ca="1">OFFSET('Calculations 2'!$AJ$12,W566,X566)</f>
        <v>0</v>
      </c>
    </row>
    <row r="567" spans="17:100">
      <c r="Q567" t="s">
        <v>217</v>
      </c>
      <c r="R567" t="s">
        <v>489</v>
      </c>
      <c r="S567" t="s">
        <v>221</v>
      </c>
      <c r="T567">
        <f ca="1">OFFSET('Calculations 2'!$C$45,W567,X567)*OFFSET($M$6,W567,0)</f>
        <v>0</v>
      </c>
      <c r="V567">
        <f t="shared" si="26"/>
        <v>561</v>
      </c>
      <c r="W567">
        <f t="shared" si="27"/>
        <v>0</v>
      </c>
      <c r="X567">
        <f t="shared" si="28"/>
        <v>17</v>
      </c>
      <c r="AC567" t="s">
        <v>217</v>
      </c>
      <c r="AD567" t="s">
        <v>489</v>
      </c>
      <c r="AE567" t="s">
        <v>221</v>
      </c>
      <c r="AF567">
        <f ca="1">OFFSET('Calculations 2'!$CE$45,W567,0)*OFFSET($AA$6,X567,0)*OFFSET($M$6,W567,)</f>
        <v>0.58503314359754355</v>
      </c>
      <c r="AY567" t="s">
        <v>217</v>
      </c>
      <c r="AZ567" t="s">
        <v>489</v>
      </c>
      <c r="BA567" t="s">
        <v>221</v>
      </c>
      <c r="BB567">
        <v>0</v>
      </c>
      <c r="BE567" t="s">
        <v>217</v>
      </c>
      <c r="BF567" t="s">
        <v>489</v>
      </c>
      <c r="BG567" t="s">
        <v>221</v>
      </c>
      <c r="BH567">
        <v>0</v>
      </c>
      <c r="CT567" t="s">
        <v>217</v>
      </c>
      <c r="CU567" t="s">
        <v>221</v>
      </c>
      <c r="CV567">
        <f ca="1">OFFSET('Calculations 2'!$AJ$12,W567,X567)</f>
        <v>0</v>
      </c>
    </row>
    <row r="568" spans="17:100">
      <c r="Q568" t="s">
        <v>232</v>
      </c>
      <c r="R568" t="s">
        <v>489</v>
      </c>
      <c r="S568" t="s">
        <v>221</v>
      </c>
      <c r="T568">
        <f ca="1">OFFSET('Calculations 2'!$C$45,W568,X568)*OFFSET($M$6,W568,0)</f>
        <v>21.60535342772555</v>
      </c>
      <c r="V568">
        <f t="shared" si="26"/>
        <v>562</v>
      </c>
      <c r="W568">
        <f t="shared" si="27"/>
        <v>1</v>
      </c>
      <c r="X568">
        <f t="shared" si="28"/>
        <v>17</v>
      </c>
      <c r="AC568" t="s">
        <v>232</v>
      </c>
      <c r="AD568" t="s">
        <v>489</v>
      </c>
      <c r="AE568" t="s">
        <v>221</v>
      </c>
      <c r="AF568">
        <f ca="1">OFFSET('Calculations 2'!$CE$45,W568,0)*OFFSET($AA$6,X568,0)*OFFSET($M$6,W568,)</f>
        <v>1.0205424750832077</v>
      </c>
      <c r="AY568" t="s">
        <v>232</v>
      </c>
      <c r="AZ568" t="s">
        <v>489</v>
      </c>
      <c r="BA568" t="s">
        <v>221</v>
      </c>
      <c r="BB568">
        <v>0</v>
      </c>
      <c r="BE568" t="s">
        <v>232</v>
      </c>
      <c r="BF568" t="s">
        <v>489</v>
      </c>
      <c r="BG568" t="s">
        <v>221</v>
      </c>
      <c r="BH568">
        <v>0</v>
      </c>
      <c r="CT568" t="s">
        <v>232</v>
      </c>
      <c r="CU568" t="s">
        <v>221</v>
      </c>
      <c r="CV568">
        <f ca="1">OFFSET('Calculations 2'!$AJ$12,W568,X568)</f>
        <v>0</v>
      </c>
    </row>
    <row r="569" spans="17:100">
      <c r="Q569" t="s">
        <v>226</v>
      </c>
      <c r="R569" t="s">
        <v>489</v>
      </c>
      <c r="S569" t="s">
        <v>221</v>
      </c>
      <c r="T569">
        <f ca="1">OFFSET('Calculations 2'!$C$45,W569,X569)*OFFSET($M$6,W569,0)</f>
        <v>0.32302092732687226</v>
      </c>
      <c r="V569">
        <f t="shared" si="26"/>
        <v>563</v>
      </c>
      <c r="W569">
        <f t="shared" si="27"/>
        <v>2</v>
      </c>
      <c r="X569">
        <f t="shared" si="28"/>
        <v>17</v>
      </c>
      <c r="AC569" t="s">
        <v>226</v>
      </c>
      <c r="AD569" t="s">
        <v>489</v>
      </c>
      <c r="AE569" t="s">
        <v>221</v>
      </c>
      <c r="AF569">
        <f ca="1">OFFSET('Calculations 2'!$CE$45,W569,0)*OFFSET($AA$6,X569,0)*OFFSET($M$6,W569,)</f>
        <v>1.7183786351129204</v>
      </c>
      <c r="AY569" t="s">
        <v>226</v>
      </c>
      <c r="AZ569" t="s">
        <v>489</v>
      </c>
      <c r="BA569" t="s">
        <v>221</v>
      </c>
      <c r="BB569">
        <v>0</v>
      </c>
      <c r="BE569" t="s">
        <v>226</v>
      </c>
      <c r="BF569" t="s">
        <v>489</v>
      </c>
      <c r="BG569" t="s">
        <v>221</v>
      </c>
      <c r="BH569">
        <v>0</v>
      </c>
      <c r="CT569" t="s">
        <v>226</v>
      </c>
      <c r="CU569" t="s">
        <v>221</v>
      </c>
      <c r="CV569">
        <f ca="1">OFFSET('Calculations 2'!$AJ$12,W569,X569)</f>
        <v>0</v>
      </c>
    </row>
    <row r="570" spans="17:100">
      <c r="Q570" t="s">
        <v>243</v>
      </c>
      <c r="R570" t="s">
        <v>489</v>
      </c>
      <c r="S570" t="s">
        <v>221</v>
      </c>
      <c r="T570">
        <f ca="1">OFFSET('Calculations 2'!$C$45,W570,X570)*OFFSET($M$6,W570,0)</f>
        <v>15.70351888717715</v>
      </c>
      <c r="V570">
        <f t="shared" si="26"/>
        <v>564</v>
      </c>
      <c r="W570">
        <f t="shared" si="27"/>
        <v>3</v>
      </c>
      <c r="X570">
        <f t="shared" si="28"/>
        <v>17</v>
      </c>
      <c r="AC570" t="s">
        <v>243</v>
      </c>
      <c r="AD570" t="s">
        <v>489</v>
      </c>
      <c r="AE570" t="s">
        <v>221</v>
      </c>
      <c r="AF570">
        <f ca="1">OFFSET('Calculations 2'!$CE$45,W570,0)*OFFSET($AA$6,X570,0)*OFFSET($M$6,W570,)</f>
        <v>8.9507853449036787</v>
      </c>
      <c r="AY570" t="s">
        <v>243</v>
      </c>
      <c r="AZ570" t="s">
        <v>489</v>
      </c>
      <c r="BA570" t="s">
        <v>221</v>
      </c>
      <c r="BB570">
        <v>0</v>
      </c>
      <c r="BE570" t="s">
        <v>243</v>
      </c>
      <c r="BF570" t="s">
        <v>489</v>
      </c>
      <c r="BG570" t="s">
        <v>221</v>
      </c>
      <c r="BH570">
        <v>0</v>
      </c>
      <c r="CT570" t="s">
        <v>243</v>
      </c>
      <c r="CU570" t="s">
        <v>221</v>
      </c>
      <c r="CV570">
        <f ca="1">OFFSET('Calculations 2'!$AJ$12,W570,X570)</f>
        <v>0</v>
      </c>
    </row>
    <row r="571" spans="17:100">
      <c r="Q571" t="s">
        <v>228</v>
      </c>
      <c r="R571" t="s">
        <v>489</v>
      </c>
      <c r="S571" t="s">
        <v>221</v>
      </c>
      <c r="T571">
        <f ca="1">OFFSET('Calculations 2'!$C$45,W571,X571)*OFFSET($M$6,W571,0)</f>
        <v>0.1810675845107336</v>
      </c>
      <c r="V571">
        <f t="shared" si="26"/>
        <v>565</v>
      </c>
      <c r="W571">
        <f t="shared" si="27"/>
        <v>4</v>
      </c>
      <c r="X571">
        <f t="shared" si="28"/>
        <v>17</v>
      </c>
      <c r="AC571" t="s">
        <v>228</v>
      </c>
      <c r="AD571" t="s">
        <v>489</v>
      </c>
      <c r="AE571" t="s">
        <v>221</v>
      </c>
      <c r="AF571">
        <f ca="1">OFFSET('Calculations 2'!$CE$45,W571,0)*OFFSET($AA$6,X571,0)*OFFSET($M$6,W571,)</f>
        <v>6.3512299885301091E-2</v>
      </c>
      <c r="AY571" t="s">
        <v>228</v>
      </c>
      <c r="AZ571" t="s">
        <v>489</v>
      </c>
      <c r="BA571" t="s">
        <v>221</v>
      </c>
      <c r="BB571">
        <v>0</v>
      </c>
      <c r="BE571" t="s">
        <v>228</v>
      </c>
      <c r="BF571" t="s">
        <v>489</v>
      </c>
      <c r="BG571" t="s">
        <v>221</v>
      </c>
      <c r="BH571">
        <v>0</v>
      </c>
      <c r="CT571" t="s">
        <v>228</v>
      </c>
      <c r="CU571" t="s">
        <v>221</v>
      </c>
      <c r="CV571">
        <f ca="1">OFFSET('Calculations 2'!$AJ$12,W571,X571)</f>
        <v>0</v>
      </c>
    </row>
    <row r="572" spans="17:100">
      <c r="Q572" t="s">
        <v>246</v>
      </c>
      <c r="R572" t="s">
        <v>489</v>
      </c>
      <c r="S572" t="s">
        <v>221</v>
      </c>
      <c r="T572">
        <f ca="1">OFFSET('Calculations 2'!$C$45,W572,X572)*OFFSET($M$6,W572,0)</f>
        <v>651.64843647194823</v>
      </c>
      <c r="V572">
        <f t="shared" si="26"/>
        <v>566</v>
      </c>
      <c r="W572">
        <f t="shared" si="27"/>
        <v>5</v>
      </c>
      <c r="X572">
        <f t="shared" si="28"/>
        <v>17</v>
      </c>
      <c r="AC572" t="s">
        <v>246</v>
      </c>
      <c r="AD572" t="s">
        <v>489</v>
      </c>
      <c r="AE572" t="s">
        <v>221</v>
      </c>
      <c r="AF572">
        <f ca="1">OFFSET('Calculations 2'!$CE$45,W572,0)*OFFSET($AA$6,X572,0)*OFFSET($M$6,W572,)</f>
        <v>0.39098090179797607</v>
      </c>
      <c r="AY572" t="s">
        <v>246</v>
      </c>
      <c r="AZ572" t="s">
        <v>489</v>
      </c>
      <c r="BA572" t="s">
        <v>221</v>
      </c>
      <c r="BB572">
        <v>0</v>
      </c>
      <c r="BE572" t="s">
        <v>246</v>
      </c>
      <c r="BF572" t="s">
        <v>489</v>
      </c>
      <c r="BG572" t="s">
        <v>221</v>
      </c>
      <c r="BH572">
        <v>0</v>
      </c>
      <c r="CT572" t="s">
        <v>246</v>
      </c>
      <c r="CU572" t="s">
        <v>221</v>
      </c>
      <c r="CV572">
        <f ca="1">OFFSET('Calculations 2'!$AJ$12,W572,X572)</f>
        <v>0</v>
      </c>
    </row>
    <row r="573" spans="17:100">
      <c r="Q573" t="s">
        <v>239</v>
      </c>
      <c r="R573" t="s">
        <v>489</v>
      </c>
      <c r="S573" t="s">
        <v>221</v>
      </c>
      <c r="T573">
        <f ca="1">OFFSET('Calculations 2'!$C$45,W573,X573)*OFFSET($M$6,W573,0)</f>
        <v>113.30062221422827</v>
      </c>
      <c r="V573">
        <f t="shared" si="26"/>
        <v>567</v>
      </c>
      <c r="W573">
        <f t="shared" si="27"/>
        <v>6</v>
      </c>
      <c r="X573">
        <f t="shared" si="28"/>
        <v>17</v>
      </c>
      <c r="AC573" t="s">
        <v>239</v>
      </c>
      <c r="AD573" t="s">
        <v>489</v>
      </c>
      <c r="AE573" t="s">
        <v>221</v>
      </c>
      <c r="AF573">
        <f ca="1">OFFSET('Calculations 2'!$CE$45,W573,0)*OFFSET($AA$6,X573,0)*OFFSET($M$6,W573,)</f>
        <v>7.8257256091222542</v>
      </c>
      <c r="AY573" t="s">
        <v>239</v>
      </c>
      <c r="AZ573" t="s">
        <v>489</v>
      </c>
      <c r="BA573" t="s">
        <v>221</v>
      </c>
      <c r="BB573">
        <v>0</v>
      </c>
      <c r="BE573" t="s">
        <v>239</v>
      </c>
      <c r="BF573" t="s">
        <v>489</v>
      </c>
      <c r="BG573" t="s">
        <v>221</v>
      </c>
      <c r="BH573">
        <v>0</v>
      </c>
      <c r="CT573" t="s">
        <v>239</v>
      </c>
      <c r="CU573" t="s">
        <v>221</v>
      </c>
      <c r="CV573">
        <f ca="1">OFFSET('Calculations 2'!$AJ$12,W573,X573)</f>
        <v>0</v>
      </c>
    </row>
    <row r="574" spans="17:100">
      <c r="Q574" t="s">
        <v>466</v>
      </c>
      <c r="R574" t="s">
        <v>489</v>
      </c>
      <c r="S574" t="s">
        <v>221</v>
      </c>
      <c r="T574">
        <f ca="1">OFFSET('Calculations 2'!$C$45,W574,X574)*OFFSET($M$6,W574,0)</f>
        <v>791.67912851735321</v>
      </c>
      <c r="V574">
        <f t="shared" si="26"/>
        <v>568</v>
      </c>
      <c r="W574">
        <f t="shared" si="27"/>
        <v>7</v>
      </c>
      <c r="X574">
        <f t="shared" si="28"/>
        <v>17</v>
      </c>
      <c r="AC574" t="s">
        <v>466</v>
      </c>
      <c r="AD574" t="s">
        <v>489</v>
      </c>
      <c r="AE574" t="s">
        <v>221</v>
      </c>
      <c r="AF574">
        <f ca="1">OFFSET('Calculations 2'!$CE$45,W574,0)*OFFSET($AA$6,X574,0)*OFFSET($M$6,W574,)</f>
        <v>1.1924891361952927</v>
      </c>
      <c r="AY574" t="s">
        <v>466</v>
      </c>
      <c r="AZ574" t="s">
        <v>489</v>
      </c>
      <c r="BA574" t="s">
        <v>221</v>
      </c>
      <c r="BB574">
        <v>0</v>
      </c>
      <c r="BE574" t="s">
        <v>466</v>
      </c>
      <c r="BF574" t="s">
        <v>489</v>
      </c>
      <c r="BG574" t="s">
        <v>221</v>
      </c>
      <c r="BH574">
        <v>0</v>
      </c>
      <c r="CT574" t="s">
        <v>466</v>
      </c>
      <c r="CU574" t="s">
        <v>221</v>
      </c>
      <c r="CV574">
        <f ca="1">OFFSET('Calculations 2'!$AJ$12,W574,X574)</f>
        <v>0</v>
      </c>
    </row>
    <row r="575" spans="17:100">
      <c r="Q575" t="s">
        <v>219</v>
      </c>
      <c r="R575" t="s">
        <v>489</v>
      </c>
      <c r="S575" t="s">
        <v>221</v>
      </c>
      <c r="T575">
        <f ca="1">OFFSET('Calculations 2'!$C$45,W575,X575)*OFFSET($M$6,W575,0)</f>
        <v>250.23394903749445</v>
      </c>
      <c r="V575">
        <f t="shared" si="26"/>
        <v>569</v>
      </c>
      <c r="W575">
        <f t="shared" si="27"/>
        <v>8</v>
      </c>
      <c r="X575">
        <f t="shared" si="28"/>
        <v>17</v>
      </c>
      <c r="AC575" t="s">
        <v>219</v>
      </c>
      <c r="AD575" t="s">
        <v>489</v>
      </c>
      <c r="AE575" t="s">
        <v>221</v>
      </c>
      <c r="AF575">
        <f ca="1">OFFSET('Calculations 2'!$CE$45,W575,0)*OFFSET($AA$6,X575,0)*OFFSET($M$6,W575,)</f>
        <v>7.4258735300837735</v>
      </c>
      <c r="AY575" t="s">
        <v>219</v>
      </c>
      <c r="AZ575" t="s">
        <v>489</v>
      </c>
      <c r="BA575" t="s">
        <v>221</v>
      </c>
      <c r="BB575">
        <v>0</v>
      </c>
      <c r="BE575" t="s">
        <v>219</v>
      </c>
      <c r="BF575" t="s">
        <v>489</v>
      </c>
      <c r="BG575" t="s">
        <v>221</v>
      </c>
      <c r="BH575">
        <v>0</v>
      </c>
      <c r="CT575" t="s">
        <v>219</v>
      </c>
      <c r="CU575" t="s">
        <v>221</v>
      </c>
      <c r="CV575">
        <f ca="1">OFFSET('Calculations 2'!$AJ$12,W575,X575)</f>
        <v>0</v>
      </c>
    </row>
    <row r="576" spans="17:100">
      <c r="Q576" t="s">
        <v>242</v>
      </c>
      <c r="R576" t="s">
        <v>489</v>
      </c>
      <c r="S576" t="s">
        <v>221</v>
      </c>
      <c r="T576">
        <f ca="1">OFFSET('Calculations 2'!$C$45,W576,X576)*OFFSET($M$6,W576,0)</f>
        <v>81.824116899553474</v>
      </c>
      <c r="V576">
        <f t="shared" si="26"/>
        <v>570</v>
      </c>
      <c r="W576">
        <f t="shared" si="27"/>
        <v>9</v>
      </c>
      <c r="X576">
        <f t="shared" si="28"/>
        <v>17</v>
      </c>
      <c r="AC576" t="s">
        <v>242</v>
      </c>
      <c r="AD576" t="s">
        <v>489</v>
      </c>
      <c r="AE576" t="s">
        <v>221</v>
      </c>
      <c r="AF576">
        <f ca="1">OFFSET('Calculations 2'!$CE$45,W576,0)*OFFSET($AA$6,X576,0)*OFFSET($M$6,W576,)</f>
        <v>11.624488938985126</v>
      </c>
      <c r="AY576" t="s">
        <v>242</v>
      </c>
      <c r="AZ576" t="s">
        <v>489</v>
      </c>
      <c r="BA576" t="s">
        <v>221</v>
      </c>
      <c r="BB576">
        <v>0</v>
      </c>
      <c r="BE576" t="s">
        <v>242</v>
      </c>
      <c r="BF576" t="s">
        <v>489</v>
      </c>
      <c r="BG576" t="s">
        <v>221</v>
      </c>
      <c r="BH576">
        <v>0</v>
      </c>
      <c r="CT576" t="s">
        <v>242</v>
      </c>
      <c r="CU576" t="s">
        <v>221</v>
      </c>
      <c r="CV576">
        <f ca="1">OFFSET('Calculations 2'!$AJ$12,W576,X576)</f>
        <v>0</v>
      </c>
    </row>
    <row r="577" spans="17:100">
      <c r="Q577" t="s">
        <v>467</v>
      </c>
      <c r="R577" t="s">
        <v>489</v>
      </c>
      <c r="S577" t="s">
        <v>221</v>
      </c>
      <c r="T577">
        <f ca="1">OFFSET('Calculations 2'!$C$45,W577,X577)*OFFSET($M$6,W577,0)</f>
        <v>3677.4222092898235</v>
      </c>
      <c r="V577">
        <f t="shared" si="26"/>
        <v>571</v>
      </c>
      <c r="W577">
        <f t="shared" si="27"/>
        <v>10</v>
      </c>
      <c r="X577">
        <f t="shared" si="28"/>
        <v>17</v>
      </c>
      <c r="AC577" t="s">
        <v>467</v>
      </c>
      <c r="AD577" t="s">
        <v>489</v>
      </c>
      <c r="AE577" t="s">
        <v>221</v>
      </c>
      <c r="AF577">
        <f ca="1">OFFSET('Calculations 2'!$CE$45,W577,0)*OFFSET($AA$6,X577,0)*OFFSET($M$6,W577,)</f>
        <v>10.768644108093799</v>
      </c>
      <c r="AY577" t="s">
        <v>467</v>
      </c>
      <c r="AZ577" t="s">
        <v>489</v>
      </c>
      <c r="BA577" t="s">
        <v>221</v>
      </c>
      <c r="BB577">
        <v>0</v>
      </c>
      <c r="BE577" t="s">
        <v>467</v>
      </c>
      <c r="BF577" t="s">
        <v>489</v>
      </c>
      <c r="BG577" t="s">
        <v>221</v>
      </c>
      <c r="BH577">
        <v>0</v>
      </c>
      <c r="CT577" t="s">
        <v>467</v>
      </c>
      <c r="CU577" t="s">
        <v>221</v>
      </c>
      <c r="CV577">
        <f ca="1">OFFSET('Calculations 2'!$AJ$12,W577,X577)</f>
        <v>0</v>
      </c>
    </row>
    <row r="578" spans="17:100">
      <c r="Q578" t="s">
        <v>231</v>
      </c>
      <c r="R578" t="s">
        <v>489</v>
      </c>
      <c r="S578" t="s">
        <v>221</v>
      </c>
      <c r="T578">
        <f ca="1">OFFSET('Calculations 2'!$C$45,W578,X578)*OFFSET($M$6,W578,0)</f>
        <v>1504.7581502418111</v>
      </c>
      <c r="V578">
        <f t="shared" si="26"/>
        <v>572</v>
      </c>
      <c r="W578">
        <f t="shared" si="27"/>
        <v>11</v>
      </c>
      <c r="X578">
        <f t="shared" si="28"/>
        <v>17</v>
      </c>
      <c r="AC578" t="s">
        <v>231</v>
      </c>
      <c r="AD578" t="s">
        <v>489</v>
      </c>
      <c r="AE578" t="s">
        <v>221</v>
      </c>
      <c r="AF578">
        <f ca="1">OFFSET('Calculations 2'!$CE$45,W578,0)*OFFSET($AA$6,X578,0)*OFFSET($M$6,W578,)</f>
        <v>31.496422191442097</v>
      </c>
      <c r="AY578" t="s">
        <v>231</v>
      </c>
      <c r="AZ578" t="s">
        <v>489</v>
      </c>
      <c r="BA578" t="s">
        <v>221</v>
      </c>
      <c r="BB578">
        <v>0</v>
      </c>
      <c r="BE578" t="s">
        <v>231</v>
      </c>
      <c r="BF578" t="s">
        <v>489</v>
      </c>
      <c r="BG578" t="s">
        <v>221</v>
      </c>
      <c r="BH578">
        <v>0</v>
      </c>
      <c r="CT578" t="s">
        <v>231</v>
      </c>
      <c r="CU578" t="s">
        <v>221</v>
      </c>
      <c r="CV578">
        <f ca="1">OFFSET('Calculations 2'!$AJ$12,W578,X578)</f>
        <v>0</v>
      </c>
    </row>
    <row r="579" spans="17:100">
      <c r="Q579" t="s">
        <v>468</v>
      </c>
      <c r="R579" t="s">
        <v>489</v>
      </c>
      <c r="S579" t="s">
        <v>221</v>
      </c>
      <c r="T579">
        <f ca="1">OFFSET('Calculations 2'!$C$45,W579,X579)*OFFSET($M$6,W579,0)</f>
        <v>712.65759401153264</v>
      </c>
      <c r="V579">
        <f t="shared" si="26"/>
        <v>573</v>
      </c>
      <c r="W579">
        <f t="shared" si="27"/>
        <v>12</v>
      </c>
      <c r="X579">
        <f t="shared" si="28"/>
        <v>17</v>
      </c>
      <c r="AC579" t="s">
        <v>468</v>
      </c>
      <c r="AD579" t="s">
        <v>489</v>
      </c>
      <c r="AE579" t="s">
        <v>221</v>
      </c>
      <c r="AF579">
        <f ca="1">OFFSET('Calculations 2'!$CE$45,W579,0)*OFFSET($AA$6,X579,0)*OFFSET($M$6,W579,)</f>
        <v>45.588588516364439</v>
      </c>
      <c r="AY579" t="s">
        <v>468</v>
      </c>
      <c r="AZ579" t="s">
        <v>489</v>
      </c>
      <c r="BA579" t="s">
        <v>221</v>
      </c>
      <c r="BB579">
        <v>0</v>
      </c>
      <c r="BE579" t="s">
        <v>468</v>
      </c>
      <c r="BF579" t="s">
        <v>489</v>
      </c>
      <c r="BG579" t="s">
        <v>221</v>
      </c>
      <c r="BH579">
        <v>0</v>
      </c>
      <c r="CT579" t="s">
        <v>468</v>
      </c>
      <c r="CU579" t="s">
        <v>221</v>
      </c>
      <c r="CV579">
        <f ca="1">OFFSET('Calculations 2'!$AJ$12,W579,X579)</f>
        <v>0</v>
      </c>
    </row>
    <row r="580" spans="17:100">
      <c r="Q580" t="s">
        <v>469</v>
      </c>
      <c r="R580" t="s">
        <v>489</v>
      </c>
      <c r="S580" t="s">
        <v>221</v>
      </c>
      <c r="T580">
        <f ca="1">OFFSET('Calculations 2'!$C$45,W580,X580)*OFFSET($M$6,W580,0)</f>
        <v>212.40359951299303</v>
      </c>
      <c r="V580">
        <f t="shared" si="26"/>
        <v>574</v>
      </c>
      <c r="W580">
        <f t="shared" si="27"/>
        <v>13</v>
      </c>
      <c r="X580">
        <f t="shared" si="28"/>
        <v>17</v>
      </c>
      <c r="AC580" t="s">
        <v>469</v>
      </c>
      <c r="AD580" t="s">
        <v>489</v>
      </c>
      <c r="AE580" t="s">
        <v>221</v>
      </c>
      <c r="AF580">
        <f ca="1">OFFSET('Calculations 2'!$CE$45,W580,0)*OFFSET($AA$6,X580,0)*OFFSET($M$6,W580,)</f>
        <v>9.4834155509509479</v>
      </c>
      <c r="AY580" t="s">
        <v>469</v>
      </c>
      <c r="AZ580" t="s">
        <v>489</v>
      </c>
      <c r="BA580" t="s">
        <v>221</v>
      </c>
      <c r="BB580">
        <v>0</v>
      </c>
      <c r="BE580" t="s">
        <v>469</v>
      </c>
      <c r="BF580" t="s">
        <v>489</v>
      </c>
      <c r="BG580" t="s">
        <v>221</v>
      </c>
      <c r="BH580">
        <v>0</v>
      </c>
      <c r="CT580" t="s">
        <v>469</v>
      </c>
      <c r="CU580" t="s">
        <v>221</v>
      </c>
      <c r="CV580">
        <f ca="1">OFFSET('Calculations 2'!$AJ$12,W580,X580)</f>
        <v>0</v>
      </c>
    </row>
    <row r="581" spans="17:100">
      <c r="Q581" t="s">
        <v>245</v>
      </c>
      <c r="R581" t="s">
        <v>489</v>
      </c>
      <c r="S581" t="s">
        <v>221</v>
      </c>
      <c r="T581">
        <f ca="1">OFFSET('Calculations 2'!$C$45,W581,X581)*OFFSET($M$6,W581,0)</f>
        <v>20.212788845276172</v>
      </c>
      <c r="V581">
        <f t="shared" si="26"/>
        <v>575</v>
      </c>
      <c r="W581">
        <f t="shared" si="27"/>
        <v>14</v>
      </c>
      <c r="X581">
        <f t="shared" si="28"/>
        <v>17</v>
      </c>
      <c r="AC581" t="s">
        <v>245</v>
      </c>
      <c r="AD581" t="s">
        <v>489</v>
      </c>
      <c r="AE581" t="s">
        <v>221</v>
      </c>
      <c r="AF581">
        <f ca="1">OFFSET('Calculations 2'!$CE$45,W581,0)*OFFSET($AA$6,X581,0)*OFFSET($M$6,W581,)</f>
        <v>13.698869281865784</v>
      </c>
      <c r="AY581" t="s">
        <v>245</v>
      </c>
      <c r="AZ581" t="s">
        <v>489</v>
      </c>
      <c r="BA581" t="s">
        <v>221</v>
      </c>
      <c r="BB581">
        <v>0</v>
      </c>
      <c r="BE581" t="s">
        <v>245</v>
      </c>
      <c r="BF581" t="s">
        <v>489</v>
      </c>
      <c r="BG581" t="s">
        <v>221</v>
      </c>
      <c r="BH581">
        <v>0</v>
      </c>
      <c r="CT581" t="s">
        <v>245</v>
      </c>
      <c r="CU581" t="s">
        <v>221</v>
      </c>
      <c r="CV581">
        <f ca="1">OFFSET('Calculations 2'!$AJ$12,W581,X581)</f>
        <v>0</v>
      </c>
    </row>
    <row r="582" spans="17:100">
      <c r="Q582" t="s">
        <v>470</v>
      </c>
      <c r="R582" t="s">
        <v>489</v>
      </c>
      <c r="S582" t="s">
        <v>221</v>
      </c>
      <c r="T582">
        <f ca="1">OFFSET('Calculations 2'!$C$45,W582,X582)*OFFSET($M$6,W582,0)</f>
        <v>81.680431705009568</v>
      </c>
      <c r="V582">
        <f t="shared" si="26"/>
        <v>576</v>
      </c>
      <c r="W582">
        <f t="shared" si="27"/>
        <v>15</v>
      </c>
      <c r="X582">
        <f t="shared" si="28"/>
        <v>17</v>
      </c>
      <c r="AC582" t="s">
        <v>470</v>
      </c>
      <c r="AD582" t="s">
        <v>489</v>
      </c>
      <c r="AE582" t="s">
        <v>221</v>
      </c>
      <c r="AF582">
        <f ca="1">OFFSET('Calculations 2'!$CE$45,W582,0)*OFFSET($AA$6,X582,0)*OFFSET($M$6,W582,)</f>
        <v>37.301133055567519</v>
      </c>
      <c r="AY582" t="s">
        <v>470</v>
      </c>
      <c r="AZ582" t="s">
        <v>489</v>
      </c>
      <c r="BA582" t="s">
        <v>221</v>
      </c>
      <c r="BB582">
        <v>0</v>
      </c>
      <c r="BE582" t="s">
        <v>470</v>
      </c>
      <c r="BF582" t="s">
        <v>489</v>
      </c>
      <c r="BG582" t="s">
        <v>221</v>
      </c>
      <c r="BH582">
        <v>0</v>
      </c>
      <c r="CT582" t="s">
        <v>470</v>
      </c>
      <c r="CU582" t="s">
        <v>221</v>
      </c>
      <c r="CV582">
        <f ca="1">OFFSET('Calculations 2'!$AJ$12,W582,X582)</f>
        <v>0</v>
      </c>
    </row>
    <row r="583" spans="17:100">
      <c r="Q583" t="s">
        <v>471</v>
      </c>
      <c r="R583" t="s">
        <v>489</v>
      </c>
      <c r="S583" t="s">
        <v>221</v>
      </c>
      <c r="T583">
        <f ca="1">OFFSET('Calculations 2'!$C$45,W583,X583)*OFFSET($M$6,W583,0)</f>
        <v>730.72770630518642</v>
      </c>
      <c r="V583">
        <f t="shared" si="26"/>
        <v>577</v>
      </c>
      <c r="W583">
        <f t="shared" si="27"/>
        <v>16</v>
      </c>
      <c r="X583">
        <f t="shared" si="28"/>
        <v>17</v>
      </c>
      <c r="AC583" t="s">
        <v>471</v>
      </c>
      <c r="AD583" t="s">
        <v>489</v>
      </c>
      <c r="AE583" t="s">
        <v>221</v>
      </c>
      <c r="AF583">
        <f ca="1">OFFSET('Calculations 2'!$CE$45,W583,0)*OFFSET($AA$6,X583,0)*OFFSET($M$6,W583,)</f>
        <v>0</v>
      </c>
      <c r="AY583" t="s">
        <v>471</v>
      </c>
      <c r="AZ583" t="s">
        <v>489</v>
      </c>
      <c r="BA583" t="s">
        <v>221</v>
      </c>
      <c r="BB583">
        <v>0</v>
      </c>
      <c r="BE583" t="s">
        <v>471</v>
      </c>
      <c r="BF583" t="s">
        <v>489</v>
      </c>
      <c r="BG583" t="s">
        <v>221</v>
      </c>
      <c r="BH583">
        <v>0</v>
      </c>
      <c r="CT583" t="s">
        <v>471</v>
      </c>
      <c r="CU583" t="s">
        <v>221</v>
      </c>
      <c r="CV583">
        <f ca="1">OFFSET('Calculations 2'!$AJ$12,W583,X583)</f>
        <v>0</v>
      </c>
    </row>
    <row r="584" spans="17:100">
      <c r="Q584" t="s">
        <v>221</v>
      </c>
      <c r="R584" t="s">
        <v>489</v>
      </c>
      <c r="S584" t="s">
        <v>221</v>
      </c>
      <c r="T584">
        <f ca="1">OFFSET('Calculations 2'!$C$45,W584,X584)*OFFSET($M$6,W584,0)</f>
        <v>13898.490116471761</v>
      </c>
      <c r="V584">
        <f t="shared" ref="V584:V647" si="29">V583+1</f>
        <v>578</v>
      </c>
      <c r="W584">
        <f t="shared" ref="W584:W647" si="30">MOD(V584,$V$3)</f>
        <v>17</v>
      </c>
      <c r="X584">
        <f t="shared" ref="X584:X647" si="31">FLOOR(V584/$V$3,1)</f>
        <v>17</v>
      </c>
      <c r="AC584" t="s">
        <v>221</v>
      </c>
      <c r="AD584" t="s">
        <v>489</v>
      </c>
      <c r="AE584" t="s">
        <v>221</v>
      </c>
      <c r="AF584">
        <f ca="1">OFFSET('Calculations 2'!$CE$45,W584,0)*OFFSET($AA$6,X584,0)*OFFSET($M$6,W584,)</f>
        <v>1239.0854677188859</v>
      </c>
      <c r="AY584" t="s">
        <v>221</v>
      </c>
      <c r="AZ584" t="s">
        <v>489</v>
      </c>
      <c r="BA584" t="s">
        <v>221</v>
      </c>
      <c r="BB584">
        <v>0</v>
      </c>
      <c r="BE584" t="s">
        <v>221</v>
      </c>
      <c r="BF584" t="s">
        <v>489</v>
      </c>
      <c r="BG584" t="s">
        <v>221</v>
      </c>
      <c r="BH584">
        <v>0</v>
      </c>
      <c r="CT584" t="s">
        <v>221</v>
      </c>
      <c r="CU584" t="s">
        <v>221</v>
      </c>
      <c r="CV584">
        <f ca="1">OFFSET('Calculations 2'!$AJ$12,W584,X584)</f>
        <v>89406.357042682357</v>
      </c>
    </row>
    <row r="585" spans="17:100">
      <c r="Q585" t="s">
        <v>244</v>
      </c>
      <c r="R585" t="s">
        <v>489</v>
      </c>
      <c r="S585" t="s">
        <v>221</v>
      </c>
      <c r="T585">
        <f ca="1">OFFSET('Calculations 2'!$C$45,W585,X585)*OFFSET($M$6,W585,0)</f>
        <v>7962.8262427352702</v>
      </c>
      <c r="V585">
        <f t="shared" si="29"/>
        <v>579</v>
      </c>
      <c r="W585">
        <f t="shared" si="30"/>
        <v>18</v>
      </c>
      <c r="X585">
        <f t="shared" si="31"/>
        <v>17</v>
      </c>
      <c r="AC585" t="s">
        <v>244</v>
      </c>
      <c r="AD585" t="s">
        <v>489</v>
      </c>
      <c r="AE585" t="s">
        <v>221</v>
      </c>
      <c r="AF585">
        <f ca="1">OFFSET('Calculations 2'!$CE$45,W585,0)*OFFSET($AA$6,X585,0)*OFFSET($M$6,W585,)</f>
        <v>198.12150451782162</v>
      </c>
      <c r="AY585" t="s">
        <v>244</v>
      </c>
      <c r="AZ585" t="s">
        <v>489</v>
      </c>
      <c r="BA585" t="s">
        <v>221</v>
      </c>
      <c r="BB585">
        <v>0</v>
      </c>
      <c r="BE585" t="s">
        <v>244</v>
      </c>
      <c r="BF585" t="s">
        <v>489</v>
      </c>
      <c r="BG585" t="s">
        <v>221</v>
      </c>
      <c r="BH585">
        <v>0</v>
      </c>
      <c r="CT585" t="s">
        <v>244</v>
      </c>
      <c r="CU585" t="s">
        <v>221</v>
      </c>
      <c r="CV585">
        <f ca="1">OFFSET('Calculations 2'!$AJ$12,W585,X585)</f>
        <v>0</v>
      </c>
    </row>
    <row r="586" spans="17:100">
      <c r="Q586" t="s">
        <v>472</v>
      </c>
      <c r="R586" t="s">
        <v>489</v>
      </c>
      <c r="S586" t="s">
        <v>221</v>
      </c>
      <c r="T586">
        <f ca="1">OFFSET('Calculations 2'!$C$45,W586,X586)*OFFSET($M$6,W586,0)</f>
        <v>0</v>
      </c>
      <c r="V586">
        <f t="shared" si="29"/>
        <v>580</v>
      </c>
      <c r="W586">
        <f t="shared" si="30"/>
        <v>19</v>
      </c>
      <c r="X586">
        <f t="shared" si="31"/>
        <v>17</v>
      </c>
      <c r="AC586" t="s">
        <v>472</v>
      </c>
      <c r="AD586" t="s">
        <v>489</v>
      </c>
      <c r="AE586" t="s">
        <v>221</v>
      </c>
      <c r="AF586">
        <f ca="1">OFFSET('Calculations 2'!$CE$45,W586,0)*OFFSET($AA$6,X586,0)*OFFSET($M$6,W586,)</f>
        <v>0</v>
      </c>
      <c r="AY586" t="s">
        <v>472</v>
      </c>
      <c r="AZ586" t="s">
        <v>489</v>
      </c>
      <c r="BA586" t="s">
        <v>221</v>
      </c>
      <c r="BB586">
        <v>0</v>
      </c>
      <c r="BE586" t="s">
        <v>472</v>
      </c>
      <c r="BF586" t="s">
        <v>489</v>
      </c>
      <c r="BG586" t="s">
        <v>221</v>
      </c>
      <c r="BH586">
        <v>0</v>
      </c>
      <c r="CT586" t="s">
        <v>472</v>
      </c>
      <c r="CU586" t="s">
        <v>221</v>
      </c>
      <c r="CV586">
        <f ca="1">OFFSET('Calculations 2'!$AJ$12,W586,X586)</f>
        <v>0</v>
      </c>
    </row>
    <row r="587" spans="17:100">
      <c r="Q587" t="s">
        <v>238</v>
      </c>
      <c r="R587" t="s">
        <v>489</v>
      </c>
      <c r="S587" t="s">
        <v>221</v>
      </c>
      <c r="T587">
        <f ca="1">OFFSET('Calculations 2'!$C$45,W587,X587)*OFFSET($M$6,W587,0)</f>
        <v>28.0365079527534</v>
      </c>
      <c r="V587">
        <f t="shared" si="29"/>
        <v>581</v>
      </c>
      <c r="W587">
        <f t="shared" si="30"/>
        <v>20</v>
      </c>
      <c r="X587">
        <f t="shared" si="31"/>
        <v>17</v>
      </c>
      <c r="AC587" t="s">
        <v>238</v>
      </c>
      <c r="AD587" t="s">
        <v>489</v>
      </c>
      <c r="AE587" t="s">
        <v>221</v>
      </c>
      <c r="AF587">
        <f ca="1">OFFSET('Calculations 2'!$CE$45,W587,0)*OFFSET($AA$6,X587,0)*OFFSET($M$6,W587,)</f>
        <v>0</v>
      </c>
      <c r="AY587" t="s">
        <v>238</v>
      </c>
      <c r="AZ587" t="s">
        <v>489</v>
      </c>
      <c r="BA587" t="s">
        <v>221</v>
      </c>
      <c r="BB587">
        <v>0</v>
      </c>
      <c r="BE587" t="s">
        <v>238</v>
      </c>
      <c r="BF587" t="s">
        <v>489</v>
      </c>
      <c r="BG587" t="s">
        <v>221</v>
      </c>
      <c r="BH587">
        <v>0</v>
      </c>
      <c r="CT587" t="s">
        <v>238</v>
      </c>
      <c r="CU587" t="s">
        <v>221</v>
      </c>
      <c r="CV587">
        <f ca="1">OFFSET('Calculations 2'!$AJ$12,W587,X587)</f>
        <v>0</v>
      </c>
    </row>
    <row r="588" spans="17:100">
      <c r="Q588" t="s">
        <v>247</v>
      </c>
      <c r="R588" t="s">
        <v>489</v>
      </c>
      <c r="S588" t="s">
        <v>221</v>
      </c>
      <c r="T588">
        <f ca="1">OFFSET('Calculations 2'!$C$45,W588,X588)*OFFSET($M$6,W588,0)</f>
        <v>0</v>
      </c>
      <c r="V588">
        <f t="shared" si="29"/>
        <v>582</v>
      </c>
      <c r="W588">
        <f t="shared" si="30"/>
        <v>21</v>
      </c>
      <c r="X588">
        <f t="shared" si="31"/>
        <v>17</v>
      </c>
      <c r="AC588" t="s">
        <v>247</v>
      </c>
      <c r="AD588" t="s">
        <v>489</v>
      </c>
      <c r="AE588" t="s">
        <v>221</v>
      </c>
      <c r="AF588">
        <f ca="1">OFFSET('Calculations 2'!$CE$45,W588,0)*OFFSET($AA$6,X588,0)*OFFSET($M$6,W588,)</f>
        <v>0</v>
      </c>
      <c r="AY588" t="s">
        <v>247</v>
      </c>
      <c r="AZ588" t="s">
        <v>489</v>
      </c>
      <c r="BA588" t="s">
        <v>221</v>
      </c>
      <c r="BB588">
        <v>0</v>
      </c>
      <c r="BE588" t="s">
        <v>247</v>
      </c>
      <c r="BF588" t="s">
        <v>489</v>
      </c>
      <c r="BG588" t="s">
        <v>221</v>
      </c>
      <c r="BH588">
        <v>0</v>
      </c>
      <c r="CT588" t="s">
        <v>247</v>
      </c>
      <c r="CU588" t="s">
        <v>221</v>
      </c>
      <c r="CV588">
        <f ca="1">OFFSET('Calculations 2'!$AJ$12,W588,X588)</f>
        <v>0</v>
      </c>
    </row>
    <row r="589" spans="17:100">
      <c r="Q589" t="s">
        <v>218</v>
      </c>
      <c r="R589" t="s">
        <v>489</v>
      </c>
      <c r="S589" t="s">
        <v>221</v>
      </c>
      <c r="T589">
        <f ca="1">OFFSET('Calculations 2'!$C$45,W589,X589)*OFFSET($M$6,W589,0)</f>
        <v>496.7219296491308</v>
      </c>
      <c r="V589">
        <f t="shared" si="29"/>
        <v>583</v>
      </c>
      <c r="W589">
        <f t="shared" si="30"/>
        <v>22</v>
      </c>
      <c r="X589">
        <f t="shared" si="31"/>
        <v>17</v>
      </c>
      <c r="AC589" t="s">
        <v>218</v>
      </c>
      <c r="AD589" t="s">
        <v>489</v>
      </c>
      <c r="AE589" t="s">
        <v>221</v>
      </c>
      <c r="AF589">
        <f ca="1">OFFSET('Calculations 2'!$CE$45,W589,0)*OFFSET($AA$6,X589,0)*OFFSET($M$6,W589,)</f>
        <v>0</v>
      </c>
      <c r="AY589" t="s">
        <v>218</v>
      </c>
      <c r="AZ589" t="s">
        <v>489</v>
      </c>
      <c r="BA589" t="s">
        <v>221</v>
      </c>
      <c r="BB589">
        <v>0</v>
      </c>
      <c r="BE589" t="s">
        <v>218</v>
      </c>
      <c r="BF589" t="s">
        <v>489</v>
      </c>
      <c r="BG589" t="s">
        <v>221</v>
      </c>
      <c r="BH589">
        <v>0</v>
      </c>
      <c r="CT589" t="s">
        <v>218</v>
      </c>
      <c r="CU589" t="s">
        <v>221</v>
      </c>
      <c r="CV589">
        <f ca="1">OFFSET('Calculations 2'!$AJ$12,W589,X589)</f>
        <v>0</v>
      </c>
    </row>
    <row r="590" spans="17:100">
      <c r="Q590" t="s">
        <v>257</v>
      </c>
      <c r="R590" t="s">
        <v>489</v>
      </c>
      <c r="S590" t="s">
        <v>221</v>
      </c>
      <c r="T590">
        <f ca="1">OFFSET('Calculations 2'!$C$45,W590,X590)*OFFSET($M$6,W590,0)</f>
        <v>212.93154791862946</v>
      </c>
      <c r="V590">
        <f t="shared" si="29"/>
        <v>584</v>
      </c>
      <c r="W590">
        <f t="shared" si="30"/>
        <v>23</v>
      </c>
      <c r="X590">
        <f t="shared" si="31"/>
        <v>17</v>
      </c>
      <c r="AC590" t="s">
        <v>257</v>
      </c>
      <c r="AD590" t="s">
        <v>489</v>
      </c>
      <c r="AE590" t="s">
        <v>221</v>
      </c>
      <c r="AF590">
        <f ca="1">OFFSET('Calculations 2'!$CE$45,W590,0)*OFFSET($AA$6,X590,0)*OFFSET($M$6,W590,)</f>
        <v>0</v>
      </c>
      <c r="AY590" t="s">
        <v>257</v>
      </c>
      <c r="AZ590" t="s">
        <v>489</v>
      </c>
      <c r="BA590" t="s">
        <v>221</v>
      </c>
      <c r="BB590">
        <v>0</v>
      </c>
      <c r="BE590" t="s">
        <v>257</v>
      </c>
      <c r="BF590" t="s">
        <v>489</v>
      </c>
      <c r="BG590" t="s">
        <v>221</v>
      </c>
      <c r="BH590">
        <v>0</v>
      </c>
      <c r="CT590" t="s">
        <v>257</v>
      </c>
      <c r="CU590" t="s">
        <v>221</v>
      </c>
      <c r="CV590">
        <f ca="1">OFFSET('Calculations 2'!$AJ$12,W590,X590)</f>
        <v>0</v>
      </c>
    </row>
    <row r="591" spans="17:100">
      <c r="Q591" t="s">
        <v>220</v>
      </c>
      <c r="R591" t="s">
        <v>489</v>
      </c>
      <c r="S591" t="s">
        <v>221</v>
      </c>
      <c r="T591">
        <f ca="1">OFFSET('Calculations 2'!$C$45,W591,X591)*OFFSET($M$6,W591,0)</f>
        <v>137.88329676546169</v>
      </c>
      <c r="V591">
        <f t="shared" si="29"/>
        <v>585</v>
      </c>
      <c r="W591">
        <f t="shared" si="30"/>
        <v>24</v>
      </c>
      <c r="X591">
        <f t="shared" si="31"/>
        <v>17</v>
      </c>
      <c r="AC591" t="s">
        <v>220</v>
      </c>
      <c r="AD591" t="s">
        <v>489</v>
      </c>
      <c r="AE591" t="s">
        <v>221</v>
      </c>
      <c r="AF591">
        <f ca="1">OFFSET('Calculations 2'!$CE$45,W591,0)*OFFSET($AA$6,X591,0)*OFFSET($M$6,W591,)</f>
        <v>0</v>
      </c>
      <c r="AY591" t="s">
        <v>220</v>
      </c>
      <c r="AZ591" t="s">
        <v>489</v>
      </c>
      <c r="BA591" t="s">
        <v>221</v>
      </c>
      <c r="BB591">
        <v>0</v>
      </c>
      <c r="BE591" t="s">
        <v>220</v>
      </c>
      <c r="BF591" t="s">
        <v>489</v>
      </c>
      <c r="BG591" t="s">
        <v>221</v>
      </c>
      <c r="BH591">
        <v>0</v>
      </c>
      <c r="CT591" t="s">
        <v>220</v>
      </c>
      <c r="CU591" t="s">
        <v>221</v>
      </c>
      <c r="CV591">
        <f ca="1">OFFSET('Calculations 2'!$AJ$12,W591,X591)</f>
        <v>0</v>
      </c>
    </row>
    <row r="592" spans="17:100">
      <c r="Q592" t="s">
        <v>235</v>
      </c>
      <c r="R592" t="s">
        <v>489</v>
      </c>
      <c r="S592" t="s">
        <v>221</v>
      </c>
      <c r="T592">
        <f ca="1">OFFSET('Calculations 2'!$C$45,W592,X592)*OFFSET($M$6,W592,0)</f>
        <v>2733.544988369702</v>
      </c>
      <c r="V592">
        <f t="shared" si="29"/>
        <v>586</v>
      </c>
      <c r="W592">
        <f t="shared" si="30"/>
        <v>25</v>
      </c>
      <c r="X592">
        <f t="shared" si="31"/>
        <v>17</v>
      </c>
      <c r="AC592" t="s">
        <v>235</v>
      </c>
      <c r="AD592" t="s">
        <v>489</v>
      </c>
      <c r="AE592" t="s">
        <v>221</v>
      </c>
      <c r="AF592">
        <f ca="1">OFFSET('Calculations 2'!$CE$45,W592,0)*OFFSET($AA$6,X592,0)*OFFSET($M$6,W592,)</f>
        <v>0</v>
      </c>
      <c r="AY592" t="s">
        <v>235</v>
      </c>
      <c r="AZ592" t="s">
        <v>489</v>
      </c>
      <c r="BA592" t="s">
        <v>221</v>
      </c>
      <c r="BB592">
        <v>0</v>
      </c>
      <c r="BE592" t="s">
        <v>235</v>
      </c>
      <c r="BF592" t="s">
        <v>489</v>
      </c>
      <c r="BG592" t="s">
        <v>221</v>
      </c>
      <c r="BH592">
        <v>0</v>
      </c>
      <c r="CT592" t="s">
        <v>235</v>
      </c>
      <c r="CU592" t="s">
        <v>221</v>
      </c>
      <c r="CV592">
        <f ca="1">OFFSET('Calculations 2'!$AJ$12,W592,X592)</f>
        <v>0</v>
      </c>
    </row>
    <row r="593" spans="17:100">
      <c r="Q593" t="s">
        <v>473</v>
      </c>
      <c r="R593" t="s">
        <v>489</v>
      </c>
      <c r="S593" t="s">
        <v>221</v>
      </c>
      <c r="T593">
        <f ca="1">OFFSET('Calculations 2'!$C$45,W593,X593)*OFFSET($M$6,W593,0)</f>
        <v>493.5985452265997</v>
      </c>
      <c r="V593">
        <f t="shared" si="29"/>
        <v>587</v>
      </c>
      <c r="W593">
        <f t="shared" si="30"/>
        <v>26</v>
      </c>
      <c r="X593">
        <f t="shared" si="31"/>
        <v>17</v>
      </c>
      <c r="AC593" t="s">
        <v>473</v>
      </c>
      <c r="AD593" t="s">
        <v>489</v>
      </c>
      <c r="AE593" t="s">
        <v>221</v>
      </c>
      <c r="AF593">
        <f ca="1">OFFSET('Calculations 2'!$CE$45,W593,0)*OFFSET($AA$6,X593,0)*OFFSET($M$6,W593,)</f>
        <v>0</v>
      </c>
      <c r="AY593" t="s">
        <v>473</v>
      </c>
      <c r="AZ593" t="s">
        <v>489</v>
      </c>
      <c r="BA593" t="s">
        <v>221</v>
      </c>
      <c r="BB593">
        <v>0</v>
      </c>
      <c r="BE593" t="s">
        <v>473</v>
      </c>
      <c r="BF593" t="s">
        <v>489</v>
      </c>
      <c r="BG593" t="s">
        <v>221</v>
      </c>
      <c r="BH593">
        <v>0</v>
      </c>
      <c r="CT593" t="s">
        <v>473</v>
      </c>
      <c r="CU593" t="s">
        <v>221</v>
      </c>
      <c r="CV593">
        <f ca="1">OFFSET('Calculations 2'!$AJ$12,W593,X593)</f>
        <v>0</v>
      </c>
    </row>
    <row r="594" spans="17:100">
      <c r="Q594" t="s">
        <v>233</v>
      </c>
      <c r="R594" t="s">
        <v>489</v>
      </c>
      <c r="S594" t="s">
        <v>221</v>
      </c>
      <c r="T594">
        <f ca="1">OFFSET('Calculations 2'!$C$45,W594,X594)*OFFSET($M$6,W594,0)</f>
        <v>3072.226417590869</v>
      </c>
      <c r="V594">
        <f t="shared" si="29"/>
        <v>588</v>
      </c>
      <c r="W594">
        <f t="shared" si="30"/>
        <v>27</v>
      </c>
      <c r="X594">
        <f t="shared" si="31"/>
        <v>17</v>
      </c>
      <c r="AC594" t="s">
        <v>233</v>
      </c>
      <c r="AD594" t="s">
        <v>489</v>
      </c>
      <c r="AE594" t="s">
        <v>221</v>
      </c>
      <c r="AF594">
        <f ca="1">OFFSET('Calculations 2'!$CE$45,W594,0)*OFFSET($AA$6,X594,0)*OFFSET($M$6,W594,)</f>
        <v>0</v>
      </c>
      <c r="AY594" t="s">
        <v>233</v>
      </c>
      <c r="AZ594" t="s">
        <v>489</v>
      </c>
      <c r="BA594" t="s">
        <v>221</v>
      </c>
      <c r="BB594">
        <v>0</v>
      </c>
      <c r="BE594" t="s">
        <v>233</v>
      </c>
      <c r="BF594" t="s">
        <v>489</v>
      </c>
      <c r="BG594" t="s">
        <v>221</v>
      </c>
      <c r="BH594">
        <v>0</v>
      </c>
      <c r="CT594" t="s">
        <v>233</v>
      </c>
      <c r="CU594" t="s">
        <v>221</v>
      </c>
      <c r="CV594">
        <f ca="1">OFFSET('Calculations 2'!$AJ$12,W594,X594)</f>
        <v>0</v>
      </c>
    </row>
    <row r="595" spans="17:100">
      <c r="Q595" t="s">
        <v>474</v>
      </c>
      <c r="R595" t="s">
        <v>489</v>
      </c>
      <c r="S595" t="s">
        <v>221</v>
      </c>
      <c r="T595">
        <f ca="1">OFFSET('Calculations 2'!$C$45,W595,X595)*OFFSET($M$6,W595,0)</f>
        <v>760.45655892522825</v>
      </c>
      <c r="V595">
        <f t="shared" si="29"/>
        <v>589</v>
      </c>
      <c r="W595">
        <f t="shared" si="30"/>
        <v>28</v>
      </c>
      <c r="X595">
        <f t="shared" si="31"/>
        <v>17</v>
      </c>
      <c r="AC595" t="s">
        <v>474</v>
      </c>
      <c r="AD595" t="s">
        <v>489</v>
      </c>
      <c r="AE595" t="s">
        <v>221</v>
      </c>
      <c r="AF595">
        <f ca="1">OFFSET('Calculations 2'!$CE$45,W595,0)*OFFSET($AA$6,X595,0)*OFFSET($M$6,W595,)</f>
        <v>0</v>
      </c>
      <c r="AY595" t="s">
        <v>474</v>
      </c>
      <c r="AZ595" t="s">
        <v>489</v>
      </c>
      <c r="BA595" t="s">
        <v>221</v>
      </c>
      <c r="BB595">
        <v>0</v>
      </c>
      <c r="BE595" t="s">
        <v>474</v>
      </c>
      <c r="BF595" t="s">
        <v>489</v>
      </c>
      <c r="BG595" t="s">
        <v>221</v>
      </c>
      <c r="BH595">
        <v>0</v>
      </c>
      <c r="CT595" t="s">
        <v>474</v>
      </c>
      <c r="CU595" t="s">
        <v>221</v>
      </c>
      <c r="CV595">
        <f ca="1">OFFSET('Calculations 2'!$AJ$12,W595,X595)</f>
        <v>0</v>
      </c>
    </row>
    <row r="596" spans="17:100">
      <c r="Q596" t="s">
        <v>223</v>
      </c>
      <c r="R596" t="s">
        <v>489</v>
      </c>
      <c r="S596" t="s">
        <v>221</v>
      </c>
      <c r="T596">
        <f ca="1">OFFSET('Calculations 2'!$C$45,W596,X596)*OFFSET($M$6,W596,0)</f>
        <v>52.411056758630153</v>
      </c>
      <c r="V596">
        <f t="shared" si="29"/>
        <v>590</v>
      </c>
      <c r="W596">
        <f t="shared" si="30"/>
        <v>29</v>
      </c>
      <c r="X596">
        <f t="shared" si="31"/>
        <v>17</v>
      </c>
      <c r="AC596" t="s">
        <v>223</v>
      </c>
      <c r="AD596" t="s">
        <v>489</v>
      </c>
      <c r="AE596" t="s">
        <v>221</v>
      </c>
      <c r="AF596">
        <f ca="1">OFFSET('Calculations 2'!$CE$45,W596,0)*OFFSET($AA$6,X596,0)*OFFSET($M$6,W596,)</f>
        <v>0</v>
      </c>
      <c r="AY596" t="s">
        <v>223</v>
      </c>
      <c r="AZ596" t="s">
        <v>489</v>
      </c>
      <c r="BA596" t="s">
        <v>221</v>
      </c>
      <c r="BB596">
        <v>0</v>
      </c>
      <c r="BE596" t="s">
        <v>223</v>
      </c>
      <c r="BF596" t="s">
        <v>489</v>
      </c>
      <c r="BG596" t="s">
        <v>221</v>
      </c>
      <c r="BH596">
        <v>0</v>
      </c>
      <c r="CT596" t="s">
        <v>223</v>
      </c>
      <c r="CU596" t="s">
        <v>221</v>
      </c>
      <c r="CV596">
        <f ca="1">OFFSET('Calculations 2'!$AJ$12,W596,X596)</f>
        <v>0</v>
      </c>
    </row>
    <row r="597" spans="17:100">
      <c r="Q597" t="s">
        <v>475</v>
      </c>
      <c r="R597" t="s">
        <v>489</v>
      </c>
      <c r="S597" t="s">
        <v>221</v>
      </c>
      <c r="T597">
        <f ca="1">OFFSET('Calculations 2'!$C$45,W597,X597)*OFFSET($M$6,W597,0)</f>
        <v>23.468136794018054</v>
      </c>
      <c r="V597">
        <f t="shared" si="29"/>
        <v>591</v>
      </c>
      <c r="W597">
        <f t="shared" si="30"/>
        <v>30</v>
      </c>
      <c r="X597">
        <f t="shared" si="31"/>
        <v>17</v>
      </c>
      <c r="AC597" t="s">
        <v>475</v>
      </c>
      <c r="AD597" t="s">
        <v>489</v>
      </c>
      <c r="AE597" t="s">
        <v>221</v>
      </c>
      <c r="AF597">
        <f ca="1">OFFSET('Calculations 2'!$CE$45,W597,0)*OFFSET($AA$6,X597,0)*OFFSET($M$6,W597,)</f>
        <v>0</v>
      </c>
      <c r="AY597" t="s">
        <v>475</v>
      </c>
      <c r="AZ597" t="s">
        <v>489</v>
      </c>
      <c r="BA597" t="s">
        <v>221</v>
      </c>
      <c r="BB597">
        <v>0</v>
      </c>
      <c r="BE597" t="s">
        <v>475</v>
      </c>
      <c r="BF597" t="s">
        <v>489</v>
      </c>
      <c r="BG597" t="s">
        <v>221</v>
      </c>
      <c r="BH597">
        <v>0</v>
      </c>
      <c r="CT597" t="s">
        <v>475</v>
      </c>
      <c r="CU597" t="s">
        <v>221</v>
      </c>
      <c r="CV597">
        <f ca="1">OFFSET('Calculations 2'!$AJ$12,W597,X597)</f>
        <v>0</v>
      </c>
    </row>
    <row r="598" spans="17:100">
      <c r="Q598" t="s">
        <v>476</v>
      </c>
      <c r="R598" t="s">
        <v>489</v>
      </c>
      <c r="S598" t="s">
        <v>221</v>
      </c>
      <c r="T598">
        <f ca="1">OFFSET('Calculations 2'!$C$45,W598,X598)*OFFSET($M$6,W598,0)</f>
        <v>17.31892787774116</v>
      </c>
      <c r="V598">
        <f t="shared" si="29"/>
        <v>592</v>
      </c>
      <c r="W598">
        <f t="shared" si="30"/>
        <v>31</v>
      </c>
      <c r="X598">
        <f t="shared" si="31"/>
        <v>17</v>
      </c>
      <c r="AC598" t="s">
        <v>476</v>
      </c>
      <c r="AD598" t="s">
        <v>489</v>
      </c>
      <c r="AE598" t="s">
        <v>221</v>
      </c>
      <c r="AF598">
        <f ca="1">OFFSET('Calculations 2'!$CE$45,W598,0)*OFFSET($AA$6,X598,0)*OFFSET($M$6,W598,)</f>
        <v>0</v>
      </c>
      <c r="AY598" t="s">
        <v>476</v>
      </c>
      <c r="AZ598" t="s">
        <v>489</v>
      </c>
      <c r="BA598" t="s">
        <v>221</v>
      </c>
      <c r="BB598">
        <v>0</v>
      </c>
      <c r="BE598" t="s">
        <v>476</v>
      </c>
      <c r="BF598" t="s">
        <v>489</v>
      </c>
      <c r="BG598" t="s">
        <v>221</v>
      </c>
      <c r="BH598">
        <v>0</v>
      </c>
      <c r="CT598" t="s">
        <v>476</v>
      </c>
      <c r="CU598" t="s">
        <v>221</v>
      </c>
      <c r="CV598">
        <f ca="1">OFFSET('Calculations 2'!$AJ$12,W598,X598)</f>
        <v>0</v>
      </c>
    </row>
    <row r="599" spans="17:100">
      <c r="Q599" t="s">
        <v>222</v>
      </c>
      <c r="R599" t="s">
        <v>489</v>
      </c>
      <c r="S599" t="s">
        <v>221</v>
      </c>
      <c r="T599">
        <f ca="1">OFFSET('Calculations 2'!$C$45,W599,X599)*OFFSET($M$6,W599,0)</f>
        <v>0</v>
      </c>
      <c r="V599">
        <f t="shared" si="29"/>
        <v>593</v>
      </c>
      <c r="W599">
        <f t="shared" si="30"/>
        <v>32</v>
      </c>
      <c r="X599">
        <f t="shared" si="31"/>
        <v>17</v>
      </c>
      <c r="AC599" t="s">
        <v>222</v>
      </c>
      <c r="AD599" t="s">
        <v>489</v>
      </c>
      <c r="AE599" t="s">
        <v>221</v>
      </c>
      <c r="AF599">
        <f ca="1">OFFSET('Calculations 2'!$CE$45,W599,0)*OFFSET($AA$6,X599,0)*OFFSET($M$6,W599,)</f>
        <v>0</v>
      </c>
      <c r="AY599" t="s">
        <v>222</v>
      </c>
      <c r="AZ599" t="s">
        <v>489</v>
      </c>
      <c r="BA599" t="s">
        <v>221</v>
      </c>
      <c r="BB599">
        <v>0</v>
      </c>
      <c r="BE599" t="s">
        <v>222</v>
      </c>
      <c r="BF599" t="s">
        <v>489</v>
      </c>
      <c r="BG599" t="s">
        <v>221</v>
      </c>
      <c r="BH599">
        <v>0</v>
      </c>
      <c r="CT599" t="s">
        <v>222</v>
      </c>
      <c r="CU599" t="s">
        <v>221</v>
      </c>
      <c r="CV599">
        <f ca="1">OFFSET('Calculations 2'!$AJ$12,W599,X599)</f>
        <v>0</v>
      </c>
    </row>
    <row r="600" spans="17:100">
      <c r="Q600" t="s">
        <v>217</v>
      </c>
      <c r="R600" t="s">
        <v>489</v>
      </c>
      <c r="S600" t="s">
        <v>244</v>
      </c>
      <c r="T600">
        <f ca="1">OFFSET('Calculations 2'!$C$45,W600,X600)*OFFSET($M$6,W600,0)</f>
        <v>0</v>
      </c>
      <c r="V600">
        <f t="shared" si="29"/>
        <v>594</v>
      </c>
      <c r="W600">
        <f t="shared" si="30"/>
        <v>0</v>
      </c>
      <c r="X600">
        <f t="shared" si="31"/>
        <v>18</v>
      </c>
      <c r="AC600" t="s">
        <v>217</v>
      </c>
      <c r="AD600" t="s">
        <v>489</v>
      </c>
      <c r="AE600" t="s">
        <v>244</v>
      </c>
      <c r="AF600">
        <f ca="1">OFFSET('Calculations 2'!$CE$45,W600,0)*OFFSET($AA$6,X600,0)*OFFSET($M$6,W600,)</f>
        <v>5.0086085702057304</v>
      </c>
      <c r="AY600" t="s">
        <v>217</v>
      </c>
      <c r="AZ600" t="s">
        <v>489</v>
      </c>
      <c r="BA600" t="s">
        <v>244</v>
      </c>
      <c r="BB600">
        <v>0</v>
      </c>
      <c r="BE600" t="s">
        <v>217</v>
      </c>
      <c r="BF600" t="s">
        <v>489</v>
      </c>
      <c r="BG600" t="s">
        <v>244</v>
      </c>
      <c r="BH600">
        <v>0</v>
      </c>
      <c r="CT600" t="s">
        <v>217</v>
      </c>
      <c r="CU600" t="s">
        <v>244</v>
      </c>
      <c r="CV600">
        <f ca="1">OFFSET('Calculations 2'!$AJ$12,W600,X600)</f>
        <v>0</v>
      </c>
    </row>
    <row r="601" spans="17:100">
      <c r="Q601" t="s">
        <v>232</v>
      </c>
      <c r="R601" t="s">
        <v>489</v>
      </c>
      <c r="S601" t="s">
        <v>244</v>
      </c>
      <c r="T601">
        <f ca="1">OFFSET('Calculations 2'!$C$45,W601,X601)*OFFSET($M$6,W601,0)</f>
        <v>4.6081034438412409</v>
      </c>
      <c r="V601">
        <f t="shared" si="29"/>
        <v>595</v>
      </c>
      <c r="W601">
        <f t="shared" si="30"/>
        <v>1</v>
      </c>
      <c r="X601">
        <f t="shared" si="31"/>
        <v>18</v>
      </c>
      <c r="AC601" t="s">
        <v>232</v>
      </c>
      <c r="AD601" t="s">
        <v>489</v>
      </c>
      <c r="AE601" t="s">
        <v>244</v>
      </c>
      <c r="AF601">
        <f ca="1">OFFSET('Calculations 2'!$CE$45,W601,0)*OFFSET($AA$6,X601,0)*OFFSET($M$6,W601,)</f>
        <v>8.7371080474664993</v>
      </c>
      <c r="AY601" t="s">
        <v>232</v>
      </c>
      <c r="AZ601" t="s">
        <v>489</v>
      </c>
      <c r="BA601" t="s">
        <v>244</v>
      </c>
      <c r="BB601">
        <v>0</v>
      </c>
      <c r="BE601" t="s">
        <v>232</v>
      </c>
      <c r="BF601" t="s">
        <v>489</v>
      </c>
      <c r="BG601" t="s">
        <v>244</v>
      </c>
      <c r="BH601">
        <v>0</v>
      </c>
      <c r="CT601" t="s">
        <v>232</v>
      </c>
      <c r="CU601" t="s">
        <v>244</v>
      </c>
      <c r="CV601">
        <f ca="1">OFFSET('Calculations 2'!$AJ$12,W601,X601)</f>
        <v>0</v>
      </c>
    </row>
    <row r="602" spans="17:100">
      <c r="Q602" t="s">
        <v>226</v>
      </c>
      <c r="R602" t="s">
        <v>489</v>
      </c>
      <c r="S602" t="s">
        <v>244</v>
      </c>
      <c r="T602">
        <f ca="1">OFFSET('Calculations 2'!$C$45,W602,X602)*OFFSET($M$6,W602,0)</f>
        <v>15.955352230604385</v>
      </c>
      <c r="V602">
        <f t="shared" si="29"/>
        <v>596</v>
      </c>
      <c r="W602">
        <f t="shared" si="30"/>
        <v>2</v>
      </c>
      <c r="X602">
        <f t="shared" si="31"/>
        <v>18</v>
      </c>
      <c r="AC602" t="s">
        <v>226</v>
      </c>
      <c r="AD602" t="s">
        <v>489</v>
      </c>
      <c r="AE602" t="s">
        <v>244</v>
      </c>
      <c r="AF602">
        <f ca="1">OFFSET('Calculations 2'!$CE$45,W602,0)*OFFSET($AA$6,X602,0)*OFFSET($M$6,W602,)</f>
        <v>14.71145020222259</v>
      </c>
      <c r="AY602" t="s">
        <v>226</v>
      </c>
      <c r="AZ602" t="s">
        <v>489</v>
      </c>
      <c r="BA602" t="s">
        <v>244</v>
      </c>
      <c r="BB602">
        <v>0</v>
      </c>
      <c r="BE602" t="s">
        <v>226</v>
      </c>
      <c r="BF602" t="s">
        <v>489</v>
      </c>
      <c r="BG602" t="s">
        <v>244</v>
      </c>
      <c r="BH602">
        <v>0</v>
      </c>
      <c r="CT602" t="s">
        <v>226</v>
      </c>
      <c r="CU602" t="s">
        <v>244</v>
      </c>
      <c r="CV602">
        <f ca="1">OFFSET('Calculations 2'!$AJ$12,W602,X602)</f>
        <v>0</v>
      </c>
    </row>
    <row r="603" spans="17:100">
      <c r="Q603" t="s">
        <v>243</v>
      </c>
      <c r="R603" t="s">
        <v>489</v>
      </c>
      <c r="S603" t="s">
        <v>244</v>
      </c>
      <c r="T603">
        <f ca="1">OFFSET('Calculations 2'!$C$45,W603,X603)*OFFSET($M$6,W603,0)</f>
        <v>17.540809896243989</v>
      </c>
      <c r="V603">
        <f t="shared" si="29"/>
        <v>597</v>
      </c>
      <c r="W603">
        <f t="shared" si="30"/>
        <v>3</v>
      </c>
      <c r="X603">
        <f t="shared" si="31"/>
        <v>18</v>
      </c>
      <c r="AC603" t="s">
        <v>243</v>
      </c>
      <c r="AD603" t="s">
        <v>489</v>
      </c>
      <c r="AE603" t="s">
        <v>244</v>
      </c>
      <c r="AF603">
        <f ca="1">OFFSET('Calculations 2'!$CE$45,W603,0)*OFFSET($AA$6,X603,0)*OFFSET($M$6,W603,)</f>
        <v>76.629812651087306</v>
      </c>
      <c r="AY603" t="s">
        <v>243</v>
      </c>
      <c r="AZ603" t="s">
        <v>489</v>
      </c>
      <c r="BA603" t="s">
        <v>244</v>
      </c>
      <c r="BB603">
        <v>0</v>
      </c>
      <c r="BE603" t="s">
        <v>243</v>
      </c>
      <c r="BF603" t="s">
        <v>489</v>
      </c>
      <c r="BG603" t="s">
        <v>244</v>
      </c>
      <c r="BH603">
        <v>0</v>
      </c>
      <c r="CT603" t="s">
        <v>243</v>
      </c>
      <c r="CU603" t="s">
        <v>244</v>
      </c>
      <c r="CV603">
        <f ca="1">OFFSET('Calculations 2'!$AJ$12,W603,X603)</f>
        <v>0</v>
      </c>
    </row>
    <row r="604" spans="17:100">
      <c r="Q604" t="s">
        <v>228</v>
      </c>
      <c r="R604" t="s">
        <v>489</v>
      </c>
      <c r="S604" t="s">
        <v>244</v>
      </c>
      <c r="T604">
        <f ca="1">OFFSET('Calculations 2'!$C$45,W604,X604)*OFFSET($M$6,W604,0)</f>
        <v>0</v>
      </c>
      <c r="V604">
        <f t="shared" si="29"/>
        <v>598</v>
      </c>
      <c r="W604">
        <f t="shared" si="30"/>
        <v>4</v>
      </c>
      <c r="X604">
        <f t="shared" si="31"/>
        <v>18</v>
      </c>
      <c r="AC604" t="s">
        <v>228</v>
      </c>
      <c r="AD604" t="s">
        <v>489</v>
      </c>
      <c r="AE604" t="s">
        <v>244</v>
      </c>
      <c r="AF604">
        <f ca="1">OFFSET('Calculations 2'!$CE$45,W604,0)*OFFSET($AA$6,X604,0)*OFFSET($M$6,W604,)</f>
        <v>0.543743979294665</v>
      </c>
      <c r="AY604" t="s">
        <v>228</v>
      </c>
      <c r="AZ604" t="s">
        <v>489</v>
      </c>
      <c r="BA604" t="s">
        <v>244</v>
      </c>
      <c r="BB604">
        <v>0</v>
      </c>
      <c r="BE604" t="s">
        <v>228</v>
      </c>
      <c r="BF604" t="s">
        <v>489</v>
      </c>
      <c r="BG604" t="s">
        <v>244</v>
      </c>
      <c r="BH604">
        <v>0</v>
      </c>
      <c r="CT604" t="s">
        <v>228</v>
      </c>
      <c r="CU604" t="s">
        <v>244</v>
      </c>
      <c r="CV604">
        <f ca="1">OFFSET('Calculations 2'!$AJ$12,W604,X604)</f>
        <v>0</v>
      </c>
    </row>
    <row r="605" spans="17:100">
      <c r="Q605" t="s">
        <v>246</v>
      </c>
      <c r="R605" t="s">
        <v>489</v>
      </c>
      <c r="S605" t="s">
        <v>244</v>
      </c>
      <c r="T605">
        <f ca="1">OFFSET('Calculations 2'!$C$45,W605,X605)*OFFSET($M$6,W605,0)</f>
        <v>4.6164277340581164</v>
      </c>
      <c r="V605">
        <f t="shared" si="29"/>
        <v>599</v>
      </c>
      <c r="W605">
        <f t="shared" si="30"/>
        <v>5</v>
      </c>
      <c r="X605">
        <f t="shared" si="31"/>
        <v>18</v>
      </c>
      <c r="AC605" t="s">
        <v>246</v>
      </c>
      <c r="AD605" t="s">
        <v>489</v>
      </c>
      <c r="AE605" t="s">
        <v>244</v>
      </c>
      <c r="AF605">
        <f ca="1">OFFSET('Calculations 2'!$CE$45,W605,0)*OFFSET($AA$6,X605,0)*OFFSET($M$6,W605,)</f>
        <v>3.3472809480333354</v>
      </c>
      <c r="AY605" t="s">
        <v>246</v>
      </c>
      <c r="AZ605" t="s">
        <v>489</v>
      </c>
      <c r="BA605" t="s">
        <v>244</v>
      </c>
      <c r="BB605">
        <v>0</v>
      </c>
      <c r="BE605" t="s">
        <v>246</v>
      </c>
      <c r="BF605" t="s">
        <v>489</v>
      </c>
      <c r="BG605" t="s">
        <v>244</v>
      </c>
      <c r="BH605">
        <v>0</v>
      </c>
      <c r="CT605" t="s">
        <v>246</v>
      </c>
      <c r="CU605" t="s">
        <v>244</v>
      </c>
      <c r="CV605">
        <f ca="1">OFFSET('Calculations 2'!$AJ$12,W605,X605)</f>
        <v>0</v>
      </c>
    </row>
    <row r="606" spans="17:100">
      <c r="Q606" t="s">
        <v>239</v>
      </c>
      <c r="R606" t="s">
        <v>489</v>
      </c>
      <c r="S606" t="s">
        <v>244</v>
      </c>
      <c r="T606">
        <f ca="1">OFFSET('Calculations 2'!$C$45,W606,X606)*OFFSET($M$6,W606,0)</f>
        <v>533.31271695088867</v>
      </c>
      <c r="V606">
        <f t="shared" si="29"/>
        <v>600</v>
      </c>
      <c r="W606">
        <f t="shared" si="30"/>
        <v>6</v>
      </c>
      <c r="X606">
        <f t="shared" si="31"/>
        <v>18</v>
      </c>
      <c r="AC606" t="s">
        <v>239</v>
      </c>
      <c r="AD606" t="s">
        <v>489</v>
      </c>
      <c r="AE606" t="s">
        <v>244</v>
      </c>
      <c r="AF606">
        <f ca="1">OFFSET('Calculations 2'!$CE$45,W606,0)*OFFSET($AA$6,X606,0)*OFFSET($M$6,W606,)</f>
        <v>66.997907354274489</v>
      </c>
      <c r="AY606" t="s">
        <v>239</v>
      </c>
      <c r="AZ606" t="s">
        <v>489</v>
      </c>
      <c r="BA606" t="s">
        <v>244</v>
      </c>
      <c r="BB606">
        <v>0</v>
      </c>
      <c r="BE606" t="s">
        <v>239</v>
      </c>
      <c r="BF606" t="s">
        <v>489</v>
      </c>
      <c r="BG606" t="s">
        <v>244</v>
      </c>
      <c r="BH606">
        <v>0</v>
      </c>
      <c r="CT606" t="s">
        <v>239</v>
      </c>
      <c r="CU606" t="s">
        <v>244</v>
      </c>
      <c r="CV606">
        <f ca="1">OFFSET('Calculations 2'!$AJ$12,W606,X606)</f>
        <v>0</v>
      </c>
    </row>
    <row r="607" spans="17:100">
      <c r="Q607" t="s">
        <v>466</v>
      </c>
      <c r="R607" t="s">
        <v>489</v>
      </c>
      <c r="S607" t="s">
        <v>244</v>
      </c>
      <c r="T607">
        <f ca="1">OFFSET('Calculations 2'!$C$45,W607,X607)*OFFSET($M$6,W607,0)</f>
        <v>392.80448872762543</v>
      </c>
      <c r="V607">
        <f t="shared" si="29"/>
        <v>601</v>
      </c>
      <c r="W607">
        <f t="shared" si="30"/>
        <v>7</v>
      </c>
      <c r="X607">
        <f t="shared" si="31"/>
        <v>18</v>
      </c>
      <c r="AC607" t="s">
        <v>466</v>
      </c>
      <c r="AD607" t="s">
        <v>489</v>
      </c>
      <c r="AE607" t="s">
        <v>244</v>
      </c>
      <c r="AF607">
        <f ca="1">OFFSET('Calculations 2'!$CE$45,W607,0)*OFFSET($AA$6,X607,0)*OFFSET($M$6,W607,)</f>
        <v>10.209184509952696</v>
      </c>
      <c r="AY607" t="s">
        <v>466</v>
      </c>
      <c r="AZ607" t="s">
        <v>489</v>
      </c>
      <c r="BA607" t="s">
        <v>244</v>
      </c>
      <c r="BB607">
        <v>0</v>
      </c>
      <c r="BE607" t="s">
        <v>466</v>
      </c>
      <c r="BF607" t="s">
        <v>489</v>
      </c>
      <c r="BG607" t="s">
        <v>244</v>
      </c>
      <c r="BH607">
        <v>0</v>
      </c>
      <c r="CT607" t="s">
        <v>466</v>
      </c>
      <c r="CU607" t="s">
        <v>244</v>
      </c>
      <c r="CV607">
        <f ca="1">OFFSET('Calculations 2'!$AJ$12,W607,X607)</f>
        <v>0</v>
      </c>
    </row>
    <row r="608" spans="17:100">
      <c r="Q608" t="s">
        <v>219</v>
      </c>
      <c r="R608" t="s">
        <v>489</v>
      </c>
      <c r="S608" t="s">
        <v>244</v>
      </c>
      <c r="T608">
        <f ca="1">OFFSET('Calculations 2'!$C$45,W608,X608)*OFFSET($M$6,W608,0)</f>
        <v>24.16131638270214</v>
      </c>
      <c r="V608">
        <f t="shared" si="29"/>
        <v>602</v>
      </c>
      <c r="W608">
        <f t="shared" si="30"/>
        <v>8</v>
      </c>
      <c r="X608">
        <f t="shared" si="31"/>
        <v>18</v>
      </c>
      <c r="AC608" t="s">
        <v>219</v>
      </c>
      <c r="AD608" t="s">
        <v>489</v>
      </c>
      <c r="AE608" t="s">
        <v>244</v>
      </c>
      <c r="AF608">
        <f ca="1">OFFSET('Calculations 2'!$CE$45,W608,0)*OFFSET($AA$6,X608,0)*OFFSET($M$6,W608,)</f>
        <v>63.574678137598823</v>
      </c>
      <c r="AY608" t="s">
        <v>219</v>
      </c>
      <c r="AZ608" t="s">
        <v>489</v>
      </c>
      <c r="BA608" t="s">
        <v>244</v>
      </c>
      <c r="BB608">
        <v>0</v>
      </c>
      <c r="BE608" t="s">
        <v>219</v>
      </c>
      <c r="BF608" t="s">
        <v>489</v>
      </c>
      <c r="BG608" t="s">
        <v>244</v>
      </c>
      <c r="BH608">
        <v>0</v>
      </c>
      <c r="CT608" t="s">
        <v>219</v>
      </c>
      <c r="CU608" t="s">
        <v>244</v>
      </c>
      <c r="CV608">
        <f ca="1">OFFSET('Calculations 2'!$AJ$12,W608,X608)</f>
        <v>0</v>
      </c>
    </row>
    <row r="609" spans="17:100">
      <c r="Q609" t="s">
        <v>242</v>
      </c>
      <c r="R609" t="s">
        <v>489</v>
      </c>
      <c r="S609" t="s">
        <v>244</v>
      </c>
      <c r="T609">
        <f ca="1">OFFSET('Calculations 2'!$C$45,W609,X609)*OFFSET($M$6,W609,0)</f>
        <v>204.53341047580156</v>
      </c>
      <c r="V609">
        <f t="shared" si="29"/>
        <v>603</v>
      </c>
      <c r="W609">
        <f t="shared" si="30"/>
        <v>9</v>
      </c>
      <c r="X609">
        <f t="shared" si="31"/>
        <v>18</v>
      </c>
      <c r="AC609" t="s">
        <v>242</v>
      </c>
      <c r="AD609" t="s">
        <v>489</v>
      </c>
      <c r="AE609" t="s">
        <v>244</v>
      </c>
      <c r="AF609">
        <f ca="1">OFFSET('Calculations 2'!$CE$45,W609,0)*OFFSET($AA$6,X609,0)*OFFSET($M$6,W609,)</f>
        <v>99.520028157780914</v>
      </c>
      <c r="AY609" t="s">
        <v>242</v>
      </c>
      <c r="AZ609" t="s">
        <v>489</v>
      </c>
      <c r="BA609" t="s">
        <v>244</v>
      </c>
      <c r="BB609">
        <v>0</v>
      </c>
      <c r="BE609" t="s">
        <v>242</v>
      </c>
      <c r="BF609" t="s">
        <v>489</v>
      </c>
      <c r="BG609" t="s">
        <v>244</v>
      </c>
      <c r="BH609">
        <v>0</v>
      </c>
      <c r="CT609" t="s">
        <v>242</v>
      </c>
      <c r="CU609" t="s">
        <v>244</v>
      </c>
      <c r="CV609">
        <f ca="1">OFFSET('Calculations 2'!$AJ$12,W609,X609)</f>
        <v>0</v>
      </c>
    </row>
    <row r="610" spans="17:100">
      <c r="Q610" t="s">
        <v>467</v>
      </c>
      <c r="R610" t="s">
        <v>489</v>
      </c>
      <c r="S610" t="s">
        <v>244</v>
      </c>
      <c r="T610">
        <f ca="1">OFFSET('Calculations 2'!$C$45,W610,X610)*OFFSET($M$6,W610,0)</f>
        <v>0</v>
      </c>
      <c r="V610">
        <f t="shared" si="29"/>
        <v>604</v>
      </c>
      <c r="W610">
        <f t="shared" si="30"/>
        <v>10</v>
      </c>
      <c r="X610">
        <f t="shared" si="31"/>
        <v>18</v>
      </c>
      <c r="AC610" t="s">
        <v>467</v>
      </c>
      <c r="AD610" t="s">
        <v>489</v>
      </c>
      <c r="AE610" t="s">
        <v>244</v>
      </c>
      <c r="AF610">
        <f ca="1">OFFSET('Calculations 2'!$CE$45,W610,0)*OFFSET($AA$6,X610,0)*OFFSET($M$6,W610,)</f>
        <v>92.192936006370417</v>
      </c>
      <c r="AY610" t="s">
        <v>467</v>
      </c>
      <c r="AZ610" t="s">
        <v>489</v>
      </c>
      <c r="BA610" t="s">
        <v>244</v>
      </c>
      <c r="BB610">
        <v>0</v>
      </c>
      <c r="BE610" t="s">
        <v>467</v>
      </c>
      <c r="BF610" t="s">
        <v>489</v>
      </c>
      <c r="BG610" t="s">
        <v>244</v>
      </c>
      <c r="BH610">
        <v>0</v>
      </c>
      <c r="CT610" t="s">
        <v>467</v>
      </c>
      <c r="CU610" t="s">
        <v>244</v>
      </c>
      <c r="CV610">
        <f ca="1">OFFSET('Calculations 2'!$AJ$12,W610,X610)</f>
        <v>0</v>
      </c>
    </row>
    <row r="611" spans="17:100">
      <c r="Q611" t="s">
        <v>231</v>
      </c>
      <c r="R611" t="s">
        <v>489</v>
      </c>
      <c r="S611" t="s">
        <v>244</v>
      </c>
      <c r="T611">
        <f ca="1">OFFSET('Calculations 2'!$C$45,W611,X611)*OFFSET($M$6,W611,0)</f>
        <v>33.589092551184926</v>
      </c>
      <c r="V611">
        <f t="shared" si="29"/>
        <v>605</v>
      </c>
      <c r="W611">
        <f t="shared" si="30"/>
        <v>11</v>
      </c>
      <c r="X611">
        <f t="shared" si="31"/>
        <v>18</v>
      </c>
      <c r="AC611" t="s">
        <v>231</v>
      </c>
      <c r="AD611" t="s">
        <v>489</v>
      </c>
      <c r="AE611" t="s">
        <v>244</v>
      </c>
      <c r="AF611">
        <f ca="1">OFFSET('Calculations 2'!$CE$45,W611,0)*OFFSET($AA$6,X611,0)*OFFSET($M$6,W611,)</f>
        <v>269.64839829210865</v>
      </c>
      <c r="AY611" t="s">
        <v>231</v>
      </c>
      <c r="AZ611" t="s">
        <v>489</v>
      </c>
      <c r="BA611" t="s">
        <v>244</v>
      </c>
      <c r="BB611">
        <v>0</v>
      </c>
      <c r="BE611" t="s">
        <v>231</v>
      </c>
      <c r="BF611" t="s">
        <v>489</v>
      </c>
      <c r="BG611" t="s">
        <v>244</v>
      </c>
      <c r="BH611">
        <v>0</v>
      </c>
      <c r="CT611" t="s">
        <v>231</v>
      </c>
      <c r="CU611" t="s">
        <v>244</v>
      </c>
      <c r="CV611">
        <f ca="1">OFFSET('Calculations 2'!$AJ$12,W611,X611)</f>
        <v>0</v>
      </c>
    </row>
    <row r="612" spans="17:100">
      <c r="Q612" t="s">
        <v>468</v>
      </c>
      <c r="R612" t="s">
        <v>489</v>
      </c>
      <c r="S612" t="s">
        <v>244</v>
      </c>
      <c r="T612">
        <f ca="1">OFFSET('Calculations 2'!$C$45,W612,X612)*OFFSET($M$6,W612,0)</f>
        <v>20.972135115998366</v>
      </c>
      <c r="V612">
        <f t="shared" si="29"/>
        <v>606</v>
      </c>
      <c r="W612">
        <f t="shared" si="30"/>
        <v>12</v>
      </c>
      <c r="X612">
        <f t="shared" si="31"/>
        <v>18</v>
      </c>
      <c r="AC612" t="s">
        <v>468</v>
      </c>
      <c r="AD612" t="s">
        <v>489</v>
      </c>
      <c r="AE612" t="s">
        <v>244</v>
      </c>
      <c r="AF612">
        <f ca="1">OFFSET('Calculations 2'!$CE$45,W612,0)*OFFSET($AA$6,X612,0)*OFFSET($M$6,W612,)</f>
        <v>390.29480234665499</v>
      </c>
      <c r="AY612" t="s">
        <v>468</v>
      </c>
      <c r="AZ612" t="s">
        <v>489</v>
      </c>
      <c r="BA612" t="s">
        <v>244</v>
      </c>
      <c r="BB612">
        <v>0</v>
      </c>
      <c r="BE612" t="s">
        <v>468</v>
      </c>
      <c r="BF612" t="s">
        <v>489</v>
      </c>
      <c r="BG612" t="s">
        <v>244</v>
      </c>
      <c r="BH612">
        <v>0</v>
      </c>
      <c r="CT612" t="s">
        <v>468</v>
      </c>
      <c r="CU612" t="s">
        <v>244</v>
      </c>
      <c r="CV612">
        <f ca="1">OFFSET('Calculations 2'!$AJ$12,W612,X612)</f>
        <v>0</v>
      </c>
    </row>
    <row r="613" spans="17:100">
      <c r="Q613" t="s">
        <v>469</v>
      </c>
      <c r="R613" t="s">
        <v>489</v>
      </c>
      <c r="S613" t="s">
        <v>244</v>
      </c>
      <c r="T613">
        <f ca="1">OFFSET('Calculations 2'!$C$45,W613,X613)*OFFSET($M$6,W613,0)</f>
        <v>0.96281562793275899</v>
      </c>
      <c r="V613">
        <f t="shared" si="29"/>
        <v>607</v>
      </c>
      <c r="W613">
        <f t="shared" si="30"/>
        <v>13</v>
      </c>
      <c r="X613">
        <f t="shared" si="31"/>
        <v>18</v>
      </c>
      <c r="AC613" t="s">
        <v>469</v>
      </c>
      <c r="AD613" t="s">
        <v>489</v>
      </c>
      <c r="AE613" t="s">
        <v>244</v>
      </c>
      <c r="AF613">
        <f ca="1">OFFSET('Calculations 2'!$CE$45,W613,0)*OFFSET($AA$6,X613,0)*OFFSET($M$6,W613,)</f>
        <v>81.189787148180059</v>
      </c>
      <c r="AY613" t="s">
        <v>469</v>
      </c>
      <c r="AZ613" t="s">
        <v>489</v>
      </c>
      <c r="BA613" t="s">
        <v>244</v>
      </c>
      <c r="BB613">
        <v>0</v>
      </c>
      <c r="BE613" t="s">
        <v>469</v>
      </c>
      <c r="BF613" t="s">
        <v>489</v>
      </c>
      <c r="BG613" t="s">
        <v>244</v>
      </c>
      <c r="BH613">
        <v>0</v>
      </c>
      <c r="CT613" t="s">
        <v>469</v>
      </c>
      <c r="CU613" t="s">
        <v>244</v>
      </c>
      <c r="CV613">
        <f ca="1">OFFSET('Calculations 2'!$AJ$12,W613,X613)</f>
        <v>0</v>
      </c>
    </row>
    <row r="614" spans="17:100">
      <c r="Q614" t="s">
        <v>245</v>
      </c>
      <c r="R614" t="s">
        <v>489</v>
      </c>
      <c r="S614" t="s">
        <v>244</v>
      </c>
      <c r="T614">
        <f ca="1">OFFSET('Calculations 2'!$C$45,W614,X614)*OFFSET($M$6,W614,0)</f>
        <v>12.220031732289783</v>
      </c>
      <c r="V614">
        <f t="shared" si="29"/>
        <v>608</v>
      </c>
      <c r="W614">
        <f t="shared" si="30"/>
        <v>14</v>
      </c>
      <c r="X614">
        <f t="shared" si="31"/>
        <v>18</v>
      </c>
      <c r="AC614" t="s">
        <v>245</v>
      </c>
      <c r="AD614" t="s">
        <v>489</v>
      </c>
      <c r="AE614" t="s">
        <v>244</v>
      </c>
      <c r="AF614">
        <f ca="1">OFFSET('Calculations 2'!$CE$45,W614,0)*OFFSET($AA$6,X614,0)*OFFSET($M$6,W614,)</f>
        <v>117.2792940676209</v>
      </c>
      <c r="AY614" t="s">
        <v>245</v>
      </c>
      <c r="AZ614" t="s">
        <v>489</v>
      </c>
      <c r="BA614" t="s">
        <v>244</v>
      </c>
      <c r="BB614">
        <v>0</v>
      </c>
      <c r="BE614" t="s">
        <v>245</v>
      </c>
      <c r="BF614" t="s">
        <v>489</v>
      </c>
      <c r="BG614" t="s">
        <v>244</v>
      </c>
      <c r="BH614">
        <v>0</v>
      </c>
      <c r="CT614" t="s">
        <v>245</v>
      </c>
      <c r="CU614" t="s">
        <v>244</v>
      </c>
      <c r="CV614">
        <f ca="1">OFFSET('Calculations 2'!$AJ$12,W614,X614)</f>
        <v>0</v>
      </c>
    </row>
    <row r="615" spans="17:100">
      <c r="Q615" t="s">
        <v>470</v>
      </c>
      <c r="R615" t="s">
        <v>489</v>
      </c>
      <c r="S615" t="s">
        <v>244</v>
      </c>
      <c r="T615">
        <f ca="1">OFFSET('Calculations 2'!$C$45,W615,X615)*OFFSET($M$6,W615,0)</f>
        <v>68.857600872787174</v>
      </c>
      <c r="V615">
        <f t="shared" si="29"/>
        <v>609</v>
      </c>
      <c r="W615">
        <f t="shared" si="30"/>
        <v>15</v>
      </c>
      <c r="X615">
        <f t="shared" si="31"/>
        <v>18</v>
      </c>
      <c r="AC615" t="s">
        <v>470</v>
      </c>
      <c r="AD615" t="s">
        <v>489</v>
      </c>
      <c r="AE615" t="s">
        <v>244</v>
      </c>
      <c r="AF615">
        <f ca="1">OFFSET('Calculations 2'!$CE$45,W615,0)*OFFSET($AA$6,X615,0)*OFFSET($M$6,W615,)</f>
        <v>319.34391537485567</v>
      </c>
      <c r="AY615" t="s">
        <v>470</v>
      </c>
      <c r="AZ615" t="s">
        <v>489</v>
      </c>
      <c r="BA615" t="s">
        <v>244</v>
      </c>
      <c r="BB615">
        <v>0</v>
      </c>
      <c r="BE615" t="s">
        <v>470</v>
      </c>
      <c r="BF615" t="s">
        <v>489</v>
      </c>
      <c r="BG615" t="s">
        <v>244</v>
      </c>
      <c r="BH615">
        <v>0</v>
      </c>
      <c r="CT615" t="s">
        <v>470</v>
      </c>
      <c r="CU615" t="s">
        <v>244</v>
      </c>
      <c r="CV615">
        <f ca="1">OFFSET('Calculations 2'!$AJ$12,W615,X615)</f>
        <v>0</v>
      </c>
    </row>
    <row r="616" spans="17:100">
      <c r="Q616" t="s">
        <v>471</v>
      </c>
      <c r="R616" t="s">
        <v>489</v>
      </c>
      <c r="S616" t="s">
        <v>244</v>
      </c>
      <c r="T616">
        <f ca="1">OFFSET('Calculations 2'!$C$45,W616,X616)*OFFSET($M$6,W616,0)</f>
        <v>6429.5957618865323</v>
      </c>
      <c r="V616">
        <f t="shared" si="29"/>
        <v>610</v>
      </c>
      <c r="W616">
        <f t="shared" si="30"/>
        <v>16</v>
      </c>
      <c r="X616">
        <f t="shared" si="31"/>
        <v>18</v>
      </c>
      <c r="AC616" t="s">
        <v>471</v>
      </c>
      <c r="AD616" t="s">
        <v>489</v>
      </c>
      <c r="AE616" t="s">
        <v>244</v>
      </c>
      <c r="AF616">
        <f ca="1">OFFSET('Calculations 2'!$CE$45,W616,0)*OFFSET($AA$6,X616,0)*OFFSET($M$6,W616,)</f>
        <v>0</v>
      </c>
      <c r="AY616" t="s">
        <v>471</v>
      </c>
      <c r="AZ616" t="s">
        <v>489</v>
      </c>
      <c r="BA616" t="s">
        <v>244</v>
      </c>
      <c r="BB616">
        <v>0</v>
      </c>
      <c r="BE616" t="s">
        <v>471</v>
      </c>
      <c r="BF616" t="s">
        <v>489</v>
      </c>
      <c r="BG616" t="s">
        <v>244</v>
      </c>
      <c r="BH616">
        <v>0</v>
      </c>
      <c r="CT616" t="s">
        <v>471</v>
      </c>
      <c r="CU616" t="s">
        <v>244</v>
      </c>
      <c r="CV616">
        <f ca="1">OFFSET('Calculations 2'!$AJ$12,W616,X616)</f>
        <v>0</v>
      </c>
    </row>
    <row r="617" spans="17:100">
      <c r="Q617" t="s">
        <v>221</v>
      </c>
      <c r="R617" t="s">
        <v>489</v>
      </c>
      <c r="S617" t="s">
        <v>244</v>
      </c>
      <c r="T617">
        <f ca="1">OFFSET('Calculations 2'!$C$45,W617,X617)*OFFSET($M$6,W617,0)</f>
        <v>2621.6955005026603</v>
      </c>
      <c r="V617">
        <f t="shared" si="29"/>
        <v>611</v>
      </c>
      <c r="W617">
        <f t="shared" si="30"/>
        <v>17</v>
      </c>
      <c r="X617">
        <f t="shared" si="31"/>
        <v>18</v>
      </c>
      <c r="AC617" t="s">
        <v>221</v>
      </c>
      <c r="AD617" t="s">
        <v>489</v>
      </c>
      <c r="AE617" t="s">
        <v>244</v>
      </c>
      <c r="AF617">
        <f ca="1">OFFSET('Calculations 2'!$CE$45,W617,0)*OFFSET($AA$6,X617,0)*OFFSET($M$6,W617,)</f>
        <v>10608.106841043333</v>
      </c>
      <c r="AY617" t="s">
        <v>221</v>
      </c>
      <c r="AZ617" t="s">
        <v>489</v>
      </c>
      <c r="BA617" t="s">
        <v>244</v>
      </c>
      <c r="BB617">
        <v>0</v>
      </c>
      <c r="BE617" t="s">
        <v>221</v>
      </c>
      <c r="BF617" t="s">
        <v>489</v>
      </c>
      <c r="BG617" t="s">
        <v>244</v>
      </c>
      <c r="BH617">
        <v>0</v>
      </c>
      <c r="CT617" t="s">
        <v>221</v>
      </c>
      <c r="CU617" t="s">
        <v>244</v>
      </c>
      <c r="CV617">
        <f ca="1">OFFSET('Calculations 2'!$AJ$12,W617,X617)</f>
        <v>0</v>
      </c>
    </row>
    <row r="618" spans="17:100">
      <c r="Q618" t="s">
        <v>244</v>
      </c>
      <c r="R618" t="s">
        <v>489</v>
      </c>
      <c r="S618" t="s">
        <v>244</v>
      </c>
      <c r="T618">
        <f ca="1">OFFSET('Calculations 2'!$C$45,W618,X618)*OFFSET($M$6,W618,0)</f>
        <v>11913.115156168615</v>
      </c>
      <c r="V618">
        <f t="shared" si="29"/>
        <v>612</v>
      </c>
      <c r="W618">
        <f t="shared" si="30"/>
        <v>18</v>
      </c>
      <c r="X618">
        <f t="shared" si="31"/>
        <v>18</v>
      </c>
      <c r="AC618" t="s">
        <v>244</v>
      </c>
      <c r="AD618" t="s">
        <v>489</v>
      </c>
      <c r="AE618" t="s">
        <v>244</v>
      </c>
      <c r="AF618">
        <f ca="1">OFFSET('Calculations 2'!$CE$45,W618,0)*OFFSET($AA$6,X618,0)*OFFSET($M$6,W618,)</f>
        <v>1696.1655528915596</v>
      </c>
      <c r="AY618" t="s">
        <v>244</v>
      </c>
      <c r="AZ618" t="s">
        <v>489</v>
      </c>
      <c r="BA618" t="s">
        <v>244</v>
      </c>
      <c r="BB618">
        <v>0</v>
      </c>
      <c r="BE618" t="s">
        <v>244</v>
      </c>
      <c r="BF618" t="s">
        <v>489</v>
      </c>
      <c r="BG618" t="s">
        <v>244</v>
      </c>
      <c r="BH618">
        <v>0</v>
      </c>
      <c r="CT618" t="s">
        <v>244</v>
      </c>
      <c r="CU618" t="s">
        <v>244</v>
      </c>
      <c r="CV618">
        <f ca="1">OFFSET('Calculations 2'!$AJ$12,W618,X618)</f>
        <v>190466.70173842864</v>
      </c>
    </row>
    <row r="619" spans="17:100">
      <c r="Q619" t="s">
        <v>472</v>
      </c>
      <c r="R619" t="s">
        <v>489</v>
      </c>
      <c r="S619" t="s">
        <v>244</v>
      </c>
      <c r="T619">
        <f ca="1">OFFSET('Calculations 2'!$C$45,W619,X619)*OFFSET($M$6,W619,0)</f>
        <v>0</v>
      </c>
      <c r="V619">
        <f t="shared" si="29"/>
        <v>613</v>
      </c>
      <c r="W619">
        <f t="shared" si="30"/>
        <v>19</v>
      </c>
      <c r="X619">
        <f t="shared" si="31"/>
        <v>18</v>
      </c>
      <c r="AC619" t="s">
        <v>472</v>
      </c>
      <c r="AD619" t="s">
        <v>489</v>
      </c>
      <c r="AE619" t="s">
        <v>244</v>
      </c>
      <c r="AF619">
        <f ca="1">OFFSET('Calculations 2'!$CE$45,W619,0)*OFFSET($AA$6,X619,0)*OFFSET($M$6,W619,)</f>
        <v>0</v>
      </c>
      <c r="AY619" t="s">
        <v>472</v>
      </c>
      <c r="AZ619" t="s">
        <v>489</v>
      </c>
      <c r="BA619" t="s">
        <v>244</v>
      </c>
      <c r="BB619">
        <v>0</v>
      </c>
      <c r="BE619" t="s">
        <v>472</v>
      </c>
      <c r="BF619" t="s">
        <v>489</v>
      </c>
      <c r="BG619" t="s">
        <v>244</v>
      </c>
      <c r="BH619">
        <v>0</v>
      </c>
      <c r="CT619" t="s">
        <v>472</v>
      </c>
      <c r="CU619" t="s">
        <v>244</v>
      </c>
      <c r="CV619">
        <f ca="1">OFFSET('Calculations 2'!$AJ$12,W619,X619)</f>
        <v>0</v>
      </c>
    </row>
    <row r="620" spans="17:100">
      <c r="Q620" t="s">
        <v>238</v>
      </c>
      <c r="R620" t="s">
        <v>489</v>
      </c>
      <c r="S620" t="s">
        <v>244</v>
      </c>
      <c r="T620">
        <f ca="1">OFFSET('Calculations 2'!$C$45,W620,X620)*OFFSET($M$6,W620,0)</f>
        <v>1916.5625897754965</v>
      </c>
      <c r="V620">
        <f t="shared" si="29"/>
        <v>614</v>
      </c>
      <c r="W620">
        <f t="shared" si="30"/>
        <v>20</v>
      </c>
      <c r="X620">
        <f t="shared" si="31"/>
        <v>18</v>
      </c>
      <c r="AC620" t="s">
        <v>238</v>
      </c>
      <c r="AD620" t="s">
        <v>489</v>
      </c>
      <c r="AE620" t="s">
        <v>244</v>
      </c>
      <c r="AF620">
        <f ca="1">OFFSET('Calculations 2'!$CE$45,W620,0)*OFFSET($AA$6,X620,0)*OFFSET($M$6,W620,)</f>
        <v>0</v>
      </c>
      <c r="AY620" t="s">
        <v>238</v>
      </c>
      <c r="AZ620" t="s">
        <v>489</v>
      </c>
      <c r="BA620" t="s">
        <v>244</v>
      </c>
      <c r="BB620">
        <v>0</v>
      </c>
      <c r="BE620" t="s">
        <v>238</v>
      </c>
      <c r="BF620" t="s">
        <v>489</v>
      </c>
      <c r="BG620" t="s">
        <v>244</v>
      </c>
      <c r="BH620">
        <v>0</v>
      </c>
      <c r="CT620" t="s">
        <v>238</v>
      </c>
      <c r="CU620" t="s">
        <v>244</v>
      </c>
      <c r="CV620">
        <f ca="1">OFFSET('Calculations 2'!$AJ$12,W620,X620)</f>
        <v>0</v>
      </c>
    </row>
    <row r="621" spans="17:100">
      <c r="Q621" t="s">
        <v>247</v>
      </c>
      <c r="R621" t="s">
        <v>489</v>
      </c>
      <c r="S621" t="s">
        <v>244</v>
      </c>
      <c r="T621">
        <f ca="1">OFFSET('Calculations 2'!$C$45,W621,X621)*OFFSET($M$6,W621,0)</f>
        <v>930.87876667867101</v>
      </c>
      <c r="V621">
        <f t="shared" si="29"/>
        <v>615</v>
      </c>
      <c r="W621">
        <f t="shared" si="30"/>
        <v>21</v>
      </c>
      <c r="X621">
        <f t="shared" si="31"/>
        <v>18</v>
      </c>
      <c r="AC621" t="s">
        <v>247</v>
      </c>
      <c r="AD621" t="s">
        <v>489</v>
      </c>
      <c r="AE621" t="s">
        <v>244</v>
      </c>
      <c r="AF621">
        <f ca="1">OFFSET('Calculations 2'!$CE$45,W621,0)*OFFSET($AA$6,X621,0)*OFFSET($M$6,W621,)</f>
        <v>0</v>
      </c>
      <c r="AY621" t="s">
        <v>247</v>
      </c>
      <c r="AZ621" t="s">
        <v>489</v>
      </c>
      <c r="BA621" t="s">
        <v>244</v>
      </c>
      <c r="BB621">
        <v>0</v>
      </c>
      <c r="BE621" t="s">
        <v>247</v>
      </c>
      <c r="BF621" t="s">
        <v>489</v>
      </c>
      <c r="BG621" t="s">
        <v>244</v>
      </c>
      <c r="BH621">
        <v>0</v>
      </c>
      <c r="CT621" t="s">
        <v>247</v>
      </c>
      <c r="CU621" t="s">
        <v>244</v>
      </c>
      <c r="CV621">
        <f ca="1">OFFSET('Calculations 2'!$AJ$12,W621,X621)</f>
        <v>0</v>
      </c>
    </row>
    <row r="622" spans="17:100">
      <c r="Q622" t="s">
        <v>218</v>
      </c>
      <c r="R622" t="s">
        <v>489</v>
      </c>
      <c r="S622" t="s">
        <v>244</v>
      </c>
      <c r="T622">
        <f ca="1">OFFSET('Calculations 2'!$C$45,W622,X622)*OFFSET($M$6,W622,0)</f>
        <v>4227.8024789332676</v>
      </c>
      <c r="V622">
        <f t="shared" si="29"/>
        <v>616</v>
      </c>
      <c r="W622">
        <f t="shared" si="30"/>
        <v>22</v>
      </c>
      <c r="X622">
        <f t="shared" si="31"/>
        <v>18</v>
      </c>
      <c r="AC622" t="s">
        <v>218</v>
      </c>
      <c r="AD622" t="s">
        <v>489</v>
      </c>
      <c r="AE622" t="s">
        <v>244</v>
      </c>
      <c r="AF622">
        <f ca="1">OFFSET('Calculations 2'!$CE$45,W622,0)*OFFSET($AA$6,X622,0)*OFFSET($M$6,W622,)</f>
        <v>0</v>
      </c>
      <c r="AY622" t="s">
        <v>218</v>
      </c>
      <c r="AZ622" t="s">
        <v>489</v>
      </c>
      <c r="BA622" t="s">
        <v>244</v>
      </c>
      <c r="BB622">
        <v>0</v>
      </c>
      <c r="BE622" t="s">
        <v>218</v>
      </c>
      <c r="BF622" t="s">
        <v>489</v>
      </c>
      <c r="BG622" t="s">
        <v>244</v>
      </c>
      <c r="BH622">
        <v>0</v>
      </c>
      <c r="CT622" t="s">
        <v>218</v>
      </c>
      <c r="CU622" t="s">
        <v>244</v>
      </c>
      <c r="CV622">
        <f ca="1">OFFSET('Calculations 2'!$AJ$12,W622,X622)</f>
        <v>0</v>
      </c>
    </row>
    <row r="623" spans="17:100">
      <c r="Q623" t="s">
        <v>257</v>
      </c>
      <c r="R623" t="s">
        <v>489</v>
      </c>
      <c r="S623" t="s">
        <v>244</v>
      </c>
      <c r="T623">
        <f ca="1">OFFSET('Calculations 2'!$C$45,W623,X623)*OFFSET($M$6,W623,0)</f>
        <v>15824.758350475306</v>
      </c>
      <c r="V623">
        <f t="shared" si="29"/>
        <v>617</v>
      </c>
      <c r="W623">
        <f t="shared" si="30"/>
        <v>23</v>
      </c>
      <c r="X623">
        <f t="shared" si="31"/>
        <v>18</v>
      </c>
      <c r="AC623" t="s">
        <v>257</v>
      </c>
      <c r="AD623" t="s">
        <v>489</v>
      </c>
      <c r="AE623" t="s">
        <v>244</v>
      </c>
      <c r="AF623">
        <f ca="1">OFFSET('Calculations 2'!$CE$45,W623,0)*OFFSET($AA$6,X623,0)*OFFSET($M$6,W623,)</f>
        <v>0</v>
      </c>
      <c r="AY623" t="s">
        <v>257</v>
      </c>
      <c r="AZ623" t="s">
        <v>489</v>
      </c>
      <c r="BA623" t="s">
        <v>244</v>
      </c>
      <c r="BB623">
        <v>0</v>
      </c>
      <c r="BE623" t="s">
        <v>257</v>
      </c>
      <c r="BF623" t="s">
        <v>489</v>
      </c>
      <c r="BG623" t="s">
        <v>244</v>
      </c>
      <c r="BH623">
        <v>0</v>
      </c>
      <c r="CT623" t="s">
        <v>257</v>
      </c>
      <c r="CU623" t="s">
        <v>244</v>
      </c>
      <c r="CV623">
        <f ca="1">OFFSET('Calculations 2'!$AJ$12,W623,X623)</f>
        <v>0</v>
      </c>
    </row>
    <row r="624" spans="17:100">
      <c r="Q624" t="s">
        <v>220</v>
      </c>
      <c r="R624" t="s">
        <v>489</v>
      </c>
      <c r="S624" t="s">
        <v>244</v>
      </c>
      <c r="T624">
        <f ca="1">OFFSET('Calculations 2'!$C$45,W624,X624)*OFFSET($M$6,W624,0)</f>
        <v>1418.6310542493443</v>
      </c>
      <c r="V624">
        <f t="shared" si="29"/>
        <v>618</v>
      </c>
      <c r="W624">
        <f t="shared" si="30"/>
        <v>24</v>
      </c>
      <c r="X624">
        <f t="shared" si="31"/>
        <v>18</v>
      </c>
      <c r="AC624" t="s">
        <v>220</v>
      </c>
      <c r="AD624" t="s">
        <v>489</v>
      </c>
      <c r="AE624" t="s">
        <v>244</v>
      </c>
      <c r="AF624">
        <f ca="1">OFFSET('Calculations 2'!$CE$45,W624,0)*OFFSET($AA$6,X624,0)*OFFSET($M$6,W624,)</f>
        <v>0</v>
      </c>
      <c r="AY624" t="s">
        <v>220</v>
      </c>
      <c r="AZ624" t="s">
        <v>489</v>
      </c>
      <c r="BA624" t="s">
        <v>244</v>
      </c>
      <c r="BB624">
        <v>0</v>
      </c>
      <c r="BE624" t="s">
        <v>220</v>
      </c>
      <c r="BF624" t="s">
        <v>489</v>
      </c>
      <c r="BG624" t="s">
        <v>244</v>
      </c>
      <c r="BH624">
        <v>0</v>
      </c>
      <c r="CT624" t="s">
        <v>220</v>
      </c>
      <c r="CU624" t="s">
        <v>244</v>
      </c>
      <c r="CV624">
        <f ca="1">OFFSET('Calculations 2'!$AJ$12,W624,X624)</f>
        <v>0</v>
      </c>
    </row>
    <row r="625" spans="17:100">
      <c r="Q625" t="s">
        <v>235</v>
      </c>
      <c r="R625" t="s">
        <v>489</v>
      </c>
      <c r="S625" t="s">
        <v>244</v>
      </c>
      <c r="T625">
        <f ca="1">OFFSET('Calculations 2'!$C$45,W625,X625)*OFFSET($M$6,W625,0)</f>
        <v>10015.93982969195</v>
      </c>
      <c r="V625">
        <f t="shared" si="29"/>
        <v>619</v>
      </c>
      <c r="W625">
        <f t="shared" si="30"/>
        <v>25</v>
      </c>
      <c r="X625">
        <f t="shared" si="31"/>
        <v>18</v>
      </c>
      <c r="AC625" t="s">
        <v>235</v>
      </c>
      <c r="AD625" t="s">
        <v>489</v>
      </c>
      <c r="AE625" t="s">
        <v>244</v>
      </c>
      <c r="AF625">
        <f ca="1">OFFSET('Calculations 2'!$CE$45,W625,0)*OFFSET($AA$6,X625,0)*OFFSET($M$6,W625,)</f>
        <v>0</v>
      </c>
      <c r="AY625" t="s">
        <v>235</v>
      </c>
      <c r="AZ625" t="s">
        <v>489</v>
      </c>
      <c r="BA625" t="s">
        <v>244</v>
      </c>
      <c r="BB625">
        <v>0</v>
      </c>
      <c r="BE625" t="s">
        <v>235</v>
      </c>
      <c r="BF625" t="s">
        <v>489</v>
      </c>
      <c r="BG625" t="s">
        <v>244</v>
      </c>
      <c r="BH625">
        <v>0</v>
      </c>
      <c r="CT625" t="s">
        <v>235</v>
      </c>
      <c r="CU625" t="s">
        <v>244</v>
      </c>
      <c r="CV625">
        <f ca="1">OFFSET('Calculations 2'!$AJ$12,W625,X625)</f>
        <v>0</v>
      </c>
    </row>
    <row r="626" spans="17:100">
      <c r="Q626" t="s">
        <v>473</v>
      </c>
      <c r="R626" t="s">
        <v>489</v>
      </c>
      <c r="S626" t="s">
        <v>244</v>
      </c>
      <c r="T626">
        <f ca="1">OFFSET('Calculations 2'!$C$45,W626,X626)*OFFSET($M$6,W626,0)</f>
        <v>3533.5702874100384</v>
      </c>
      <c r="V626">
        <f t="shared" si="29"/>
        <v>620</v>
      </c>
      <c r="W626">
        <f t="shared" si="30"/>
        <v>26</v>
      </c>
      <c r="X626">
        <f t="shared" si="31"/>
        <v>18</v>
      </c>
      <c r="AC626" t="s">
        <v>473</v>
      </c>
      <c r="AD626" t="s">
        <v>489</v>
      </c>
      <c r="AE626" t="s">
        <v>244</v>
      </c>
      <c r="AF626">
        <f ca="1">OFFSET('Calculations 2'!$CE$45,W626,0)*OFFSET($AA$6,X626,0)*OFFSET($M$6,W626,)</f>
        <v>0</v>
      </c>
      <c r="AY626" t="s">
        <v>473</v>
      </c>
      <c r="AZ626" t="s">
        <v>489</v>
      </c>
      <c r="BA626" t="s">
        <v>244</v>
      </c>
      <c r="BB626">
        <v>0</v>
      </c>
      <c r="BE626" t="s">
        <v>473</v>
      </c>
      <c r="BF626" t="s">
        <v>489</v>
      </c>
      <c r="BG626" t="s">
        <v>244</v>
      </c>
      <c r="BH626">
        <v>0</v>
      </c>
      <c r="CT626" t="s">
        <v>473</v>
      </c>
      <c r="CU626" t="s">
        <v>244</v>
      </c>
      <c r="CV626">
        <f ca="1">OFFSET('Calculations 2'!$AJ$12,W626,X626)</f>
        <v>0</v>
      </c>
    </row>
    <row r="627" spans="17:100">
      <c r="Q627" t="s">
        <v>233</v>
      </c>
      <c r="R627" t="s">
        <v>489</v>
      </c>
      <c r="S627" t="s">
        <v>244</v>
      </c>
      <c r="T627">
        <f ca="1">OFFSET('Calculations 2'!$C$45,W627,X627)*OFFSET($M$6,W627,0)</f>
        <v>16967.059180718017</v>
      </c>
      <c r="V627">
        <f t="shared" si="29"/>
        <v>621</v>
      </c>
      <c r="W627">
        <f t="shared" si="30"/>
        <v>27</v>
      </c>
      <c r="X627">
        <f t="shared" si="31"/>
        <v>18</v>
      </c>
      <c r="AC627" t="s">
        <v>233</v>
      </c>
      <c r="AD627" t="s">
        <v>489</v>
      </c>
      <c r="AE627" t="s">
        <v>244</v>
      </c>
      <c r="AF627">
        <f ca="1">OFFSET('Calculations 2'!$CE$45,W627,0)*OFFSET($AA$6,X627,0)*OFFSET($M$6,W627,)</f>
        <v>0</v>
      </c>
      <c r="AY627" t="s">
        <v>233</v>
      </c>
      <c r="AZ627" t="s">
        <v>489</v>
      </c>
      <c r="BA627" t="s">
        <v>244</v>
      </c>
      <c r="BB627">
        <v>0</v>
      </c>
      <c r="BE627" t="s">
        <v>233</v>
      </c>
      <c r="BF627" t="s">
        <v>489</v>
      </c>
      <c r="BG627" t="s">
        <v>244</v>
      </c>
      <c r="BH627">
        <v>0</v>
      </c>
      <c r="CT627" t="s">
        <v>233</v>
      </c>
      <c r="CU627" t="s">
        <v>244</v>
      </c>
      <c r="CV627">
        <f ca="1">OFFSET('Calculations 2'!$AJ$12,W627,X627)</f>
        <v>0</v>
      </c>
    </row>
    <row r="628" spans="17:100">
      <c r="Q628" t="s">
        <v>474</v>
      </c>
      <c r="R628" t="s">
        <v>489</v>
      </c>
      <c r="S628" t="s">
        <v>244</v>
      </c>
      <c r="T628">
        <f ca="1">OFFSET('Calculations 2'!$C$45,W628,X628)*OFFSET($M$6,W628,0)</f>
        <v>1889.2771423366783</v>
      </c>
      <c r="V628">
        <f t="shared" si="29"/>
        <v>622</v>
      </c>
      <c r="W628">
        <f t="shared" si="30"/>
        <v>28</v>
      </c>
      <c r="X628">
        <f t="shared" si="31"/>
        <v>18</v>
      </c>
      <c r="AC628" t="s">
        <v>474</v>
      </c>
      <c r="AD628" t="s">
        <v>489</v>
      </c>
      <c r="AE628" t="s">
        <v>244</v>
      </c>
      <c r="AF628">
        <f ca="1">OFFSET('Calculations 2'!$CE$45,W628,0)*OFFSET($AA$6,X628,0)*OFFSET($M$6,W628,)</f>
        <v>0</v>
      </c>
      <c r="AY628" t="s">
        <v>474</v>
      </c>
      <c r="AZ628" t="s">
        <v>489</v>
      </c>
      <c r="BA628" t="s">
        <v>244</v>
      </c>
      <c r="BB628">
        <v>0</v>
      </c>
      <c r="BE628" t="s">
        <v>474</v>
      </c>
      <c r="BF628" t="s">
        <v>489</v>
      </c>
      <c r="BG628" t="s">
        <v>244</v>
      </c>
      <c r="BH628">
        <v>0</v>
      </c>
      <c r="CT628" t="s">
        <v>474</v>
      </c>
      <c r="CU628" t="s">
        <v>244</v>
      </c>
      <c r="CV628">
        <f ca="1">OFFSET('Calculations 2'!$AJ$12,W628,X628)</f>
        <v>0</v>
      </c>
    </row>
    <row r="629" spans="17:100">
      <c r="Q629" t="s">
        <v>223</v>
      </c>
      <c r="R629" t="s">
        <v>489</v>
      </c>
      <c r="S629" t="s">
        <v>244</v>
      </c>
      <c r="T629">
        <f ca="1">OFFSET('Calculations 2'!$C$45,W629,X629)*OFFSET($M$6,W629,0)</f>
        <v>0</v>
      </c>
      <c r="V629">
        <f t="shared" si="29"/>
        <v>623</v>
      </c>
      <c r="W629">
        <f t="shared" si="30"/>
        <v>29</v>
      </c>
      <c r="X629">
        <f t="shared" si="31"/>
        <v>18</v>
      </c>
      <c r="AC629" t="s">
        <v>223</v>
      </c>
      <c r="AD629" t="s">
        <v>489</v>
      </c>
      <c r="AE629" t="s">
        <v>244</v>
      </c>
      <c r="AF629">
        <f ca="1">OFFSET('Calculations 2'!$CE$45,W629,0)*OFFSET($AA$6,X629,0)*OFFSET($M$6,W629,)</f>
        <v>0</v>
      </c>
      <c r="AY629" t="s">
        <v>223</v>
      </c>
      <c r="AZ629" t="s">
        <v>489</v>
      </c>
      <c r="BA629" t="s">
        <v>244</v>
      </c>
      <c r="BB629">
        <v>0</v>
      </c>
      <c r="BE629" t="s">
        <v>223</v>
      </c>
      <c r="BF629" t="s">
        <v>489</v>
      </c>
      <c r="BG629" t="s">
        <v>244</v>
      </c>
      <c r="BH629">
        <v>0</v>
      </c>
      <c r="CT629" t="s">
        <v>223</v>
      </c>
      <c r="CU629" t="s">
        <v>244</v>
      </c>
      <c r="CV629">
        <f ca="1">OFFSET('Calculations 2'!$AJ$12,W629,X629)</f>
        <v>0</v>
      </c>
    </row>
    <row r="630" spans="17:100">
      <c r="Q630" t="s">
        <v>475</v>
      </c>
      <c r="R630" t="s">
        <v>489</v>
      </c>
      <c r="S630" t="s">
        <v>244</v>
      </c>
      <c r="T630">
        <f ca="1">OFFSET('Calculations 2'!$C$45,W630,X630)*OFFSET($M$6,W630,0)</f>
        <v>64.471945151789797</v>
      </c>
      <c r="V630">
        <f t="shared" si="29"/>
        <v>624</v>
      </c>
      <c r="W630">
        <f t="shared" si="30"/>
        <v>30</v>
      </c>
      <c r="X630">
        <f t="shared" si="31"/>
        <v>18</v>
      </c>
      <c r="AC630" t="s">
        <v>475</v>
      </c>
      <c r="AD630" t="s">
        <v>489</v>
      </c>
      <c r="AE630" t="s">
        <v>244</v>
      </c>
      <c r="AF630">
        <f ca="1">OFFSET('Calculations 2'!$CE$45,W630,0)*OFFSET($AA$6,X630,0)*OFFSET($M$6,W630,)</f>
        <v>0</v>
      </c>
      <c r="AY630" t="s">
        <v>475</v>
      </c>
      <c r="AZ630" t="s">
        <v>489</v>
      </c>
      <c r="BA630" t="s">
        <v>244</v>
      </c>
      <c r="BB630">
        <v>0</v>
      </c>
      <c r="BE630" t="s">
        <v>475</v>
      </c>
      <c r="BF630" t="s">
        <v>489</v>
      </c>
      <c r="BG630" t="s">
        <v>244</v>
      </c>
      <c r="BH630">
        <v>0</v>
      </c>
      <c r="CT630" t="s">
        <v>475</v>
      </c>
      <c r="CU630" t="s">
        <v>244</v>
      </c>
      <c r="CV630">
        <f ca="1">OFFSET('Calculations 2'!$AJ$12,W630,X630)</f>
        <v>0</v>
      </c>
    </row>
    <row r="631" spans="17:100">
      <c r="Q631" t="s">
        <v>476</v>
      </c>
      <c r="R631" t="s">
        <v>489</v>
      </c>
      <c r="S631" t="s">
        <v>244</v>
      </c>
      <c r="T631">
        <f ca="1">OFFSET('Calculations 2'!$C$45,W631,X631)*OFFSET($M$6,W631,0)</f>
        <v>257.43216362997106</v>
      </c>
      <c r="V631">
        <f t="shared" si="29"/>
        <v>625</v>
      </c>
      <c r="W631">
        <f t="shared" si="30"/>
        <v>31</v>
      </c>
      <c r="X631">
        <f t="shared" si="31"/>
        <v>18</v>
      </c>
      <c r="AC631" t="s">
        <v>476</v>
      </c>
      <c r="AD631" t="s">
        <v>489</v>
      </c>
      <c r="AE631" t="s">
        <v>244</v>
      </c>
      <c r="AF631">
        <f ca="1">OFFSET('Calculations 2'!$CE$45,W631,0)*OFFSET($AA$6,X631,0)*OFFSET($M$6,W631,)</f>
        <v>0</v>
      </c>
      <c r="AY631" t="s">
        <v>476</v>
      </c>
      <c r="AZ631" t="s">
        <v>489</v>
      </c>
      <c r="BA631" t="s">
        <v>244</v>
      </c>
      <c r="BB631">
        <v>0</v>
      </c>
      <c r="BE631" t="s">
        <v>476</v>
      </c>
      <c r="BF631" t="s">
        <v>489</v>
      </c>
      <c r="BG631" t="s">
        <v>244</v>
      </c>
      <c r="BH631">
        <v>0</v>
      </c>
      <c r="CT631" t="s">
        <v>476</v>
      </c>
      <c r="CU631" t="s">
        <v>244</v>
      </c>
      <c r="CV631">
        <f ca="1">OFFSET('Calculations 2'!$AJ$12,W631,X631)</f>
        <v>0</v>
      </c>
    </row>
    <row r="632" spans="17:100">
      <c r="Q632" t="s">
        <v>222</v>
      </c>
      <c r="R632" t="s">
        <v>489</v>
      </c>
      <c r="S632" t="s">
        <v>244</v>
      </c>
      <c r="T632">
        <f ca="1">OFFSET('Calculations 2'!$C$45,W632,X632)*OFFSET($M$6,W632,0)</f>
        <v>0</v>
      </c>
      <c r="V632">
        <f t="shared" si="29"/>
        <v>626</v>
      </c>
      <c r="W632">
        <f t="shared" si="30"/>
        <v>32</v>
      </c>
      <c r="X632">
        <f t="shared" si="31"/>
        <v>18</v>
      </c>
      <c r="AC632" t="s">
        <v>222</v>
      </c>
      <c r="AD632" t="s">
        <v>489</v>
      </c>
      <c r="AE632" t="s">
        <v>244</v>
      </c>
      <c r="AF632">
        <f ca="1">OFFSET('Calculations 2'!$CE$45,W632,0)*OFFSET($AA$6,X632,0)*OFFSET($M$6,W632,)</f>
        <v>0</v>
      </c>
      <c r="AY632" t="s">
        <v>222</v>
      </c>
      <c r="AZ632" t="s">
        <v>489</v>
      </c>
      <c r="BA632" t="s">
        <v>244</v>
      </c>
      <c r="BB632">
        <v>0</v>
      </c>
      <c r="BE632" t="s">
        <v>222</v>
      </c>
      <c r="BF632" t="s">
        <v>489</v>
      </c>
      <c r="BG632" t="s">
        <v>244</v>
      </c>
      <c r="BH632">
        <v>0</v>
      </c>
      <c r="CT632" t="s">
        <v>222</v>
      </c>
      <c r="CU632" t="s">
        <v>244</v>
      </c>
      <c r="CV632">
        <f ca="1">OFFSET('Calculations 2'!$AJ$12,W632,X632)</f>
        <v>0</v>
      </c>
    </row>
    <row r="633" spans="17:100">
      <c r="Q633" t="s">
        <v>217</v>
      </c>
      <c r="R633" t="s">
        <v>489</v>
      </c>
      <c r="S633" t="s">
        <v>472</v>
      </c>
      <c r="T633">
        <f ca="1">OFFSET('Calculations 2'!$C$45,W633,X633)*OFFSET($M$6,W633,0)</f>
        <v>111.37752048341788</v>
      </c>
      <c r="V633">
        <f t="shared" si="29"/>
        <v>627</v>
      </c>
      <c r="W633">
        <f t="shared" si="30"/>
        <v>0</v>
      </c>
      <c r="X633">
        <f t="shared" si="31"/>
        <v>19</v>
      </c>
      <c r="AC633" t="s">
        <v>217</v>
      </c>
      <c r="AD633" t="s">
        <v>489</v>
      </c>
      <c r="AE633" t="s">
        <v>472</v>
      </c>
      <c r="AF633">
        <f ca="1">OFFSET('Calculations 2'!$CE$45,W633,0)*OFFSET($AA$6,X633,0)*OFFSET($M$6,W633,)</f>
        <v>1.3681745126879352</v>
      </c>
      <c r="AY633" t="s">
        <v>217</v>
      </c>
      <c r="AZ633" t="s">
        <v>489</v>
      </c>
      <c r="BA633" t="s">
        <v>472</v>
      </c>
      <c r="BB633">
        <v>0</v>
      </c>
      <c r="BE633" t="s">
        <v>217</v>
      </c>
      <c r="BF633" t="s">
        <v>489</v>
      </c>
      <c r="BG633" t="s">
        <v>472</v>
      </c>
      <c r="BH633">
        <v>0</v>
      </c>
      <c r="CT633" t="s">
        <v>217</v>
      </c>
      <c r="CU633" t="s">
        <v>472</v>
      </c>
      <c r="CV633">
        <f ca="1">OFFSET('Calculations 2'!$AJ$12,W633,X633)</f>
        <v>0</v>
      </c>
    </row>
    <row r="634" spans="17:100">
      <c r="Q634" t="s">
        <v>232</v>
      </c>
      <c r="R634" t="s">
        <v>489</v>
      </c>
      <c r="S634" t="s">
        <v>472</v>
      </c>
      <c r="T634">
        <f ca="1">OFFSET('Calculations 2'!$C$45,W634,X634)*OFFSET($M$6,W634,0)</f>
        <v>0</v>
      </c>
      <c r="V634">
        <f t="shared" si="29"/>
        <v>628</v>
      </c>
      <c r="W634">
        <f t="shared" si="30"/>
        <v>1</v>
      </c>
      <c r="X634">
        <f t="shared" si="31"/>
        <v>19</v>
      </c>
      <c r="AC634" t="s">
        <v>232</v>
      </c>
      <c r="AD634" t="s">
        <v>489</v>
      </c>
      <c r="AE634" t="s">
        <v>472</v>
      </c>
      <c r="AF634">
        <f ca="1">OFFSET('Calculations 2'!$CE$45,W634,0)*OFFSET($AA$6,X634,0)*OFFSET($M$6,W634,)</f>
        <v>2.3866685482777314</v>
      </c>
      <c r="AY634" t="s">
        <v>232</v>
      </c>
      <c r="AZ634" t="s">
        <v>489</v>
      </c>
      <c r="BA634" t="s">
        <v>472</v>
      </c>
      <c r="BB634">
        <v>0</v>
      </c>
      <c r="BE634" t="s">
        <v>232</v>
      </c>
      <c r="BF634" t="s">
        <v>489</v>
      </c>
      <c r="BG634" t="s">
        <v>472</v>
      </c>
      <c r="BH634">
        <v>0</v>
      </c>
      <c r="CT634" t="s">
        <v>232</v>
      </c>
      <c r="CU634" t="s">
        <v>472</v>
      </c>
      <c r="CV634">
        <f ca="1">OFFSET('Calculations 2'!$AJ$12,W634,X634)</f>
        <v>0</v>
      </c>
    </row>
    <row r="635" spans="17:100">
      <c r="Q635" t="s">
        <v>226</v>
      </c>
      <c r="R635" t="s">
        <v>489</v>
      </c>
      <c r="S635" t="s">
        <v>472</v>
      </c>
      <c r="T635">
        <f ca="1">OFFSET('Calculations 2'!$C$45,W635,X635)*OFFSET($M$6,W635,0)</f>
        <v>3282.6374133502004</v>
      </c>
      <c r="V635">
        <f t="shared" si="29"/>
        <v>629</v>
      </c>
      <c r="W635">
        <f t="shared" si="30"/>
        <v>2</v>
      </c>
      <c r="X635">
        <f t="shared" si="31"/>
        <v>19</v>
      </c>
      <c r="AC635" t="s">
        <v>226</v>
      </c>
      <c r="AD635" t="s">
        <v>489</v>
      </c>
      <c r="AE635" t="s">
        <v>472</v>
      </c>
      <c r="AF635">
        <f ca="1">OFFSET('Calculations 2'!$CE$45,W635,0)*OFFSET($AA$6,X635,0)*OFFSET($M$6,W635,)</f>
        <v>4.0186472808219387</v>
      </c>
      <c r="AY635" t="s">
        <v>226</v>
      </c>
      <c r="AZ635" t="s">
        <v>489</v>
      </c>
      <c r="BA635" t="s">
        <v>472</v>
      </c>
      <c r="BB635">
        <v>0</v>
      </c>
      <c r="BE635" t="s">
        <v>226</v>
      </c>
      <c r="BF635" t="s">
        <v>489</v>
      </c>
      <c r="BG635" t="s">
        <v>472</v>
      </c>
      <c r="BH635">
        <v>0</v>
      </c>
      <c r="CT635" t="s">
        <v>226</v>
      </c>
      <c r="CU635" t="s">
        <v>472</v>
      </c>
      <c r="CV635">
        <f ca="1">OFFSET('Calculations 2'!$AJ$12,W635,X635)</f>
        <v>0</v>
      </c>
    </row>
    <row r="636" spans="17:100">
      <c r="Q636" t="s">
        <v>243</v>
      </c>
      <c r="R636" t="s">
        <v>489</v>
      </c>
      <c r="S636" t="s">
        <v>472</v>
      </c>
      <c r="T636">
        <f ca="1">OFFSET('Calculations 2'!$C$45,W636,X636)*OFFSET($M$6,W636,0)</f>
        <v>62.788310793339427</v>
      </c>
      <c r="V636">
        <f t="shared" si="29"/>
        <v>630</v>
      </c>
      <c r="W636">
        <f t="shared" si="30"/>
        <v>3</v>
      </c>
      <c r="X636">
        <f t="shared" si="31"/>
        <v>19</v>
      </c>
      <c r="AC636" t="s">
        <v>243</v>
      </c>
      <c r="AD636" t="s">
        <v>489</v>
      </c>
      <c r="AE636" t="s">
        <v>472</v>
      </c>
      <c r="AF636">
        <f ca="1">OFFSET('Calculations 2'!$CE$45,W636,0)*OFFSET($AA$6,X636,0)*OFFSET($M$6,W636,)</f>
        <v>20.932551448507926</v>
      </c>
      <c r="AY636" t="s">
        <v>243</v>
      </c>
      <c r="AZ636" t="s">
        <v>489</v>
      </c>
      <c r="BA636" t="s">
        <v>472</v>
      </c>
      <c r="BB636">
        <v>0</v>
      </c>
      <c r="BE636" t="s">
        <v>243</v>
      </c>
      <c r="BF636" t="s">
        <v>489</v>
      </c>
      <c r="BG636" t="s">
        <v>472</v>
      </c>
      <c r="BH636">
        <v>0</v>
      </c>
      <c r="CT636" t="s">
        <v>243</v>
      </c>
      <c r="CU636" t="s">
        <v>472</v>
      </c>
      <c r="CV636">
        <f ca="1">OFFSET('Calculations 2'!$AJ$12,W636,X636)</f>
        <v>0</v>
      </c>
    </row>
    <row r="637" spans="17:100">
      <c r="Q637" t="s">
        <v>228</v>
      </c>
      <c r="R637" t="s">
        <v>489</v>
      </c>
      <c r="S637" t="s">
        <v>472</v>
      </c>
      <c r="T637">
        <f ca="1">OFFSET('Calculations 2'!$C$45,W637,X637)*OFFSET($M$6,W637,0)</f>
        <v>6.3020853948650257E-2</v>
      </c>
      <c r="V637">
        <f t="shared" si="29"/>
        <v>631</v>
      </c>
      <c r="W637">
        <f t="shared" si="30"/>
        <v>4</v>
      </c>
      <c r="X637">
        <f t="shared" si="31"/>
        <v>19</v>
      </c>
      <c r="AC637" t="s">
        <v>228</v>
      </c>
      <c r="AD637" t="s">
        <v>489</v>
      </c>
      <c r="AE637" t="s">
        <v>472</v>
      </c>
      <c r="AF637">
        <f ca="1">OFFSET('Calculations 2'!$CE$45,W637,0)*OFFSET($AA$6,X637,0)*OFFSET($M$6,W637,)</f>
        <v>0.14853160183526173</v>
      </c>
      <c r="AY637" t="s">
        <v>228</v>
      </c>
      <c r="AZ637" t="s">
        <v>489</v>
      </c>
      <c r="BA637" t="s">
        <v>472</v>
      </c>
      <c r="BB637">
        <v>0</v>
      </c>
      <c r="BE637" t="s">
        <v>228</v>
      </c>
      <c r="BF637" t="s">
        <v>489</v>
      </c>
      <c r="BG637" t="s">
        <v>472</v>
      </c>
      <c r="BH637">
        <v>0</v>
      </c>
      <c r="CT637" t="s">
        <v>228</v>
      </c>
      <c r="CU637" t="s">
        <v>472</v>
      </c>
      <c r="CV637">
        <f ca="1">OFFSET('Calculations 2'!$AJ$12,W637,X637)</f>
        <v>0</v>
      </c>
    </row>
    <row r="638" spans="17:100">
      <c r="Q638" t="s">
        <v>246</v>
      </c>
      <c r="R638" t="s">
        <v>489</v>
      </c>
      <c r="S638" t="s">
        <v>472</v>
      </c>
      <c r="T638">
        <f ca="1">OFFSET('Calculations 2'!$C$45,W638,X638)*OFFSET($M$6,W638,0)</f>
        <v>0</v>
      </c>
      <c r="V638">
        <f t="shared" si="29"/>
        <v>632</v>
      </c>
      <c r="W638">
        <f t="shared" si="30"/>
        <v>5</v>
      </c>
      <c r="X638">
        <f t="shared" si="31"/>
        <v>19</v>
      </c>
      <c r="AC638" t="s">
        <v>246</v>
      </c>
      <c r="AD638" t="s">
        <v>489</v>
      </c>
      <c r="AE638" t="s">
        <v>472</v>
      </c>
      <c r="AF638">
        <f ca="1">OFFSET('Calculations 2'!$CE$45,W638,0)*OFFSET($AA$6,X638,0)*OFFSET($M$6,W638,)</f>
        <v>0.91435863188586275</v>
      </c>
      <c r="AY638" t="s">
        <v>246</v>
      </c>
      <c r="AZ638" t="s">
        <v>489</v>
      </c>
      <c r="BA638" t="s">
        <v>472</v>
      </c>
      <c r="BB638">
        <v>0</v>
      </c>
      <c r="BE638" t="s">
        <v>246</v>
      </c>
      <c r="BF638" t="s">
        <v>489</v>
      </c>
      <c r="BG638" t="s">
        <v>472</v>
      </c>
      <c r="BH638">
        <v>0</v>
      </c>
      <c r="CT638" t="s">
        <v>246</v>
      </c>
      <c r="CU638" t="s">
        <v>472</v>
      </c>
      <c r="CV638">
        <f ca="1">OFFSET('Calculations 2'!$AJ$12,W638,X638)</f>
        <v>0</v>
      </c>
    </row>
    <row r="639" spans="17:100">
      <c r="Q639" t="s">
        <v>239</v>
      </c>
      <c r="R639" t="s">
        <v>489</v>
      </c>
      <c r="S639" t="s">
        <v>472</v>
      </c>
      <c r="T639">
        <f ca="1">OFFSET('Calculations 2'!$C$45,W639,X639)*OFFSET($M$6,W639,0)</f>
        <v>178.6708986762545</v>
      </c>
      <c r="V639">
        <f t="shared" si="29"/>
        <v>633</v>
      </c>
      <c r="W639">
        <f t="shared" si="30"/>
        <v>6</v>
      </c>
      <c r="X639">
        <f t="shared" si="31"/>
        <v>19</v>
      </c>
      <c r="AC639" t="s">
        <v>239</v>
      </c>
      <c r="AD639" t="s">
        <v>489</v>
      </c>
      <c r="AE639" t="s">
        <v>472</v>
      </c>
      <c r="AF639">
        <f ca="1">OFFSET('Calculations 2'!$CE$45,W639,0)*OFFSET($AA$6,X639,0)*OFFSET($M$6,W639,)</f>
        <v>18.301455975382954</v>
      </c>
      <c r="AY639" t="s">
        <v>239</v>
      </c>
      <c r="AZ639" t="s">
        <v>489</v>
      </c>
      <c r="BA639" t="s">
        <v>472</v>
      </c>
      <c r="BB639">
        <v>0</v>
      </c>
      <c r="BE639" t="s">
        <v>239</v>
      </c>
      <c r="BF639" t="s">
        <v>489</v>
      </c>
      <c r="BG639" t="s">
        <v>472</v>
      </c>
      <c r="BH639">
        <v>0</v>
      </c>
      <c r="CT639" t="s">
        <v>239</v>
      </c>
      <c r="CU639" t="s">
        <v>472</v>
      </c>
      <c r="CV639">
        <f ca="1">OFFSET('Calculations 2'!$AJ$12,W639,X639)</f>
        <v>0</v>
      </c>
    </row>
    <row r="640" spans="17:100">
      <c r="Q640" t="s">
        <v>466</v>
      </c>
      <c r="R640" t="s">
        <v>489</v>
      </c>
      <c r="S640" t="s">
        <v>472</v>
      </c>
      <c r="T640">
        <f ca="1">OFFSET('Calculations 2'!$C$45,W640,X640)*OFFSET($M$6,W640,0)</f>
        <v>65.40041735951317</v>
      </c>
      <c r="V640">
        <f t="shared" si="29"/>
        <v>634</v>
      </c>
      <c r="W640">
        <f t="shared" si="30"/>
        <v>7</v>
      </c>
      <c r="X640">
        <f t="shared" si="31"/>
        <v>19</v>
      </c>
      <c r="AC640" t="s">
        <v>466</v>
      </c>
      <c r="AD640" t="s">
        <v>489</v>
      </c>
      <c r="AE640" t="s">
        <v>472</v>
      </c>
      <c r="AF640">
        <f ca="1">OFFSET('Calculations 2'!$CE$45,W640,0)*OFFSET($AA$6,X640,0)*OFFSET($M$6,W640,)</f>
        <v>2.7887877134052039</v>
      </c>
      <c r="AY640" t="s">
        <v>466</v>
      </c>
      <c r="AZ640" t="s">
        <v>489</v>
      </c>
      <c r="BA640" t="s">
        <v>472</v>
      </c>
      <c r="BB640">
        <v>0</v>
      </c>
      <c r="BE640" t="s">
        <v>466</v>
      </c>
      <c r="BF640" t="s">
        <v>489</v>
      </c>
      <c r="BG640" t="s">
        <v>472</v>
      </c>
      <c r="BH640">
        <v>0</v>
      </c>
      <c r="CT640" t="s">
        <v>466</v>
      </c>
      <c r="CU640" t="s">
        <v>472</v>
      </c>
      <c r="CV640">
        <f ca="1">OFFSET('Calculations 2'!$AJ$12,W640,X640)</f>
        <v>0</v>
      </c>
    </row>
    <row r="641" spans="17:100">
      <c r="Q641" t="s">
        <v>219</v>
      </c>
      <c r="R641" t="s">
        <v>489</v>
      </c>
      <c r="S641" t="s">
        <v>472</v>
      </c>
      <c r="T641">
        <f ca="1">OFFSET('Calculations 2'!$C$45,W641,X641)*OFFSET($M$6,W641,0)</f>
        <v>49.797825841346402</v>
      </c>
      <c r="V641">
        <f t="shared" si="29"/>
        <v>635</v>
      </c>
      <c r="W641">
        <f t="shared" si="30"/>
        <v>8</v>
      </c>
      <c r="X641">
        <f t="shared" si="31"/>
        <v>19</v>
      </c>
      <c r="AC641" t="s">
        <v>219</v>
      </c>
      <c r="AD641" t="s">
        <v>489</v>
      </c>
      <c r="AE641" t="s">
        <v>472</v>
      </c>
      <c r="AF641">
        <f ca="1">OFFSET('Calculations 2'!$CE$45,W641,0)*OFFSET($AA$6,X641,0)*OFFSET($M$6,W641,)</f>
        <v>17.366350965739141</v>
      </c>
      <c r="AY641" t="s">
        <v>219</v>
      </c>
      <c r="AZ641" t="s">
        <v>489</v>
      </c>
      <c r="BA641" t="s">
        <v>472</v>
      </c>
      <c r="BB641">
        <v>0</v>
      </c>
      <c r="BE641" t="s">
        <v>219</v>
      </c>
      <c r="BF641" t="s">
        <v>489</v>
      </c>
      <c r="BG641" t="s">
        <v>472</v>
      </c>
      <c r="BH641">
        <v>0</v>
      </c>
      <c r="CT641" t="s">
        <v>219</v>
      </c>
      <c r="CU641" t="s">
        <v>472</v>
      </c>
      <c r="CV641">
        <f ca="1">OFFSET('Calculations 2'!$AJ$12,W641,X641)</f>
        <v>0</v>
      </c>
    </row>
    <row r="642" spans="17:100">
      <c r="Q642" t="s">
        <v>242</v>
      </c>
      <c r="R642" t="s">
        <v>489</v>
      </c>
      <c r="S642" t="s">
        <v>472</v>
      </c>
      <c r="T642">
        <f ca="1">OFFSET('Calculations 2'!$C$45,W642,X642)*OFFSET($M$6,W642,0)</f>
        <v>66.705728646792934</v>
      </c>
      <c r="V642">
        <f t="shared" si="29"/>
        <v>636</v>
      </c>
      <c r="W642">
        <f t="shared" si="30"/>
        <v>9</v>
      </c>
      <c r="X642">
        <f t="shared" si="31"/>
        <v>19</v>
      </c>
      <c r="AC642" t="s">
        <v>242</v>
      </c>
      <c r="AD642" t="s">
        <v>489</v>
      </c>
      <c r="AE642" t="s">
        <v>472</v>
      </c>
      <c r="AF642">
        <f ca="1">OFFSET('Calculations 2'!$CE$45,W642,0)*OFFSET($AA$6,X642,0)*OFFSET($M$6,W642,)</f>
        <v>27.185347810453603</v>
      </c>
      <c r="AY642" t="s">
        <v>242</v>
      </c>
      <c r="AZ642" t="s">
        <v>489</v>
      </c>
      <c r="BA642" t="s">
        <v>472</v>
      </c>
      <c r="BB642">
        <v>0</v>
      </c>
      <c r="BE642" t="s">
        <v>242</v>
      </c>
      <c r="BF642" t="s">
        <v>489</v>
      </c>
      <c r="BG642" t="s">
        <v>472</v>
      </c>
      <c r="BH642">
        <v>0</v>
      </c>
      <c r="CT642" t="s">
        <v>242</v>
      </c>
      <c r="CU642" t="s">
        <v>472</v>
      </c>
      <c r="CV642">
        <f ca="1">OFFSET('Calculations 2'!$AJ$12,W642,X642)</f>
        <v>0</v>
      </c>
    </row>
    <row r="643" spans="17:100">
      <c r="Q643" t="s">
        <v>467</v>
      </c>
      <c r="R643" t="s">
        <v>489</v>
      </c>
      <c r="S643" t="s">
        <v>472</v>
      </c>
      <c r="T643">
        <f ca="1">OFFSET('Calculations 2'!$C$45,W643,X643)*OFFSET($M$6,W643,0)</f>
        <v>9.6455529147296097</v>
      </c>
      <c r="V643">
        <f t="shared" si="29"/>
        <v>637</v>
      </c>
      <c r="W643">
        <f t="shared" si="30"/>
        <v>10</v>
      </c>
      <c r="X643">
        <f t="shared" si="31"/>
        <v>19</v>
      </c>
      <c r="AC643" t="s">
        <v>467</v>
      </c>
      <c r="AD643" t="s">
        <v>489</v>
      </c>
      <c r="AE643" t="s">
        <v>472</v>
      </c>
      <c r="AF643">
        <f ca="1">OFFSET('Calculations 2'!$CE$45,W643,0)*OFFSET($AA$6,X643,0)*OFFSET($M$6,W643,)</f>
        <v>25.183845678043227</v>
      </c>
      <c r="AY643" t="s">
        <v>467</v>
      </c>
      <c r="AZ643" t="s">
        <v>489</v>
      </c>
      <c r="BA643" t="s">
        <v>472</v>
      </c>
      <c r="BB643">
        <v>0</v>
      </c>
      <c r="BE643" t="s">
        <v>467</v>
      </c>
      <c r="BF643" t="s">
        <v>489</v>
      </c>
      <c r="BG643" t="s">
        <v>472</v>
      </c>
      <c r="BH643">
        <v>0</v>
      </c>
      <c r="CT643" t="s">
        <v>467</v>
      </c>
      <c r="CU643" t="s">
        <v>472</v>
      </c>
      <c r="CV643">
        <f ca="1">OFFSET('Calculations 2'!$AJ$12,W643,X643)</f>
        <v>0</v>
      </c>
    </row>
    <row r="644" spans="17:100">
      <c r="Q644" t="s">
        <v>231</v>
      </c>
      <c r="R644" t="s">
        <v>489</v>
      </c>
      <c r="S644" t="s">
        <v>472</v>
      </c>
      <c r="T644">
        <f ca="1">OFFSET('Calculations 2'!$C$45,W644,X644)*OFFSET($M$6,W644,0)</f>
        <v>117.57970340980472</v>
      </c>
      <c r="V644">
        <f t="shared" si="29"/>
        <v>638</v>
      </c>
      <c r="W644">
        <f t="shared" si="30"/>
        <v>11</v>
      </c>
      <c r="X644">
        <f t="shared" si="31"/>
        <v>19</v>
      </c>
      <c r="AC644" t="s">
        <v>231</v>
      </c>
      <c r="AD644" t="s">
        <v>489</v>
      </c>
      <c r="AE644" t="s">
        <v>472</v>
      </c>
      <c r="AF644">
        <f ca="1">OFFSET('Calculations 2'!$CE$45,W644,0)*OFFSET($AA$6,X644,0)*OFFSET($M$6,W644,)</f>
        <v>73.658394494028968</v>
      </c>
      <c r="AY644" t="s">
        <v>231</v>
      </c>
      <c r="AZ644" t="s">
        <v>489</v>
      </c>
      <c r="BA644" t="s">
        <v>472</v>
      </c>
      <c r="BB644">
        <v>0</v>
      </c>
      <c r="BE644" t="s">
        <v>231</v>
      </c>
      <c r="BF644" t="s">
        <v>489</v>
      </c>
      <c r="BG644" t="s">
        <v>472</v>
      </c>
      <c r="BH644">
        <v>0</v>
      </c>
      <c r="CT644" t="s">
        <v>231</v>
      </c>
      <c r="CU644" t="s">
        <v>472</v>
      </c>
      <c r="CV644">
        <f ca="1">OFFSET('Calculations 2'!$AJ$12,W644,X644)</f>
        <v>0</v>
      </c>
    </row>
    <row r="645" spans="17:100">
      <c r="Q645" t="s">
        <v>468</v>
      </c>
      <c r="R645" t="s">
        <v>489</v>
      </c>
      <c r="S645" t="s">
        <v>472</v>
      </c>
      <c r="T645">
        <f ca="1">OFFSET('Calculations 2'!$C$45,W645,X645)*OFFSET($M$6,W645,0)</f>
        <v>0</v>
      </c>
      <c r="V645">
        <f t="shared" si="29"/>
        <v>639</v>
      </c>
      <c r="W645">
        <f t="shared" si="30"/>
        <v>12</v>
      </c>
      <c r="X645">
        <f t="shared" si="31"/>
        <v>19</v>
      </c>
      <c r="AC645" t="s">
        <v>468</v>
      </c>
      <c r="AD645" t="s">
        <v>489</v>
      </c>
      <c r="AE645" t="s">
        <v>472</v>
      </c>
      <c r="AF645">
        <f ca="1">OFFSET('Calculations 2'!$CE$45,W645,0)*OFFSET($AA$6,X645,0)*OFFSET($M$6,W645,)</f>
        <v>106.61472014039516</v>
      </c>
      <c r="AY645" t="s">
        <v>468</v>
      </c>
      <c r="AZ645" t="s">
        <v>489</v>
      </c>
      <c r="BA645" t="s">
        <v>472</v>
      </c>
      <c r="BB645">
        <v>0</v>
      </c>
      <c r="BE645" t="s">
        <v>468</v>
      </c>
      <c r="BF645" t="s">
        <v>489</v>
      </c>
      <c r="BG645" t="s">
        <v>472</v>
      </c>
      <c r="BH645">
        <v>0</v>
      </c>
      <c r="CT645" t="s">
        <v>468</v>
      </c>
      <c r="CU645" t="s">
        <v>472</v>
      </c>
      <c r="CV645">
        <f ca="1">OFFSET('Calculations 2'!$AJ$12,W645,X645)</f>
        <v>0</v>
      </c>
    </row>
    <row r="646" spans="17:100">
      <c r="Q646" t="s">
        <v>469</v>
      </c>
      <c r="R646" t="s">
        <v>489</v>
      </c>
      <c r="S646" t="s">
        <v>472</v>
      </c>
      <c r="T646">
        <f ca="1">OFFSET('Calculations 2'!$C$45,W646,X646)*OFFSET($M$6,W646,0)</f>
        <v>1.9921505568584386</v>
      </c>
      <c r="V646">
        <f t="shared" si="29"/>
        <v>640</v>
      </c>
      <c r="W646">
        <f t="shared" si="30"/>
        <v>13</v>
      </c>
      <c r="X646">
        <f t="shared" si="31"/>
        <v>19</v>
      </c>
      <c r="AC646" t="s">
        <v>469</v>
      </c>
      <c r="AD646" t="s">
        <v>489</v>
      </c>
      <c r="AE646" t="s">
        <v>472</v>
      </c>
      <c r="AF646">
        <f ca="1">OFFSET('Calculations 2'!$CE$45,W646,0)*OFFSET($AA$6,X646,0)*OFFSET($M$6,W646,)</f>
        <v>22.1781750180042</v>
      </c>
      <c r="AY646" t="s">
        <v>469</v>
      </c>
      <c r="AZ646" t="s">
        <v>489</v>
      </c>
      <c r="BA646" t="s">
        <v>472</v>
      </c>
      <c r="BB646">
        <v>0</v>
      </c>
      <c r="BE646" t="s">
        <v>469</v>
      </c>
      <c r="BF646" t="s">
        <v>489</v>
      </c>
      <c r="BG646" t="s">
        <v>472</v>
      </c>
      <c r="BH646">
        <v>0</v>
      </c>
      <c r="CT646" t="s">
        <v>469</v>
      </c>
      <c r="CU646" t="s">
        <v>472</v>
      </c>
      <c r="CV646">
        <f ca="1">OFFSET('Calculations 2'!$AJ$12,W646,X646)</f>
        <v>0</v>
      </c>
    </row>
    <row r="647" spans="17:100">
      <c r="Q647" t="s">
        <v>245</v>
      </c>
      <c r="R647" t="s">
        <v>489</v>
      </c>
      <c r="S647" t="s">
        <v>472</v>
      </c>
      <c r="T647">
        <f ca="1">OFFSET('Calculations 2'!$C$45,W647,X647)*OFFSET($M$6,W647,0)</f>
        <v>5.5734055061372505</v>
      </c>
      <c r="V647">
        <f t="shared" si="29"/>
        <v>641</v>
      </c>
      <c r="W647">
        <f t="shared" si="30"/>
        <v>14</v>
      </c>
      <c r="X647">
        <f t="shared" si="31"/>
        <v>19</v>
      </c>
      <c r="AC647" t="s">
        <v>245</v>
      </c>
      <c r="AD647" t="s">
        <v>489</v>
      </c>
      <c r="AE647" t="s">
        <v>472</v>
      </c>
      <c r="AF647">
        <f ca="1">OFFSET('Calculations 2'!$CE$45,W647,0)*OFFSET($AA$6,X647,0)*OFFSET($M$6,W647,)</f>
        <v>32.036550423176983</v>
      </c>
      <c r="AY647" t="s">
        <v>245</v>
      </c>
      <c r="AZ647" t="s">
        <v>489</v>
      </c>
      <c r="BA647" t="s">
        <v>472</v>
      </c>
      <c r="BB647">
        <v>0</v>
      </c>
      <c r="BE647" t="s">
        <v>245</v>
      </c>
      <c r="BF647" t="s">
        <v>489</v>
      </c>
      <c r="BG647" t="s">
        <v>472</v>
      </c>
      <c r="BH647">
        <v>0</v>
      </c>
      <c r="CT647" t="s">
        <v>245</v>
      </c>
      <c r="CU647" t="s">
        <v>472</v>
      </c>
      <c r="CV647">
        <f ca="1">OFFSET('Calculations 2'!$AJ$12,W647,X647)</f>
        <v>0</v>
      </c>
    </row>
    <row r="648" spans="17:100">
      <c r="Q648" t="s">
        <v>470</v>
      </c>
      <c r="R648" t="s">
        <v>489</v>
      </c>
      <c r="S648" t="s">
        <v>472</v>
      </c>
      <c r="T648">
        <f ca="1">OFFSET('Calculations 2'!$C$45,W648,X648)*OFFSET($M$6,W648,0)</f>
        <v>182.1021189230394</v>
      </c>
      <c r="V648">
        <f t="shared" ref="V648:V711" si="32">V647+1</f>
        <v>642</v>
      </c>
      <c r="W648">
        <f t="shared" ref="W648:W711" si="33">MOD(V648,$V$3)</f>
        <v>15</v>
      </c>
      <c r="X648">
        <f t="shared" ref="X648:X711" si="34">FLOOR(V648/$V$3,1)</f>
        <v>19</v>
      </c>
      <c r="AC648" t="s">
        <v>470</v>
      </c>
      <c r="AD648" t="s">
        <v>489</v>
      </c>
      <c r="AE648" t="s">
        <v>472</v>
      </c>
      <c r="AF648">
        <f ca="1">OFFSET('Calculations 2'!$CE$45,W648,0)*OFFSET($AA$6,X648,0)*OFFSET($M$6,W648,)</f>
        <v>87.233450103668986</v>
      </c>
      <c r="AY648" t="s">
        <v>470</v>
      </c>
      <c r="AZ648" t="s">
        <v>489</v>
      </c>
      <c r="BA648" t="s">
        <v>472</v>
      </c>
      <c r="BB648">
        <v>0</v>
      </c>
      <c r="BE648" t="s">
        <v>470</v>
      </c>
      <c r="BF648" t="s">
        <v>489</v>
      </c>
      <c r="BG648" t="s">
        <v>472</v>
      </c>
      <c r="BH648">
        <v>0</v>
      </c>
      <c r="CT648" t="s">
        <v>470</v>
      </c>
      <c r="CU648" t="s">
        <v>472</v>
      </c>
      <c r="CV648">
        <f ca="1">OFFSET('Calculations 2'!$AJ$12,W648,X648)</f>
        <v>0</v>
      </c>
    </row>
    <row r="649" spans="17:100">
      <c r="Q649" t="s">
        <v>471</v>
      </c>
      <c r="R649" t="s">
        <v>489</v>
      </c>
      <c r="S649" t="s">
        <v>472</v>
      </c>
      <c r="T649">
        <f ca="1">OFFSET('Calculations 2'!$C$45,W649,X649)*OFFSET($M$6,W649,0)</f>
        <v>2610.752722407995</v>
      </c>
      <c r="V649">
        <f t="shared" si="32"/>
        <v>643</v>
      </c>
      <c r="W649">
        <f t="shared" si="33"/>
        <v>16</v>
      </c>
      <c r="X649">
        <f t="shared" si="34"/>
        <v>19</v>
      </c>
      <c r="AC649" t="s">
        <v>471</v>
      </c>
      <c r="AD649" t="s">
        <v>489</v>
      </c>
      <c r="AE649" t="s">
        <v>472</v>
      </c>
      <c r="AF649">
        <f ca="1">OFFSET('Calculations 2'!$CE$45,W649,0)*OFFSET($AA$6,X649,0)*OFFSET($M$6,W649,)</f>
        <v>0</v>
      </c>
      <c r="AY649" t="s">
        <v>471</v>
      </c>
      <c r="AZ649" t="s">
        <v>489</v>
      </c>
      <c r="BA649" t="s">
        <v>472</v>
      </c>
      <c r="BB649">
        <v>0</v>
      </c>
      <c r="BE649" t="s">
        <v>471</v>
      </c>
      <c r="BF649" t="s">
        <v>489</v>
      </c>
      <c r="BG649" t="s">
        <v>472</v>
      </c>
      <c r="BH649">
        <v>0</v>
      </c>
      <c r="CT649" t="s">
        <v>471</v>
      </c>
      <c r="CU649" t="s">
        <v>472</v>
      </c>
      <c r="CV649">
        <f ca="1">OFFSET('Calculations 2'!$AJ$12,W649,X649)</f>
        <v>0</v>
      </c>
    </row>
    <row r="650" spans="17:100">
      <c r="Q650" t="s">
        <v>221</v>
      </c>
      <c r="R650" t="s">
        <v>489</v>
      </c>
      <c r="S650" t="s">
        <v>472</v>
      </c>
      <c r="T650">
        <f ca="1">OFFSET('Calculations 2'!$C$45,W650,X650)*OFFSET($M$6,W650,0)</f>
        <v>2184.0846735247619</v>
      </c>
      <c r="V650">
        <f t="shared" si="32"/>
        <v>644</v>
      </c>
      <c r="W650">
        <f t="shared" si="33"/>
        <v>17</v>
      </c>
      <c r="X650">
        <f t="shared" si="34"/>
        <v>19</v>
      </c>
      <c r="AC650" t="s">
        <v>221</v>
      </c>
      <c r="AD650" t="s">
        <v>489</v>
      </c>
      <c r="AE650" t="s">
        <v>472</v>
      </c>
      <c r="AF650">
        <f ca="1">OFFSET('Calculations 2'!$CE$45,W650,0)*OFFSET($AA$6,X650,0)*OFFSET($M$6,W650,)</f>
        <v>2897.7591689082337</v>
      </c>
      <c r="AY650" t="s">
        <v>221</v>
      </c>
      <c r="AZ650" t="s">
        <v>489</v>
      </c>
      <c r="BA650" t="s">
        <v>472</v>
      </c>
      <c r="BB650">
        <v>0</v>
      </c>
      <c r="BE650" t="s">
        <v>221</v>
      </c>
      <c r="BF650" t="s">
        <v>489</v>
      </c>
      <c r="BG650" t="s">
        <v>472</v>
      </c>
      <c r="BH650">
        <v>0</v>
      </c>
      <c r="CT650" t="s">
        <v>221</v>
      </c>
      <c r="CU650" t="s">
        <v>472</v>
      </c>
      <c r="CV650">
        <f ca="1">OFFSET('Calculations 2'!$AJ$12,W650,X650)</f>
        <v>0</v>
      </c>
    </row>
    <row r="651" spans="17:100">
      <c r="Q651" t="s">
        <v>244</v>
      </c>
      <c r="R651" t="s">
        <v>489</v>
      </c>
      <c r="S651" t="s">
        <v>472</v>
      </c>
      <c r="T651">
        <f ca="1">OFFSET('Calculations 2'!$C$45,W651,X651)*OFFSET($M$6,W651,0)</f>
        <v>4196.6216738828816</v>
      </c>
      <c r="V651">
        <f t="shared" si="32"/>
        <v>645</v>
      </c>
      <c r="W651">
        <f t="shared" si="33"/>
        <v>18</v>
      </c>
      <c r="X651">
        <f t="shared" si="34"/>
        <v>19</v>
      </c>
      <c r="AC651" t="s">
        <v>244</v>
      </c>
      <c r="AD651" t="s">
        <v>489</v>
      </c>
      <c r="AE651" t="s">
        <v>472</v>
      </c>
      <c r="AF651">
        <f ca="1">OFFSET('Calculations 2'!$CE$45,W651,0)*OFFSET($AA$6,X651,0)*OFFSET($M$6,W651,)</f>
        <v>463.33236990610959</v>
      </c>
      <c r="AY651" t="s">
        <v>244</v>
      </c>
      <c r="AZ651" t="s">
        <v>489</v>
      </c>
      <c r="BA651" t="s">
        <v>472</v>
      </c>
      <c r="BB651">
        <v>0</v>
      </c>
      <c r="BE651" t="s">
        <v>244</v>
      </c>
      <c r="BF651" t="s">
        <v>489</v>
      </c>
      <c r="BG651" t="s">
        <v>472</v>
      </c>
      <c r="BH651">
        <v>0</v>
      </c>
      <c r="CT651" t="s">
        <v>244</v>
      </c>
      <c r="CU651" t="s">
        <v>472</v>
      </c>
      <c r="CV651">
        <f ca="1">OFFSET('Calculations 2'!$AJ$12,W651,X651)</f>
        <v>0</v>
      </c>
    </row>
    <row r="652" spans="17:100">
      <c r="Q652" t="s">
        <v>472</v>
      </c>
      <c r="R652" t="s">
        <v>489</v>
      </c>
      <c r="S652" t="s">
        <v>472</v>
      </c>
      <c r="T652">
        <f ca="1">OFFSET('Calculations 2'!$C$45,W652,X652)*OFFSET($M$6,W652,0)</f>
        <v>0</v>
      </c>
      <c r="V652">
        <f t="shared" si="32"/>
        <v>646</v>
      </c>
      <c r="W652">
        <f t="shared" si="33"/>
        <v>19</v>
      </c>
      <c r="X652">
        <f t="shared" si="34"/>
        <v>19</v>
      </c>
      <c r="AC652" t="s">
        <v>472</v>
      </c>
      <c r="AD652" t="s">
        <v>489</v>
      </c>
      <c r="AE652" t="s">
        <v>472</v>
      </c>
      <c r="AF652">
        <f ca="1">OFFSET('Calculations 2'!$CE$45,W652,0)*OFFSET($AA$6,X652,0)*OFFSET($M$6,W652,)</f>
        <v>0</v>
      </c>
      <c r="AY652" t="s">
        <v>472</v>
      </c>
      <c r="AZ652" t="s">
        <v>489</v>
      </c>
      <c r="BA652" t="s">
        <v>472</v>
      </c>
      <c r="BB652">
        <v>0</v>
      </c>
      <c r="BE652" t="s">
        <v>472</v>
      </c>
      <c r="BF652" t="s">
        <v>489</v>
      </c>
      <c r="BG652" t="s">
        <v>472</v>
      </c>
      <c r="BH652">
        <v>0</v>
      </c>
      <c r="CT652" t="s">
        <v>472</v>
      </c>
      <c r="CU652" t="s">
        <v>472</v>
      </c>
      <c r="CV652">
        <f ca="1">OFFSET('Calculations 2'!$AJ$12,W652,X652)</f>
        <v>61824.290783745375</v>
      </c>
    </row>
    <row r="653" spans="17:100">
      <c r="Q653" t="s">
        <v>238</v>
      </c>
      <c r="R653" t="s">
        <v>489</v>
      </c>
      <c r="S653" t="s">
        <v>472</v>
      </c>
      <c r="T653">
        <f ca="1">OFFSET('Calculations 2'!$C$45,W653,X653)*OFFSET($M$6,W653,0)</f>
        <v>110.12621328196465</v>
      </c>
      <c r="V653">
        <f t="shared" si="32"/>
        <v>647</v>
      </c>
      <c r="W653">
        <f t="shared" si="33"/>
        <v>20</v>
      </c>
      <c r="X653">
        <f t="shared" si="34"/>
        <v>19</v>
      </c>
      <c r="AC653" t="s">
        <v>238</v>
      </c>
      <c r="AD653" t="s">
        <v>489</v>
      </c>
      <c r="AE653" t="s">
        <v>472</v>
      </c>
      <c r="AF653">
        <f ca="1">OFFSET('Calculations 2'!$CE$45,W653,0)*OFFSET($AA$6,X653,0)*OFFSET($M$6,W653,)</f>
        <v>0</v>
      </c>
      <c r="AY653" t="s">
        <v>238</v>
      </c>
      <c r="AZ653" t="s">
        <v>489</v>
      </c>
      <c r="BA653" t="s">
        <v>472</v>
      </c>
      <c r="BB653">
        <v>0</v>
      </c>
      <c r="BE653" t="s">
        <v>238</v>
      </c>
      <c r="BF653" t="s">
        <v>489</v>
      </c>
      <c r="BG653" t="s">
        <v>472</v>
      </c>
      <c r="BH653">
        <v>0</v>
      </c>
      <c r="CT653" t="s">
        <v>238</v>
      </c>
      <c r="CU653" t="s">
        <v>472</v>
      </c>
      <c r="CV653">
        <f ca="1">OFFSET('Calculations 2'!$AJ$12,W653,X653)</f>
        <v>0</v>
      </c>
    </row>
    <row r="654" spans="17:100">
      <c r="Q654" t="s">
        <v>247</v>
      </c>
      <c r="R654" t="s">
        <v>489</v>
      </c>
      <c r="S654" t="s">
        <v>472</v>
      </c>
      <c r="T654">
        <f ca="1">OFFSET('Calculations 2'!$C$45,W654,X654)*OFFSET($M$6,W654,0)</f>
        <v>0</v>
      </c>
      <c r="V654">
        <f t="shared" si="32"/>
        <v>648</v>
      </c>
      <c r="W654">
        <f t="shared" si="33"/>
        <v>21</v>
      </c>
      <c r="X654">
        <f t="shared" si="34"/>
        <v>19</v>
      </c>
      <c r="AC654" t="s">
        <v>247</v>
      </c>
      <c r="AD654" t="s">
        <v>489</v>
      </c>
      <c r="AE654" t="s">
        <v>472</v>
      </c>
      <c r="AF654">
        <f ca="1">OFFSET('Calculations 2'!$CE$45,W654,0)*OFFSET($AA$6,X654,0)*OFFSET($M$6,W654,)</f>
        <v>0</v>
      </c>
      <c r="AY654" t="s">
        <v>247</v>
      </c>
      <c r="AZ654" t="s">
        <v>489</v>
      </c>
      <c r="BA654" t="s">
        <v>472</v>
      </c>
      <c r="BB654">
        <v>0</v>
      </c>
      <c r="BE654" t="s">
        <v>247</v>
      </c>
      <c r="BF654" t="s">
        <v>489</v>
      </c>
      <c r="BG654" t="s">
        <v>472</v>
      </c>
      <c r="BH654">
        <v>0</v>
      </c>
      <c r="CT654" t="s">
        <v>247</v>
      </c>
      <c r="CU654" t="s">
        <v>472</v>
      </c>
      <c r="CV654">
        <f ca="1">OFFSET('Calculations 2'!$AJ$12,W654,X654)</f>
        <v>0</v>
      </c>
    </row>
    <row r="655" spans="17:100">
      <c r="Q655" t="s">
        <v>218</v>
      </c>
      <c r="R655" t="s">
        <v>489</v>
      </c>
      <c r="S655" t="s">
        <v>472</v>
      </c>
      <c r="T655">
        <f ca="1">OFFSET('Calculations 2'!$C$45,W655,X655)*OFFSET($M$6,W655,0)</f>
        <v>8.1882838838576522</v>
      </c>
      <c r="V655">
        <f t="shared" si="32"/>
        <v>649</v>
      </c>
      <c r="W655">
        <f t="shared" si="33"/>
        <v>22</v>
      </c>
      <c r="X655">
        <f t="shared" si="34"/>
        <v>19</v>
      </c>
      <c r="AC655" t="s">
        <v>218</v>
      </c>
      <c r="AD655" t="s">
        <v>489</v>
      </c>
      <c r="AE655" t="s">
        <v>472</v>
      </c>
      <c r="AF655">
        <f ca="1">OFFSET('Calculations 2'!$CE$45,W655,0)*OFFSET($AA$6,X655,0)*OFFSET($M$6,W655,)</f>
        <v>0</v>
      </c>
      <c r="AY655" t="s">
        <v>218</v>
      </c>
      <c r="AZ655" t="s">
        <v>489</v>
      </c>
      <c r="BA655" t="s">
        <v>472</v>
      </c>
      <c r="BB655">
        <v>0</v>
      </c>
      <c r="BE655" t="s">
        <v>218</v>
      </c>
      <c r="BF655" t="s">
        <v>489</v>
      </c>
      <c r="BG655" t="s">
        <v>472</v>
      </c>
      <c r="BH655">
        <v>0</v>
      </c>
      <c r="CT655" t="s">
        <v>218</v>
      </c>
      <c r="CU655" t="s">
        <v>472</v>
      </c>
      <c r="CV655">
        <f ca="1">OFFSET('Calculations 2'!$AJ$12,W655,X655)</f>
        <v>0</v>
      </c>
    </row>
    <row r="656" spans="17:100">
      <c r="Q656" t="s">
        <v>257</v>
      </c>
      <c r="R656" t="s">
        <v>489</v>
      </c>
      <c r="S656" t="s">
        <v>472</v>
      </c>
      <c r="T656">
        <f ca="1">OFFSET('Calculations 2'!$C$45,W656,X656)*OFFSET($M$6,W656,0)</f>
        <v>154.02505232705514</v>
      </c>
      <c r="V656">
        <f t="shared" si="32"/>
        <v>650</v>
      </c>
      <c r="W656">
        <f t="shared" si="33"/>
        <v>23</v>
      </c>
      <c r="X656">
        <f t="shared" si="34"/>
        <v>19</v>
      </c>
      <c r="AC656" t="s">
        <v>257</v>
      </c>
      <c r="AD656" t="s">
        <v>489</v>
      </c>
      <c r="AE656" t="s">
        <v>472</v>
      </c>
      <c r="AF656">
        <f ca="1">OFFSET('Calculations 2'!$CE$45,W656,0)*OFFSET($AA$6,X656,0)*OFFSET($M$6,W656,)</f>
        <v>0</v>
      </c>
      <c r="AY656" t="s">
        <v>257</v>
      </c>
      <c r="AZ656" t="s">
        <v>489</v>
      </c>
      <c r="BA656" t="s">
        <v>472</v>
      </c>
      <c r="BB656">
        <v>0</v>
      </c>
      <c r="BE656" t="s">
        <v>257</v>
      </c>
      <c r="BF656" t="s">
        <v>489</v>
      </c>
      <c r="BG656" t="s">
        <v>472</v>
      </c>
      <c r="BH656">
        <v>0</v>
      </c>
      <c r="CT656" t="s">
        <v>257</v>
      </c>
      <c r="CU656" t="s">
        <v>472</v>
      </c>
      <c r="CV656">
        <f ca="1">OFFSET('Calculations 2'!$AJ$12,W656,X656)</f>
        <v>0</v>
      </c>
    </row>
    <row r="657" spans="17:100">
      <c r="Q657" t="s">
        <v>220</v>
      </c>
      <c r="R657" t="s">
        <v>489</v>
      </c>
      <c r="S657" t="s">
        <v>472</v>
      </c>
      <c r="T657">
        <f ca="1">OFFSET('Calculations 2'!$C$45,W657,X657)*OFFSET($M$6,W657,0)</f>
        <v>442.26757569614318</v>
      </c>
      <c r="V657">
        <f t="shared" si="32"/>
        <v>651</v>
      </c>
      <c r="W657">
        <f t="shared" si="33"/>
        <v>24</v>
      </c>
      <c r="X657">
        <f t="shared" si="34"/>
        <v>19</v>
      </c>
      <c r="AC657" t="s">
        <v>220</v>
      </c>
      <c r="AD657" t="s">
        <v>489</v>
      </c>
      <c r="AE657" t="s">
        <v>472</v>
      </c>
      <c r="AF657">
        <f ca="1">OFFSET('Calculations 2'!$CE$45,W657,0)*OFFSET($AA$6,X657,0)*OFFSET($M$6,W657,)</f>
        <v>0</v>
      </c>
      <c r="AY657" t="s">
        <v>220</v>
      </c>
      <c r="AZ657" t="s">
        <v>489</v>
      </c>
      <c r="BA657" t="s">
        <v>472</v>
      </c>
      <c r="BB657">
        <v>0</v>
      </c>
      <c r="BE657" t="s">
        <v>220</v>
      </c>
      <c r="BF657" t="s">
        <v>489</v>
      </c>
      <c r="BG657" t="s">
        <v>472</v>
      </c>
      <c r="BH657">
        <v>0</v>
      </c>
      <c r="CT657" t="s">
        <v>220</v>
      </c>
      <c r="CU657" t="s">
        <v>472</v>
      </c>
      <c r="CV657">
        <f ca="1">OFFSET('Calculations 2'!$AJ$12,W657,X657)</f>
        <v>0</v>
      </c>
    </row>
    <row r="658" spans="17:100">
      <c r="Q658" t="s">
        <v>235</v>
      </c>
      <c r="R658" t="s">
        <v>489</v>
      </c>
      <c r="S658" t="s">
        <v>472</v>
      </c>
      <c r="T658">
        <f ca="1">OFFSET('Calculations 2'!$C$45,W658,X658)*OFFSET($M$6,W658,0)</f>
        <v>5192.7722799010071</v>
      </c>
      <c r="V658">
        <f t="shared" si="32"/>
        <v>652</v>
      </c>
      <c r="W658">
        <f t="shared" si="33"/>
        <v>25</v>
      </c>
      <c r="X658">
        <f t="shared" si="34"/>
        <v>19</v>
      </c>
      <c r="AC658" t="s">
        <v>235</v>
      </c>
      <c r="AD658" t="s">
        <v>489</v>
      </c>
      <c r="AE658" t="s">
        <v>472</v>
      </c>
      <c r="AF658">
        <f ca="1">OFFSET('Calculations 2'!$CE$45,W658,0)*OFFSET($AA$6,X658,0)*OFFSET($M$6,W658,)</f>
        <v>0</v>
      </c>
      <c r="AY658" t="s">
        <v>235</v>
      </c>
      <c r="AZ658" t="s">
        <v>489</v>
      </c>
      <c r="BA658" t="s">
        <v>472</v>
      </c>
      <c r="BB658">
        <v>0</v>
      </c>
      <c r="BE658" t="s">
        <v>235</v>
      </c>
      <c r="BF658" t="s">
        <v>489</v>
      </c>
      <c r="BG658" t="s">
        <v>472</v>
      </c>
      <c r="BH658">
        <v>0</v>
      </c>
      <c r="CT658" t="s">
        <v>235</v>
      </c>
      <c r="CU658" t="s">
        <v>472</v>
      </c>
      <c r="CV658">
        <f ca="1">OFFSET('Calculations 2'!$AJ$12,W658,X658)</f>
        <v>0</v>
      </c>
    </row>
    <row r="659" spans="17:100">
      <c r="Q659" t="s">
        <v>473</v>
      </c>
      <c r="R659" t="s">
        <v>489</v>
      </c>
      <c r="S659" t="s">
        <v>472</v>
      </c>
      <c r="T659">
        <f ca="1">OFFSET('Calculations 2'!$C$45,W659,X659)*OFFSET($M$6,W659,0)</f>
        <v>717.52508194409836</v>
      </c>
      <c r="V659">
        <f t="shared" si="32"/>
        <v>653</v>
      </c>
      <c r="W659">
        <f t="shared" si="33"/>
        <v>26</v>
      </c>
      <c r="X659">
        <f t="shared" si="34"/>
        <v>19</v>
      </c>
      <c r="AC659" t="s">
        <v>473</v>
      </c>
      <c r="AD659" t="s">
        <v>489</v>
      </c>
      <c r="AE659" t="s">
        <v>472</v>
      </c>
      <c r="AF659">
        <f ca="1">OFFSET('Calculations 2'!$CE$45,W659,0)*OFFSET($AA$6,X659,0)*OFFSET($M$6,W659,)</f>
        <v>0</v>
      </c>
      <c r="AY659" t="s">
        <v>473</v>
      </c>
      <c r="AZ659" t="s">
        <v>489</v>
      </c>
      <c r="BA659" t="s">
        <v>472</v>
      </c>
      <c r="BB659">
        <v>0</v>
      </c>
      <c r="BE659" t="s">
        <v>473</v>
      </c>
      <c r="BF659" t="s">
        <v>489</v>
      </c>
      <c r="BG659" t="s">
        <v>472</v>
      </c>
      <c r="BH659">
        <v>0</v>
      </c>
      <c r="CT659" t="s">
        <v>473</v>
      </c>
      <c r="CU659" t="s">
        <v>472</v>
      </c>
      <c r="CV659">
        <f ca="1">OFFSET('Calculations 2'!$AJ$12,W659,X659)</f>
        <v>0</v>
      </c>
    </row>
    <row r="660" spans="17:100">
      <c r="Q660" t="s">
        <v>233</v>
      </c>
      <c r="R660" t="s">
        <v>489</v>
      </c>
      <c r="S660" t="s">
        <v>472</v>
      </c>
      <c r="T660">
        <f ca="1">OFFSET('Calculations 2'!$C$45,W660,X660)*OFFSET($M$6,W660,0)</f>
        <v>3427.5657699377884</v>
      </c>
      <c r="V660">
        <f t="shared" si="32"/>
        <v>654</v>
      </c>
      <c r="W660">
        <f t="shared" si="33"/>
        <v>27</v>
      </c>
      <c r="X660">
        <f t="shared" si="34"/>
        <v>19</v>
      </c>
      <c r="AC660" t="s">
        <v>233</v>
      </c>
      <c r="AD660" t="s">
        <v>489</v>
      </c>
      <c r="AE660" t="s">
        <v>472</v>
      </c>
      <c r="AF660">
        <f ca="1">OFFSET('Calculations 2'!$CE$45,W660,0)*OFFSET($AA$6,X660,0)*OFFSET($M$6,W660,)</f>
        <v>0</v>
      </c>
      <c r="AY660" t="s">
        <v>233</v>
      </c>
      <c r="AZ660" t="s">
        <v>489</v>
      </c>
      <c r="BA660" t="s">
        <v>472</v>
      </c>
      <c r="BB660">
        <v>0</v>
      </c>
      <c r="BE660" t="s">
        <v>233</v>
      </c>
      <c r="BF660" t="s">
        <v>489</v>
      </c>
      <c r="BG660" t="s">
        <v>472</v>
      </c>
      <c r="BH660">
        <v>0</v>
      </c>
      <c r="CT660" t="s">
        <v>233</v>
      </c>
      <c r="CU660" t="s">
        <v>472</v>
      </c>
      <c r="CV660">
        <f ca="1">OFFSET('Calculations 2'!$AJ$12,W660,X660)</f>
        <v>0</v>
      </c>
    </row>
    <row r="661" spans="17:100">
      <c r="Q661" t="s">
        <v>474</v>
      </c>
      <c r="R661" t="s">
        <v>489</v>
      </c>
      <c r="S661" t="s">
        <v>472</v>
      </c>
      <c r="T661">
        <f ca="1">OFFSET('Calculations 2'!$C$45,W661,X661)*OFFSET($M$6,W661,0)</f>
        <v>122.23623035866471</v>
      </c>
      <c r="V661">
        <f t="shared" si="32"/>
        <v>655</v>
      </c>
      <c r="W661">
        <f t="shared" si="33"/>
        <v>28</v>
      </c>
      <c r="X661">
        <f t="shared" si="34"/>
        <v>19</v>
      </c>
      <c r="AC661" t="s">
        <v>474</v>
      </c>
      <c r="AD661" t="s">
        <v>489</v>
      </c>
      <c r="AE661" t="s">
        <v>472</v>
      </c>
      <c r="AF661">
        <f ca="1">OFFSET('Calculations 2'!$CE$45,W661,0)*OFFSET($AA$6,X661,0)*OFFSET($M$6,W661,)</f>
        <v>0</v>
      </c>
      <c r="AY661" t="s">
        <v>474</v>
      </c>
      <c r="AZ661" t="s">
        <v>489</v>
      </c>
      <c r="BA661" t="s">
        <v>472</v>
      </c>
      <c r="BB661">
        <v>0</v>
      </c>
      <c r="BE661" t="s">
        <v>474</v>
      </c>
      <c r="BF661" t="s">
        <v>489</v>
      </c>
      <c r="BG661" t="s">
        <v>472</v>
      </c>
      <c r="BH661">
        <v>0</v>
      </c>
      <c r="CT661" t="s">
        <v>474</v>
      </c>
      <c r="CU661" t="s">
        <v>472</v>
      </c>
      <c r="CV661">
        <f ca="1">OFFSET('Calculations 2'!$AJ$12,W661,X661)</f>
        <v>0</v>
      </c>
    </row>
    <row r="662" spans="17:100">
      <c r="Q662" t="s">
        <v>223</v>
      </c>
      <c r="R662" t="s">
        <v>489</v>
      </c>
      <c r="S662" t="s">
        <v>472</v>
      </c>
      <c r="T662">
        <f ca="1">OFFSET('Calculations 2'!$C$45,W662,X662)*OFFSET($M$6,W662,0)</f>
        <v>0</v>
      </c>
      <c r="V662">
        <f t="shared" si="32"/>
        <v>656</v>
      </c>
      <c r="W662">
        <f t="shared" si="33"/>
        <v>29</v>
      </c>
      <c r="X662">
        <f t="shared" si="34"/>
        <v>19</v>
      </c>
      <c r="AC662" t="s">
        <v>223</v>
      </c>
      <c r="AD662" t="s">
        <v>489</v>
      </c>
      <c r="AE662" t="s">
        <v>472</v>
      </c>
      <c r="AF662">
        <f ca="1">OFFSET('Calculations 2'!$CE$45,W662,0)*OFFSET($AA$6,X662,0)*OFFSET($M$6,W662,)</f>
        <v>0</v>
      </c>
      <c r="AY662" t="s">
        <v>223</v>
      </c>
      <c r="AZ662" t="s">
        <v>489</v>
      </c>
      <c r="BA662" t="s">
        <v>472</v>
      </c>
      <c r="BB662">
        <v>0</v>
      </c>
      <c r="BE662" t="s">
        <v>223</v>
      </c>
      <c r="BF662" t="s">
        <v>489</v>
      </c>
      <c r="BG662" t="s">
        <v>472</v>
      </c>
      <c r="BH662">
        <v>0</v>
      </c>
      <c r="CT662" t="s">
        <v>223</v>
      </c>
      <c r="CU662" t="s">
        <v>472</v>
      </c>
      <c r="CV662">
        <f ca="1">OFFSET('Calculations 2'!$AJ$12,W662,X662)</f>
        <v>0</v>
      </c>
    </row>
    <row r="663" spans="17:100">
      <c r="Q663" t="s">
        <v>475</v>
      </c>
      <c r="R663" t="s">
        <v>489</v>
      </c>
      <c r="S663" t="s">
        <v>472</v>
      </c>
      <c r="T663">
        <f ca="1">OFFSET('Calculations 2'!$C$45,W663,X663)*OFFSET($M$6,W663,0)</f>
        <v>23.462371519624348</v>
      </c>
      <c r="V663">
        <f t="shared" si="32"/>
        <v>657</v>
      </c>
      <c r="W663">
        <f t="shared" si="33"/>
        <v>30</v>
      </c>
      <c r="X663">
        <f t="shared" si="34"/>
        <v>19</v>
      </c>
      <c r="AC663" t="s">
        <v>475</v>
      </c>
      <c r="AD663" t="s">
        <v>489</v>
      </c>
      <c r="AE663" t="s">
        <v>472</v>
      </c>
      <c r="AF663">
        <f ca="1">OFFSET('Calculations 2'!$CE$45,W663,0)*OFFSET($AA$6,X663,0)*OFFSET($M$6,W663,)</f>
        <v>0</v>
      </c>
      <c r="AY663" t="s">
        <v>475</v>
      </c>
      <c r="AZ663" t="s">
        <v>489</v>
      </c>
      <c r="BA663" t="s">
        <v>472</v>
      </c>
      <c r="BB663">
        <v>0</v>
      </c>
      <c r="BE663" t="s">
        <v>475</v>
      </c>
      <c r="BF663" t="s">
        <v>489</v>
      </c>
      <c r="BG663" t="s">
        <v>472</v>
      </c>
      <c r="BH663">
        <v>0</v>
      </c>
      <c r="CT663" t="s">
        <v>475</v>
      </c>
      <c r="CU663" t="s">
        <v>472</v>
      </c>
      <c r="CV663">
        <f ca="1">OFFSET('Calculations 2'!$AJ$12,W663,X663)</f>
        <v>0</v>
      </c>
    </row>
    <row r="664" spans="17:100">
      <c r="Q664" t="s">
        <v>476</v>
      </c>
      <c r="R664" t="s">
        <v>489</v>
      </c>
      <c r="S664" t="s">
        <v>472</v>
      </c>
      <c r="T664">
        <f ca="1">OFFSET('Calculations 2'!$C$45,W664,X664)*OFFSET($M$6,W664,0)</f>
        <v>334.68590973471322</v>
      </c>
      <c r="V664">
        <f t="shared" si="32"/>
        <v>658</v>
      </c>
      <c r="W664">
        <f t="shared" si="33"/>
        <v>31</v>
      </c>
      <c r="X664">
        <f t="shared" si="34"/>
        <v>19</v>
      </c>
      <c r="AC664" t="s">
        <v>476</v>
      </c>
      <c r="AD664" t="s">
        <v>489</v>
      </c>
      <c r="AE664" t="s">
        <v>472</v>
      </c>
      <c r="AF664">
        <f ca="1">OFFSET('Calculations 2'!$CE$45,W664,0)*OFFSET($AA$6,X664,0)*OFFSET($M$6,W664,)</f>
        <v>0</v>
      </c>
      <c r="AY664" t="s">
        <v>476</v>
      </c>
      <c r="AZ664" t="s">
        <v>489</v>
      </c>
      <c r="BA664" t="s">
        <v>472</v>
      </c>
      <c r="BB664">
        <v>0</v>
      </c>
      <c r="BE664" t="s">
        <v>476</v>
      </c>
      <c r="BF664" t="s">
        <v>489</v>
      </c>
      <c r="BG664" t="s">
        <v>472</v>
      </c>
      <c r="BH664">
        <v>0</v>
      </c>
      <c r="CT664" t="s">
        <v>476</v>
      </c>
      <c r="CU664" t="s">
        <v>472</v>
      </c>
      <c r="CV664">
        <f ca="1">OFFSET('Calculations 2'!$AJ$12,W664,X664)</f>
        <v>0</v>
      </c>
    </row>
    <row r="665" spans="17:100">
      <c r="Q665" t="s">
        <v>222</v>
      </c>
      <c r="R665" t="s">
        <v>489</v>
      </c>
      <c r="S665" t="s">
        <v>472</v>
      </c>
      <c r="T665">
        <f ca="1">OFFSET('Calculations 2'!$C$45,W665,X665)*OFFSET($M$6,W665,0)</f>
        <v>0</v>
      </c>
      <c r="V665">
        <f t="shared" si="32"/>
        <v>659</v>
      </c>
      <c r="W665">
        <f t="shared" si="33"/>
        <v>32</v>
      </c>
      <c r="X665">
        <f t="shared" si="34"/>
        <v>19</v>
      </c>
      <c r="AC665" t="s">
        <v>222</v>
      </c>
      <c r="AD665" t="s">
        <v>489</v>
      </c>
      <c r="AE665" t="s">
        <v>472</v>
      </c>
      <c r="AF665">
        <f ca="1">OFFSET('Calculations 2'!$CE$45,W665,0)*OFFSET($AA$6,X665,0)*OFFSET($M$6,W665,)</f>
        <v>0</v>
      </c>
      <c r="AY665" t="s">
        <v>222</v>
      </c>
      <c r="AZ665" t="s">
        <v>489</v>
      </c>
      <c r="BA665" t="s">
        <v>472</v>
      </c>
      <c r="BB665">
        <v>0</v>
      </c>
      <c r="BE665" t="s">
        <v>222</v>
      </c>
      <c r="BF665" t="s">
        <v>489</v>
      </c>
      <c r="BG665" t="s">
        <v>472</v>
      </c>
      <c r="BH665">
        <v>0</v>
      </c>
      <c r="CT665" t="s">
        <v>222</v>
      </c>
      <c r="CU665" t="s">
        <v>472</v>
      </c>
      <c r="CV665">
        <f ca="1">OFFSET('Calculations 2'!$AJ$12,W665,X665)</f>
        <v>0</v>
      </c>
    </row>
    <row r="666" spans="17:100">
      <c r="Q666" t="s">
        <v>217</v>
      </c>
      <c r="R666" t="s">
        <v>489</v>
      </c>
      <c r="S666" t="s">
        <v>238</v>
      </c>
      <c r="T666">
        <f ca="1">OFFSET('Calculations 2'!$C$45,W666,X666)*OFFSET($M$6,W666,0)</f>
        <v>0</v>
      </c>
      <c r="V666">
        <f t="shared" si="32"/>
        <v>660</v>
      </c>
      <c r="W666">
        <f t="shared" si="33"/>
        <v>0</v>
      </c>
      <c r="X666">
        <f t="shared" si="34"/>
        <v>20</v>
      </c>
      <c r="AC666" t="s">
        <v>217</v>
      </c>
      <c r="AD666" t="s">
        <v>489</v>
      </c>
      <c r="AE666" t="s">
        <v>238</v>
      </c>
      <c r="AF666">
        <f ca="1">OFFSET('Calculations 2'!$CE$45,W666,0)*OFFSET($AA$6,X666,0)*OFFSET($M$6,W666,)</f>
        <v>0.38053376570788328</v>
      </c>
      <c r="AY666" t="s">
        <v>217</v>
      </c>
      <c r="AZ666" t="s">
        <v>489</v>
      </c>
      <c r="BA666" t="s">
        <v>238</v>
      </c>
      <c r="BB666">
        <v>0</v>
      </c>
      <c r="BE666" t="s">
        <v>217</v>
      </c>
      <c r="BF666" t="s">
        <v>489</v>
      </c>
      <c r="BG666" t="s">
        <v>238</v>
      </c>
      <c r="BH666">
        <v>0</v>
      </c>
      <c r="CT666" t="s">
        <v>217</v>
      </c>
      <c r="CU666" t="s">
        <v>238</v>
      </c>
      <c r="CV666">
        <f ca="1">OFFSET('Calculations 2'!$AJ$12,W666,X666)</f>
        <v>0</v>
      </c>
    </row>
    <row r="667" spans="17:100">
      <c r="Q667" t="s">
        <v>232</v>
      </c>
      <c r="R667" t="s">
        <v>489</v>
      </c>
      <c r="S667" t="s">
        <v>238</v>
      </c>
      <c r="T667">
        <f ca="1">OFFSET('Calculations 2'!$C$45,W667,X667)*OFFSET($M$6,W667,0)</f>
        <v>5.2159152734512992E-2</v>
      </c>
      <c r="V667">
        <f t="shared" si="32"/>
        <v>661</v>
      </c>
      <c r="W667">
        <f t="shared" si="33"/>
        <v>1</v>
      </c>
      <c r="X667">
        <f t="shared" si="34"/>
        <v>20</v>
      </c>
      <c r="AC667" t="s">
        <v>232</v>
      </c>
      <c r="AD667" t="s">
        <v>489</v>
      </c>
      <c r="AE667" t="s">
        <v>238</v>
      </c>
      <c r="AF667">
        <f ca="1">OFFSET('Calculations 2'!$CE$45,W667,0)*OFFSET($AA$6,X667,0)*OFFSET($M$6,W667,)</f>
        <v>0.66381003428313667</v>
      </c>
      <c r="AY667" t="s">
        <v>232</v>
      </c>
      <c r="AZ667" t="s">
        <v>489</v>
      </c>
      <c r="BA667" t="s">
        <v>238</v>
      </c>
      <c r="BB667">
        <v>0</v>
      </c>
      <c r="BE667" t="s">
        <v>232</v>
      </c>
      <c r="BF667" t="s">
        <v>489</v>
      </c>
      <c r="BG667" t="s">
        <v>238</v>
      </c>
      <c r="BH667">
        <v>0</v>
      </c>
      <c r="CT667" t="s">
        <v>232</v>
      </c>
      <c r="CU667" t="s">
        <v>238</v>
      </c>
      <c r="CV667">
        <f ca="1">OFFSET('Calculations 2'!$AJ$12,W667,X667)</f>
        <v>0</v>
      </c>
    </row>
    <row r="668" spans="17:100">
      <c r="Q668" t="s">
        <v>226</v>
      </c>
      <c r="R668" t="s">
        <v>489</v>
      </c>
      <c r="S668" t="s">
        <v>238</v>
      </c>
      <c r="T668">
        <f ca="1">OFFSET('Calculations 2'!$C$45,W668,X668)*OFFSET($M$6,W668,0)</f>
        <v>2.051197836904536E-2</v>
      </c>
      <c r="V668">
        <f t="shared" si="32"/>
        <v>662</v>
      </c>
      <c r="W668">
        <f t="shared" si="33"/>
        <v>2</v>
      </c>
      <c r="X668">
        <f t="shared" si="34"/>
        <v>20</v>
      </c>
      <c r="AC668" t="s">
        <v>226</v>
      </c>
      <c r="AD668" t="s">
        <v>489</v>
      </c>
      <c r="AE668" t="s">
        <v>238</v>
      </c>
      <c r="AF668">
        <f ca="1">OFFSET('Calculations 2'!$CE$45,W668,0)*OFFSET($AA$6,X668,0)*OFFSET($M$6,W668,)</f>
        <v>1.1177163210112493</v>
      </c>
      <c r="AY668" t="s">
        <v>226</v>
      </c>
      <c r="AZ668" t="s">
        <v>489</v>
      </c>
      <c r="BA668" t="s">
        <v>238</v>
      </c>
      <c r="BB668">
        <v>0</v>
      </c>
      <c r="BE668" t="s">
        <v>226</v>
      </c>
      <c r="BF668" t="s">
        <v>489</v>
      </c>
      <c r="BG668" t="s">
        <v>238</v>
      </c>
      <c r="BH668">
        <v>0</v>
      </c>
      <c r="CT668" t="s">
        <v>226</v>
      </c>
      <c r="CU668" t="s">
        <v>238</v>
      </c>
      <c r="CV668">
        <f ca="1">OFFSET('Calculations 2'!$AJ$12,W668,X668)</f>
        <v>0</v>
      </c>
    </row>
    <row r="669" spans="17:100">
      <c r="Q669" t="s">
        <v>243</v>
      </c>
      <c r="R669" t="s">
        <v>489</v>
      </c>
      <c r="S669" t="s">
        <v>238</v>
      </c>
      <c r="T669">
        <f ca="1">OFFSET('Calculations 2'!$C$45,W669,X669)*OFFSET($M$6,W669,0)</f>
        <v>1.9791560235190104</v>
      </c>
      <c r="V669">
        <f t="shared" si="32"/>
        <v>663</v>
      </c>
      <c r="W669">
        <f t="shared" si="33"/>
        <v>3</v>
      </c>
      <c r="X669">
        <f t="shared" si="34"/>
        <v>20</v>
      </c>
      <c r="AC669" t="s">
        <v>243</v>
      </c>
      <c r="AD669" t="s">
        <v>489</v>
      </c>
      <c r="AE669" t="s">
        <v>238</v>
      </c>
      <c r="AF669">
        <f ca="1">OFFSET('Calculations 2'!$CE$45,W669,0)*OFFSET($AA$6,X669,0)*OFFSET($M$6,W669,)</f>
        <v>5.8220223770471415</v>
      </c>
      <c r="AY669" t="s">
        <v>243</v>
      </c>
      <c r="AZ669" t="s">
        <v>489</v>
      </c>
      <c r="BA669" t="s">
        <v>238</v>
      </c>
      <c r="BB669">
        <v>0</v>
      </c>
      <c r="BE669" t="s">
        <v>243</v>
      </c>
      <c r="BF669" t="s">
        <v>489</v>
      </c>
      <c r="BG669" t="s">
        <v>238</v>
      </c>
      <c r="BH669">
        <v>0</v>
      </c>
      <c r="CT669" t="s">
        <v>243</v>
      </c>
      <c r="CU669" t="s">
        <v>238</v>
      </c>
      <c r="CV669">
        <f ca="1">OFFSET('Calculations 2'!$AJ$12,W669,X669)</f>
        <v>0</v>
      </c>
    </row>
    <row r="670" spans="17:100">
      <c r="Q670" t="s">
        <v>228</v>
      </c>
      <c r="R670" t="s">
        <v>489</v>
      </c>
      <c r="S670" t="s">
        <v>238</v>
      </c>
      <c r="T670">
        <f ca="1">OFFSET('Calculations 2'!$C$45,W670,X670)*OFFSET($M$6,W670,0)</f>
        <v>0</v>
      </c>
      <c r="V670">
        <f t="shared" si="32"/>
        <v>664</v>
      </c>
      <c r="W670">
        <f t="shared" si="33"/>
        <v>4</v>
      </c>
      <c r="X670">
        <f t="shared" si="34"/>
        <v>20</v>
      </c>
      <c r="AC670" t="s">
        <v>228</v>
      </c>
      <c r="AD670" t="s">
        <v>489</v>
      </c>
      <c r="AE670" t="s">
        <v>238</v>
      </c>
      <c r="AF670">
        <f ca="1">OFFSET('Calculations 2'!$CE$45,W670,0)*OFFSET($AA$6,X670,0)*OFFSET($M$6,W670,)</f>
        <v>4.1311462279730343E-2</v>
      </c>
      <c r="AY670" t="s">
        <v>228</v>
      </c>
      <c r="AZ670" t="s">
        <v>489</v>
      </c>
      <c r="BA670" t="s">
        <v>238</v>
      </c>
      <c r="BB670">
        <v>0</v>
      </c>
      <c r="BE670" t="s">
        <v>228</v>
      </c>
      <c r="BF670" t="s">
        <v>489</v>
      </c>
      <c r="BG670" t="s">
        <v>238</v>
      </c>
      <c r="BH670">
        <v>0</v>
      </c>
      <c r="CT670" t="s">
        <v>228</v>
      </c>
      <c r="CU670" t="s">
        <v>238</v>
      </c>
      <c r="CV670">
        <f ca="1">OFFSET('Calculations 2'!$AJ$12,W670,X670)</f>
        <v>0</v>
      </c>
    </row>
    <row r="671" spans="17:100">
      <c r="Q671" t="s">
        <v>246</v>
      </c>
      <c r="R671" t="s">
        <v>489</v>
      </c>
      <c r="S671" t="s">
        <v>238</v>
      </c>
      <c r="T671">
        <f ca="1">OFFSET('Calculations 2'!$C$45,W671,X671)*OFFSET($M$6,W671,0)</f>
        <v>0</v>
      </c>
      <c r="V671">
        <f t="shared" si="32"/>
        <v>665</v>
      </c>
      <c r="W671">
        <f t="shared" si="33"/>
        <v>5</v>
      </c>
      <c r="X671">
        <f t="shared" si="34"/>
        <v>20</v>
      </c>
      <c r="AC671" t="s">
        <v>246</v>
      </c>
      <c r="AD671" t="s">
        <v>489</v>
      </c>
      <c r="AE671" t="s">
        <v>238</v>
      </c>
      <c r="AF671">
        <f ca="1">OFFSET('Calculations 2'!$CE$45,W671,0)*OFFSET($AA$6,X671,0)*OFFSET($M$6,W671,)</f>
        <v>0.25431283083578216</v>
      </c>
      <c r="AY671" t="s">
        <v>246</v>
      </c>
      <c r="AZ671" t="s">
        <v>489</v>
      </c>
      <c r="BA671" t="s">
        <v>238</v>
      </c>
      <c r="BB671">
        <v>0</v>
      </c>
      <c r="BE671" t="s">
        <v>246</v>
      </c>
      <c r="BF671" t="s">
        <v>489</v>
      </c>
      <c r="BG671" t="s">
        <v>238</v>
      </c>
      <c r="BH671">
        <v>0</v>
      </c>
      <c r="CT671" t="s">
        <v>246</v>
      </c>
      <c r="CU671" t="s">
        <v>238</v>
      </c>
      <c r="CV671">
        <f ca="1">OFFSET('Calculations 2'!$AJ$12,W671,X671)</f>
        <v>0</v>
      </c>
    </row>
    <row r="672" spans="17:100">
      <c r="Q672" t="s">
        <v>239</v>
      </c>
      <c r="R672" t="s">
        <v>489</v>
      </c>
      <c r="S672" t="s">
        <v>238</v>
      </c>
      <c r="T672">
        <f ca="1">OFFSET('Calculations 2'!$C$45,W672,X672)*OFFSET($M$6,W672,0)</f>
        <v>32.630429590684123</v>
      </c>
      <c r="V672">
        <f t="shared" si="32"/>
        <v>666</v>
      </c>
      <c r="W672">
        <f t="shared" si="33"/>
        <v>6</v>
      </c>
      <c r="X672">
        <f t="shared" si="34"/>
        <v>20</v>
      </c>
      <c r="AC672" t="s">
        <v>239</v>
      </c>
      <c r="AD672" t="s">
        <v>489</v>
      </c>
      <c r="AE672" t="s">
        <v>238</v>
      </c>
      <c r="AF672">
        <f ca="1">OFFSET('Calculations 2'!$CE$45,W672,0)*OFFSET($AA$6,X672,0)*OFFSET($M$6,W672,)</f>
        <v>5.0902292767954798</v>
      </c>
      <c r="AY672" t="s">
        <v>239</v>
      </c>
      <c r="AZ672" t="s">
        <v>489</v>
      </c>
      <c r="BA672" t="s">
        <v>238</v>
      </c>
      <c r="BB672">
        <v>0</v>
      </c>
      <c r="BE672" t="s">
        <v>239</v>
      </c>
      <c r="BF672" t="s">
        <v>489</v>
      </c>
      <c r="BG672" t="s">
        <v>238</v>
      </c>
      <c r="BH672">
        <v>0</v>
      </c>
      <c r="CT672" t="s">
        <v>239</v>
      </c>
      <c r="CU672" t="s">
        <v>238</v>
      </c>
      <c r="CV672">
        <f ca="1">OFFSET('Calculations 2'!$AJ$12,W672,X672)</f>
        <v>0</v>
      </c>
    </row>
    <row r="673" spans="17:100">
      <c r="Q673" t="s">
        <v>466</v>
      </c>
      <c r="R673" t="s">
        <v>489</v>
      </c>
      <c r="S673" t="s">
        <v>238</v>
      </c>
      <c r="T673">
        <f ca="1">OFFSET('Calculations 2'!$C$45,W673,X673)*OFFSET($M$6,W673,0)</f>
        <v>996.5450100485649</v>
      </c>
      <c r="V673">
        <f t="shared" si="32"/>
        <v>667</v>
      </c>
      <c r="W673">
        <f t="shared" si="33"/>
        <v>7</v>
      </c>
      <c r="X673">
        <f t="shared" si="34"/>
        <v>20</v>
      </c>
      <c r="AC673" t="s">
        <v>466</v>
      </c>
      <c r="AD673" t="s">
        <v>489</v>
      </c>
      <c r="AE673" t="s">
        <v>238</v>
      </c>
      <c r="AF673">
        <f ca="1">OFFSET('Calculations 2'!$CE$45,W673,0)*OFFSET($AA$6,X673,0)*OFFSET($M$6,W673,)</f>
        <v>0.77565243358981717</v>
      </c>
      <c r="AY673" t="s">
        <v>466</v>
      </c>
      <c r="AZ673" t="s">
        <v>489</v>
      </c>
      <c r="BA673" t="s">
        <v>238</v>
      </c>
      <c r="BB673">
        <v>0</v>
      </c>
      <c r="BE673" t="s">
        <v>466</v>
      </c>
      <c r="BF673" t="s">
        <v>489</v>
      </c>
      <c r="BG673" t="s">
        <v>238</v>
      </c>
      <c r="BH673">
        <v>0</v>
      </c>
      <c r="CT673" t="s">
        <v>466</v>
      </c>
      <c r="CU673" t="s">
        <v>238</v>
      </c>
      <c r="CV673">
        <f ca="1">OFFSET('Calculations 2'!$AJ$12,W673,X673)</f>
        <v>0</v>
      </c>
    </row>
    <row r="674" spans="17:100">
      <c r="Q674" t="s">
        <v>219</v>
      </c>
      <c r="R674" t="s">
        <v>489</v>
      </c>
      <c r="S674" t="s">
        <v>238</v>
      </c>
      <c r="T674">
        <f ca="1">OFFSET('Calculations 2'!$C$45,W674,X674)*OFFSET($M$6,W674,0)</f>
        <v>0.89338106576145082</v>
      </c>
      <c r="V674">
        <f t="shared" si="32"/>
        <v>668</v>
      </c>
      <c r="W674">
        <f t="shared" si="33"/>
        <v>8</v>
      </c>
      <c r="X674">
        <f t="shared" si="34"/>
        <v>20</v>
      </c>
      <c r="AC674" t="s">
        <v>219</v>
      </c>
      <c r="AD674" t="s">
        <v>489</v>
      </c>
      <c r="AE674" t="s">
        <v>238</v>
      </c>
      <c r="AF674">
        <f ca="1">OFFSET('Calculations 2'!$CE$45,W674,0)*OFFSET($AA$6,X674,0)*OFFSET($M$6,W674,)</f>
        <v>4.8301462045322934</v>
      </c>
      <c r="AY674" t="s">
        <v>219</v>
      </c>
      <c r="AZ674" t="s">
        <v>489</v>
      </c>
      <c r="BA674" t="s">
        <v>238</v>
      </c>
      <c r="BB674">
        <v>0</v>
      </c>
      <c r="BE674" t="s">
        <v>219</v>
      </c>
      <c r="BF674" t="s">
        <v>489</v>
      </c>
      <c r="BG674" t="s">
        <v>238</v>
      </c>
      <c r="BH674">
        <v>0</v>
      </c>
      <c r="CT674" t="s">
        <v>219</v>
      </c>
      <c r="CU674" t="s">
        <v>238</v>
      </c>
      <c r="CV674">
        <f ca="1">OFFSET('Calculations 2'!$AJ$12,W674,X674)</f>
        <v>0</v>
      </c>
    </row>
    <row r="675" spans="17:100">
      <c r="Q675" t="s">
        <v>242</v>
      </c>
      <c r="R675" t="s">
        <v>489</v>
      </c>
      <c r="S675" t="s">
        <v>238</v>
      </c>
      <c r="T675">
        <f ca="1">OFFSET('Calculations 2'!$C$45,W675,X675)*OFFSET($M$6,W675,0)</f>
        <v>61.596254760938656</v>
      </c>
      <c r="V675">
        <f t="shared" si="32"/>
        <v>669</v>
      </c>
      <c r="W675">
        <f t="shared" si="33"/>
        <v>9</v>
      </c>
      <c r="X675">
        <f t="shared" si="34"/>
        <v>20</v>
      </c>
      <c r="AC675" t="s">
        <v>242</v>
      </c>
      <c r="AD675" t="s">
        <v>489</v>
      </c>
      <c r="AE675" t="s">
        <v>238</v>
      </c>
      <c r="AF675">
        <f ca="1">OFFSET('Calculations 2'!$CE$45,W675,0)*OFFSET($AA$6,X675,0)*OFFSET($M$6,W675,)</f>
        <v>7.5611281152041387</v>
      </c>
      <c r="AY675" t="s">
        <v>242</v>
      </c>
      <c r="AZ675" t="s">
        <v>489</v>
      </c>
      <c r="BA675" t="s">
        <v>238</v>
      </c>
      <c r="BB675">
        <v>0</v>
      </c>
      <c r="BE675" t="s">
        <v>242</v>
      </c>
      <c r="BF675" t="s">
        <v>489</v>
      </c>
      <c r="BG675" t="s">
        <v>238</v>
      </c>
      <c r="BH675">
        <v>0</v>
      </c>
      <c r="CT675" t="s">
        <v>242</v>
      </c>
      <c r="CU675" t="s">
        <v>238</v>
      </c>
      <c r="CV675">
        <f ca="1">OFFSET('Calculations 2'!$AJ$12,W675,X675)</f>
        <v>0</v>
      </c>
    </row>
    <row r="676" spans="17:100">
      <c r="Q676" t="s">
        <v>467</v>
      </c>
      <c r="R676" t="s">
        <v>489</v>
      </c>
      <c r="S676" t="s">
        <v>238</v>
      </c>
      <c r="T676">
        <f ca="1">OFFSET('Calculations 2'!$C$45,W676,X676)*OFFSET($M$6,W676,0)</f>
        <v>0</v>
      </c>
      <c r="V676">
        <f t="shared" si="32"/>
        <v>670</v>
      </c>
      <c r="W676">
        <f t="shared" si="33"/>
        <v>10</v>
      </c>
      <c r="X676">
        <f t="shared" si="34"/>
        <v>20</v>
      </c>
      <c r="AC676" t="s">
        <v>467</v>
      </c>
      <c r="AD676" t="s">
        <v>489</v>
      </c>
      <c r="AE676" t="s">
        <v>238</v>
      </c>
      <c r="AF676">
        <f ca="1">OFFSET('Calculations 2'!$CE$45,W676,0)*OFFSET($AA$6,X676,0)*OFFSET($M$6,W676,)</f>
        <v>7.0044453700898828</v>
      </c>
      <c r="AY676" t="s">
        <v>467</v>
      </c>
      <c r="AZ676" t="s">
        <v>489</v>
      </c>
      <c r="BA676" t="s">
        <v>238</v>
      </c>
      <c r="BB676">
        <v>0</v>
      </c>
      <c r="BE676" t="s">
        <v>467</v>
      </c>
      <c r="BF676" t="s">
        <v>489</v>
      </c>
      <c r="BG676" t="s">
        <v>238</v>
      </c>
      <c r="BH676">
        <v>0</v>
      </c>
      <c r="CT676" t="s">
        <v>467</v>
      </c>
      <c r="CU676" t="s">
        <v>238</v>
      </c>
      <c r="CV676">
        <f ca="1">OFFSET('Calculations 2'!$AJ$12,W676,X676)</f>
        <v>0</v>
      </c>
    </row>
    <row r="677" spans="17:100">
      <c r="Q677" t="s">
        <v>231</v>
      </c>
      <c r="R677" t="s">
        <v>489</v>
      </c>
      <c r="S677" t="s">
        <v>238</v>
      </c>
      <c r="T677">
        <f ca="1">OFFSET('Calculations 2'!$C$45,W677,X677)*OFFSET($M$6,W677,0)</f>
        <v>0</v>
      </c>
      <c r="V677">
        <f t="shared" si="32"/>
        <v>671</v>
      </c>
      <c r="W677">
        <f t="shared" si="33"/>
        <v>11</v>
      </c>
      <c r="X677">
        <f t="shared" si="34"/>
        <v>20</v>
      </c>
      <c r="AC677" t="s">
        <v>231</v>
      </c>
      <c r="AD677" t="s">
        <v>489</v>
      </c>
      <c r="AE677" t="s">
        <v>238</v>
      </c>
      <c r="AF677">
        <f ca="1">OFFSET('Calculations 2'!$CE$45,W677,0)*OFFSET($AA$6,X677,0)*OFFSET($M$6,W677,)</f>
        <v>20.486791686933628</v>
      </c>
      <c r="AY677" t="s">
        <v>231</v>
      </c>
      <c r="AZ677" t="s">
        <v>489</v>
      </c>
      <c r="BA677" t="s">
        <v>238</v>
      </c>
      <c r="BB677">
        <v>0</v>
      </c>
      <c r="BE677" t="s">
        <v>231</v>
      </c>
      <c r="BF677" t="s">
        <v>489</v>
      </c>
      <c r="BG677" t="s">
        <v>238</v>
      </c>
      <c r="BH677">
        <v>0</v>
      </c>
      <c r="CT677" t="s">
        <v>231</v>
      </c>
      <c r="CU677" t="s">
        <v>238</v>
      </c>
      <c r="CV677">
        <f ca="1">OFFSET('Calculations 2'!$AJ$12,W677,X677)</f>
        <v>0</v>
      </c>
    </row>
    <row r="678" spans="17:100">
      <c r="Q678" t="s">
        <v>468</v>
      </c>
      <c r="R678" t="s">
        <v>489</v>
      </c>
      <c r="S678" t="s">
        <v>238</v>
      </c>
      <c r="T678">
        <f ca="1">OFFSET('Calculations 2'!$C$45,W678,X678)*OFFSET($M$6,W678,0)</f>
        <v>0</v>
      </c>
      <c r="V678">
        <f t="shared" si="32"/>
        <v>672</v>
      </c>
      <c r="W678">
        <f t="shared" si="33"/>
        <v>12</v>
      </c>
      <c r="X678">
        <f t="shared" si="34"/>
        <v>20</v>
      </c>
      <c r="AC678" t="s">
        <v>468</v>
      </c>
      <c r="AD678" t="s">
        <v>489</v>
      </c>
      <c r="AE678" t="s">
        <v>238</v>
      </c>
      <c r="AF678">
        <f ca="1">OFFSET('Calculations 2'!$CE$45,W678,0)*OFFSET($AA$6,X678,0)*OFFSET($M$6,W678,)</f>
        <v>29.653016160351712</v>
      </c>
      <c r="AY678" t="s">
        <v>468</v>
      </c>
      <c r="AZ678" t="s">
        <v>489</v>
      </c>
      <c r="BA678" t="s">
        <v>238</v>
      </c>
      <c r="BB678">
        <v>0</v>
      </c>
      <c r="BE678" t="s">
        <v>468</v>
      </c>
      <c r="BF678" t="s">
        <v>489</v>
      </c>
      <c r="BG678" t="s">
        <v>238</v>
      </c>
      <c r="BH678">
        <v>0</v>
      </c>
      <c r="CT678" t="s">
        <v>468</v>
      </c>
      <c r="CU678" t="s">
        <v>238</v>
      </c>
      <c r="CV678">
        <f ca="1">OFFSET('Calculations 2'!$AJ$12,W678,X678)</f>
        <v>0</v>
      </c>
    </row>
    <row r="679" spans="17:100">
      <c r="Q679" t="s">
        <v>469</v>
      </c>
      <c r="R679" t="s">
        <v>489</v>
      </c>
      <c r="S679" t="s">
        <v>238</v>
      </c>
      <c r="T679">
        <f ca="1">OFFSET('Calculations 2'!$C$45,W679,X679)*OFFSET($M$6,W679,0)</f>
        <v>0</v>
      </c>
      <c r="V679">
        <f t="shared" si="32"/>
        <v>673</v>
      </c>
      <c r="W679">
        <f t="shared" si="33"/>
        <v>13</v>
      </c>
      <c r="X679">
        <f t="shared" si="34"/>
        <v>20</v>
      </c>
      <c r="AC679" t="s">
        <v>469</v>
      </c>
      <c r="AD679" t="s">
        <v>489</v>
      </c>
      <c r="AE679" t="s">
        <v>238</v>
      </c>
      <c r="AF679">
        <f ca="1">OFFSET('Calculations 2'!$CE$45,W679,0)*OFFSET($AA$6,X679,0)*OFFSET($M$6,W679,)</f>
        <v>6.1684707454089232</v>
      </c>
      <c r="AY679" t="s">
        <v>469</v>
      </c>
      <c r="AZ679" t="s">
        <v>489</v>
      </c>
      <c r="BA679" t="s">
        <v>238</v>
      </c>
      <c r="BB679">
        <v>0</v>
      </c>
      <c r="BE679" t="s">
        <v>469</v>
      </c>
      <c r="BF679" t="s">
        <v>489</v>
      </c>
      <c r="BG679" t="s">
        <v>238</v>
      </c>
      <c r="BH679">
        <v>0</v>
      </c>
      <c r="CT679" t="s">
        <v>469</v>
      </c>
      <c r="CU679" t="s">
        <v>238</v>
      </c>
      <c r="CV679">
        <f ca="1">OFFSET('Calculations 2'!$AJ$12,W679,X679)</f>
        <v>0</v>
      </c>
    </row>
    <row r="680" spans="17:100">
      <c r="Q680" t="s">
        <v>245</v>
      </c>
      <c r="R680" t="s">
        <v>489</v>
      </c>
      <c r="S680" t="s">
        <v>238</v>
      </c>
      <c r="T680">
        <f ca="1">OFFSET('Calculations 2'!$C$45,W680,X680)*OFFSET($M$6,W680,0)</f>
        <v>18.674236673287552</v>
      </c>
      <c r="V680">
        <f t="shared" si="32"/>
        <v>674</v>
      </c>
      <c r="W680">
        <f t="shared" si="33"/>
        <v>14</v>
      </c>
      <c r="X680">
        <f t="shared" si="34"/>
        <v>20</v>
      </c>
      <c r="AC680" t="s">
        <v>245</v>
      </c>
      <c r="AD680" t="s">
        <v>489</v>
      </c>
      <c r="AE680" t="s">
        <v>238</v>
      </c>
      <c r="AF680">
        <f ca="1">OFFSET('Calculations 2'!$CE$45,W680,0)*OFFSET($AA$6,X680,0)*OFFSET($M$6,W680,)</f>
        <v>8.9104051126280872</v>
      </c>
      <c r="AY680" t="s">
        <v>245</v>
      </c>
      <c r="AZ680" t="s">
        <v>489</v>
      </c>
      <c r="BA680" t="s">
        <v>238</v>
      </c>
      <c r="BB680">
        <v>0</v>
      </c>
      <c r="BE680" t="s">
        <v>245</v>
      </c>
      <c r="BF680" t="s">
        <v>489</v>
      </c>
      <c r="BG680" t="s">
        <v>238</v>
      </c>
      <c r="BH680">
        <v>0</v>
      </c>
      <c r="CT680" t="s">
        <v>245</v>
      </c>
      <c r="CU680" t="s">
        <v>238</v>
      </c>
      <c r="CV680">
        <f ca="1">OFFSET('Calculations 2'!$AJ$12,W680,X680)</f>
        <v>0</v>
      </c>
    </row>
    <row r="681" spans="17:100">
      <c r="Q681" t="s">
        <v>470</v>
      </c>
      <c r="R681" t="s">
        <v>489</v>
      </c>
      <c r="S681" t="s">
        <v>238</v>
      </c>
      <c r="T681">
        <f ca="1">OFFSET('Calculations 2'!$C$45,W681,X681)*OFFSET($M$6,W681,0)</f>
        <v>10.173831408404062</v>
      </c>
      <c r="V681">
        <f t="shared" si="32"/>
        <v>675</v>
      </c>
      <c r="W681">
        <f t="shared" si="33"/>
        <v>15</v>
      </c>
      <c r="X681">
        <f t="shared" si="34"/>
        <v>20</v>
      </c>
      <c r="AC681" t="s">
        <v>470</v>
      </c>
      <c r="AD681" t="s">
        <v>489</v>
      </c>
      <c r="AE681" t="s">
        <v>238</v>
      </c>
      <c r="AF681">
        <f ca="1">OFFSET('Calculations 2'!$CE$45,W681,0)*OFFSET($AA$6,X681,0)*OFFSET($M$6,W681,)</f>
        <v>24.262455524349729</v>
      </c>
      <c r="AY681" t="s">
        <v>470</v>
      </c>
      <c r="AZ681" t="s">
        <v>489</v>
      </c>
      <c r="BA681" t="s">
        <v>238</v>
      </c>
      <c r="BB681">
        <v>0</v>
      </c>
      <c r="BE681" t="s">
        <v>470</v>
      </c>
      <c r="BF681" t="s">
        <v>489</v>
      </c>
      <c r="BG681" t="s">
        <v>238</v>
      </c>
      <c r="BH681">
        <v>0</v>
      </c>
      <c r="CT681" t="s">
        <v>470</v>
      </c>
      <c r="CU681" t="s">
        <v>238</v>
      </c>
      <c r="CV681">
        <f ca="1">OFFSET('Calculations 2'!$AJ$12,W681,X681)</f>
        <v>0</v>
      </c>
    </row>
    <row r="682" spans="17:100">
      <c r="Q682" t="s">
        <v>471</v>
      </c>
      <c r="R682" t="s">
        <v>489</v>
      </c>
      <c r="S682" t="s">
        <v>238</v>
      </c>
      <c r="T682">
        <f ca="1">OFFSET('Calculations 2'!$C$45,W682,X682)*OFFSET($M$6,W682,0)</f>
        <v>155.18453838959957</v>
      </c>
      <c r="V682">
        <f t="shared" si="32"/>
        <v>676</v>
      </c>
      <c r="W682">
        <f t="shared" si="33"/>
        <v>16</v>
      </c>
      <c r="X682">
        <f t="shared" si="34"/>
        <v>20</v>
      </c>
      <c r="AC682" t="s">
        <v>471</v>
      </c>
      <c r="AD682" t="s">
        <v>489</v>
      </c>
      <c r="AE682" t="s">
        <v>238</v>
      </c>
      <c r="AF682">
        <f ca="1">OFFSET('Calculations 2'!$CE$45,W682,0)*OFFSET($AA$6,X682,0)*OFFSET($M$6,W682,)</f>
        <v>0</v>
      </c>
      <c r="AY682" t="s">
        <v>471</v>
      </c>
      <c r="AZ682" t="s">
        <v>489</v>
      </c>
      <c r="BA682" t="s">
        <v>238</v>
      </c>
      <c r="BB682">
        <v>0</v>
      </c>
      <c r="BE682" t="s">
        <v>471</v>
      </c>
      <c r="BF682" t="s">
        <v>489</v>
      </c>
      <c r="BG682" t="s">
        <v>238</v>
      </c>
      <c r="BH682">
        <v>0</v>
      </c>
      <c r="CT682" t="s">
        <v>471</v>
      </c>
      <c r="CU682" t="s">
        <v>238</v>
      </c>
      <c r="CV682">
        <f ca="1">OFFSET('Calculations 2'!$AJ$12,W682,X682)</f>
        <v>0</v>
      </c>
    </row>
    <row r="683" spans="17:100">
      <c r="Q683" t="s">
        <v>221</v>
      </c>
      <c r="R683" t="s">
        <v>489</v>
      </c>
      <c r="S683" t="s">
        <v>238</v>
      </c>
      <c r="T683">
        <f ca="1">OFFSET('Calculations 2'!$C$45,W683,X683)*OFFSET($M$6,W683,0)</f>
        <v>255.4823448938638</v>
      </c>
      <c r="V683">
        <f t="shared" si="32"/>
        <v>677</v>
      </c>
      <c r="W683">
        <f t="shared" si="33"/>
        <v>17</v>
      </c>
      <c r="X683">
        <f t="shared" si="34"/>
        <v>20</v>
      </c>
      <c r="AC683" t="s">
        <v>221</v>
      </c>
      <c r="AD683" t="s">
        <v>489</v>
      </c>
      <c r="AE683" t="s">
        <v>238</v>
      </c>
      <c r="AF683">
        <f ca="1">OFFSET('Calculations 2'!$CE$45,W683,0)*OFFSET($AA$6,X683,0)*OFFSET($M$6,W683,)</f>
        <v>805.96093439339506</v>
      </c>
      <c r="AY683" t="s">
        <v>221</v>
      </c>
      <c r="AZ683" t="s">
        <v>489</v>
      </c>
      <c r="BA683" t="s">
        <v>238</v>
      </c>
      <c r="BB683">
        <v>0</v>
      </c>
      <c r="BE683" t="s">
        <v>221</v>
      </c>
      <c r="BF683" t="s">
        <v>489</v>
      </c>
      <c r="BG683" t="s">
        <v>238</v>
      </c>
      <c r="BH683">
        <v>0</v>
      </c>
      <c r="CT683" t="s">
        <v>221</v>
      </c>
      <c r="CU683" t="s">
        <v>238</v>
      </c>
      <c r="CV683">
        <f ca="1">OFFSET('Calculations 2'!$AJ$12,W683,X683)</f>
        <v>0</v>
      </c>
    </row>
    <row r="684" spans="17:100">
      <c r="Q684" t="s">
        <v>244</v>
      </c>
      <c r="R684" t="s">
        <v>489</v>
      </c>
      <c r="S684" t="s">
        <v>238</v>
      </c>
      <c r="T684">
        <f ca="1">OFFSET('Calculations 2'!$C$45,W684,X684)*OFFSET($M$6,W684,0)</f>
        <v>1813.7725775004958</v>
      </c>
      <c r="V684">
        <f t="shared" si="32"/>
        <v>678</v>
      </c>
      <c r="W684">
        <f t="shared" si="33"/>
        <v>18</v>
      </c>
      <c r="X684">
        <f t="shared" si="34"/>
        <v>20</v>
      </c>
      <c r="AC684" t="s">
        <v>244</v>
      </c>
      <c r="AD684" t="s">
        <v>489</v>
      </c>
      <c r="AE684" t="s">
        <v>238</v>
      </c>
      <c r="AF684">
        <f ca="1">OFFSET('Calculations 2'!$CE$45,W684,0)*OFFSET($AA$6,X684,0)*OFFSET($M$6,W684,)</f>
        <v>128.86777955565154</v>
      </c>
      <c r="AY684" t="s">
        <v>244</v>
      </c>
      <c r="AZ684" t="s">
        <v>489</v>
      </c>
      <c r="BA684" t="s">
        <v>238</v>
      </c>
      <c r="BB684">
        <v>0</v>
      </c>
      <c r="BE684" t="s">
        <v>244</v>
      </c>
      <c r="BF684" t="s">
        <v>489</v>
      </c>
      <c r="BG684" t="s">
        <v>238</v>
      </c>
      <c r="BH684">
        <v>0</v>
      </c>
      <c r="CT684" t="s">
        <v>244</v>
      </c>
      <c r="CU684" t="s">
        <v>238</v>
      </c>
      <c r="CV684">
        <f ca="1">OFFSET('Calculations 2'!$AJ$12,W684,X684)</f>
        <v>0</v>
      </c>
    </row>
    <row r="685" spans="17:100">
      <c r="Q685" t="s">
        <v>472</v>
      </c>
      <c r="R685" t="s">
        <v>489</v>
      </c>
      <c r="S685" t="s">
        <v>238</v>
      </c>
      <c r="T685">
        <f ca="1">OFFSET('Calculations 2'!$C$45,W685,X685)*OFFSET($M$6,W685,0)</f>
        <v>0</v>
      </c>
      <c r="V685">
        <f t="shared" si="32"/>
        <v>679</v>
      </c>
      <c r="W685">
        <f t="shared" si="33"/>
        <v>19</v>
      </c>
      <c r="X685">
        <f t="shared" si="34"/>
        <v>20</v>
      </c>
      <c r="AC685" t="s">
        <v>472</v>
      </c>
      <c r="AD685" t="s">
        <v>489</v>
      </c>
      <c r="AE685" t="s">
        <v>238</v>
      </c>
      <c r="AF685">
        <f ca="1">OFFSET('Calculations 2'!$CE$45,W685,0)*OFFSET($AA$6,X685,0)*OFFSET($M$6,W685,)</f>
        <v>0</v>
      </c>
      <c r="AY685" t="s">
        <v>472</v>
      </c>
      <c r="AZ685" t="s">
        <v>489</v>
      </c>
      <c r="BA685" t="s">
        <v>238</v>
      </c>
      <c r="BB685">
        <v>0</v>
      </c>
      <c r="BE685" t="s">
        <v>472</v>
      </c>
      <c r="BF685" t="s">
        <v>489</v>
      </c>
      <c r="BG685" t="s">
        <v>238</v>
      </c>
      <c r="BH685">
        <v>0</v>
      </c>
      <c r="CT685" t="s">
        <v>472</v>
      </c>
      <c r="CU685" t="s">
        <v>238</v>
      </c>
      <c r="CV685">
        <f ca="1">OFFSET('Calculations 2'!$AJ$12,W685,X685)</f>
        <v>0</v>
      </c>
    </row>
    <row r="686" spans="17:100">
      <c r="Q686" t="s">
        <v>238</v>
      </c>
      <c r="R686" t="s">
        <v>489</v>
      </c>
      <c r="S686" t="s">
        <v>238</v>
      </c>
      <c r="T686">
        <f ca="1">OFFSET('Calculations 2'!$C$45,W686,X686)*OFFSET($M$6,W686,0)</f>
        <v>181.91573007172914</v>
      </c>
      <c r="V686">
        <f t="shared" si="32"/>
        <v>680</v>
      </c>
      <c r="W686">
        <f t="shared" si="33"/>
        <v>20</v>
      </c>
      <c r="X686">
        <f t="shared" si="34"/>
        <v>20</v>
      </c>
      <c r="AC686" t="s">
        <v>238</v>
      </c>
      <c r="AD686" t="s">
        <v>489</v>
      </c>
      <c r="AE686" t="s">
        <v>238</v>
      </c>
      <c r="AF686">
        <f ca="1">OFFSET('Calculations 2'!$CE$45,W686,0)*OFFSET($AA$6,X686,0)*OFFSET($M$6,W686,)</f>
        <v>0</v>
      </c>
      <c r="AY686" t="s">
        <v>238</v>
      </c>
      <c r="AZ686" t="s">
        <v>489</v>
      </c>
      <c r="BA686" t="s">
        <v>238</v>
      </c>
      <c r="BB686">
        <v>0</v>
      </c>
      <c r="BE686" t="s">
        <v>238</v>
      </c>
      <c r="BF686" t="s">
        <v>489</v>
      </c>
      <c r="BG686" t="s">
        <v>238</v>
      </c>
      <c r="BH686">
        <v>0</v>
      </c>
      <c r="CT686" t="s">
        <v>238</v>
      </c>
      <c r="CU686" t="s">
        <v>238</v>
      </c>
      <c r="CV686">
        <f ca="1">OFFSET('Calculations 2'!$AJ$12,W686,X686)</f>
        <v>15857.388999999996</v>
      </c>
    </row>
    <row r="687" spans="17:100">
      <c r="Q687" t="s">
        <v>247</v>
      </c>
      <c r="R687" t="s">
        <v>489</v>
      </c>
      <c r="S687" t="s">
        <v>238</v>
      </c>
      <c r="T687">
        <f ca="1">OFFSET('Calculations 2'!$C$45,W687,X687)*OFFSET($M$6,W687,0)</f>
        <v>0</v>
      </c>
      <c r="V687">
        <f t="shared" si="32"/>
        <v>681</v>
      </c>
      <c r="W687">
        <f t="shared" si="33"/>
        <v>21</v>
      </c>
      <c r="X687">
        <f t="shared" si="34"/>
        <v>20</v>
      </c>
      <c r="AC687" t="s">
        <v>247</v>
      </c>
      <c r="AD687" t="s">
        <v>489</v>
      </c>
      <c r="AE687" t="s">
        <v>238</v>
      </c>
      <c r="AF687">
        <f ca="1">OFFSET('Calculations 2'!$CE$45,W687,0)*OFFSET($AA$6,X687,0)*OFFSET($M$6,W687,)</f>
        <v>0</v>
      </c>
      <c r="AY687" t="s">
        <v>247</v>
      </c>
      <c r="AZ687" t="s">
        <v>489</v>
      </c>
      <c r="BA687" t="s">
        <v>238</v>
      </c>
      <c r="BB687">
        <v>0</v>
      </c>
      <c r="BE687" t="s">
        <v>247</v>
      </c>
      <c r="BF687" t="s">
        <v>489</v>
      </c>
      <c r="BG687" t="s">
        <v>238</v>
      </c>
      <c r="BH687">
        <v>0</v>
      </c>
      <c r="CT687" t="s">
        <v>247</v>
      </c>
      <c r="CU687" t="s">
        <v>238</v>
      </c>
      <c r="CV687">
        <f ca="1">OFFSET('Calculations 2'!$AJ$12,W687,X687)</f>
        <v>0</v>
      </c>
    </row>
    <row r="688" spans="17:100">
      <c r="Q688" t="s">
        <v>218</v>
      </c>
      <c r="R688" t="s">
        <v>489</v>
      </c>
      <c r="S688" t="s">
        <v>238</v>
      </c>
      <c r="T688">
        <f ca="1">OFFSET('Calculations 2'!$C$45,W688,X688)*OFFSET($M$6,W688,0)</f>
        <v>8.9688245781405929</v>
      </c>
      <c r="V688">
        <f t="shared" si="32"/>
        <v>682</v>
      </c>
      <c r="W688">
        <f t="shared" si="33"/>
        <v>22</v>
      </c>
      <c r="X688">
        <f t="shared" si="34"/>
        <v>20</v>
      </c>
      <c r="AC688" t="s">
        <v>218</v>
      </c>
      <c r="AD688" t="s">
        <v>489</v>
      </c>
      <c r="AE688" t="s">
        <v>238</v>
      </c>
      <c r="AF688">
        <f ca="1">OFFSET('Calculations 2'!$CE$45,W688,0)*OFFSET($AA$6,X688,0)*OFFSET($M$6,W688,)</f>
        <v>0</v>
      </c>
      <c r="AY688" t="s">
        <v>218</v>
      </c>
      <c r="AZ688" t="s">
        <v>489</v>
      </c>
      <c r="BA688" t="s">
        <v>238</v>
      </c>
      <c r="BB688">
        <v>0</v>
      </c>
      <c r="BE688" t="s">
        <v>218</v>
      </c>
      <c r="BF688" t="s">
        <v>489</v>
      </c>
      <c r="BG688" t="s">
        <v>238</v>
      </c>
      <c r="BH688">
        <v>0</v>
      </c>
      <c r="CT688" t="s">
        <v>218</v>
      </c>
      <c r="CU688" t="s">
        <v>238</v>
      </c>
      <c r="CV688">
        <f ca="1">OFFSET('Calculations 2'!$AJ$12,W688,X688)</f>
        <v>0</v>
      </c>
    </row>
    <row r="689" spans="17:100">
      <c r="Q689" t="s">
        <v>257</v>
      </c>
      <c r="R689" t="s">
        <v>489</v>
      </c>
      <c r="S689" t="s">
        <v>238</v>
      </c>
      <c r="T689">
        <f ca="1">OFFSET('Calculations 2'!$C$45,W689,X689)*OFFSET($M$6,W689,0)</f>
        <v>161.46892354470182</v>
      </c>
      <c r="V689">
        <f t="shared" si="32"/>
        <v>683</v>
      </c>
      <c r="W689">
        <f t="shared" si="33"/>
        <v>23</v>
      </c>
      <c r="X689">
        <f t="shared" si="34"/>
        <v>20</v>
      </c>
      <c r="AC689" t="s">
        <v>257</v>
      </c>
      <c r="AD689" t="s">
        <v>489</v>
      </c>
      <c r="AE689" t="s">
        <v>238</v>
      </c>
      <c r="AF689">
        <f ca="1">OFFSET('Calculations 2'!$CE$45,W689,0)*OFFSET($AA$6,X689,0)*OFFSET($M$6,W689,)</f>
        <v>0</v>
      </c>
      <c r="AY689" t="s">
        <v>257</v>
      </c>
      <c r="AZ689" t="s">
        <v>489</v>
      </c>
      <c r="BA689" t="s">
        <v>238</v>
      </c>
      <c r="BB689">
        <v>0</v>
      </c>
      <c r="BE689" t="s">
        <v>257</v>
      </c>
      <c r="BF689" t="s">
        <v>489</v>
      </c>
      <c r="BG689" t="s">
        <v>238</v>
      </c>
      <c r="BH689">
        <v>0</v>
      </c>
      <c r="CT689" t="s">
        <v>257</v>
      </c>
      <c r="CU689" t="s">
        <v>238</v>
      </c>
      <c r="CV689">
        <f ca="1">OFFSET('Calculations 2'!$AJ$12,W689,X689)</f>
        <v>0</v>
      </c>
    </row>
    <row r="690" spans="17:100">
      <c r="Q690" t="s">
        <v>220</v>
      </c>
      <c r="R690" t="s">
        <v>489</v>
      </c>
      <c r="S690" t="s">
        <v>238</v>
      </c>
      <c r="T690">
        <f ca="1">OFFSET('Calculations 2'!$C$45,W690,X690)*OFFSET($M$6,W690,0)</f>
        <v>40.702065016264129</v>
      </c>
      <c r="V690">
        <f t="shared" si="32"/>
        <v>684</v>
      </c>
      <c r="W690">
        <f t="shared" si="33"/>
        <v>24</v>
      </c>
      <c r="X690">
        <f t="shared" si="34"/>
        <v>20</v>
      </c>
      <c r="AC690" t="s">
        <v>220</v>
      </c>
      <c r="AD690" t="s">
        <v>489</v>
      </c>
      <c r="AE690" t="s">
        <v>238</v>
      </c>
      <c r="AF690">
        <f ca="1">OFFSET('Calculations 2'!$CE$45,W690,0)*OFFSET($AA$6,X690,0)*OFFSET($M$6,W690,)</f>
        <v>0</v>
      </c>
      <c r="AY690" t="s">
        <v>220</v>
      </c>
      <c r="AZ690" t="s">
        <v>489</v>
      </c>
      <c r="BA690" t="s">
        <v>238</v>
      </c>
      <c r="BB690">
        <v>0</v>
      </c>
      <c r="BE690" t="s">
        <v>220</v>
      </c>
      <c r="BF690" t="s">
        <v>489</v>
      </c>
      <c r="BG690" t="s">
        <v>238</v>
      </c>
      <c r="BH690">
        <v>0</v>
      </c>
      <c r="CT690" t="s">
        <v>220</v>
      </c>
      <c r="CU690" t="s">
        <v>238</v>
      </c>
      <c r="CV690">
        <f ca="1">OFFSET('Calculations 2'!$AJ$12,W690,X690)</f>
        <v>0</v>
      </c>
    </row>
    <row r="691" spans="17:100">
      <c r="Q691" t="s">
        <v>235</v>
      </c>
      <c r="R691" t="s">
        <v>489</v>
      </c>
      <c r="S691" t="s">
        <v>238</v>
      </c>
      <c r="T691">
        <f ca="1">OFFSET('Calculations 2'!$C$45,W691,X691)*OFFSET($M$6,W691,0)</f>
        <v>94.679063390218971</v>
      </c>
      <c r="V691">
        <f t="shared" si="32"/>
        <v>685</v>
      </c>
      <c r="W691">
        <f t="shared" si="33"/>
        <v>25</v>
      </c>
      <c r="X691">
        <f t="shared" si="34"/>
        <v>20</v>
      </c>
      <c r="AC691" t="s">
        <v>235</v>
      </c>
      <c r="AD691" t="s">
        <v>489</v>
      </c>
      <c r="AE691" t="s">
        <v>238</v>
      </c>
      <c r="AF691">
        <f ca="1">OFFSET('Calculations 2'!$CE$45,W691,0)*OFFSET($AA$6,X691,0)*OFFSET($M$6,W691,)</f>
        <v>0</v>
      </c>
      <c r="AY691" t="s">
        <v>235</v>
      </c>
      <c r="AZ691" t="s">
        <v>489</v>
      </c>
      <c r="BA691" t="s">
        <v>238</v>
      </c>
      <c r="BB691">
        <v>0</v>
      </c>
      <c r="BE691" t="s">
        <v>235</v>
      </c>
      <c r="BF691" t="s">
        <v>489</v>
      </c>
      <c r="BG691" t="s">
        <v>238</v>
      </c>
      <c r="BH691">
        <v>0</v>
      </c>
      <c r="CT691" t="s">
        <v>235</v>
      </c>
      <c r="CU691" t="s">
        <v>238</v>
      </c>
      <c r="CV691">
        <f ca="1">OFFSET('Calculations 2'!$AJ$12,W691,X691)</f>
        <v>0</v>
      </c>
    </row>
    <row r="692" spans="17:100">
      <c r="Q692" t="s">
        <v>473</v>
      </c>
      <c r="R692" t="s">
        <v>489</v>
      </c>
      <c r="S692" t="s">
        <v>238</v>
      </c>
      <c r="T692">
        <f ca="1">OFFSET('Calculations 2'!$C$45,W692,X692)*OFFSET($M$6,W692,0)</f>
        <v>50.984862490905684</v>
      </c>
      <c r="V692">
        <f t="shared" si="32"/>
        <v>686</v>
      </c>
      <c r="W692">
        <f t="shared" si="33"/>
        <v>26</v>
      </c>
      <c r="X692">
        <f t="shared" si="34"/>
        <v>20</v>
      </c>
      <c r="AC692" t="s">
        <v>473</v>
      </c>
      <c r="AD692" t="s">
        <v>489</v>
      </c>
      <c r="AE692" t="s">
        <v>238</v>
      </c>
      <c r="AF692">
        <f ca="1">OFFSET('Calculations 2'!$CE$45,W692,0)*OFFSET($AA$6,X692,0)*OFFSET($M$6,W692,)</f>
        <v>0</v>
      </c>
      <c r="AY692" t="s">
        <v>473</v>
      </c>
      <c r="AZ692" t="s">
        <v>489</v>
      </c>
      <c r="BA692" t="s">
        <v>238</v>
      </c>
      <c r="BB692">
        <v>0</v>
      </c>
      <c r="BE692" t="s">
        <v>473</v>
      </c>
      <c r="BF692" t="s">
        <v>489</v>
      </c>
      <c r="BG692" t="s">
        <v>238</v>
      </c>
      <c r="BH692">
        <v>0</v>
      </c>
      <c r="CT692" t="s">
        <v>473</v>
      </c>
      <c r="CU692" t="s">
        <v>238</v>
      </c>
      <c r="CV692">
        <f ca="1">OFFSET('Calculations 2'!$AJ$12,W692,X692)</f>
        <v>0</v>
      </c>
    </row>
    <row r="693" spans="17:100">
      <c r="Q693" t="s">
        <v>233</v>
      </c>
      <c r="R693" t="s">
        <v>489</v>
      </c>
      <c r="S693" t="s">
        <v>238</v>
      </c>
      <c r="T693">
        <f ca="1">OFFSET('Calculations 2'!$C$45,W693,X693)*OFFSET($M$6,W693,0)</f>
        <v>1116.0573014540273</v>
      </c>
      <c r="V693">
        <f t="shared" si="32"/>
        <v>687</v>
      </c>
      <c r="W693">
        <f t="shared" si="33"/>
        <v>27</v>
      </c>
      <c r="X693">
        <f t="shared" si="34"/>
        <v>20</v>
      </c>
      <c r="AC693" t="s">
        <v>233</v>
      </c>
      <c r="AD693" t="s">
        <v>489</v>
      </c>
      <c r="AE693" t="s">
        <v>238</v>
      </c>
      <c r="AF693">
        <f ca="1">OFFSET('Calculations 2'!$CE$45,W693,0)*OFFSET($AA$6,X693,0)*OFFSET($M$6,W693,)</f>
        <v>0</v>
      </c>
      <c r="AY693" t="s">
        <v>233</v>
      </c>
      <c r="AZ693" t="s">
        <v>489</v>
      </c>
      <c r="BA693" t="s">
        <v>238</v>
      </c>
      <c r="BB693">
        <v>0</v>
      </c>
      <c r="BE693" t="s">
        <v>233</v>
      </c>
      <c r="BF693" t="s">
        <v>489</v>
      </c>
      <c r="BG693" t="s">
        <v>238</v>
      </c>
      <c r="BH693">
        <v>0</v>
      </c>
      <c r="CT693" t="s">
        <v>233</v>
      </c>
      <c r="CU693" t="s">
        <v>238</v>
      </c>
      <c r="CV693">
        <f ca="1">OFFSET('Calculations 2'!$AJ$12,W693,X693)</f>
        <v>0</v>
      </c>
    </row>
    <row r="694" spans="17:100">
      <c r="Q694" t="s">
        <v>474</v>
      </c>
      <c r="R694" t="s">
        <v>489</v>
      </c>
      <c r="S694" t="s">
        <v>238</v>
      </c>
      <c r="T694">
        <f ca="1">OFFSET('Calculations 2'!$C$45,W694,X694)*OFFSET($M$6,W694,0)</f>
        <v>6.1383609131303318</v>
      </c>
      <c r="V694">
        <f t="shared" si="32"/>
        <v>688</v>
      </c>
      <c r="W694">
        <f t="shared" si="33"/>
        <v>28</v>
      </c>
      <c r="X694">
        <f t="shared" si="34"/>
        <v>20</v>
      </c>
      <c r="AC694" t="s">
        <v>474</v>
      </c>
      <c r="AD694" t="s">
        <v>489</v>
      </c>
      <c r="AE694" t="s">
        <v>238</v>
      </c>
      <c r="AF694">
        <f ca="1">OFFSET('Calculations 2'!$CE$45,W694,0)*OFFSET($AA$6,X694,0)*OFFSET($M$6,W694,)</f>
        <v>0</v>
      </c>
      <c r="AY694" t="s">
        <v>474</v>
      </c>
      <c r="AZ694" t="s">
        <v>489</v>
      </c>
      <c r="BA694" t="s">
        <v>238</v>
      </c>
      <c r="BB694">
        <v>0</v>
      </c>
      <c r="BE694" t="s">
        <v>474</v>
      </c>
      <c r="BF694" t="s">
        <v>489</v>
      </c>
      <c r="BG694" t="s">
        <v>238</v>
      </c>
      <c r="BH694">
        <v>0</v>
      </c>
      <c r="CT694" t="s">
        <v>474</v>
      </c>
      <c r="CU694" t="s">
        <v>238</v>
      </c>
      <c r="CV694">
        <f ca="1">OFFSET('Calculations 2'!$AJ$12,W694,X694)</f>
        <v>0</v>
      </c>
    </row>
    <row r="695" spans="17:100">
      <c r="Q695" t="s">
        <v>223</v>
      </c>
      <c r="R695" t="s">
        <v>489</v>
      </c>
      <c r="S695" t="s">
        <v>238</v>
      </c>
      <c r="T695">
        <f ca="1">OFFSET('Calculations 2'!$C$45,W695,X695)*OFFSET($M$6,W695,0)</f>
        <v>0</v>
      </c>
      <c r="V695">
        <f t="shared" si="32"/>
        <v>689</v>
      </c>
      <c r="W695">
        <f t="shared" si="33"/>
        <v>29</v>
      </c>
      <c r="X695">
        <f t="shared" si="34"/>
        <v>20</v>
      </c>
      <c r="AC695" t="s">
        <v>223</v>
      </c>
      <c r="AD695" t="s">
        <v>489</v>
      </c>
      <c r="AE695" t="s">
        <v>238</v>
      </c>
      <c r="AF695">
        <f ca="1">OFFSET('Calculations 2'!$CE$45,W695,0)*OFFSET($AA$6,X695,0)*OFFSET($M$6,W695,)</f>
        <v>0</v>
      </c>
      <c r="AY695" t="s">
        <v>223</v>
      </c>
      <c r="AZ695" t="s">
        <v>489</v>
      </c>
      <c r="BA695" t="s">
        <v>238</v>
      </c>
      <c r="BB695">
        <v>0</v>
      </c>
      <c r="BE695" t="s">
        <v>223</v>
      </c>
      <c r="BF695" t="s">
        <v>489</v>
      </c>
      <c r="BG695" t="s">
        <v>238</v>
      </c>
      <c r="BH695">
        <v>0</v>
      </c>
      <c r="CT695" t="s">
        <v>223</v>
      </c>
      <c r="CU695" t="s">
        <v>238</v>
      </c>
      <c r="CV695">
        <f ca="1">OFFSET('Calculations 2'!$AJ$12,W695,X695)</f>
        <v>0</v>
      </c>
    </row>
    <row r="696" spans="17:100">
      <c r="Q696" t="s">
        <v>475</v>
      </c>
      <c r="R696" t="s">
        <v>489</v>
      </c>
      <c r="S696" t="s">
        <v>238</v>
      </c>
      <c r="T696">
        <f ca="1">OFFSET('Calculations 2'!$C$45,W696,X696)*OFFSET($M$6,W696,0)</f>
        <v>9.3998013055937761</v>
      </c>
      <c r="V696">
        <f t="shared" si="32"/>
        <v>690</v>
      </c>
      <c r="W696">
        <f t="shared" si="33"/>
        <v>30</v>
      </c>
      <c r="X696">
        <f t="shared" si="34"/>
        <v>20</v>
      </c>
      <c r="AC696" t="s">
        <v>475</v>
      </c>
      <c r="AD696" t="s">
        <v>489</v>
      </c>
      <c r="AE696" t="s">
        <v>238</v>
      </c>
      <c r="AF696">
        <f ca="1">OFFSET('Calculations 2'!$CE$45,W696,0)*OFFSET($AA$6,X696,0)*OFFSET($M$6,W696,)</f>
        <v>0</v>
      </c>
      <c r="AY696" t="s">
        <v>475</v>
      </c>
      <c r="AZ696" t="s">
        <v>489</v>
      </c>
      <c r="BA696" t="s">
        <v>238</v>
      </c>
      <c r="BB696">
        <v>0</v>
      </c>
      <c r="BE696" t="s">
        <v>475</v>
      </c>
      <c r="BF696" t="s">
        <v>489</v>
      </c>
      <c r="BG696" t="s">
        <v>238</v>
      </c>
      <c r="BH696">
        <v>0</v>
      </c>
      <c r="CT696" t="s">
        <v>475</v>
      </c>
      <c r="CU696" t="s">
        <v>238</v>
      </c>
      <c r="CV696">
        <f ca="1">OFFSET('Calculations 2'!$AJ$12,W696,X696)</f>
        <v>0</v>
      </c>
    </row>
    <row r="697" spans="17:100">
      <c r="Q697" t="s">
        <v>476</v>
      </c>
      <c r="R697" t="s">
        <v>489</v>
      </c>
      <c r="S697" t="s">
        <v>238</v>
      </c>
      <c r="T697">
        <f ca="1">OFFSET('Calculations 2'!$C$45,W697,X697)*OFFSET($M$6,W697,0)</f>
        <v>5.0271254013940503</v>
      </c>
      <c r="V697">
        <f t="shared" si="32"/>
        <v>691</v>
      </c>
      <c r="W697">
        <f t="shared" si="33"/>
        <v>31</v>
      </c>
      <c r="X697">
        <f t="shared" si="34"/>
        <v>20</v>
      </c>
      <c r="AC697" t="s">
        <v>476</v>
      </c>
      <c r="AD697" t="s">
        <v>489</v>
      </c>
      <c r="AE697" t="s">
        <v>238</v>
      </c>
      <c r="AF697">
        <f ca="1">OFFSET('Calculations 2'!$CE$45,W697,0)*OFFSET($AA$6,X697,0)*OFFSET($M$6,W697,)</f>
        <v>0</v>
      </c>
      <c r="AY697" t="s">
        <v>476</v>
      </c>
      <c r="AZ697" t="s">
        <v>489</v>
      </c>
      <c r="BA697" t="s">
        <v>238</v>
      </c>
      <c r="BB697">
        <v>0</v>
      </c>
      <c r="BE697" t="s">
        <v>476</v>
      </c>
      <c r="BF697" t="s">
        <v>489</v>
      </c>
      <c r="BG697" t="s">
        <v>238</v>
      </c>
      <c r="BH697">
        <v>0</v>
      </c>
      <c r="CT697" t="s">
        <v>476</v>
      </c>
      <c r="CU697" t="s">
        <v>238</v>
      </c>
      <c r="CV697">
        <f ca="1">OFFSET('Calculations 2'!$AJ$12,W697,X697)</f>
        <v>0</v>
      </c>
    </row>
    <row r="698" spans="17:100">
      <c r="Q698" t="s">
        <v>222</v>
      </c>
      <c r="R698" t="s">
        <v>489</v>
      </c>
      <c r="S698" t="s">
        <v>238</v>
      </c>
      <c r="T698">
        <f ca="1">OFFSET('Calculations 2'!$C$45,W698,X698)*OFFSET($M$6,W698,0)</f>
        <v>0</v>
      </c>
      <c r="V698">
        <f t="shared" si="32"/>
        <v>692</v>
      </c>
      <c r="W698">
        <f t="shared" si="33"/>
        <v>32</v>
      </c>
      <c r="X698">
        <f t="shared" si="34"/>
        <v>20</v>
      </c>
      <c r="AC698" t="s">
        <v>222</v>
      </c>
      <c r="AD698" t="s">
        <v>489</v>
      </c>
      <c r="AE698" t="s">
        <v>238</v>
      </c>
      <c r="AF698">
        <f ca="1">OFFSET('Calculations 2'!$CE$45,W698,0)*OFFSET($AA$6,X698,0)*OFFSET($M$6,W698,)</f>
        <v>0</v>
      </c>
      <c r="AY698" t="s">
        <v>222</v>
      </c>
      <c r="AZ698" t="s">
        <v>489</v>
      </c>
      <c r="BA698" t="s">
        <v>238</v>
      </c>
      <c r="BB698">
        <v>0</v>
      </c>
      <c r="BE698" t="s">
        <v>222</v>
      </c>
      <c r="BF698" t="s">
        <v>489</v>
      </c>
      <c r="BG698" t="s">
        <v>238</v>
      </c>
      <c r="BH698">
        <v>0</v>
      </c>
      <c r="CT698" t="s">
        <v>222</v>
      </c>
      <c r="CU698" t="s">
        <v>238</v>
      </c>
      <c r="CV698">
        <f ca="1">OFFSET('Calculations 2'!$AJ$12,W698,X698)</f>
        <v>0</v>
      </c>
    </row>
    <row r="699" spans="17:100">
      <c r="Q699" t="s">
        <v>217</v>
      </c>
      <c r="R699" t="s">
        <v>489</v>
      </c>
      <c r="S699" t="s">
        <v>247</v>
      </c>
      <c r="T699">
        <f ca="1">OFFSET('Calculations 2'!$C$45,W699,X699)*OFFSET($M$6,W699,0)</f>
        <v>0</v>
      </c>
      <c r="V699">
        <f t="shared" si="32"/>
        <v>693</v>
      </c>
      <c r="W699">
        <f t="shared" si="33"/>
        <v>0</v>
      </c>
      <c r="X699">
        <f t="shared" si="34"/>
        <v>21</v>
      </c>
      <c r="AC699" t="s">
        <v>217</v>
      </c>
      <c r="AD699" t="s">
        <v>489</v>
      </c>
      <c r="AE699" t="s">
        <v>247</v>
      </c>
      <c r="AF699">
        <f ca="1">OFFSET('Calculations 2'!$CE$45,W699,0)*OFFSET($AA$6,X699,0)*OFFSET($M$6,W699,)</f>
        <v>3.3467516189100432E-2</v>
      </c>
      <c r="AY699" t="s">
        <v>217</v>
      </c>
      <c r="AZ699" t="s">
        <v>489</v>
      </c>
      <c r="BA699" t="s">
        <v>247</v>
      </c>
      <c r="BB699">
        <v>0</v>
      </c>
      <c r="BE699" t="s">
        <v>217</v>
      </c>
      <c r="BF699" t="s">
        <v>489</v>
      </c>
      <c r="BG699" t="s">
        <v>247</v>
      </c>
      <c r="BH699">
        <v>0</v>
      </c>
      <c r="CT699" t="s">
        <v>217</v>
      </c>
      <c r="CU699" t="s">
        <v>247</v>
      </c>
      <c r="CV699">
        <f ca="1">OFFSET('Calculations 2'!$AJ$12,W699,X699)</f>
        <v>0</v>
      </c>
    </row>
    <row r="700" spans="17:100">
      <c r="Q700" t="s">
        <v>232</v>
      </c>
      <c r="R700" t="s">
        <v>489</v>
      </c>
      <c r="S700" t="s">
        <v>247</v>
      </c>
      <c r="T700">
        <f ca="1">OFFSET('Calculations 2'!$C$45,W700,X700)*OFFSET($M$6,W700,0)</f>
        <v>0</v>
      </c>
      <c r="V700">
        <f t="shared" si="32"/>
        <v>694</v>
      </c>
      <c r="W700">
        <f t="shared" si="33"/>
        <v>1</v>
      </c>
      <c r="X700">
        <f t="shared" si="34"/>
        <v>21</v>
      </c>
      <c r="AC700" t="s">
        <v>232</v>
      </c>
      <c r="AD700" t="s">
        <v>489</v>
      </c>
      <c r="AE700" t="s">
        <v>247</v>
      </c>
      <c r="AF700">
        <f ca="1">OFFSET('Calculations 2'!$CE$45,W700,0)*OFFSET($AA$6,X700,0)*OFFSET($M$6,W700,)</f>
        <v>5.8381345023433104E-2</v>
      </c>
      <c r="AY700" t="s">
        <v>232</v>
      </c>
      <c r="AZ700" t="s">
        <v>489</v>
      </c>
      <c r="BA700" t="s">
        <v>247</v>
      </c>
      <c r="BB700">
        <v>0</v>
      </c>
      <c r="BE700" t="s">
        <v>232</v>
      </c>
      <c r="BF700" t="s">
        <v>489</v>
      </c>
      <c r="BG700" t="s">
        <v>247</v>
      </c>
      <c r="BH700">
        <v>0</v>
      </c>
      <c r="CT700" t="s">
        <v>232</v>
      </c>
      <c r="CU700" t="s">
        <v>247</v>
      </c>
      <c r="CV700">
        <f ca="1">OFFSET('Calculations 2'!$AJ$12,W700,X700)</f>
        <v>0</v>
      </c>
    </row>
    <row r="701" spans="17:100">
      <c r="Q701" t="s">
        <v>226</v>
      </c>
      <c r="R701" t="s">
        <v>489</v>
      </c>
      <c r="S701" t="s">
        <v>247</v>
      </c>
      <c r="T701">
        <f ca="1">OFFSET('Calculations 2'!$C$45,W701,X701)*OFFSET($M$6,W701,0)</f>
        <v>0</v>
      </c>
      <c r="V701">
        <f t="shared" si="32"/>
        <v>695</v>
      </c>
      <c r="W701">
        <f t="shared" si="33"/>
        <v>2</v>
      </c>
      <c r="X701">
        <f t="shared" si="34"/>
        <v>21</v>
      </c>
      <c r="AC701" t="s">
        <v>226</v>
      </c>
      <c r="AD701" t="s">
        <v>489</v>
      </c>
      <c r="AE701" t="s">
        <v>247</v>
      </c>
      <c r="AF701">
        <f ca="1">OFFSET('Calculations 2'!$CE$45,W701,0)*OFFSET($AA$6,X701,0)*OFFSET($M$6,W701,)</f>
        <v>9.8301891814198128E-2</v>
      </c>
      <c r="AY701" t="s">
        <v>226</v>
      </c>
      <c r="AZ701" t="s">
        <v>489</v>
      </c>
      <c r="BA701" t="s">
        <v>247</v>
      </c>
      <c r="BB701">
        <v>0</v>
      </c>
      <c r="BE701" t="s">
        <v>226</v>
      </c>
      <c r="BF701" t="s">
        <v>489</v>
      </c>
      <c r="BG701" t="s">
        <v>247</v>
      </c>
      <c r="BH701">
        <v>0</v>
      </c>
      <c r="CT701" t="s">
        <v>226</v>
      </c>
      <c r="CU701" t="s">
        <v>247</v>
      </c>
      <c r="CV701">
        <f ca="1">OFFSET('Calculations 2'!$AJ$12,W701,X701)</f>
        <v>0</v>
      </c>
    </row>
    <row r="702" spans="17:100">
      <c r="Q702" t="s">
        <v>243</v>
      </c>
      <c r="R702" t="s">
        <v>489</v>
      </c>
      <c r="S702" t="s">
        <v>247</v>
      </c>
      <c r="T702">
        <f ca="1">OFFSET('Calculations 2'!$C$45,W702,X702)*OFFSET($M$6,W702,0)</f>
        <v>2.2522829578737464E-3</v>
      </c>
      <c r="V702">
        <f t="shared" si="32"/>
        <v>696</v>
      </c>
      <c r="W702">
        <f t="shared" si="33"/>
        <v>3</v>
      </c>
      <c r="X702">
        <f t="shared" si="34"/>
        <v>21</v>
      </c>
      <c r="AC702" t="s">
        <v>243</v>
      </c>
      <c r="AD702" t="s">
        <v>489</v>
      </c>
      <c r="AE702" t="s">
        <v>247</v>
      </c>
      <c r="AF702">
        <f ca="1">OFFSET('Calculations 2'!$CE$45,W702,0)*OFFSET($AA$6,X702,0)*OFFSET($M$6,W702,)</f>
        <v>0.51204031209862655</v>
      </c>
      <c r="AY702" t="s">
        <v>243</v>
      </c>
      <c r="AZ702" t="s">
        <v>489</v>
      </c>
      <c r="BA702" t="s">
        <v>247</v>
      </c>
      <c r="BB702">
        <v>0</v>
      </c>
      <c r="BE702" t="s">
        <v>243</v>
      </c>
      <c r="BF702" t="s">
        <v>489</v>
      </c>
      <c r="BG702" t="s">
        <v>247</v>
      </c>
      <c r="BH702">
        <v>0</v>
      </c>
      <c r="CT702" t="s">
        <v>243</v>
      </c>
      <c r="CU702" t="s">
        <v>247</v>
      </c>
      <c r="CV702">
        <f ca="1">OFFSET('Calculations 2'!$AJ$12,W702,X702)</f>
        <v>0</v>
      </c>
    </row>
    <row r="703" spans="17:100">
      <c r="Q703" t="s">
        <v>228</v>
      </c>
      <c r="R703" t="s">
        <v>489</v>
      </c>
      <c r="S703" t="s">
        <v>247</v>
      </c>
      <c r="T703">
        <f ca="1">OFFSET('Calculations 2'!$C$45,W703,X703)*OFFSET($M$6,W703,0)</f>
        <v>0</v>
      </c>
      <c r="V703">
        <f t="shared" si="32"/>
        <v>697</v>
      </c>
      <c r="W703">
        <f t="shared" si="33"/>
        <v>4</v>
      </c>
      <c r="X703">
        <f t="shared" si="34"/>
        <v>21</v>
      </c>
      <c r="AC703" t="s">
        <v>228</v>
      </c>
      <c r="AD703" t="s">
        <v>489</v>
      </c>
      <c r="AE703" t="s">
        <v>247</v>
      </c>
      <c r="AF703">
        <f ca="1">OFFSET('Calculations 2'!$CE$45,W703,0)*OFFSET($AA$6,X703,0)*OFFSET($M$6,W703,)</f>
        <v>3.6332965882024614E-3</v>
      </c>
      <c r="AY703" t="s">
        <v>228</v>
      </c>
      <c r="AZ703" t="s">
        <v>489</v>
      </c>
      <c r="BA703" t="s">
        <v>247</v>
      </c>
      <c r="BB703">
        <v>0</v>
      </c>
      <c r="BE703" t="s">
        <v>228</v>
      </c>
      <c r="BF703" t="s">
        <v>489</v>
      </c>
      <c r="BG703" t="s">
        <v>247</v>
      </c>
      <c r="BH703">
        <v>0</v>
      </c>
      <c r="CT703" t="s">
        <v>228</v>
      </c>
      <c r="CU703" t="s">
        <v>247</v>
      </c>
      <c r="CV703">
        <f ca="1">OFFSET('Calculations 2'!$AJ$12,W703,X703)</f>
        <v>0</v>
      </c>
    </row>
    <row r="704" spans="17:100">
      <c r="Q704" t="s">
        <v>246</v>
      </c>
      <c r="R704" t="s">
        <v>489</v>
      </c>
      <c r="S704" t="s">
        <v>247</v>
      </c>
      <c r="T704">
        <f ca="1">OFFSET('Calculations 2'!$C$45,W704,X704)*OFFSET($M$6,W704,0)</f>
        <v>0</v>
      </c>
      <c r="V704">
        <f t="shared" si="32"/>
        <v>698</v>
      </c>
      <c r="W704">
        <f t="shared" si="33"/>
        <v>5</v>
      </c>
      <c r="X704">
        <f t="shared" si="34"/>
        <v>21</v>
      </c>
      <c r="AC704" t="s">
        <v>246</v>
      </c>
      <c r="AD704" t="s">
        <v>489</v>
      </c>
      <c r="AE704" t="s">
        <v>247</v>
      </c>
      <c r="AF704">
        <f ca="1">OFFSET('Calculations 2'!$CE$45,W704,0)*OFFSET($AA$6,X704,0)*OFFSET($M$6,W704,)</f>
        <v>2.2366527099795228E-2</v>
      </c>
      <c r="AY704" t="s">
        <v>246</v>
      </c>
      <c r="AZ704" t="s">
        <v>489</v>
      </c>
      <c r="BA704" t="s">
        <v>247</v>
      </c>
      <c r="BB704">
        <v>0</v>
      </c>
      <c r="BE704" t="s">
        <v>246</v>
      </c>
      <c r="BF704" t="s">
        <v>489</v>
      </c>
      <c r="BG704" t="s">
        <v>247</v>
      </c>
      <c r="BH704">
        <v>0</v>
      </c>
      <c r="CT704" t="s">
        <v>246</v>
      </c>
      <c r="CU704" t="s">
        <v>247</v>
      </c>
      <c r="CV704">
        <f ca="1">OFFSET('Calculations 2'!$AJ$12,W704,X704)</f>
        <v>0</v>
      </c>
    </row>
    <row r="705" spans="17:100">
      <c r="Q705" t="s">
        <v>239</v>
      </c>
      <c r="R705" t="s">
        <v>489</v>
      </c>
      <c r="S705" t="s">
        <v>247</v>
      </c>
      <c r="T705">
        <f ca="1">OFFSET('Calculations 2'!$C$45,W705,X705)*OFFSET($M$6,W705,0)</f>
        <v>2.8863139242556244</v>
      </c>
      <c r="V705">
        <f t="shared" si="32"/>
        <v>699</v>
      </c>
      <c r="W705">
        <f t="shared" si="33"/>
        <v>6</v>
      </c>
      <c r="X705">
        <f t="shared" si="34"/>
        <v>21</v>
      </c>
      <c r="AC705" t="s">
        <v>239</v>
      </c>
      <c r="AD705" t="s">
        <v>489</v>
      </c>
      <c r="AE705" t="s">
        <v>247</v>
      </c>
      <c r="AF705">
        <f ca="1">OFFSET('Calculations 2'!$CE$45,W705,0)*OFFSET($AA$6,X705,0)*OFFSET($M$6,W705,)</f>
        <v>0.44767993297646158</v>
      </c>
      <c r="AY705" t="s">
        <v>239</v>
      </c>
      <c r="AZ705" t="s">
        <v>489</v>
      </c>
      <c r="BA705" t="s">
        <v>247</v>
      </c>
      <c r="BB705">
        <v>0</v>
      </c>
      <c r="BE705" t="s">
        <v>239</v>
      </c>
      <c r="BF705" t="s">
        <v>489</v>
      </c>
      <c r="BG705" t="s">
        <v>247</v>
      </c>
      <c r="BH705">
        <v>0</v>
      </c>
      <c r="CT705" t="s">
        <v>239</v>
      </c>
      <c r="CU705" t="s">
        <v>247</v>
      </c>
      <c r="CV705">
        <f ca="1">OFFSET('Calculations 2'!$AJ$12,W705,X705)</f>
        <v>0</v>
      </c>
    </row>
    <row r="706" spans="17:100">
      <c r="Q706" t="s">
        <v>466</v>
      </c>
      <c r="R706" t="s">
        <v>489</v>
      </c>
      <c r="S706" t="s">
        <v>247</v>
      </c>
      <c r="T706">
        <f ca="1">OFFSET('Calculations 2'!$C$45,W706,X706)*OFFSET($M$6,W706,0)</f>
        <v>19.243593962943581</v>
      </c>
      <c r="V706">
        <f t="shared" si="32"/>
        <v>700</v>
      </c>
      <c r="W706">
        <f t="shared" si="33"/>
        <v>7</v>
      </c>
      <c r="X706">
        <f t="shared" si="34"/>
        <v>21</v>
      </c>
      <c r="AC706" t="s">
        <v>466</v>
      </c>
      <c r="AD706" t="s">
        <v>489</v>
      </c>
      <c r="AE706" t="s">
        <v>247</v>
      </c>
      <c r="AF706">
        <f ca="1">OFFSET('Calculations 2'!$CE$45,W706,0)*OFFSET($AA$6,X706,0)*OFFSET($M$6,W706,)</f>
        <v>6.8217758100893214E-2</v>
      </c>
      <c r="AY706" t="s">
        <v>466</v>
      </c>
      <c r="AZ706" t="s">
        <v>489</v>
      </c>
      <c r="BA706" t="s">
        <v>247</v>
      </c>
      <c r="BB706">
        <v>0</v>
      </c>
      <c r="BE706" t="s">
        <v>466</v>
      </c>
      <c r="BF706" t="s">
        <v>489</v>
      </c>
      <c r="BG706" t="s">
        <v>247</v>
      </c>
      <c r="BH706">
        <v>0</v>
      </c>
      <c r="CT706" t="s">
        <v>466</v>
      </c>
      <c r="CU706" t="s">
        <v>247</v>
      </c>
      <c r="CV706">
        <f ca="1">OFFSET('Calculations 2'!$AJ$12,W706,X706)</f>
        <v>0</v>
      </c>
    </row>
    <row r="707" spans="17:100">
      <c r="Q707" t="s">
        <v>219</v>
      </c>
      <c r="R707" t="s">
        <v>489</v>
      </c>
      <c r="S707" t="s">
        <v>247</v>
      </c>
      <c r="T707">
        <f ca="1">OFFSET('Calculations 2'!$C$45,W707,X707)*OFFSET($M$6,W707,0)</f>
        <v>1.1551627895356496E-2</v>
      </c>
      <c r="V707">
        <f t="shared" si="32"/>
        <v>701</v>
      </c>
      <c r="W707">
        <f t="shared" si="33"/>
        <v>8</v>
      </c>
      <c r="X707">
        <f t="shared" si="34"/>
        <v>21</v>
      </c>
      <c r="AC707" t="s">
        <v>219</v>
      </c>
      <c r="AD707" t="s">
        <v>489</v>
      </c>
      <c r="AE707" t="s">
        <v>247</v>
      </c>
      <c r="AF707">
        <f ca="1">OFFSET('Calculations 2'!$CE$45,W707,0)*OFFSET($AA$6,X707,0)*OFFSET($M$6,W707,)</f>
        <v>0.42480591964078013</v>
      </c>
      <c r="AY707" t="s">
        <v>219</v>
      </c>
      <c r="AZ707" t="s">
        <v>489</v>
      </c>
      <c r="BA707" t="s">
        <v>247</v>
      </c>
      <c r="BB707">
        <v>0</v>
      </c>
      <c r="BE707" t="s">
        <v>219</v>
      </c>
      <c r="BF707" t="s">
        <v>489</v>
      </c>
      <c r="BG707" t="s">
        <v>247</v>
      </c>
      <c r="BH707">
        <v>0</v>
      </c>
      <c r="CT707" t="s">
        <v>219</v>
      </c>
      <c r="CU707" t="s">
        <v>247</v>
      </c>
      <c r="CV707">
        <f ca="1">OFFSET('Calculations 2'!$AJ$12,W707,X707)</f>
        <v>0</v>
      </c>
    </row>
    <row r="708" spans="17:100">
      <c r="Q708" t="s">
        <v>242</v>
      </c>
      <c r="R708" t="s">
        <v>489</v>
      </c>
      <c r="S708" t="s">
        <v>247</v>
      </c>
      <c r="T708">
        <f ca="1">OFFSET('Calculations 2'!$C$45,W708,X708)*OFFSET($M$6,W708,0)</f>
        <v>3.0430771078753908E-2</v>
      </c>
      <c r="V708">
        <f t="shared" si="32"/>
        <v>702</v>
      </c>
      <c r="W708">
        <f t="shared" si="33"/>
        <v>9</v>
      </c>
      <c r="X708">
        <f t="shared" si="34"/>
        <v>21</v>
      </c>
      <c r="AC708" t="s">
        <v>242</v>
      </c>
      <c r="AD708" t="s">
        <v>489</v>
      </c>
      <c r="AE708" t="s">
        <v>247</v>
      </c>
      <c r="AF708">
        <f ca="1">OFFSET('Calculations 2'!$CE$45,W708,0)*OFFSET($AA$6,X708,0)*OFFSET($M$6,W708,)</f>
        <v>0.66499270342730221</v>
      </c>
      <c r="AY708" t="s">
        <v>242</v>
      </c>
      <c r="AZ708" t="s">
        <v>489</v>
      </c>
      <c r="BA708" t="s">
        <v>247</v>
      </c>
      <c r="BB708">
        <v>0</v>
      </c>
      <c r="BE708" t="s">
        <v>242</v>
      </c>
      <c r="BF708" t="s">
        <v>489</v>
      </c>
      <c r="BG708" t="s">
        <v>247</v>
      </c>
      <c r="BH708">
        <v>0</v>
      </c>
      <c r="CT708" t="s">
        <v>242</v>
      </c>
      <c r="CU708" t="s">
        <v>247</v>
      </c>
      <c r="CV708">
        <f ca="1">OFFSET('Calculations 2'!$AJ$12,W708,X708)</f>
        <v>0</v>
      </c>
    </row>
    <row r="709" spans="17:100">
      <c r="Q709" t="s">
        <v>467</v>
      </c>
      <c r="R709" t="s">
        <v>489</v>
      </c>
      <c r="S709" t="s">
        <v>247</v>
      </c>
      <c r="T709">
        <f ca="1">OFFSET('Calculations 2'!$C$45,W709,X709)*OFFSET($M$6,W709,0)</f>
        <v>0</v>
      </c>
      <c r="V709">
        <f t="shared" si="32"/>
        <v>703</v>
      </c>
      <c r="W709">
        <f t="shared" si="33"/>
        <v>10</v>
      </c>
      <c r="X709">
        <f t="shared" si="34"/>
        <v>21</v>
      </c>
      <c r="AC709" t="s">
        <v>467</v>
      </c>
      <c r="AD709" t="s">
        <v>489</v>
      </c>
      <c r="AE709" t="s">
        <v>247</v>
      </c>
      <c r="AF709">
        <f ca="1">OFFSET('Calculations 2'!$CE$45,W709,0)*OFFSET($AA$6,X709,0)*OFFSET($M$6,W709,)</f>
        <v>0.61603308285421976</v>
      </c>
      <c r="AY709" t="s">
        <v>467</v>
      </c>
      <c r="AZ709" t="s">
        <v>489</v>
      </c>
      <c r="BA709" t="s">
        <v>247</v>
      </c>
      <c r="BB709">
        <v>0</v>
      </c>
      <c r="BE709" t="s">
        <v>467</v>
      </c>
      <c r="BF709" t="s">
        <v>489</v>
      </c>
      <c r="BG709" t="s">
        <v>247</v>
      </c>
      <c r="BH709">
        <v>0</v>
      </c>
      <c r="CT709" t="s">
        <v>467</v>
      </c>
      <c r="CU709" t="s">
        <v>247</v>
      </c>
      <c r="CV709">
        <f ca="1">OFFSET('Calculations 2'!$AJ$12,W709,X709)</f>
        <v>0</v>
      </c>
    </row>
    <row r="710" spans="17:100">
      <c r="Q710" t="s">
        <v>231</v>
      </c>
      <c r="R710" t="s">
        <v>489</v>
      </c>
      <c r="S710" t="s">
        <v>247</v>
      </c>
      <c r="T710">
        <f ca="1">OFFSET('Calculations 2'!$C$45,W710,X710)*OFFSET($M$6,W710,0)</f>
        <v>0</v>
      </c>
      <c r="V710">
        <f t="shared" si="32"/>
        <v>704</v>
      </c>
      <c r="W710">
        <f t="shared" si="33"/>
        <v>11</v>
      </c>
      <c r="X710">
        <f t="shared" si="34"/>
        <v>21</v>
      </c>
      <c r="AC710" t="s">
        <v>231</v>
      </c>
      <c r="AD710" t="s">
        <v>489</v>
      </c>
      <c r="AE710" t="s">
        <v>247</v>
      </c>
      <c r="AF710">
        <f ca="1">OFFSET('Calculations 2'!$CE$45,W710,0)*OFFSET($AA$6,X710,0)*OFFSET($M$6,W710,)</f>
        <v>1.8017902594523303</v>
      </c>
      <c r="AY710" t="s">
        <v>231</v>
      </c>
      <c r="AZ710" t="s">
        <v>489</v>
      </c>
      <c r="BA710" t="s">
        <v>247</v>
      </c>
      <c r="BB710">
        <v>0</v>
      </c>
      <c r="BE710" t="s">
        <v>231</v>
      </c>
      <c r="BF710" t="s">
        <v>489</v>
      </c>
      <c r="BG710" t="s">
        <v>247</v>
      </c>
      <c r="BH710">
        <v>0</v>
      </c>
      <c r="CT710" t="s">
        <v>231</v>
      </c>
      <c r="CU710" t="s">
        <v>247</v>
      </c>
      <c r="CV710">
        <f ca="1">OFFSET('Calculations 2'!$AJ$12,W710,X710)</f>
        <v>0</v>
      </c>
    </row>
    <row r="711" spans="17:100">
      <c r="Q711" t="s">
        <v>468</v>
      </c>
      <c r="R711" t="s">
        <v>489</v>
      </c>
      <c r="S711" t="s">
        <v>247</v>
      </c>
      <c r="T711">
        <f ca="1">OFFSET('Calculations 2'!$C$45,W711,X711)*OFFSET($M$6,W711,0)</f>
        <v>0</v>
      </c>
      <c r="V711">
        <f t="shared" si="32"/>
        <v>705</v>
      </c>
      <c r="W711">
        <f t="shared" si="33"/>
        <v>12</v>
      </c>
      <c r="X711">
        <f t="shared" si="34"/>
        <v>21</v>
      </c>
      <c r="AC711" t="s">
        <v>468</v>
      </c>
      <c r="AD711" t="s">
        <v>489</v>
      </c>
      <c r="AE711" t="s">
        <v>247</v>
      </c>
      <c r="AF711">
        <f ca="1">OFFSET('Calculations 2'!$CE$45,W711,0)*OFFSET($AA$6,X711,0)*OFFSET($M$6,W711,)</f>
        <v>2.6079493801452913</v>
      </c>
      <c r="AY711" t="s">
        <v>468</v>
      </c>
      <c r="AZ711" t="s">
        <v>489</v>
      </c>
      <c r="BA711" t="s">
        <v>247</v>
      </c>
      <c r="BB711">
        <v>0</v>
      </c>
      <c r="BE711" t="s">
        <v>468</v>
      </c>
      <c r="BF711" t="s">
        <v>489</v>
      </c>
      <c r="BG711" t="s">
        <v>247</v>
      </c>
      <c r="BH711">
        <v>0</v>
      </c>
      <c r="CT711" t="s">
        <v>468</v>
      </c>
      <c r="CU711" t="s">
        <v>247</v>
      </c>
      <c r="CV711">
        <f ca="1">OFFSET('Calculations 2'!$AJ$12,W711,X711)</f>
        <v>0</v>
      </c>
    </row>
    <row r="712" spans="17:100">
      <c r="Q712" t="s">
        <v>469</v>
      </c>
      <c r="R712" t="s">
        <v>489</v>
      </c>
      <c r="S712" t="s">
        <v>247</v>
      </c>
      <c r="T712">
        <f ca="1">OFFSET('Calculations 2'!$C$45,W712,X712)*OFFSET($M$6,W712,0)</f>
        <v>0</v>
      </c>
      <c r="V712">
        <f t="shared" ref="V712:V775" si="35">V711+1</f>
        <v>706</v>
      </c>
      <c r="W712">
        <f t="shared" ref="W712:W775" si="36">MOD(V712,$V$3)</f>
        <v>13</v>
      </c>
      <c r="X712">
        <f t="shared" ref="X712:X775" si="37">FLOOR(V712/$V$3,1)</f>
        <v>21</v>
      </c>
      <c r="AC712" t="s">
        <v>469</v>
      </c>
      <c r="AD712" t="s">
        <v>489</v>
      </c>
      <c r="AE712" t="s">
        <v>247</v>
      </c>
      <c r="AF712">
        <f ca="1">OFFSET('Calculations 2'!$CE$45,W712,0)*OFFSET($AA$6,X712,0)*OFFSET($M$6,W712,)</f>
        <v>0.54251005597343449</v>
      </c>
      <c r="AY712" t="s">
        <v>469</v>
      </c>
      <c r="AZ712" t="s">
        <v>489</v>
      </c>
      <c r="BA712" t="s">
        <v>247</v>
      </c>
      <c r="BB712">
        <v>0</v>
      </c>
      <c r="BE712" t="s">
        <v>469</v>
      </c>
      <c r="BF712" t="s">
        <v>489</v>
      </c>
      <c r="BG712" t="s">
        <v>247</v>
      </c>
      <c r="BH712">
        <v>0</v>
      </c>
      <c r="CT712" t="s">
        <v>469</v>
      </c>
      <c r="CU712" t="s">
        <v>247</v>
      </c>
      <c r="CV712">
        <f ca="1">OFFSET('Calculations 2'!$AJ$12,W712,X712)</f>
        <v>0</v>
      </c>
    </row>
    <row r="713" spans="17:100">
      <c r="Q713" t="s">
        <v>245</v>
      </c>
      <c r="R713" t="s">
        <v>489</v>
      </c>
      <c r="S713" t="s">
        <v>247</v>
      </c>
      <c r="T713">
        <f ca="1">OFFSET('Calculations 2'!$C$45,W713,X713)*OFFSET($M$6,W713,0)</f>
        <v>0.31477697963162665</v>
      </c>
      <c r="V713">
        <f t="shared" si="35"/>
        <v>707</v>
      </c>
      <c r="W713">
        <f t="shared" si="36"/>
        <v>14</v>
      </c>
      <c r="X713">
        <f t="shared" si="37"/>
        <v>21</v>
      </c>
      <c r="AC713" t="s">
        <v>245</v>
      </c>
      <c r="AD713" t="s">
        <v>489</v>
      </c>
      <c r="AE713" t="s">
        <v>247</v>
      </c>
      <c r="AF713">
        <f ca="1">OFFSET('Calculations 2'!$CE$45,W713,0)*OFFSET($AA$6,X713,0)*OFFSET($M$6,W713,)</f>
        <v>0.78366009598013953</v>
      </c>
      <c r="AY713" t="s">
        <v>245</v>
      </c>
      <c r="AZ713" t="s">
        <v>489</v>
      </c>
      <c r="BA713" t="s">
        <v>247</v>
      </c>
      <c r="BB713">
        <v>0</v>
      </c>
      <c r="BE713" t="s">
        <v>245</v>
      </c>
      <c r="BF713" t="s">
        <v>489</v>
      </c>
      <c r="BG713" t="s">
        <v>247</v>
      </c>
      <c r="BH713">
        <v>0</v>
      </c>
      <c r="CT713" t="s">
        <v>245</v>
      </c>
      <c r="CU713" t="s">
        <v>247</v>
      </c>
      <c r="CV713">
        <f ca="1">OFFSET('Calculations 2'!$AJ$12,W713,X713)</f>
        <v>0</v>
      </c>
    </row>
    <row r="714" spans="17:100">
      <c r="Q714" t="s">
        <v>470</v>
      </c>
      <c r="R714" t="s">
        <v>489</v>
      </c>
      <c r="S714" t="s">
        <v>247</v>
      </c>
      <c r="T714">
        <f ca="1">OFFSET('Calculations 2'!$C$45,W714,X714)*OFFSET($M$6,W714,0)</f>
        <v>0.70396103205879013</v>
      </c>
      <c r="V714">
        <f t="shared" si="35"/>
        <v>708</v>
      </c>
      <c r="W714">
        <f t="shared" si="36"/>
        <v>15</v>
      </c>
      <c r="X714">
        <f t="shared" si="37"/>
        <v>21</v>
      </c>
      <c r="AC714" t="s">
        <v>470</v>
      </c>
      <c r="AD714" t="s">
        <v>489</v>
      </c>
      <c r="AE714" t="s">
        <v>247</v>
      </c>
      <c r="AF714">
        <f ca="1">OFFSET('Calculations 2'!$CE$45,W714,0)*OFFSET($AA$6,X714,0)*OFFSET($M$6,W714,)</f>
        <v>2.1338556423185815</v>
      </c>
      <c r="AY714" t="s">
        <v>470</v>
      </c>
      <c r="AZ714" t="s">
        <v>489</v>
      </c>
      <c r="BA714" t="s">
        <v>247</v>
      </c>
      <c r="BB714">
        <v>0</v>
      </c>
      <c r="BE714" t="s">
        <v>470</v>
      </c>
      <c r="BF714" t="s">
        <v>489</v>
      </c>
      <c r="BG714" t="s">
        <v>247</v>
      </c>
      <c r="BH714">
        <v>0</v>
      </c>
      <c r="CT714" t="s">
        <v>470</v>
      </c>
      <c r="CU714" t="s">
        <v>247</v>
      </c>
      <c r="CV714">
        <f ca="1">OFFSET('Calculations 2'!$AJ$12,W714,X714)</f>
        <v>0</v>
      </c>
    </row>
    <row r="715" spans="17:100">
      <c r="Q715" t="s">
        <v>471</v>
      </c>
      <c r="R715" t="s">
        <v>489</v>
      </c>
      <c r="S715" t="s">
        <v>247</v>
      </c>
      <c r="T715">
        <f ca="1">OFFSET('Calculations 2'!$C$45,W715,X715)*OFFSET($M$6,W715,0)</f>
        <v>11.891861671316146</v>
      </c>
      <c r="V715">
        <f t="shared" si="35"/>
        <v>709</v>
      </c>
      <c r="W715">
        <f t="shared" si="36"/>
        <v>16</v>
      </c>
      <c r="X715">
        <f t="shared" si="37"/>
        <v>21</v>
      </c>
      <c r="AC715" t="s">
        <v>471</v>
      </c>
      <c r="AD715" t="s">
        <v>489</v>
      </c>
      <c r="AE715" t="s">
        <v>247</v>
      </c>
      <c r="AF715">
        <f ca="1">OFFSET('Calculations 2'!$CE$45,W715,0)*OFFSET($AA$6,X715,0)*OFFSET($M$6,W715,)</f>
        <v>0</v>
      </c>
      <c r="AY715" t="s">
        <v>471</v>
      </c>
      <c r="AZ715" t="s">
        <v>489</v>
      </c>
      <c r="BA715" t="s">
        <v>247</v>
      </c>
      <c r="BB715">
        <v>0</v>
      </c>
      <c r="BE715" t="s">
        <v>471</v>
      </c>
      <c r="BF715" t="s">
        <v>489</v>
      </c>
      <c r="BG715" t="s">
        <v>247</v>
      </c>
      <c r="BH715">
        <v>0</v>
      </c>
      <c r="CT715" t="s">
        <v>471</v>
      </c>
      <c r="CU715" t="s">
        <v>247</v>
      </c>
      <c r="CV715">
        <f ca="1">OFFSET('Calculations 2'!$AJ$12,W715,X715)</f>
        <v>0</v>
      </c>
    </row>
    <row r="716" spans="17:100">
      <c r="Q716" t="s">
        <v>221</v>
      </c>
      <c r="R716" t="s">
        <v>489</v>
      </c>
      <c r="S716" t="s">
        <v>247</v>
      </c>
      <c r="T716">
        <f ca="1">OFFSET('Calculations 2'!$C$45,W716,X716)*OFFSET($M$6,W716,0)</f>
        <v>56.873059575996514</v>
      </c>
      <c r="V716">
        <f t="shared" si="35"/>
        <v>710</v>
      </c>
      <c r="W716">
        <f t="shared" si="36"/>
        <v>17</v>
      </c>
      <c r="X716">
        <f t="shared" si="37"/>
        <v>21</v>
      </c>
      <c r="AC716" t="s">
        <v>221</v>
      </c>
      <c r="AD716" t="s">
        <v>489</v>
      </c>
      <c r="AE716" t="s">
        <v>247</v>
      </c>
      <c r="AF716">
        <f ca="1">OFFSET('Calculations 2'!$CE$45,W716,0)*OFFSET($AA$6,X716,0)*OFFSET($M$6,W716,)</f>
        <v>70.883356617293387</v>
      </c>
      <c r="AY716" t="s">
        <v>221</v>
      </c>
      <c r="AZ716" t="s">
        <v>489</v>
      </c>
      <c r="BA716" t="s">
        <v>247</v>
      </c>
      <c r="BB716">
        <v>0</v>
      </c>
      <c r="BE716" t="s">
        <v>221</v>
      </c>
      <c r="BF716" t="s">
        <v>489</v>
      </c>
      <c r="BG716" t="s">
        <v>247</v>
      </c>
      <c r="BH716">
        <v>0</v>
      </c>
      <c r="CT716" t="s">
        <v>221</v>
      </c>
      <c r="CU716" t="s">
        <v>247</v>
      </c>
      <c r="CV716">
        <f ca="1">OFFSET('Calculations 2'!$AJ$12,W716,X716)</f>
        <v>0</v>
      </c>
    </row>
    <row r="717" spans="17:100">
      <c r="Q717" t="s">
        <v>244</v>
      </c>
      <c r="R717" t="s">
        <v>489</v>
      </c>
      <c r="S717" t="s">
        <v>247</v>
      </c>
      <c r="T717">
        <f ca="1">OFFSET('Calculations 2'!$C$45,W717,X717)*OFFSET($M$6,W717,0)</f>
        <v>127.11435746952623</v>
      </c>
      <c r="V717">
        <f t="shared" si="35"/>
        <v>711</v>
      </c>
      <c r="W717">
        <f t="shared" si="36"/>
        <v>18</v>
      </c>
      <c r="X717">
        <f t="shared" si="37"/>
        <v>21</v>
      </c>
      <c r="AC717" t="s">
        <v>244</v>
      </c>
      <c r="AD717" t="s">
        <v>489</v>
      </c>
      <c r="AE717" t="s">
        <v>247</v>
      </c>
      <c r="AF717">
        <f ca="1">OFFSET('Calculations 2'!$CE$45,W717,0)*OFFSET($AA$6,X717,0)*OFFSET($M$6,W717,)</f>
        <v>11.333776098710198</v>
      </c>
      <c r="AY717" t="s">
        <v>244</v>
      </c>
      <c r="AZ717" t="s">
        <v>489</v>
      </c>
      <c r="BA717" t="s">
        <v>247</v>
      </c>
      <c r="BB717">
        <v>0</v>
      </c>
      <c r="BE717" t="s">
        <v>244</v>
      </c>
      <c r="BF717" t="s">
        <v>489</v>
      </c>
      <c r="BG717" t="s">
        <v>247</v>
      </c>
      <c r="BH717">
        <v>0</v>
      </c>
      <c r="CT717" t="s">
        <v>244</v>
      </c>
      <c r="CU717" t="s">
        <v>247</v>
      </c>
      <c r="CV717">
        <f ca="1">OFFSET('Calculations 2'!$AJ$12,W717,X717)</f>
        <v>0</v>
      </c>
    </row>
    <row r="718" spans="17:100">
      <c r="Q718" t="s">
        <v>472</v>
      </c>
      <c r="R718" t="s">
        <v>489</v>
      </c>
      <c r="S718" t="s">
        <v>247</v>
      </c>
      <c r="T718">
        <f ca="1">OFFSET('Calculations 2'!$C$45,W718,X718)*OFFSET($M$6,W718,0)</f>
        <v>0</v>
      </c>
      <c r="V718">
        <f t="shared" si="35"/>
        <v>712</v>
      </c>
      <c r="W718">
        <f t="shared" si="36"/>
        <v>19</v>
      </c>
      <c r="X718">
        <f t="shared" si="37"/>
        <v>21</v>
      </c>
      <c r="AC718" t="s">
        <v>472</v>
      </c>
      <c r="AD718" t="s">
        <v>489</v>
      </c>
      <c r="AE718" t="s">
        <v>247</v>
      </c>
      <c r="AF718">
        <f ca="1">OFFSET('Calculations 2'!$CE$45,W718,0)*OFFSET($AA$6,X718,0)*OFFSET($M$6,W718,)</f>
        <v>0</v>
      </c>
      <c r="AY718" t="s">
        <v>472</v>
      </c>
      <c r="AZ718" t="s">
        <v>489</v>
      </c>
      <c r="BA718" t="s">
        <v>247</v>
      </c>
      <c r="BB718">
        <v>0</v>
      </c>
      <c r="BE718" t="s">
        <v>472</v>
      </c>
      <c r="BF718" t="s">
        <v>489</v>
      </c>
      <c r="BG718" t="s">
        <v>247</v>
      </c>
      <c r="BH718">
        <v>0</v>
      </c>
      <c r="CT718" t="s">
        <v>472</v>
      </c>
      <c r="CU718" t="s">
        <v>247</v>
      </c>
      <c r="CV718">
        <f ca="1">OFFSET('Calculations 2'!$AJ$12,W718,X718)</f>
        <v>0</v>
      </c>
    </row>
    <row r="719" spans="17:100">
      <c r="Q719" t="s">
        <v>238</v>
      </c>
      <c r="R719" t="s">
        <v>489</v>
      </c>
      <c r="S719" t="s">
        <v>247</v>
      </c>
      <c r="T719">
        <f ca="1">OFFSET('Calculations 2'!$C$45,W719,X719)*OFFSET($M$6,W719,0)</f>
        <v>6.9587383514669829</v>
      </c>
      <c r="V719">
        <f t="shared" si="35"/>
        <v>713</v>
      </c>
      <c r="W719">
        <f t="shared" si="36"/>
        <v>20</v>
      </c>
      <c r="X719">
        <f t="shared" si="37"/>
        <v>21</v>
      </c>
      <c r="AC719" t="s">
        <v>238</v>
      </c>
      <c r="AD719" t="s">
        <v>489</v>
      </c>
      <c r="AE719" t="s">
        <v>247</v>
      </c>
      <c r="AF719">
        <f ca="1">OFFSET('Calculations 2'!$CE$45,W719,0)*OFFSET($AA$6,X719,0)*OFFSET($M$6,W719,)</f>
        <v>0</v>
      </c>
      <c r="AY719" t="s">
        <v>238</v>
      </c>
      <c r="AZ719" t="s">
        <v>489</v>
      </c>
      <c r="BA719" t="s">
        <v>247</v>
      </c>
      <c r="BB719">
        <v>0</v>
      </c>
      <c r="BE719" t="s">
        <v>238</v>
      </c>
      <c r="BF719" t="s">
        <v>489</v>
      </c>
      <c r="BG719" t="s">
        <v>247</v>
      </c>
      <c r="BH719">
        <v>0</v>
      </c>
      <c r="CT719" t="s">
        <v>238</v>
      </c>
      <c r="CU719" t="s">
        <v>247</v>
      </c>
      <c r="CV719">
        <f ca="1">OFFSET('Calculations 2'!$AJ$12,W719,X719)</f>
        <v>0</v>
      </c>
    </row>
    <row r="720" spans="17:100">
      <c r="Q720" t="s">
        <v>247</v>
      </c>
      <c r="R720" t="s">
        <v>489</v>
      </c>
      <c r="S720" t="s">
        <v>247</v>
      </c>
      <c r="T720">
        <f ca="1">OFFSET('Calculations 2'!$C$45,W720,X720)*OFFSET($M$6,W720,0)</f>
        <v>0</v>
      </c>
      <c r="V720">
        <f t="shared" si="35"/>
        <v>714</v>
      </c>
      <c r="W720">
        <f t="shared" si="36"/>
        <v>21</v>
      </c>
      <c r="X720">
        <f t="shared" si="37"/>
        <v>21</v>
      </c>
      <c r="AC720" t="s">
        <v>247</v>
      </c>
      <c r="AD720" t="s">
        <v>489</v>
      </c>
      <c r="AE720" t="s">
        <v>247</v>
      </c>
      <c r="AF720">
        <f ca="1">OFFSET('Calculations 2'!$CE$45,W720,0)*OFFSET($AA$6,X720,0)*OFFSET($M$6,W720,)</f>
        <v>0</v>
      </c>
      <c r="AY720" t="s">
        <v>247</v>
      </c>
      <c r="AZ720" t="s">
        <v>489</v>
      </c>
      <c r="BA720" t="s">
        <v>247</v>
      </c>
      <c r="BB720">
        <v>0</v>
      </c>
      <c r="BE720" t="s">
        <v>247</v>
      </c>
      <c r="BF720" t="s">
        <v>489</v>
      </c>
      <c r="BG720" t="s">
        <v>247</v>
      </c>
      <c r="BH720">
        <v>0</v>
      </c>
      <c r="CT720" t="s">
        <v>247</v>
      </c>
      <c r="CU720" t="s">
        <v>247</v>
      </c>
      <c r="CV720">
        <f ca="1">OFFSET('Calculations 2'!$AJ$12,W720,X720)</f>
        <v>2289.5279999999998</v>
      </c>
    </row>
    <row r="721" spans="17:100">
      <c r="Q721" t="s">
        <v>218</v>
      </c>
      <c r="R721" t="s">
        <v>489</v>
      </c>
      <c r="S721" t="s">
        <v>247</v>
      </c>
      <c r="T721">
        <f ca="1">OFFSET('Calculations 2'!$C$45,W721,X721)*OFFSET($M$6,W721,0)</f>
        <v>198.26024471756543</v>
      </c>
      <c r="V721">
        <f t="shared" si="35"/>
        <v>715</v>
      </c>
      <c r="W721">
        <f t="shared" si="36"/>
        <v>22</v>
      </c>
      <c r="X721">
        <f t="shared" si="37"/>
        <v>21</v>
      </c>
      <c r="AC721" t="s">
        <v>218</v>
      </c>
      <c r="AD721" t="s">
        <v>489</v>
      </c>
      <c r="AE721" t="s">
        <v>247</v>
      </c>
      <c r="AF721">
        <f ca="1">OFFSET('Calculations 2'!$CE$45,W721,0)*OFFSET($AA$6,X721,0)*OFFSET($M$6,W721,)</f>
        <v>0</v>
      </c>
      <c r="AY721" t="s">
        <v>218</v>
      </c>
      <c r="AZ721" t="s">
        <v>489</v>
      </c>
      <c r="BA721" t="s">
        <v>247</v>
      </c>
      <c r="BB721">
        <v>0</v>
      </c>
      <c r="BE721" t="s">
        <v>218</v>
      </c>
      <c r="BF721" t="s">
        <v>489</v>
      </c>
      <c r="BG721" t="s">
        <v>247</v>
      </c>
      <c r="BH721">
        <v>0</v>
      </c>
      <c r="CT721" t="s">
        <v>218</v>
      </c>
      <c r="CU721" t="s">
        <v>247</v>
      </c>
      <c r="CV721">
        <f ca="1">OFFSET('Calculations 2'!$AJ$12,W721,X721)</f>
        <v>0</v>
      </c>
    </row>
    <row r="722" spans="17:100">
      <c r="Q722" t="s">
        <v>257</v>
      </c>
      <c r="R722" t="s">
        <v>489</v>
      </c>
      <c r="S722" t="s">
        <v>247</v>
      </c>
      <c r="T722">
        <f ca="1">OFFSET('Calculations 2'!$C$45,W722,X722)*OFFSET($M$6,W722,0)</f>
        <v>1041.2545976408953</v>
      </c>
      <c r="V722">
        <f t="shared" si="35"/>
        <v>716</v>
      </c>
      <c r="W722">
        <f t="shared" si="36"/>
        <v>23</v>
      </c>
      <c r="X722">
        <f t="shared" si="37"/>
        <v>21</v>
      </c>
      <c r="AC722" t="s">
        <v>257</v>
      </c>
      <c r="AD722" t="s">
        <v>489</v>
      </c>
      <c r="AE722" t="s">
        <v>247</v>
      </c>
      <c r="AF722">
        <f ca="1">OFFSET('Calculations 2'!$CE$45,W722,0)*OFFSET($AA$6,X722,0)*OFFSET($M$6,W722,)</f>
        <v>0</v>
      </c>
      <c r="AY722" t="s">
        <v>257</v>
      </c>
      <c r="AZ722" t="s">
        <v>489</v>
      </c>
      <c r="BA722" t="s">
        <v>247</v>
      </c>
      <c r="BB722">
        <v>0</v>
      </c>
      <c r="BE722" t="s">
        <v>257</v>
      </c>
      <c r="BF722" t="s">
        <v>489</v>
      </c>
      <c r="BG722" t="s">
        <v>247</v>
      </c>
      <c r="BH722">
        <v>0</v>
      </c>
      <c r="CT722" t="s">
        <v>257</v>
      </c>
      <c r="CU722" t="s">
        <v>247</v>
      </c>
      <c r="CV722">
        <f ca="1">OFFSET('Calculations 2'!$AJ$12,W722,X722)</f>
        <v>0</v>
      </c>
    </row>
    <row r="723" spans="17:100">
      <c r="Q723" t="s">
        <v>220</v>
      </c>
      <c r="R723" t="s">
        <v>489</v>
      </c>
      <c r="S723" t="s">
        <v>247</v>
      </c>
      <c r="T723">
        <f ca="1">OFFSET('Calculations 2'!$C$45,W723,X723)*OFFSET($M$6,W723,0)</f>
        <v>10.633572709203422</v>
      </c>
      <c r="V723">
        <f t="shared" si="35"/>
        <v>717</v>
      </c>
      <c r="W723">
        <f t="shared" si="36"/>
        <v>24</v>
      </c>
      <c r="X723">
        <f t="shared" si="37"/>
        <v>21</v>
      </c>
      <c r="AC723" t="s">
        <v>220</v>
      </c>
      <c r="AD723" t="s">
        <v>489</v>
      </c>
      <c r="AE723" t="s">
        <v>247</v>
      </c>
      <c r="AF723">
        <f ca="1">OFFSET('Calculations 2'!$CE$45,W723,0)*OFFSET($AA$6,X723,0)*OFFSET($M$6,W723,)</f>
        <v>0</v>
      </c>
      <c r="AY723" t="s">
        <v>220</v>
      </c>
      <c r="AZ723" t="s">
        <v>489</v>
      </c>
      <c r="BA723" t="s">
        <v>247</v>
      </c>
      <c r="BB723">
        <v>0</v>
      </c>
      <c r="BE723" t="s">
        <v>220</v>
      </c>
      <c r="BF723" t="s">
        <v>489</v>
      </c>
      <c r="BG723" t="s">
        <v>247</v>
      </c>
      <c r="BH723">
        <v>0</v>
      </c>
      <c r="CT723" t="s">
        <v>220</v>
      </c>
      <c r="CU723" t="s">
        <v>247</v>
      </c>
      <c r="CV723">
        <f ca="1">OFFSET('Calculations 2'!$AJ$12,W723,X723)</f>
        <v>0</v>
      </c>
    </row>
    <row r="724" spans="17:100">
      <c r="Q724" t="s">
        <v>235</v>
      </c>
      <c r="R724" t="s">
        <v>489</v>
      </c>
      <c r="S724" t="s">
        <v>247</v>
      </c>
      <c r="T724">
        <f ca="1">OFFSET('Calculations 2'!$C$45,W724,X724)*OFFSET($M$6,W724,0)</f>
        <v>29.874474561777522</v>
      </c>
      <c r="V724">
        <f t="shared" si="35"/>
        <v>718</v>
      </c>
      <c r="W724">
        <f t="shared" si="36"/>
        <v>25</v>
      </c>
      <c r="X724">
        <f t="shared" si="37"/>
        <v>21</v>
      </c>
      <c r="AC724" t="s">
        <v>235</v>
      </c>
      <c r="AD724" t="s">
        <v>489</v>
      </c>
      <c r="AE724" t="s">
        <v>247</v>
      </c>
      <c r="AF724">
        <f ca="1">OFFSET('Calculations 2'!$CE$45,W724,0)*OFFSET($AA$6,X724,0)*OFFSET($M$6,W724,)</f>
        <v>0</v>
      </c>
      <c r="AY724" t="s">
        <v>235</v>
      </c>
      <c r="AZ724" t="s">
        <v>489</v>
      </c>
      <c r="BA724" t="s">
        <v>247</v>
      </c>
      <c r="BB724">
        <v>0</v>
      </c>
      <c r="BE724" t="s">
        <v>235</v>
      </c>
      <c r="BF724" t="s">
        <v>489</v>
      </c>
      <c r="BG724" t="s">
        <v>247</v>
      </c>
      <c r="BH724">
        <v>0</v>
      </c>
      <c r="CT724" t="s">
        <v>235</v>
      </c>
      <c r="CU724" t="s">
        <v>247</v>
      </c>
      <c r="CV724">
        <f ca="1">OFFSET('Calculations 2'!$AJ$12,W724,X724)</f>
        <v>0</v>
      </c>
    </row>
    <row r="725" spans="17:100">
      <c r="Q725" t="s">
        <v>473</v>
      </c>
      <c r="R725" t="s">
        <v>489</v>
      </c>
      <c r="S725" t="s">
        <v>247</v>
      </c>
      <c r="T725">
        <f ca="1">OFFSET('Calculations 2'!$C$45,W725,X725)*OFFSET($M$6,W725,0)</f>
        <v>23.944341866207949</v>
      </c>
      <c r="V725">
        <f t="shared" si="35"/>
        <v>719</v>
      </c>
      <c r="W725">
        <f t="shared" si="36"/>
        <v>26</v>
      </c>
      <c r="X725">
        <f t="shared" si="37"/>
        <v>21</v>
      </c>
      <c r="AC725" t="s">
        <v>473</v>
      </c>
      <c r="AD725" t="s">
        <v>489</v>
      </c>
      <c r="AE725" t="s">
        <v>247</v>
      </c>
      <c r="AF725">
        <f ca="1">OFFSET('Calculations 2'!$CE$45,W725,0)*OFFSET($AA$6,X725,0)*OFFSET($M$6,W725,)</f>
        <v>0</v>
      </c>
      <c r="AY725" t="s">
        <v>473</v>
      </c>
      <c r="AZ725" t="s">
        <v>489</v>
      </c>
      <c r="BA725" t="s">
        <v>247</v>
      </c>
      <c r="BB725">
        <v>0</v>
      </c>
      <c r="BE725" t="s">
        <v>473</v>
      </c>
      <c r="BF725" t="s">
        <v>489</v>
      </c>
      <c r="BG725" t="s">
        <v>247</v>
      </c>
      <c r="BH725">
        <v>0</v>
      </c>
      <c r="CT725" t="s">
        <v>473</v>
      </c>
      <c r="CU725" t="s">
        <v>247</v>
      </c>
      <c r="CV725">
        <f ca="1">OFFSET('Calculations 2'!$AJ$12,W725,X725)</f>
        <v>0</v>
      </c>
    </row>
    <row r="726" spans="17:100">
      <c r="Q726" t="s">
        <v>233</v>
      </c>
      <c r="R726" t="s">
        <v>489</v>
      </c>
      <c r="S726" t="s">
        <v>247</v>
      </c>
      <c r="T726">
        <f ca="1">OFFSET('Calculations 2'!$C$45,W726,X726)*OFFSET($M$6,W726,0)</f>
        <v>187.20063333508597</v>
      </c>
      <c r="V726">
        <f t="shared" si="35"/>
        <v>720</v>
      </c>
      <c r="W726">
        <f t="shared" si="36"/>
        <v>27</v>
      </c>
      <c r="X726">
        <f t="shared" si="37"/>
        <v>21</v>
      </c>
      <c r="AC726" t="s">
        <v>233</v>
      </c>
      <c r="AD726" t="s">
        <v>489</v>
      </c>
      <c r="AE726" t="s">
        <v>247</v>
      </c>
      <c r="AF726">
        <f ca="1">OFFSET('Calculations 2'!$CE$45,W726,0)*OFFSET($AA$6,X726,0)*OFFSET($M$6,W726,)</f>
        <v>0</v>
      </c>
      <c r="AY726" t="s">
        <v>233</v>
      </c>
      <c r="AZ726" t="s">
        <v>489</v>
      </c>
      <c r="BA726" t="s">
        <v>247</v>
      </c>
      <c r="BB726">
        <v>0</v>
      </c>
      <c r="BE726" t="s">
        <v>233</v>
      </c>
      <c r="BF726" t="s">
        <v>489</v>
      </c>
      <c r="BG726" t="s">
        <v>247</v>
      </c>
      <c r="BH726">
        <v>0</v>
      </c>
      <c r="CT726" t="s">
        <v>233</v>
      </c>
      <c r="CU726" t="s">
        <v>247</v>
      </c>
      <c r="CV726">
        <f ca="1">OFFSET('Calculations 2'!$AJ$12,W726,X726)</f>
        <v>0</v>
      </c>
    </row>
    <row r="727" spans="17:100">
      <c r="Q727" t="s">
        <v>474</v>
      </c>
      <c r="R727" t="s">
        <v>489</v>
      </c>
      <c r="S727" t="s">
        <v>247</v>
      </c>
      <c r="T727">
        <f ca="1">OFFSET('Calculations 2'!$C$45,W727,X727)*OFFSET($M$6,W727,0)</f>
        <v>1.1146346388982333</v>
      </c>
      <c r="V727">
        <f t="shared" si="35"/>
        <v>721</v>
      </c>
      <c r="W727">
        <f t="shared" si="36"/>
        <v>28</v>
      </c>
      <c r="X727">
        <f t="shared" si="37"/>
        <v>21</v>
      </c>
      <c r="AC727" t="s">
        <v>474</v>
      </c>
      <c r="AD727" t="s">
        <v>489</v>
      </c>
      <c r="AE727" t="s">
        <v>247</v>
      </c>
      <c r="AF727">
        <f ca="1">OFFSET('Calculations 2'!$CE$45,W727,0)*OFFSET($AA$6,X727,0)*OFFSET($M$6,W727,)</f>
        <v>0</v>
      </c>
      <c r="AY727" t="s">
        <v>474</v>
      </c>
      <c r="AZ727" t="s">
        <v>489</v>
      </c>
      <c r="BA727" t="s">
        <v>247</v>
      </c>
      <c r="BB727">
        <v>0</v>
      </c>
      <c r="BE727" t="s">
        <v>474</v>
      </c>
      <c r="BF727" t="s">
        <v>489</v>
      </c>
      <c r="BG727" t="s">
        <v>247</v>
      </c>
      <c r="BH727">
        <v>0</v>
      </c>
      <c r="CT727" t="s">
        <v>474</v>
      </c>
      <c r="CU727" t="s">
        <v>247</v>
      </c>
      <c r="CV727">
        <f ca="1">OFFSET('Calculations 2'!$AJ$12,W727,X727)</f>
        <v>0</v>
      </c>
    </row>
    <row r="728" spans="17:100">
      <c r="Q728" t="s">
        <v>223</v>
      </c>
      <c r="R728" t="s">
        <v>489</v>
      </c>
      <c r="S728" t="s">
        <v>247</v>
      </c>
      <c r="T728">
        <f ca="1">OFFSET('Calculations 2'!$C$45,W728,X728)*OFFSET($M$6,W728,0)</f>
        <v>0</v>
      </c>
      <c r="V728">
        <f t="shared" si="35"/>
        <v>722</v>
      </c>
      <c r="W728">
        <f t="shared" si="36"/>
        <v>29</v>
      </c>
      <c r="X728">
        <f t="shared" si="37"/>
        <v>21</v>
      </c>
      <c r="AC728" t="s">
        <v>223</v>
      </c>
      <c r="AD728" t="s">
        <v>489</v>
      </c>
      <c r="AE728" t="s">
        <v>247</v>
      </c>
      <c r="AF728">
        <f ca="1">OFFSET('Calculations 2'!$CE$45,W728,0)*OFFSET($AA$6,X728,0)*OFFSET($M$6,W728,)</f>
        <v>0</v>
      </c>
      <c r="AY728" t="s">
        <v>223</v>
      </c>
      <c r="AZ728" t="s">
        <v>489</v>
      </c>
      <c r="BA728" t="s">
        <v>247</v>
      </c>
      <c r="BB728">
        <v>0</v>
      </c>
      <c r="BE728" t="s">
        <v>223</v>
      </c>
      <c r="BF728" t="s">
        <v>489</v>
      </c>
      <c r="BG728" t="s">
        <v>247</v>
      </c>
      <c r="BH728">
        <v>0</v>
      </c>
      <c r="CT728" t="s">
        <v>223</v>
      </c>
      <c r="CU728" t="s">
        <v>247</v>
      </c>
      <c r="CV728">
        <f ca="1">OFFSET('Calculations 2'!$AJ$12,W728,X728)</f>
        <v>0</v>
      </c>
    </row>
    <row r="729" spans="17:100">
      <c r="Q729" t="s">
        <v>475</v>
      </c>
      <c r="R729" t="s">
        <v>489</v>
      </c>
      <c r="S729" t="s">
        <v>247</v>
      </c>
      <c r="T729">
        <f ca="1">OFFSET('Calculations 2'!$C$45,W729,X729)*OFFSET($M$6,W729,0)</f>
        <v>5.4894272891005493E-2</v>
      </c>
      <c r="V729">
        <f t="shared" si="35"/>
        <v>723</v>
      </c>
      <c r="W729">
        <f t="shared" si="36"/>
        <v>30</v>
      </c>
      <c r="X729">
        <f t="shared" si="37"/>
        <v>21</v>
      </c>
      <c r="AC729" t="s">
        <v>475</v>
      </c>
      <c r="AD729" t="s">
        <v>489</v>
      </c>
      <c r="AE729" t="s">
        <v>247</v>
      </c>
      <c r="AF729">
        <f ca="1">OFFSET('Calculations 2'!$CE$45,W729,0)*OFFSET($AA$6,X729,0)*OFFSET($M$6,W729,)</f>
        <v>0</v>
      </c>
      <c r="AY729" t="s">
        <v>475</v>
      </c>
      <c r="AZ729" t="s">
        <v>489</v>
      </c>
      <c r="BA729" t="s">
        <v>247</v>
      </c>
      <c r="BB729">
        <v>0</v>
      </c>
      <c r="BE729" t="s">
        <v>475</v>
      </c>
      <c r="BF729" t="s">
        <v>489</v>
      </c>
      <c r="BG729" t="s">
        <v>247</v>
      </c>
      <c r="BH729">
        <v>0</v>
      </c>
      <c r="CT729" t="s">
        <v>475</v>
      </c>
      <c r="CU729" t="s">
        <v>247</v>
      </c>
      <c r="CV729">
        <f ca="1">OFFSET('Calculations 2'!$AJ$12,W729,X729)</f>
        <v>0</v>
      </c>
    </row>
    <row r="730" spans="17:100">
      <c r="Q730" t="s">
        <v>476</v>
      </c>
      <c r="R730" t="s">
        <v>489</v>
      </c>
      <c r="S730" t="s">
        <v>247</v>
      </c>
      <c r="T730">
        <f ca="1">OFFSET('Calculations 2'!$C$45,W730,X730)*OFFSET($M$6,W730,0)</f>
        <v>1.7650572142702197</v>
      </c>
      <c r="V730">
        <f t="shared" si="35"/>
        <v>724</v>
      </c>
      <c r="W730">
        <f t="shared" si="36"/>
        <v>31</v>
      </c>
      <c r="X730">
        <f t="shared" si="37"/>
        <v>21</v>
      </c>
      <c r="AC730" t="s">
        <v>476</v>
      </c>
      <c r="AD730" t="s">
        <v>489</v>
      </c>
      <c r="AE730" t="s">
        <v>247</v>
      </c>
      <c r="AF730">
        <f ca="1">OFFSET('Calculations 2'!$CE$45,W730,0)*OFFSET($AA$6,X730,0)*OFFSET($M$6,W730,)</f>
        <v>0</v>
      </c>
      <c r="AY730" t="s">
        <v>476</v>
      </c>
      <c r="AZ730" t="s">
        <v>489</v>
      </c>
      <c r="BA730" t="s">
        <v>247</v>
      </c>
      <c r="BB730">
        <v>0</v>
      </c>
      <c r="BE730" t="s">
        <v>476</v>
      </c>
      <c r="BF730" t="s">
        <v>489</v>
      </c>
      <c r="BG730" t="s">
        <v>247</v>
      </c>
      <c r="BH730">
        <v>0</v>
      </c>
      <c r="CT730" t="s">
        <v>476</v>
      </c>
      <c r="CU730" t="s">
        <v>247</v>
      </c>
      <c r="CV730">
        <f ca="1">OFFSET('Calculations 2'!$AJ$12,W730,X730)</f>
        <v>0</v>
      </c>
    </row>
    <row r="731" spans="17:100">
      <c r="Q731" t="s">
        <v>222</v>
      </c>
      <c r="R731" t="s">
        <v>489</v>
      </c>
      <c r="S731" t="s">
        <v>247</v>
      </c>
      <c r="T731">
        <f ca="1">OFFSET('Calculations 2'!$C$45,W731,X731)*OFFSET($M$6,W731,0)</f>
        <v>0</v>
      </c>
      <c r="V731">
        <f t="shared" si="35"/>
        <v>725</v>
      </c>
      <c r="W731">
        <f t="shared" si="36"/>
        <v>32</v>
      </c>
      <c r="X731">
        <f t="shared" si="37"/>
        <v>21</v>
      </c>
      <c r="AC731" t="s">
        <v>222</v>
      </c>
      <c r="AD731" t="s">
        <v>489</v>
      </c>
      <c r="AE731" t="s">
        <v>247</v>
      </c>
      <c r="AF731">
        <f ca="1">OFFSET('Calculations 2'!$CE$45,W731,0)*OFFSET($AA$6,X731,0)*OFFSET($M$6,W731,)</f>
        <v>0</v>
      </c>
      <c r="AY731" t="s">
        <v>222</v>
      </c>
      <c r="AZ731" t="s">
        <v>489</v>
      </c>
      <c r="BA731" t="s">
        <v>247</v>
      </c>
      <c r="BB731">
        <v>0</v>
      </c>
      <c r="BE731" t="s">
        <v>222</v>
      </c>
      <c r="BF731" t="s">
        <v>489</v>
      </c>
      <c r="BG731" t="s">
        <v>247</v>
      </c>
      <c r="BH731">
        <v>0</v>
      </c>
      <c r="CT731" t="s">
        <v>222</v>
      </c>
      <c r="CU731" t="s">
        <v>247</v>
      </c>
      <c r="CV731">
        <f ca="1">OFFSET('Calculations 2'!$AJ$12,W731,X731)</f>
        <v>0</v>
      </c>
    </row>
    <row r="732" spans="17:100">
      <c r="Q732" t="s">
        <v>217</v>
      </c>
      <c r="R732" t="s">
        <v>489</v>
      </c>
      <c r="S732" t="s">
        <v>218</v>
      </c>
      <c r="T732">
        <f ca="1">OFFSET('Calculations 2'!$C$45,W732,X732)*OFFSET($M$6,W732,0)</f>
        <v>37.760605450707068</v>
      </c>
      <c r="V732">
        <f t="shared" si="35"/>
        <v>726</v>
      </c>
      <c r="W732">
        <f t="shared" si="36"/>
        <v>0</v>
      </c>
      <c r="X732">
        <f t="shared" si="37"/>
        <v>22</v>
      </c>
      <c r="AC732" t="s">
        <v>217</v>
      </c>
      <c r="AD732" t="s">
        <v>489</v>
      </c>
      <c r="AE732" t="s">
        <v>218</v>
      </c>
      <c r="AF732">
        <f ca="1">OFFSET('Calculations 2'!$CE$45,W732,0)*OFFSET($AA$6,X732,0)*OFFSET($M$6,W732,)</f>
        <v>1.5622613065984696</v>
      </c>
      <c r="AY732" t="s">
        <v>217</v>
      </c>
      <c r="AZ732" t="s">
        <v>489</v>
      </c>
      <c r="BA732" t="s">
        <v>218</v>
      </c>
      <c r="BB732">
        <v>0</v>
      </c>
      <c r="BE732" t="s">
        <v>217</v>
      </c>
      <c r="BF732" t="s">
        <v>489</v>
      </c>
      <c r="BG732" t="s">
        <v>218</v>
      </c>
      <c r="BH732">
        <v>0</v>
      </c>
      <c r="CT732" t="s">
        <v>217</v>
      </c>
      <c r="CU732" t="s">
        <v>218</v>
      </c>
      <c r="CV732">
        <f ca="1">OFFSET('Calculations 2'!$AJ$12,W732,X732)</f>
        <v>0</v>
      </c>
    </row>
    <row r="733" spans="17:100">
      <c r="Q733" t="s">
        <v>232</v>
      </c>
      <c r="R733" t="s">
        <v>489</v>
      </c>
      <c r="S733" t="s">
        <v>218</v>
      </c>
      <c r="T733">
        <f ca="1">OFFSET('Calculations 2'!$C$45,W733,X733)*OFFSET($M$6,W733,0)</f>
        <v>0</v>
      </c>
      <c r="V733">
        <f t="shared" si="35"/>
        <v>727</v>
      </c>
      <c r="W733">
        <f t="shared" si="36"/>
        <v>1</v>
      </c>
      <c r="X733">
        <f t="shared" si="37"/>
        <v>22</v>
      </c>
      <c r="AC733" t="s">
        <v>232</v>
      </c>
      <c r="AD733" t="s">
        <v>489</v>
      </c>
      <c r="AE733" t="s">
        <v>218</v>
      </c>
      <c r="AF733">
        <f ca="1">OFFSET('Calculations 2'!$CE$45,W733,0)*OFFSET($AA$6,X733,0)*OFFSET($M$6,W733,)</f>
        <v>2.7252370878657723</v>
      </c>
      <c r="AY733" t="s">
        <v>232</v>
      </c>
      <c r="AZ733" t="s">
        <v>489</v>
      </c>
      <c r="BA733" t="s">
        <v>218</v>
      </c>
      <c r="BB733">
        <v>0</v>
      </c>
      <c r="BE733" t="s">
        <v>232</v>
      </c>
      <c r="BF733" t="s">
        <v>489</v>
      </c>
      <c r="BG733" t="s">
        <v>218</v>
      </c>
      <c r="BH733">
        <v>0</v>
      </c>
      <c r="CT733" t="s">
        <v>232</v>
      </c>
      <c r="CU733" t="s">
        <v>218</v>
      </c>
      <c r="CV733">
        <f ca="1">OFFSET('Calculations 2'!$AJ$12,W733,X733)</f>
        <v>0</v>
      </c>
    </row>
    <row r="734" spans="17:100">
      <c r="Q734" t="s">
        <v>226</v>
      </c>
      <c r="R734" t="s">
        <v>489</v>
      </c>
      <c r="S734" t="s">
        <v>218</v>
      </c>
      <c r="T734">
        <f ca="1">OFFSET('Calculations 2'!$C$45,W734,X734)*OFFSET($M$6,W734,0)</f>
        <v>973.30234579877538</v>
      </c>
      <c r="V734">
        <f t="shared" si="35"/>
        <v>728</v>
      </c>
      <c r="W734">
        <f t="shared" si="36"/>
        <v>2</v>
      </c>
      <c r="X734">
        <f t="shared" si="37"/>
        <v>22</v>
      </c>
      <c r="AC734" t="s">
        <v>226</v>
      </c>
      <c r="AD734" t="s">
        <v>489</v>
      </c>
      <c r="AE734" t="s">
        <v>218</v>
      </c>
      <c r="AF734">
        <f ca="1">OFFSET('Calculations 2'!$CE$45,W734,0)*OFFSET($AA$6,X734,0)*OFFSET($M$6,W734,)</f>
        <v>4.5887254100071431</v>
      </c>
      <c r="AY734" t="s">
        <v>226</v>
      </c>
      <c r="AZ734" t="s">
        <v>489</v>
      </c>
      <c r="BA734" t="s">
        <v>218</v>
      </c>
      <c r="BB734">
        <v>0</v>
      </c>
      <c r="BE734" t="s">
        <v>226</v>
      </c>
      <c r="BF734" t="s">
        <v>489</v>
      </c>
      <c r="BG734" t="s">
        <v>218</v>
      </c>
      <c r="BH734">
        <v>0</v>
      </c>
      <c r="CT734" t="s">
        <v>226</v>
      </c>
      <c r="CU734" t="s">
        <v>218</v>
      </c>
      <c r="CV734">
        <f ca="1">OFFSET('Calculations 2'!$AJ$12,W734,X734)</f>
        <v>0</v>
      </c>
    </row>
    <row r="735" spans="17:100">
      <c r="Q735" t="s">
        <v>243</v>
      </c>
      <c r="R735" t="s">
        <v>489</v>
      </c>
      <c r="S735" t="s">
        <v>218</v>
      </c>
      <c r="T735">
        <f ca="1">OFFSET('Calculations 2'!$C$45,W735,X735)*OFFSET($M$6,W735,0)</f>
        <v>31.553953981940175</v>
      </c>
      <c r="V735">
        <f t="shared" si="35"/>
        <v>729</v>
      </c>
      <c r="W735">
        <f t="shared" si="36"/>
        <v>3</v>
      </c>
      <c r="X735">
        <f t="shared" si="37"/>
        <v>22</v>
      </c>
      <c r="AC735" t="s">
        <v>243</v>
      </c>
      <c r="AD735" t="s">
        <v>489</v>
      </c>
      <c r="AE735" t="s">
        <v>218</v>
      </c>
      <c r="AF735">
        <f ca="1">OFFSET('Calculations 2'!$CE$45,W735,0)*OFFSET($AA$6,X735,0)*OFFSET($M$6,W735,)</f>
        <v>23.902005828290598</v>
      </c>
      <c r="AY735" t="s">
        <v>243</v>
      </c>
      <c r="AZ735" t="s">
        <v>489</v>
      </c>
      <c r="BA735" t="s">
        <v>218</v>
      </c>
      <c r="BB735">
        <v>0</v>
      </c>
      <c r="BE735" t="s">
        <v>243</v>
      </c>
      <c r="BF735" t="s">
        <v>489</v>
      </c>
      <c r="BG735" t="s">
        <v>218</v>
      </c>
      <c r="BH735">
        <v>0</v>
      </c>
      <c r="CT735" t="s">
        <v>243</v>
      </c>
      <c r="CU735" t="s">
        <v>218</v>
      </c>
      <c r="CV735">
        <f ca="1">OFFSET('Calculations 2'!$AJ$12,W735,X735)</f>
        <v>0</v>
      </c>
    </row>
    <row r="736" spans="17:100">
      <c r="Q736" t="s">
        <v>228</v>
      </c>
      <c r="R736" t="s">
        <v>489</v>
      </c>
      <c r="S736" t="s">
        <v>218</v>
      </c>
      <c r="T736">
        <f ca="1">OFFSET('Calculations 2'!$C$45,W736,X736)*OFFSET($M$6,W736,0)</f>
        <v>0.16781521072291036</v>
      </c>
      <c r="V736">
        <f t="shared" si="35"/>
        <v>730</v>
      </c>
      <c r="W736">
        <f t="shared" si="36"/>
        <v>4</v>
      </c>
      <c r="X736">
        <f t="shared" si="37"/>
        <v>22</v>
      </c>
      <c r="AC736" t="s">
        <v>228</v>
      </c>
      <c r="AD736" t="s">
        <v>489</v>
      </c>
      <c r="AE736" t="s">
        <v>218</v>
      </c>
      <c r="AF736">
        <f ca="1">OFFSET('Calculations 2'!$CE$45,W736,0)*OFFSET($AA$6,X736,0)*OFFSET($M$6,W736,)</f>
        <v>0.16960202971362207</v>
      </c>
      <c r="AY736" t="s">
        <v>228</v>
      </c>
      <c r="AZ736" t="s">
        <v>489</v>
      </c>
      <c r="BA736" t="s">
        <v>218</v>
      </c>
      <c r="BB736">
        <v>0</v>
      </c>
      <c r="BE736" t="s">
        <v>228</v>
      </c>
      <c r="BF736" t="s">
        <v>489</v>
      </c>
      <c r="BG736" t="s">
        <v>218</v>
      </c>
      <c r="BH736">
        <v>0</v>
      </c>
      <c r="CT736" t="s">
        <v>228</v>
      </c>
      <c r="CU736" t="s">
        <v>218</v>
      </c>
      <c r="CV736">
        <f ca="1">OFFSET('Calculations 2'!$AJ$12,W736,X736)</f>
        <v>0</v>
      </c>
    </row>
    <row r="737" spans="17:100">
      <c r="Q737" t="s">
        <v>246</v>
      </c>
      <c r="R737" t="s">
        <v>489</v>
      </c>
      <c r="S737" t="s">
        <v>218</v>
      </c>
      <c r="T737">
        <f ca="1">OFFSET('Calculations 2'!$C$45,W737,X737)*OFFSET($M$6,W737,0)</f>
        <v>0</v>
      </c>
      <c r="V737">
        <f t="shared" si="35"/>
        <v>731</v>
      </c>
      <c r="W737">
        <f t="shared" si="36"/>
        <v>5</v>
      </c>
      <c r="X737">
        <f t="shared" si="37"/>
        <v>22</v>
      </c>
      <c r="AC737" t="s">
        <v>246</v>
      </c>
      <c r="AD737" t="s">
        <v>489</v>
      </c>
      <c r="AE737" t="s">
        <v>218</v>
      </c>
      <c r="AF737">
        <f ca="1">OFFSET('Calculations 2'!$CE$45,W737,0)*OFFSET($AA$6,X737,0)*OFFSET($M$6,W737,)</f>
        <v>1.0440679150960135</v>
      </c>
      <c r="AY737" t="s">
        <v>246</v>
      </c>
      <c r="AZ737" t="s">
        <v>489</v>
      </c>
      <c r="BA737" t="s">
        <v>218</v>
      </c>
      <c r="BB737">
        <v>0</v>
      </c>
      <c r="BE737" t="s">
        <v>246</v>
      </c>
      <c r="BF737" t="s">
        <v>489</v>
      </c>
      <c r="BG737" t="s">
        <v>218</v>
      </c>
      <c r="BH737">
        <v>0</v>
      </c>
      <c r="CT737" t="s">
        <v>246</v>
      </c>
      <c r="CU737" t="s">
        <v>218</v>
      </c>
      <c r="CV737">
        <f ca="1">OFFSET('Calculations 2'!$AJ$12,W737,X737)</f>
        <v>0</v>
      </c>
    </row>
    <row r="738" spans="17:100">
      <c r="Q738" t="s">
        <v>239</v>
      </c>
      <c r="R738" t="s">
        <v>489</v>
      </c>
      <c r="S738" t="s">
        <v>218</v>
      </c>
      <c r="T738">
        <f ca="1">OFFSET('Calculations 2'!$C$45,W738,X738)*OFFSET($M$6,W738,0)</f>
        <v>58.416083469552525</v>
      </c>
      <c r="V738">
        <f t="shared" si="35"/>
        <v>732</v>
      </c>
      <c r="W738">
        <f t="shared" si="36"/>
        <v>6</v>
      </c>
      <c r="X738">
        <f t="shared" si="37"/>
        <v>22</v>
      </c>
      <c r="AC738" t="s">
        <v>239</v>
      </c>
      <c r="AD738" t="s">
        <v>489</v>
      </c>
      <c r="AE738" t="s">
        <v>218</v>
      </c>
      <c r="AF738">
        <f ca="1">OFFSET('Calculations 2'!$CE$45,W738,0)*OFFSET($AA$6,X738,0)*OFFSET($M$6,W738,)</f>
        <v>20.89766784836867</v>
      </c>
      <c r="AY738" t="s">
        <v>239</v>
      </c>
      <c r="AZ738" t="s">
        <v>489</v>
      </c>
      <c r="BA738" t="s">
        <v>218</v>
      </c>
      <c r="BB738">
        <v>0</v>
      </c>
      <c r="BE738" t="s">
        <v>239</v>
      </c>
      <c r="BF738" t="s">
        <v>489</v>
      </c>
      <c r="BG738" t="s">
        <v>218</v>
      </c>
      <c r="BH738">
        <v>0</v>
      </c>
      <c r="CT738" t="s">
        <v>239</v>
      </c>
      <c r="CU738" t="s">
        <v>218</v>
      </c>
      <c r="CV738">
        <f ca="1">OFFSET('Calculations 2'!$AJ$12,W738,X738)</f>
        <v>0</v>
      </c>
    </row>
    <row r="739" spans="17:100">
      <c r="Q739" t="s">
        <v>466</v>
      </c>
      <c r="R739" t="s">
        <v>489</v>
      </c>
      <c r="S739" t="s">
        <v>218</v>
      </c>
      <c r="T739">
        <f ca="1">OFFSET('Calculations 2'!$C$45,W739,X739)*OFFSET($M$6,W739,0)</f>
        <v>9923.9936056134011</v>
      </c>
      <c r="V739">
        <f t="shared" si="35"/>
        <v>733</v>
      </c>
      <c r="W739">
        <f t="shared" si="36"/>
        <v>7</v>
      </c>
      <c r="X739">
        <f t="shared" si="37"/>
        <v>22</v>
      </c>
      <c r="AC739" t="s">
        <v>466</v>
      </c>
      <c r="AD739" t="s">
        <v>489</v>
      </c>
      <c r="AE739" t="s">
        <v>218</v>
      </c>
      <c r="AF739">
        <f ca="1">OFFSET('Calculations 2'!$CE$45,W739,0)*OFFSET($AA$6,X739,0)*OFFSET($M$6,W739,)</f>
        <v>3.1844001598967879</v>
      </c>
      <c r="AY739" t="s">
        <v>466</v>
      </c>
      <c r="AZ739" t="s">
        <v>489</v>
      </c>
      <c r="BA739" t="s">
        <v>218</v>
      </c>
      <c r="BB739">
        <v>0</v>
      </c>
      <c r="BE739" t="s">
        <v>466</v>
      </c>
      <c r="BF739" t="s">
        <v>489</v>
      </c>
      <c r="BG739" t="s">
        <v>218</v>
      </c>
      <c r="BH739">
        <v>0</v>
      </c>
      <c r="CT739" t="s">
        <v>466</v>
      </c>
      <c r="CU739" t="s">
        <v>218</v>
      </c>
      <c r="CV739">
        <f ca="1">OFFSET('Calculations 2'!$AJ$12,W739,X739)</f>
        <v>0</v>
      </c>
    </row>
    <row r="740" spans="17:100">
      <c r="Q740" t="s">
        <v>219</v>
      </c>
      <c r="R740" t="s">
        <v>489</v>
      </c>
      <c r="S740" t="s">
        <v>218</v>
      </c>
      <c r="T740">
        <f ca="1">OFFSET('Calculations 2'!$C$45,W740,X740)*OFFSET($M$6,W740,0)</f>
        <v>86.317397817067317</v>
      </c>
      <c r="V740">
        <f t="shared" si="35"/>
        <v>734</v>
      </c>
      <c r="W740">
        <f t="shared" si="36"/>
        <v>8</v>
      </c>
      <c r="X740">
        <f t="shared" si="37"/>
        <v>22</v>
      </c>
      <c r="AC740" t="s">
        <v>219</v>
      </c>
      <c r="AD740" t="s">
        <v>489</v>
      </c>
      <c r="AE740" t="s">
        <v>218</v>
      </c>
      <c r="AF740">
        <f ca="1">OFFSET('Calculations 2'!$CE$45,W740,0)*OFFSET($AA$6,X740,0)*OFFSET($M$6,W740,)</f>
        <v>19.829910511402307</v>
      </c>
      <c r="AY740" t="s">
        <v>219</v>
      </c>
      <c r="AZ740" t="s">
        <v>489</v>
      </c>
      <c r="BA740" t="s">
        <v>218</v>
      </c>
      <c r="BB740">
        <v>0</v>
      </c>
      <c r="BE740" t="s">
        <v>219</v>
      </c>
      <c r="BF740" t="s">
        <v>489</v>
      </c>
      <c r="BG740" t="s">
        <v>218</v>
      </c>
      <c r="BH740">
        <v>0</v>
      </c>
      <c r="CT740" t="s">
        <v>219</v>
      </c>
      <c r="CU740" t="s">
        <v>218</v>
      </c>
      <c r="CV740">
        <f ca="1">OFFSET('Calculations 2'!$AJ$12,W740,X740)</f>
        <v>0</v>
      </c>
    </row>
    <row r="741" spans="17:100">
      <c r="Q741" t="s">
        <v>242</v>
      </c>
      <c r="R741" t="s">
        <v>489</v>
      </c>
      <c r="S741" t="s">
        <v>218</v>
      </c>
      <c r="T741">
        <f ca="1">OFFSET('Calculations 2'!$C$45,W741,X741)*OFFSET($M$6,W741,0)</f>
        <v>0</v>
      </c>
      <c r="V741">
        <f t="shared" si="35"/>
        <v>735</v>
      </c>
      <c r="W741">
        <f t="shared" si="36"/>
        <v>9</v>
      </c>
      <c r="X741">
        <f t="shared" si="37"/>
        <v>22</v>
      </c>
      <c r="AC741" t="s">
        <v>242</v>
      </c>
      <c r="AD741" t="s">
        <v>489</v>
      </c>
      <c r="AE741" t="s">
        <v>218</v>
      </c>
      <c r="AF741">
        <f ca="1">OFFSET('Calculations 2'!$CE$45,W741,0)*OFFSET($AA$6,X741,0)*OFFSET($M$6,W741,)</f>
        <v>31.041812719676162</v>
      </c>
      <c r="AY741" t="s">
        <v>242</v>
      </c>
      <c r="AZ741" t="s">
        <v>489</v>
      </c>
      <c r="BA741" t="s">
        <v>218</v>
      </c>
      <c r="BB741">
        <v>0</v>
      </c>
      <c r="BE741" t="s">
        <v>242</v>
      </c>
      <c r="BF741" t="s">
        <v>489</v>
      </c>
      <c r="BG741" t="s">
        <v>218</v>
      </c>
      <c r="BH741">
        <v>0</v>
      </c>
      <c r="CT741" t="s">
        <v>242</v>
      </c>
      <c r="CU741" t="s">
        <v>218</v>
      </c>
      <c r="CV741">
        <f ca="1">OFFSET('Calculations 2'!$AJ$12,W741,X741)</f>
        <v>0</v>
      </c>
    </row>
    <row r="742" spans="17:100">
      <c r="Q742" t="s">
        <v>467</v>
      </c>
      <c r="R742" t="s">
        <v>489</v>
      </c>
      <c r="S742" t="s">
        <v>218</v>
      </c>
      <c r="T742">
        <f ca="1">OFFSET('Calculations 2'!$C$45,W742,X742)*OFFSET($M$6,W742,0)</f>
        <v>0</v>
      </c>
      <c r="V742">
        <f t="shared" si="35"/>
        <v>736</v>
      </c>
      <c r="W742">
        <f t="shared" si="36"/>
        <v>10</v>
      </c>
      <c r="X742">
        <f t="shared" si="37"/>
        <v>22</v>
      </c>
      <c r="AC742" t="s">
        <v>467</v>
      </c>
      <c r="AD742" t="s">
        <v>489</v>
      </c>
      <c r="AE742" t="s">
        <v>218</v>
      </c>
      <c r="AF742">
        <f ca="1">OFFSET('Calculations 2'!$CE$45,W742,0)*OFFSET($AA$6,X742,0)*OFFSET($M$6,W742,)</f>
        <v>28.756381067835228</v>
      </c>
      <c r="AY742" t="s">
        <v>467</v>
      </c>
      <c r="AZ742" t="s">
        <v>489</v>
      </c>
      <c r="BA742" t="s">
        <v>218</v>
      </c>
      <c r="BB742">
        <v>0</v>
      </c>
      <c r="BE742" t="s">
        <v>467</v>
      </c>
      <c r="BF742" t="s">
        <v>489</v>
      </c>
      <c r="BG742" t="s">
        <v>218</v>
      </c>
      <c r="BH742">
        <v>0</v>
      </c>
      <c r="CT742" t="s">
        <v>467</v>
      </c>
      <c r="CU742" t="s">
        <v>218</v>
      </c>
      <c r="CV742">
        <f ca="1">OFFSET('Calculations 2'!$AJ$12,W742,X742)</f>
        <v>0</v>
      </c>
    </row>
    <row r="743" spans="17:100">
      <c r="Q743" t="s">
        <v>231</v>
      </c>
      <c r="R743" t="s">
        <v>489</v>
      </c>
      <c r="S743" t="s">
        <v>218</v>
      </c>
      <c r="T743">
        <f ca="1">OFFSET('Calculations 2'!$C$45,W743,X743)*OFFSET($M$6,W743,0)</f>
        <v>0</v>
      </c>
      <c r="V743">
        <f t="shared" si="35"/>
        <v>737</v>
      </c>
      <c r="W743">
        <f t="shared" si="36"/>
        <v>11</v>
      </c>
      <c r="X743">
        <f t="shared" si="37"/>
        <v>22</v>
      </c>
      <c r="AC743" t="s">
        <v>231</v>
      </c>
      <c r="AD743" t="s">
        <v>489</v>
      </c>
      <c r="AE743" t="s">
        <v>218</v>
      </c>
      <c r="AF743">
        <f ca="1">OFFSET('Calculations 2'!$CE$45,W743,0)*OFFSET($AA$6,X743,0)*OFFSET($M$6,W743,)</f>
        <v>84.107442842296365</v>
      </c>
      <c r="AY743" t="s">
        <v>231</v>
      </c>
      <c r="AZ743" t="s">
        <v>489</v>
      </c>
      <c r="BA743" t="s">
        <v>218</v>
      </c>
      <c r="BB743">
        <v>0</v>
      </c>
      <c r="BE743" t="s">
        <v>231</v>
      </c>
      <c r="BF743" t="s">
        <v>489</v>
      </c>
      <c r="BG743" t="s">
        <v>218</v>
      </c>
      <c r="BH743">
        <v>0</v>
      </c>
      <c r="CT743" t="s">
        <v>231</v>
      </c>
      <c r="CU743" t="s">
        <v>218</v>
      </c>
      <c r="CV743">
        <f ca="1">OFFSET('Calculations 2'!$AJ$12,W743,X743)</f>
        <v>0</v>
      </c>
    </row>
    <row r="744" spans="17:100">
      <c r="Q744" t="s">
        <v>468</v>
      </c>
      <c r="R744" t="s">
        <v>489</v>
      </c>
      <c r="S744" t="s">
        <v>218</v>
      </c>
      <c r="T744">
        <f ca="1">OFFSET('Calculations 2'!$C$45,W744,X744)*OFFSET($M$6,W744,0)</f>
        <v>0</v>
      </c>
      <c r="V744">
        <f t="shared" si="35"/>
        <v>738</v>
      </c>
      <c r="W744">
        <f t="shared" si="36"/>
        <v>12</v>
      </c>
      <c r="X744">
        <f t="shared" si="37"/>
        <v>22</v>
      </c>
      <c r="AC744" t="s">
        <v>468</v>
      </c>
      <c r="AD744" t="s">
        <v>489</v>
      </c>
      <c r="AE744" t="s">
        <v>218</v>
      </c>
      <c r="AF744">
        <f ca="1">OFFSET('Calculations 2'!$CE$45,W744,0)*OFFSET($AA$6,X744,0)*OFFSET($M$6,W744,)</f>
        <v>121.73889401136235</v>
      </c>
      <c r="AY744" t="s">
        <v>468</v>
      </c>
      <c r="AZ744" t="s">
        <v>489</v>
      </c>
      <c r="BA744" t="s">
        <v>218</v>
      </c>
      <c r="BB744">
        <v>0</v>
      </c>
      <c r="BE744" t="s">
        <v>468</v>
      </c>
      <c r="BF744" t="s">
        <v>489</v>
      </c>
      <c r="BG744" t="s">
        <v>218</v>
      </c>
      <c r="BH744">
        <v>0</v>
      </c>
      <c r="CT744" t="s">
        <v>468</v>
      </c>
      <c r="CU744" t="s">
        <v>218</v>
      </c>
      <c r="CV744">
        <f ca="1">OFFSET('Calculations 2'!$AJ$12,W744,X744)</f>
        <v>0</v>
      </c>
    </row>
    <row r="745" spans="17:100">
      <c r="Q745" t="s">
        <v>469</v>
      </c>
      <c r="R745" t="s">
        <v>489</v>
      </c>
      <c r="S745" t="s">
        <v>218</v>
      </c>
      <c r="T745">
        <f ca="1">OFFSET('Calculations 2'!$C$45,W745,X745)*OFFSET($M$6,W745,0)</f>
        <v>0</v>
      </c>
      <c r="V745">
        <f t="shared" si="35"/>
        <v>739</v>
      </c>
      <c r="W745">
        <f t="shared" si="36"/>
        <v>13</v>
      </c>
      <c r="X745">
        <f t="shared" si="37"/>
        <v>22</v>
      </c>
      <c r="AC745" t="s">
        <v>469</v>
      </c>
      <c r="AD745" t="s">
        <v>489</v>
      </c>
      <c r="AE745" t="s">
        <v>218</v>
      </c>
      <c r="AF745">
        <f ca="1">OFFSET('Calculations 2'!$CE$45,W745,0)*OFFSET($AA$6,X745,0)*OFFSET($M$6,W745,)</f>
        <v>25.324331333673658</v>
      </c>
      <c r="AY745" t="s">
        <v>469</v>
      </c>
      <c r="AZ745" t="s">
        <v>489</v>
      </c>
      <c r="BA745" t="s">
        <v>218</v>
      </c>
      <c r="BB745">
        <v>0</v>
      </c>
      <c r="BE745" t="s">
        <v>469</v>
      </c>
      <c r="BF745" t="s">
        <v>489</v>
      </c>
      <c r="BG745" t="s">
        <v>218</v>
      </c>
      <c r="BH745">
        <v>0</v>
      </c>
      <c r="CT745" t="s">
        <v>469</v>
      </c>
      <c r="CU745" t="s">
        <v>218</v>
      </c>
      <c r="CV745">
        <f ca="1">OFFSET('Calculations 2'!$AJ$12,W745,X745)</f>
        <v>0</v>
      </c>
    </row>
    <row r="746" spans="17:100">
      <c r="Q746" t="s">
        <v>245</v>
      </c>
      <c r="R746" t="s">
        <v>489</v>
      </c>
      <c r="S746" t="s">
        <v>218</v>
      </c>
      <c r="T746">
        <f ca="1">OFFSET('Calculations 2'!$C$45,W746,X746)*OFFSET($M$6,W746,0)</f>
        <v>46.172978158203115</v>
      </c>
      <c r="V746">
        <f t="shared" si="35"/>
        <v>740</v>
      </c>
      <c r="W746">
        <f t="shared" si="36"/>
        <v>14</v>
      </c>
      <c r="X746">
        <f t="shared" si="37"/>
        <v>22</v>
      </c>
      <c r="AC746" t="s">
        <v>245</v>
      </c>
      <c r="AD746" t="s">
        <v>489</v>
      </c>
      <c r="AE746" t="s">
        <v>218</v>
      </c>
      <c r="AF746">
        <f ca="1">OFFSET('Calculations 2'!$CE$45,W746,0)*OFFSET($AA$6,X746,0)*OFFSET($M$6,W746,)</f>
        <v>36.581198274694017</v>
      </c>
      <c r="AY746" t="s">
        <v>245</v>
      </c>
      <c r="AZ746" t="s">
        <v>489</v>
      </c>
      <c r="BA746" t="s">
        <v>218</v>
      </c>
      <c r="BB746">
        <v>0</v>
      </c>
      <c r="BE746" t="s">
        <v>245</v>
      </c>
      <c r="BF746" t="s">
        <v>489</v>
      </c>
      <c r="BG746" t="s">
        <v>218</v>
      </c>
      <c r="BH746">
        <v>0</v>
      </c>
      <c r="CT746" t="s">
        <v>245</v>
      </c>
      <c r="CU746" t="s">
        <v>218</v>
      </c>
      <c r="CV746">
        <f ca="1">OFFSET('Calculations 2'!$AJ$12,W746,X746)</f>
        <v>0</v>
      </c>
    </row>
    <row r="747" spans="17:100">
      <c r="Q747" t="s">
        <v>470</v>
      </c>
      <c r="R747" t="s">
        <v>489</v>
      </c>
      <c r="S747" t="s">
        <v>218</v>
      </c>
      <c r="T747">
        <f ca="1">OFFSET('Calculations 2'!$C$45,W747,X747)*OFFSET($M$6,W747,0)</f>
        <v>291.88969813994618</v>
      </c>
      <c r="V747">
        <f t="shared" si="35"/>
        <v>741</v>
      </c>
      <c r="W747">
        <f t="shared" si="36"/>
        <v>15</v>
      </c>
      <c r="X747">
        <f t="shared" si="37"/>
        <v>22</v>
      </c>
      <c r="AC747" t="s">
        <v>470</v>
      </c>
      <c r="AD747" t="s">
        <v>489</v>
      </c>
      <c r="AE747" t="s">
        <v>218</v>
      </c>
      <c r="AF747">
        <f ca="1">OFFSET('Calculations 2'!$CE$45,W747,0)*OFFSET($AA$6,X747,0)*OFFSET($M$6,W747,)</f>
        <v>99.608231606587822</v>
      </c>
      <c r="AY747" t="s">
        <v>470</v>
      </c>
      <c r="AZ747" t="s">
        <v>489</v>
      </c>
      <c r="BA747" t="s">
        <v>218</v>
      </c>
      <c r="BB747">
        <v>0</v>
      </c>
      <c r="BE747" t="s">
        <v>470</v>
      </c>
      <c r="BF747" t="s">
        <v>489</v>
      </c>
      <c r="BG747" t="s">
        <v>218</v>
      </c>
      <c r="BH747">
        <v>0</v>
      </c>
      <c r="CT747" t="s">
        <v>470</v>
      </c>
      <c r="CU747" t="s">
        <v>218</v>
      </c>
      <c r="CV747">
        <f ca="1">OFFSET('Calculations 2'!$AJ$12,W747,X747)</f>
        <v>0</v>
      </c>
    </row>
    <row r="748" spans="17:100">
      <c r="Q748" t="s">
        <v>471</v>
      </c>
      <c r="R748" t="s">
        <v>489</v>
      </c>
      <c r="S748" t="s">
        <v>218</v>
      </c>
      <c r="T748">
        <f ca="1">OFFSET('Calculations 2'!$C$45,W748,X748)*OFFSET($M$6,W748,0)</f>
        <v>157.83996453316271</v>
      </c>
      <c r="V748">
        <f t="shared" si="35"/>
        <v>742</v>
      </c>
      <c r="W748">
        <f t="shared" si="36"/>
        <v>16</v>
      </c>
      <c r="X748">
        <f t="shared" si="37"/>
        <v>22</v>
      </c>
      <c r="AC748" t="s">
        <v>471</v>
      </c>
      <c r="AD748" t="s">
        <v>489</v>
      </c>
      <c r="AE748" t="s">
        <v>218</v>
      </c>
      <c r="AF748">
        <f ca="1">OFFSET('Calculations 2'!$CE$45,W748,0)*OFFSET($AA$6,X748,0)*OFFSET($M$6,W748,)</f>
        <v>0</v>
      </c>
      <c r="AY748" t="s">
        <v>471</v>
      </c>
      <c r="AZ748" t="s">
        <v>489</v>
      </c>
      <c r="BA748" t="s">
        <v>218</v>
      </c>
      <c r="BB748">
        <v>0</v>
      </c>
      <c r="BE748" t="s">
        <v>471</v>
      </c>
      <c r="BF748" t="s">
        <v>489</v>
      </c>
      <c r="BG748" t="s">
        <v>218</v>
      </c>
      <c r="BH748">
        <v>0</v>
      </c>
      <c r="CT748" t="s">
        <v>471</v>
      </c>
      <c r="CU748" t="s">
        <v>218</v>
      </c>
      <c r="CV748">
        <f ca="1">OFFSET('Calculations 2'!$AJ$12,W748,X748)</f>
        <v>0</v>
      </c>
    </row>
    <row r="749" spans="17:100">
      <c r="Q749" t="s">
        <v>221</v>
      </c>
      <c r="R749" t="s">
        <v>489</v>
      </c>
      <c r="S749" t="s">
        <v>218</v>
      </c>
      <c r="T749">
        <f ca="1">OFFSET('Calculations 2'!$C$45,W749,X749)*OFFSET($M$6,W749,0)</f>
        <v>538.34151881690786</v>
      </c>
      <c r="V749">
        <f t="shared" si="35"/>
        <v>743</v>
      </c>
      <c r="W749">
        <f t="shared" si="36"/>
        <v>17</v>
      </c>
      <c r="X749">
        <f t="shared" si="37"/>
        <v>22</v>
      </c>
      <c r="AC749" t="s">
        <v>221</v>
      </c>
      <c r="AD749" t="s">
        <v>489</v>
      </c>
      <c r="AE749" t="s">
        <v>218</v>
      </c>
      <c r="AF749">
        <f ca="1">OFFSET('Calculations 2'!$CE$45,W749,0)*OFFSET($AA$6,X749,0)*OFFSET($M$6,W749,)</f>
        <v>3308.830111542095</v>
      </c>
      <c r="AY749" t="s">
        <v>221</v>
      </c>
      <c r="AZ749" t="s">
        <v>489</v>
      </c>
      <c r="BA749" t="s">
        <v>218</v>
      </c>
      <c r="BB749">
        <v>0</v>
      </c>
      <c r="BE749" t="s">
        <v>221</v>
      </c>
      <c r="BF749" t="s">
        <v>489</v>
      </c>
      <c r="BG749" t="s">
        <v>218</v>
      </c>
      <c r="BH749">
        <v>0</v>
      </c>
      <c r="CT749" t="s">
        <v>221</v>
      </c>
      <c r="CU749" t="s">
        <v>218</v>
      </c>
      <c r="CV749">
        <f ca="1">OFFSET('Calculations 2'!$AJ$12,W749,X749)</f>
        <v>0</v>
      </c>
    </row>
    <row r="750" spans="17:100">
      <c r="Q750" t="s">
        <v>244</v>
      </c>
      <c r="R750" t="s">
        <v>489</v>
      </c>
      <c r="S750" t="s">
        <v>218</v>
      </c>
      <c r="T750">
        <f ca="1">OFFSET('Calculations 2'!$C$45,W750,X750)*OFFSET($M$6,W750,0)</f>
        <v>6340.3152124657045</v>
      </c>
      <c r="V750">
        <f t="shared" si="35"/>
        <v>744</v>
      </c>
      <c r="W750">
        <f t="shared" si="36"/>
        <v>18</v>
      </c>
      <c r="X750">
        <f t="shared" si="37"/>
        <v>22</v>
      </c>
      <c r="AC750" t="s">
        <v>244</v>
      </c>
      <c r="AD750" t="s">
        <v>489</v>
      </c>
      <c r="AE750" t="s">
        <v>218</v>
      </c>
      <c r="AF750">
        <f ca="1">OFFSET('Calculations 2'!$CE$45,W750,0)*OFFSET($AA$6,X750,0)*OFFSET($M$6,W750,)</f>
        <v>529.05987276199539</v>
      </c>
      <c r="AY750" t="s">
        <v>244</v>
      </c>
      <c r="AZ750" t="s">
        <v>489</v>
      </c>
      <c r="BA750" t="s">
        <v>218</v>
      </c>
      <c r="BB750">
        <v>0</v>
      </c>
      <c r="BE750" t="s">
        <v>244</v>
      </c>
      <c r="BF750" t="s">
        <v>489</v>
      </c>
      <c r="BG750" t="s">
        <v>218</v>
      </c>
      <c r="BH750">
        <v>0</v>
      </c>
      <c r="CT750" t="s">
        <v>244</v>
      </c>
      <c r="CU750" t="s">
        <v>218</v>
      </c>
      <c r="CV750">
        <f ca="1">OFFSET('Calculations 2'!$AJ$12,W750,X750)</f>
        <v>0</v>
      </c>
    </row>
    <row r="751" spans="17:100">
      <c r="Q751" t="s">
        <v>472</v>
      </c>
      <c r="R751" t="s">
        <v>489</v>
      </c>
      <c r="S751" t="s">
        <v>218</v>
      </c>
      <c r="T751">
        <f ca="1">OFFSET('Calculations 2'!$C$45,W751,X751)*OFFSET($M$6,W751,0)</f>
        <v>1062.6240645659459</v>
      </c>
      <c r="V751">
        <f t="shared" si="35"/>
        <v>745</v>
      </c>
      <c r="W751">
        <f t="shared" si="36"/>
        <v>19</v>
      </c>
      <c r="X751">
        <f t="shared" si="37"/>
        <v>22</v>
      </c>
      <c r="AC751" t="s">
        <v>472</v>
      </c>
      <c r="AD751" t="s">
        <v>489</v>
      </c>
      <c r="AE751" t="s">
        <v>218</v>
      </c>
      <c r="AF751">
        <f ca="1">OFFSET('Calculations 2'!$CE$45,W751,0)*OFFSET($AA$6,X751,0)*OFFSET($M$6,W751,)</f>
        <v>0</v>
      </c>
      <c r="AY751" t="s">
        <v>472</v>
      </c>
      <c r="AZ751" t="s">
        <v>489</v>
      </c>
      <c r="BA751" t="s">
        <v>218</v>
      </c>
      <c r="BB751">
        <v>0</v>
      </c>
      <c r="BE751" t="s">
        <v>472</v>
      </c>
      <c r="BF751" t="s">
        <v>489</v>
      </c>
      <c r="BG751" t="s">
        <v>218</v>
      </c>
      <c r="BH751">
        <v>0</v>
      </c>
      <c r="CT751" t="s">
        <v>472</v>
      </c>
      <c r="CU751" t="s">
        <v>218</v>
      </c>
      <c r="CV751">
        <f ca="1">OFFSET('Calculations 2'!$AJ$12,W751,X751)</f>
        <v>0</v>
      </c>
    </row>
    <row r="752" spans="17:100">
      <c r="Q752" t="s">
        <v>238</v>
      </c>
      <c r="R752" t="s">
        <v>489</v>
      </c>
      <c r="S752" t="s">
        <v>218</v>
      </c>
      <c r="T752">
        <f ca="1">OFFSET('Calculations 2'!$C$45,W752,X752)*OFFSET($M$6,W752,0)</f>
        <v>726.15044805396587</v>
      </c>
      <c r="V752">
        <f t="shared" si="35"/>
        <v>746</v>
      </c>
      <c r="W752">
        <f t="shared" si="36"/>
        <v>20</v>
      </c>
      <c r="X752">
        <f t="shared" si="37"/>
        <v>22</v>
      </c>
      <c r="AC752" t="s">
        <v>238</v>
      </c>
      <c r="AD752" t="s">
        <v>489</v>
      </c>
      <c r="AE752" t="s">
        <v>218</v>
      </c>
      <c r="AF752">
        <f ca="1">OFFSET('Calculations 2'!$CE$45,W752,0)*OFFSET($AA$6,X752,0)*OFFSET($M$6,W752,)</f>
        <v>0</v>
      </c>
      <c r="AY752" t="s">
        <v>238</v>
      </c>
      <c r="AZ752" t="s">
        <v>489</v>
      </c>
      <c r="BA752" t="s">
        <v>218</v>
      </c>
      <c r="BB752">
        <v>0</v>
      </c>
      <c r="BE752" t="s">
        <v>238</v>
      </c>
      <c r="BF752" t="s">
        <v>489</v>
      </c>
      <c r="BG752" t="s">
        <v>218</v>
      </c>
      <c r="BH752">
        <v>0</v>
      </c>
      <c r="CT752" t="s">
        <v>238</v>
      </c>
      <c r="CU752" t="s">
        <v>218</v>
      </c>
      <c r="CV752">
        <f ca="1">OFFSET('Calculations 2'!$AJ$12,W752,X752)</f>
        <v>0</v>
      </c>
    </row>
    <row r="753" spans="17:100">
      <c r="Q753" t="s">
        <v>247</v>
      </c>
      <c r="R753" t="s">
        <v>489</v>
      </c>
      <c r="S753" t="s">
        <v>218</v>
      </c>
      <c r="T753">
        <f ca="1">OFFSET('Calculations 2'!$C$45,W753,X753)*OFFSET($M$6,W753,0)</f>
        <v>0</v>
      </c>
      <c r="V753">
        <f t="shared" si="35"/>
        <v>747</v>
      </c>
      <c r="W753">
        <f t="shared" si="36"/>
        <v>21</v>
      </c>
      <c r="X753">
        <f t="shared" si="37"/>
        <v>22</v>
      </c>
      <c r="AC753" t="s">
        <v>247</v>
      </c>
      <c r="AD753" t="s">
        <v>489</v>
      </c>
      <c r="AE753" t="s">
        <v>218</v>
      </c>
      <c r="AF753">
        <f ca="1">OFFSET('Calculations 2'!$CE$45,W753,0)*OFFSET($AA$6,X753,0)*OFFSET($M$6,W753,)</f>
        <v>0</v>
      </c>
      <c r="AY753" t="s">
        <v>247</v>
      </c>
      <c r="AZ753" t="s">
        <v>489</v>
      </c>
      <c r="BA753" t="s">
        <v>218</v>
      </c>
      <c r="BB753">
        <v>0</v>
      </c>
      <c r="BE753" t="s">
        <v>247</v>
      </c>
      <c r="BF753" t="s">
        <v>489</v>
      </c>
      <c r="BG753" t="s">
        <v>218</v>
      </c>
      <c r="BH753">
        <v>0</v>
      </c>
      <c r="CT753" t="s">
        <v>247</v>
      </c>
      <c r="CU753" t="s">
        <v>218</v>
      </c>
      <c r="CV753">
        <f ca="1">OFFSET('Calculations 2'!$AJ$12,W753,X753)</f>
        <v>0</v>
      </c>
    </row>
    <row r="754" spans="17:100">
      <c r="Q754" t="s">
        <v>218</v>
      </c>
      <c r="R754" t="s">
        <v>489</v>
      </c>
      <c r="S754" t="s">
        <v>218</v>
      </c>
      <c r="T754">
        <f ca="1">OFFSET('Calculations 2'!$C$45,W754,X754)*OFFSET($M$6,W754,0)</f>
        <v>0</v>
      </c>
      <c r="V754">
        <f t="shared" si="35"/>
        <v>748</v>
      </c>
      <c r="W754">
        <f t="shared" si="36"/>
        <v>22</v>
      </c>
      <c r="X754">
        <f t="shared" si="37"/>
        <v>22</v>
      </c>
      <c r="AC754" t="s">
        <v>218</v>
      </c>
      <c r="AD754" t="s">
        <v>489</v>
      </c>
      <c r="AE754" t="s">
        <v>218</v>
      </c>
      <c r="AF754">
        <f ca="1">OFFSET('Calculations 2'!$CE$45,W754,0)*OFFSET($AA$6,X754,0)*OFFSET($M$6,W754,)</f>
        <v>0</v>
      </c>
      <c r="AY754" t="s">
        <v>218</v>
      </c>
      <c r="AZ754" t="s">
        <v>489</v>
      </c>
      <c r="BA754" t="s">
        <v>218</v>
      </c>
      <c r="BB754">
        <v>0</v>
      </c>
      <c r="BE754" t="s">
        <v>218</v>
      </c>
      <c r="BF754" t="s">
        <v>489</v>
      </c>
      <c r="BG754" t="s">
        <v>218</v>
      </c>
      <c r="BH754">
        <v>0</v>
      </c>
      <c r="CT754" t="s">
        <v>218</v>
      </c>
      <c r="CU754" t="s">
        <v>218</v>
      </c>
      <c r="CV754">
        <f ca="1">OFFSET('Calculations 2'!$AJ$12,W754,X754)</f>
        <v>102307.00900000002</v>
      </c>
    </row>
    <row r="755" spans="17:100">
      <c r="Q755" t="s">
        <v>257</v>
      </c>
      <c r="R755" t="s">
        <v>489</v>
      </c>
      <c r="S755" t="s">
        <v>218</v>
      </c>
      <c r="T755">
        <f ca="1">OFFSET('Calculations 2'!$C$45,W755,X755)*OFFSET($M$6,W755,0)</f>
        <v>8997.6933824305779</v>
      </c>
      <c r="V755">
        <f t="shared" si="35"/>
        <v>749</v>
      </c>
      <c r="W755">
        <f t="shared" si="36"/>
        <v>23</v>
      </c>
      <c r="X755">
        <f t="shared" si="37"/>
        <v>22</v>
      </c>
      <c r="AC755" t="s">
        <v>257</v>
      </c>
      <c r="AD755" t="s">
        <v>489</v>
      </c>
      <c r="AE755" t="s">
        <v>218</v>
      </c>
      <c r="AF755">
        <f ca="1">OFFSET('Calculations 2'!$CE$45,W755,0)*OFFSET($AA$6,X755,0)*OFFSET($M$6,W755,)</f>
        <v>0</v>
      </c>
      <c r="AY755" t="s">
        <v>257</v>
      </c>
      <c r="AZ755" t="s">
        <v>489</v>
      </c>
      <c r="BA755" t="s">
        <v>218</v>
      </c>
      <c r="BB755">
        <v>0</v>
      </c>
      <c r="BE755" t="s">
        <v>257</v>
      </c>
      <c r="BF755" t="s">
        <v>489</v>
      </c>
      <c r="BG755" t="s">
        <v>218</v>
      </c>
      <c r="BH755">
        <v>0</v>
      </c>
      <c r="CT755" t="s">
        <v>257</v>
      </c>
      <c r="CU755" t="s">
        <v>218</v>
      </c>
      <c r="CV755">
        <f ca="1">OFFSET('Calculations 2'!$AJ$12,W755,X755)</f>
        <v>0</v>
      </c>
    </row>
    <row r="756" spans="17:100">
      <c r="Q756" t="s">
        <v>220</v>
      </c>
      <c r="R756" t="s">
        <v>489</v>
      </c>
      <c r="S756" t="s">
        <v>218</v>
      </c>
      <c r="T756">
        <f ca="1">OFFSET('Calculations 2'!$C$45,W756,X756)*OFFSET($M$6,W756,0)</f>
        <v>1587.3458072681246</v>
      </c>
      <c r="V756">
        <f t="shared" si="35"/>
        <v>750</v>
      </c>
      <c r="W756">
        <f t="shared" si="36"/>
        <v>24</v>
      </c>
      <c r="X756">
        <f t="shared" si="37"/>
        <v>22</v>
      </c>
      <c r="AC756" t="s">
        <v>220</v>
      </c>
      <c r="AD756" t="s">
        <v>489</v>
      </c>
      <c r="AE756" t="s">
        <v>218</v>
      </c>
      <c r="AF756">
        <f ca="1">OFFSET('Calculations 2'!$CE$45,W756,0)*OFFSET($AA$6,X756,0)*OFFSET($M$6,W756,)</f>
        <v>0</v>
      </c>
      <c r="AY756" t="s">
        <v>220</v>
      </c>
      <c r="AZ756" t="s">
        <v>489</v>
      </c>
      <c r="BA756" t="s">
        <v>218</v>
      </c>
      <c r="BB756">
        <v>0</v>
      </c>
      <c r="BE756" t="s">
        <v>220</v>
      </c>
      <c r="BF756" t="s">
        <v>489</v>
      </c>
      <c r="BG756" t="s">
        <v>218</v>
      </c>
      <c r="BH756">
        <v>0</v>
      </c>
      <c r="CT756" t="s">
        <v>220</v>
      </c>
      <c r="CU756" t="s">
        <v>218</v>
      </c>
      <c r="CV756">
        <f ca="1">OFFSET('Calculations 2'!$AJ$12,W756,X756)</f>
        <v>0</v>
      </c>
    </row>
    <row r="757" spans="17:100">
      <c r="Q757" t="s">
        <v>235</v>
      </c>
      <c r="R757" t="s">
        <v>489</v>
      </c>
      <c r="S757" t="s">
        <v>218</v>
      </c>
      <c r="T757">
        <f ca="1">OFFSET('Calculations 2'!$C$45,W757,X757)*OFFSET($M$6,W757,0)</f>
        <v>1130.626009249477</v>
      </c>
      <c r="V757">
        <f t="shared" si="35"/>
        <v>751</v>
      </c>
      <c r="W757">
        <f t="shared" si="36"/>
        <v>25</v>
      </c>
      <c r="X757">
        <f t="shared" si="37"/>
        <v>22</v>
      </c>
      <c r="AC757" t="s">
        <v>235</v>
      </c>
      <c r="AD757" t="s">
        <v>489</v>
      </c>
      <c r="AE757" t="s">
        <v>218</v>
      </c>
      <c r="AF757">
        <f ca="1">OFFSET('Calculations 2'!$CE$45,W757,0)*OFFSET($AA$6,X757,0)*OFFSET($M$6,W757,)</f>
        <v>0</v>
      </c>
      <c r="AY757" t="s">
        <v>235</v>
      </c>
      <c r="AZ757" t="s">
        <v>489</v>
      </c>
      <c r="BA757" t="s">
        <v>218</v>
      </c>
      <c r="BB757">
        <v>0</v>
      </c>
      <c r="BE757" t="s">
        <v>235</v>
      </c>
      <c r="BF757" t="s">
        <v>489</v>
      </c>
      <c r="BG757" t="s">
        <v>218</v>
      </c>
      <c r="BH757">
        <v>0</v>
      </c>
      <c r="CT757" t="s">
        <v>235</v>
      </c>
      <c r="CU757" t="s">
        <v>218</v>
      </c>
      <c r="CV757">
        <f ca="1">OFFSET('Calculations 2'!$AJ$12,W757,X757)</f>
        <v>0</v>
      </c>
    </row>
    <row r="758" spans="17:100">
      <c r="Q758" t="s">
        <v>473</v>
      </c>
      <c r="R758" t="s">
        <v>489</v>
      </c>
      <c r="S758" t="s">
        <v>218</v>
      </c>
      <c r="T758">
        <f ca="1">OFFSET('Calculations 2'!$C$45,W758,X758)*OFFSET($M$6,W758,0)</f>
        <v>638.97241092872298</v>
      </c>
      <c r="V758">
        <f t="shared" si="35"/>
        <v>752</v>
      </c>
      <c r="W758">
        <f t="shared" si="36"/>
        <v>26</v>
      </c>
      <c r="X758">
        <f t="shared" si="37"/>
        <v>22</v>
      </c>
      <c r="AC758" t="s">
        <v>473</v>
      </c>
      <c r="AD758" t="s">
        <v>489</v>
      </c>
      <c r="AE758" t="s">
        <v>218</v>
      </c>
      <c r="AF758">
        <f ca="1">OFFSET('Calculations 2'!$CE$45,W758,0)*OFFSET($AA$6,X758,0)*OFFSET($M$6,W758,)</f>
        <v>0</v>
      </c>
      <c r="AY758" t="s">
        <v>473</v>
      </c>
      <c r="AZ758" t="s">
        <v>489</v>
      </c>
      <c r="BA758" t="s">
        <v>218</v>
      </c>
      <c r="BB758">
        <v>0</v>
      </c>
      <c r="BE758" t="s">
        <v>473</v>
      </c>
      <c r="BF758" t="s">
        <v>489</v>
      </c>
      <c r="BG758" t="s">
        <v>218</v>
      </c>
      <c r="BH758">
        <v>0</v>
      </c>
      <c r="CT758" t="s">
        <v>473</v>
      </c>
      <c r="CU758" t="s">
        <v>218</v>
      </c>
      <c r="CV758">
        <f ca="1">OFFSET('Calculations 2'!$AJ$12,W758,X758)</f>
        <v>0</v>
      </c>
    </row>
    <row r="759" spans="17:100">
      <c r="Q759" t="s">
        <v>233</v>
      </c>
      <c r="R759" t="s">
        <v>489</v>
      </c>
      <c r="S759" t="s">
        <v>218</v>
      </c>
      <c r="T759">
        <f ca="1">OFFSET('Calculations 2'!$C$45,W759,X759)*OFFSET($M$6,W759,0)</f>
        <v>15569.644723666081</v>
      </c>
      <c r="V759">
        <f t="shared" si="35"/>
        <v>753</v>
      </c>
      <c r="W759">
        <f t="shared" si="36"/>
        <v>27</v>
      </c>
      <c r="X759">
        <f t="shared" si="37"/>
        <v>22</v>
      </c>
      <c r="AC759" t="s">
        <v>233</v>
      </c>
      <c r="AD759" t="s">
        <v>489</v>
      </c>
      <c r="AE759" t="s">
        <v>218</v>
      </c>
      <c r="AF759">
        <f ca="1">OFFSET('Calculations 2'!$CE$45,W759,0)*OFFSET($AA$6,X759,0)*OFFSET($M$6,W759,)</f>
        <v>0</v>
      </c>
      <c r="AY759" t="s">
        <v>233</v>
      </c>
      <c r="AZ759" t="s">
        <v>489</v>
      </c>
      <c r="BA759" t="s">
        <v>218</v>
      </c>
      <c r="BB759">
        <v>0</v>
      </c>
      <c r="BE759" t="s">
        <v>233</v>
      </c>
      <c r="BF759" t="s">
        <v>489</v>
      </c>
      <c r="BG759" t="s">
        <v>218</v>
      </c>
      <c r="BH759">
        <v>0</v>
      </c>
      <c r="CT759" t="s">
        <v>233</v>
      </c>
      <c r="CU759" t="s">
        <v>218</v>
      </c>
      <c r="CV759">
        <f ca="1">OFFSET('Calculations 2'!$AJ$12,W759,X759)</f>
        <v>0</v>
      </c>
    </row>
    <row r="760" spans="17:100">
      <c r="Q760" t="s">
        <v>474</v>
      </c>
      <c r="R760" t="s">
        <v>489</v>
      </c>
      <c r="S760" t="s">
        <v>218</v>
      </c>
      <c r="T760">
        <f ca="1">OFFSET('Calculations 2'!$C$45,W760,X760)*OFFSET($M$6,W760,0)</f>
        <v>301.83420643373665</v>
      </c>
      <c r="V760">
        <f t="shared" si="35"/>
        <v>754</v>
      </c>
      <c r="W760">
        <f t="shared" si="36"/>
        <v>28</v>
      </c>
      <c r="X760">
        <f t="shared" si="37"/>
        <v>22</v>
      </c>
      <c r="AC760" t="s">
        <v>474</v>
      </c>
      <c r="AD760" t="s">
        <v>489</v>
      </c>
      <c r="AE760" t="s">
        <v>218</v>
      </c>
      <c r="AF760">
        <f ca="1">OFFSET('Calculations 2'!$CE$45,W760,0)*OFFSET($AA$6,X760,0)*OFFSET($M$6,W760,)</f>
        <v>0</v>
      </c>
      <c r="AY760" t="s">
        <v>474</v>
      </c>
      <c r="AZ760" t="s">
        <v>489</v>
      </c>
      <c r="BA760" t="s">
        <v>218</v>
      </c>
      <c r="BB760">
        <v>0</v>
      </c>
      <c r="BE760" t="s">
        <v>474</v>
      </c>
      <c r="BF760" t="s">
        <v>489</v>
      </c>
      <c r="BG760" t="s">
        <v>218</v>
      </c>
      <c r="BH760">
        <v>0</v>
      </c>
      <c r="CT760" t="s">
        <v>474</v>
      </c>
      <c r="CU760" t="s">
        <v>218</v>
      </c>
      <c r="CV760">
        <f ca="1">OFFSET('Calculations 2'!$AJ$12,W760,X760)</f>
        <v>0</v>
      </c>
    </row>
    <row r="761" spans="17:100">
      <c r="Q761" t="s">
        <v>223</v>
      </c>
      <c r="R761" t="s">
        <v>489</v>
      </c>
      <c r="S761" t="s">
        <v>218</v>
      </c>
      <c r="T761">
        <f ca="1">OFFSET('Calculations 2'!$C$45,W761,X761)*OFFSET($M$6,W761,0)</f>
        <v>0</v>
      </c>
      <c r="V761">
        <f t="shared" si="35"/>
        <v>755</v>
      </c>
      <c r="W761">
        <f t="shared" si="36"/>
        <v>29</v>
      </c>
      <c r="X761">
        <f t="shared" si="37"/>
        <v>22</v>
      </c>
      <c r="AC761" t="s">
        <v>223</v>
      </c>
      <c r="AD761" t="s">
        <v>489</v>
      </c>
      <c r="AE761" t="s">
        <v>218</v>
      </c>
      <c r="AF761">
        <f ca="1">OFFSET('Calculations 2'!$CE$45,W761,0)*OFFSET($AA$6,X761,0)*OFFSET($M$6,W761,)</f>
        <v>0</v>
      </c>
      <c r="AY761" t="s">
        <v>223</v>
      </c>
      <c r="AZ761" t="s">
        <v>489</v>
      </c>
      <c r="BA761" t="s">
        <v>218</v>
      </c>
      <c r="BB761">
        <v>0</v>
      </c>
      <c r="BE761" t="s">
        <v>223</v>
      </c>
      <c r="BF761" t="s">
        <v>489</v>
      </c>
      <c r="BG761" t="s">
        <v>218</v>
      </c>
      <c r="BH761">
        <v>0</v>
      </c>
      <c r="CT761" t="s">
        <v>223</v>
      </c>
      <c r="CU761" t="s">
        <v>218</v>
      </c>
      <c r="CV761">
        <f ca="1">OFFSET('Calculations 2'!$AJ$12,W761,X761)</f>
        <v>0</v>
      </c>
    </row>
    <row r="762" spans="17:100">
      <c r="Q762" t="s">
        <v>475</v>
      </c>
      <c r="R762" t="s">
        <v>489</v>
      </c>
      <c r="S762" t="s">
        <v>218</v>
      </c>
      <c r="T762">
        <f ca="1">OFFSET('Calculations 2'!$C$45,W762,X762)*OFFSET($M$6,W762,0)</f>
        <v>0</v>
      </c>
      <c r="V762">
        <f t="shared" si="35"/>
        <v>756</v>
      </c>
      <c r="W762">
        <f t="shared" si="36"/>
        <v>30</v>
      </c>
      <c r="X762">
        <f t="shared" si="37"/>
        <v>22</v>
      </c>
      <c r="AC762" t="s">
        <v>475</v>
      </c>
      <c r="AD762" t="s">
        <v>489</v>
      </c>
      <c r="AE762" t="s">
        <v>218</v>
      </c>
      <c r="AF762">
        <f ca="1">OFFSET('Calculations 2'!$CE$45,W762,0)*OFFSET($AA$6,X762,0)*OFFSET($M$6,W762,)</f>
        <v>0</v>
      </c>
      <c r="AY762" t="s">
        <v>475</v>
      </c>
      <c r="AZ762" t="s">
        <v>489</v>
      </c>
      <c r="BA762" t="s">
        <v>218</v>
      </c>
      <c r="BB762">
        <v>0</v>
      </c>
      <c r="BE762" t="s">
        <v>475</v>
      </c>
      <c r="BF762" t="s">
        <v>489</v>
      </c>
      <c r="BG762" t="s">
        <v>218</v>
      </c>
      <c r="BH762">
        <v>0</v>
      </c>
      <c r="CT762" t="s">
        <v>475</v>
      </c>
      <c r="CU762" t="s">
        <v>218</v>
      </c>
      <c r="CV762">
        <f ca="1">OFFSET('Calculations 2'!$AJ$12,W762,X762)</f>
        <v>0</v>
      </c>
    </row>
    <row r="763" spans="17:100">
      <c r="Q763" t="s">
        <v>476</v>
      </c>
      <c r="R763" t="s">
        <v>489</v>
      </c>
      <c r="S763" t="s">
        <v>218</v>
      </c>
      <c r="T763">
        <f ca="1">OFFSET('Calculations 2'!$C$45,W763,X763)*OFFSET($M$6,W763,0)</f>
        <v>0</v>
      </c>
      <c r="V763">
        <f t="shared" si="35"/>
        <v>757</v>
      </c>
      <c r="W763">
        <f t="shared" si="36"/>
        <v>31</v>
      </c>
      <c r="X763">
        <f t="shared" si="37"/>
        <v>22</v>
      </c>
      <c r="AC763" t="s">
        <v>476</v>
      </c>
      <c r="AD763" t="s">
        <v>489</v>
      </c>
      <c r="AE763" t="s">
        <v>218</v>
      </c>
      <c r="AF763">
        <f ca="1">OFFSET('Calculations 2'!$CE$45,W763,0)*OFFSET($AA$6,X763,0)*OFFSET($M$6,W763,)</f>
        <v>0</v>
      </c>
      <c r="AY763" t="s">
        <v>476</v>
      </c>
      <c r="AZ763" t="s">
        <v>489</v>
      </c>
      <c r="BA763" t="s">
        <v>218</v>
      </c>
      <c r="BB763">
        <v>0</v>
      </c>
      <c r="BE763" t="s">
        <v>476</v>
      </c>
      <c r="BF763" t="s">
        <v>489</v>
      </c>
      <c r="BG763" t="s">
        <v>218</v>
      </c>
      <c r="BH763">
        <v>0</v>
      </c>
      <c r="CT763" t="s">
        <v>476</v>
      </c>
      <c r="CU763" t="s">
        <v>218</v>
      </c>
      <c r="CV763">
        <f ca="1">OFFSET('Calculations 2'!$AJ$12,W763,X763)</f>
        <v>0</v>
      </c>
    </row>
    <row r="764" spans="17:100">
      <c r="Q764" t="s">
        <v>222</v>
      </c>
      <c r="R764" t="s">
        <v>489</v>
      </c>
      <c r="S764" t="s">
        <v>218</v>
      </c>
      <c r="T764">
        <f ca="1">OFFSET('Calculations 2'!$C$45,W764,X764)*OFFSET($M$6,W764,0)</f>
        <v>0</v>
      </c>
      <c r="V764">
        <f t="shared" si="35"/>
        <v>758</v>
      </c>
      <c r="W764">
        <f t="shared" si="36"/>
        <v>32</v>
      </c>
      <c r="X764">
        <f t="shared" si="37"/>
        <v>22</v>
      </c>
      <c r="AC764" t="s">
        <v>222</v>
      </c>
      <c r="AD764" t="s">
        <v>489</v>
      </c>
      <c r="AE764" t="s">
        <v>218</v>
      </c>
      <c r="AF764">
        <f ca="1">OFFSET('Calculations 2'!$CE$45,W764,0)*OFFSET($AA$6,X764,0)*OFFSET($M$6,W764,)</f>
        <v>0</v>
      </c>
      <c r="AY764" t="s">
        <v>222</v>
      </c>
      <c r="AZ764" t="s">
        <v>489</v>
      </c>
      <c r="BA764" t="s">
        <v>218</v>
      </c>
      <c r="BB764">
        <v>0</v>
      </c>
      <c r="BE764" t="s">
        <v>222</v>
      </c>
      <c r="BF764" t="s">
        <v>489</v>
      </c>
      <c r="BG764" t="s">
        <v>218</v>
      </c>
      <c r="BH764">
        <v>0</v>
      </c>
      <c r="CT764" t="s">
        <v>222</v>
      </c>
      <c r="CU764" t="s">
        <v>218</v>
      </c>
      <c r="CV764">
        <f ca="1">OFFSET('Calculations 2'!$AJ$12,W764,X764)</f>
        <v>0</v>
      </c>
    </row>
    <row r="765" spans="17:100">
      <c r="Q765" t="s">
        <v>217</v>
      </c>
      <c r="R765" t="s">
        <v>489</v>
      </c>
      <c r="S765" t="s">
        <v>257</v>
      </c>
      <c r="T765">
        <f ca="1">OFFSET('Calculations 2'!$C$45,W765,X765)*OFFSET($M$6,W765,0)</f>
        <v>0</v>
      </c>
      <c r="V765">
        <f t="shared" si="35"/>
        <v>759</v>
      </c>
      <c r="W765">
        <f t="shared" si="36"/>
        <v>0</v>
      </c>
      <c r="X765">
        <f t="shared" si="37"/>
        <v>23</v>
      </c>
      <c r="AC765" t="s">
        <v>217</v>
      </c>
      <c r="AD765" t="s">
        <v>489</v>
      </c>
      <c r="AE765" t="s">
        <v>257</v>
      </c>
      <c r="AF765">
        <f ca="1">OFFSET('Calculations 2'!$CE$45,W765,0)*OFFSET($AA$6,X765,0)*OFFSET($M$6,W765,)</f>
        <v>0.91030010352765356</v>
      </c>
      <c r="AY765" t="s">
        <v>217</v>
      </c>
      <c r="AZ765" t="s">
        <v>489</v>
      </c>
      <c r="BA765" t="s">
        <v>257</v>
      </c>
      <c r="BB765">
        <v>0</v>
      </c>
      <c r="BE765" t="s">
        <v>217</v>
      </c>
      <c r="BF765" t="s">
        <v>489</v>
      </c>
      <c r="BG765" t="s">
        <v>257</v>
      </c>
      <c r="BH765">
        <v>0</v>
      </c>
      <c r="CT765" t="s">
        <v>217</v>
      </c>
      <c r="CU765" t="s">
        <v>257</v>
      </c>
      <c r="CV765">
        <f ca="1">OFFSET('Calculations 2'!$AJ$12,W765,X765)</f>
        <v>0</v>
      </c>
    </row>
    <row r="766" spans="17:100">
      <c r="Q766" t="s">
        <v>232</v>
      </c>
      <c r="R766" t="s">
        <v>489</v>
      </c>
      <c r="S766" t="s">
        <v>257</v>
      </c>
      <c r="T766">
        <f ca="1">OFFSET('Calculations 2'!$C$45,W766,X766)*OFFSET($M$6,W766,0)</f>
        <v>30.920622113033552</v>
      </c>
      <c r="V766">
        <f t="shared" si="35"/>
        <v>760</v>
      </c>
      <c r="W766">
        <f t="shared" si="36"/>
        <v>1</v>
      </c>
      <c r="X766">
        <f t="shared" si="37"/>
        <v>23</v>
      </c>
      <c r="AC766" t="s">
        <v>232</v>
      </c>
      <c r="AD766" t="s">
        <v>489</v>
      </c>
      <c r="AE766" t="s">
        <v>257</v>
      </c>
      <c r="AF766">
        <f ca="1">OFFSET('Calculations 2'!$CE$45,W766,0)*OFFSET($AA$6,X766,0)*OFFSET($M$6,W766,)</f>
        <v>1.5879440863981036</v>
      </c>
      <c r="AY766" t="s">
        <v>232</v>
      </c>
      <c r="AZ766" t="s">
        <v>489</v>
      </c>
      <c r="BA766" t="s">
        <v>257</v>
      </c>
      <c r="BB766">
        <v>0</v>
      </c>
      <c r="BE766" t="s">
        <v>232</v>
      </c>
      <c r="BF766" t="s">
        <v>489</v>
      </c>
      <c r="BG766" t="s">
        <v>257</v>
      </c>
      <c r="BH766">
        <v>0</v>
      </c>
      <c r="CT766" t="s">
        <v>232</v>
      </c>
      <c r="CU766" t="s">
        <v>257</v>
      </c>
      <c r="CV766">
        <f ca="1">OFFSET('Calculations 2'!$AJ$12,W766,X766)</f>
        <v>0</v>
      </c>
    </row>
    <row r="767" spans="17:100">
      <c r="Q767" t="s">
        <v>226</v>
      </c>
      <c r="R767" t="s">
        <v>489</v>
      </c>
      <c r="S767" t="s">
        <v>257</v>
      </c>
      <c r="T767">
        <f ca="1">OFFSET('Calculations 2'!$C$45,W767,X767)*OFFSET($M$6,W767,0)</f>
        <v>17.060865825467918</v>
      </c>
      <c r="V767">
        <f t="shared" si="35"/>
        <v>761</v>
      </c>
      <c r="W767">
        <f t="shared" si="36"/>
        <v>2</v>
      </c>
      <c r="X767">
        <f t="shared" si="37"/>
        <v>23</v>
      </c>
      <c r="AC767" t="s">
        <v>226</v>
      </c>
      <c r="AD767" t="s">
        <v>489</v>
      </c>
      <c r="AE767" t="s">
        <v>257</v>
      </c>
      <c r="AF767">
        <f ca="1">OFFSET('Calculations 2'!$CE$45,W767,0)*OFFSET($AA$6,X767,0)*OFFSET($M$6,W767,)</f>
        <v>2.6737634723120456</v>
      </c>
      <c r="AY767" t="s">
        <v>226</v>
      </c>
      <c r="AZ767" t="s">
        <v>489</v>
      </c>
      <c r="BA767" t="s">
        <v>257</v>
      </c>
      <c r="BB767">
        <v>0</v>
      </c>
      <c r="BE767" t="s">
        <v>226</v>
      </c>
      <c r="BF767" t="s">
        <v>489</v>
      </c>
      <c r="BG767" t="s">
        <v>257</v>
      </c>
      <c r="BH767">
        <v>0</v>
      </c>
      <c r="CT767" t="s">
        <v>226</v>
      </c>
      <c r="CU767" t="s">
        <v>257</v>
      </c>
      <c r="CV767">
        <f ca="1">OFFSET('Calculations 2'!$AJ$12,W767,X767)</f>
        <v>0</v>
      </c>
    </row>
    <row r="768" spans="17:100">
      <c r="Q768" t="s">
        <v>243</v>
      </c>
      <c r="R768" t="s">
        <v>489</v>
      </c>
      <c r="S768" t="s">
        <v>257</v>
      </c>
      <c r="T768">
        <f ca="1">OFFSET('Calculations 2'!$C$45,W768,X768)*OFFSET($M$6,W768,0)</f>
        <v>22.559330881085049</v>
      </c>
      <c r="V768">
        <f t="shared" si="35"/>
        <v>762</v>
      </c>
      <c r="W768">
        <f t="shared" si="36"/>
        <v>3</v>
      </c>
      <c r="X768">
        <f t="shared" si="37"/>
        <v>23</v>
      </c>
      <c r="AC768" t="s">
        <v>243</v>
      </c>
      <c r="AD768" t="s">
        <v>489</v>
      </c>
      <c r="AE768" t="s">
        <v>257</v>
      </c>
      <c r="AF768">
        <f ca="1">OFFSET('Calculations 2'!$CE$45,W768,0)*OFFSET($AA$6,X768,0)*OFFSET($M$6,W768,)</f>
        <v>13.927246541992046</v>
      </c>
      <c r="AY768" t="s">
        <v>243</v>
      </c>
      <c r="AZ768" t="s">
        <v>489</v>
      </c>
      <c r="BA768" t="s">
        <v>257</v>
      </c>
      <c r="BB768">
        <v>0</v>
      </c>
      <c r="BE768" t="s">
        <v>243</v>
      </c>
      <c r="BF768" t="s">
        <v>489</v>
      </c>
      <c r="BG768" t="s">
        <v>257</v>
      </c>
      <c r="BH768">
        <v>0</v>
      </c>
      <c r="CT768" t="s">
        <v>243</v>
      </c>
      <c r="CU768" t="s">
        <v>257</v>
      </c>
      <c r="CV768">
        <f ca="1">OFFSET('Calculations 2'!$AJ$12,W768,X768)</f>
        <v>0</v>
      </c>
    </row>
    <row r="769" spans="17:100">
      <c r="Q769" t="s">
        <v>228</v>
      </c>
      <c r="R769" t="s">
        <v>489</v>
      </c>
      <c r="S769" t="s">
        <v>257</v>
      </c>
      <c r="T769">
        <f ca="1">OFFSET('Calculations 2'!$C$45,W769,X769)*OFFSET($M$6,W769,0)</f>
        <v>0</v>
      </c>
      <c r="V769">
        <f t="shared" si="35"/>
        <v>763</v>
      </c>
      <c r="W769">
        <f t="shared" si="36"/>
        <v>4</v>
      </c>
      <c r="X769">
        <f t="shared" si="37"/>
        <v>23</v>
      </c>
      <c r="AC769" t="s">
        <v>228</v>
      </c>
      <c r="AD769" t="s">
        <v>489</v>
      </c>
      <c r="AE769" t="s">
        <v>257</v>
      </c>
      <c r="AF769">
        <f ca="1">OFFSET('Calculations 2'!$CE$45,W769,0)*OFFSET($AA$6,X769,0)*OFFSET($M$6,W769,)</f>
        <v>9.8823893643607455E-2</v>
      </c>
      <c r="AY769" t="s">
        <v>228</v>
      </c>
      <c r="AZ769" t="s">
        <v>489</v>
      </c>
      <c r="BA769" t="s">
        <v>257</v>
      </c>
      <c r="BB769">
        <v>0</v>
      </c>
      <c r="BE769" t="s">
        <v>228</v>
      </c>
      <c r="BF769" t="s">
        <v>489</v>
      </c>
      <c r="BG769" t="s">
        <v>257</v>
      </c>
      <c r="BH769">
        <v>0</v>
      </c>
      <c r="CT769" t="s">
        <v>228</v>
      </c>
      <c r="CU769" t="s">
        <v>257</v>
      </c>
      <c r="CV769">
        <f ca="1">OFFSET('Calculations 2'!$AJ$12,W769,X769)</f>
        <v>0</v>
      </c>
    </row>
    <row r="770" spans="17:100">
      <c r="Q770" t="s">
        <v>246</v>
      </c>
      <c r="R770" t="s">
        <v>489</v>
      </c>
      <c r="S770" t="s">
        <v>257</v>
      </c>
      <c r="T770">
        <f ca="1">OFFSET('Calculations 2'!$C$45,W770,X770)*OFFSET($M$6,W770,0)</f>
        <v>568.8060658320735</v>
      </c>
      <c r="V770">
        <f t="shared" si="35"/>
        <v>764</v>
      </c>
      <c r="W770">
        <f t="shared" si="36"/>
        <v>5</v>
      </c>
      <c r="X770">
        <f t="shared" si="37"/>
        <v>23</v>
      </c>
      <c r="AC770" t="s">
        <v>246</v>
      </c>
      <c r="AD770" t="s">
        <v>489</v>
      </c>
      <c r="AE770" t="s">
        <v>257</v>
      </c>
      <c r="AF770">
        <f ca="1">OFFSET('Calculations 2'!$CE$45,W770,0)*OFFSET($AA$6,X770,0)*OFFSET($M$6,W770,)</f>
        <v>0.6083586191295699</v>
      </c>
      <c r="AY770" t="s">
        <v>246</v>
      </c>
      <c r="AZ770" t="s">
        <v>489</v>
      </c>
      <c r="BA770" t="s">
        <v>257</v>
      </c>
      <c r="BB770">
        <v>0</v>
      </c>
      <c r="BE770" t="s">
        <v>246</v>
      </c>
      <c r="BF770" t="s">
        <v>489</v>
      </c>
      <c r="BG770" t="s">
        <v>257</v>
      </c>
      <c r="BH770">
        <v>0</v>
      </c>
      <c r="CT770" t="s">
        <v>246</v>
      </c>
      <c r="CU770" t="s">
        <v>257</v>
      </c>
      <c r="CV770">
        <f ca="1">OFFSET('Calculations 2'!$AJ$12,W770,X770)</f>
        <v>0</v>
      </c>
    </row>
    <row r="771" spans="17:100">
      <c r="Q771" t="s">
        <v>239</v>
      </c>
      <c r="R771" t="s">
        <v>489</v>
      </c>
      <c r="S771" t="s">
        <v>257</v>
      </c>
      <c r="T771">
        <f ca="1">OFFSET('Calculations 2'!$C$45,W771,X771)*OFFSET($M$6,W771,0)</f>
        <v>24.246735905197649</v>
      </c>
      <c r="V771">
        <f t="shared" si="35"/>
        <v>765</v>
      </c>
      <c r="W771">
        <f t="shared" si="36"/>
        <v>6</v>
      </c>
      <c r="X771">
        <f t="shared" si="37"/>
        <v>23</v>
      </c>
      <c r="AC771" t="s">
        <v>239</v>
      </c>
      <c r="AD771" t="s">
        <v>489</v>
      </c>
      <c r="AE771" t="s">
        <v>257</v>
      </c>
      <c r="AF771">
        <f ca="1">OFFSET('Calculations 2'!$CE$45,W771,0)*OFFSET($AA$6,X771,0)*OFFSET($M$6,W771,)</f>
        <v>12.176675646711018</v>
      </c>
      <c r="AY771" t="s">
        <v>239</v>
      </c>
      <c r="AZ771" t="s">
        <v>489</v>
      </c>
      <c r="BA771" t="s">
        <v>257</v>
      </c>
      <c r="BB771">
        <v>0</v>
      </c>
      <c r="BE771" t="s">
        <v>239</v>
      </c>
      <c r="BF771" t="s">
        <v>489</v>
      </c>
      <c r="BG771" t="s">
        <v>257</v>
      </c>
      <c r="BH771">
        <v>0</v>
      </c>
      <c r="CT771" t="s">
        <v>239</v>
      </c>
      <c r="CU771" t="s">
        <v>257</v>
      </c>
      <c r="CV771">
        <f ca="1">OFFSET('Calculations 2'!$AJ$12,W771,X771)</f>
        <v>0</v>
      </c>
    </row>
    <row r="772" spans="17:100">
      <c r="Q772" t="s">
        <v>466</v>
      </c>
      <c r="R772" t="s">
        <v>489</v>
      </c>
      <c r="S772" t="s">
        <v>257</v>
      </c>
      <c r="T772">
        <f ca="1">OFFSET('Calculations 2'!$C$45,W772,X772)*OFFSET($M$6,W772,0)</f>
        <v>410.45573179250971</v>
      </c>
      <c r="V772">
        <f t="shared" si="35"/>
        <v>766</v>
      </c>
      <c r="W772">
        <f t="shared" si="36"/>
        <v>7</v>
      </c>
      <c r="X772">
        <f t="shared" si="37"/>
        <v>23</v>
      </c>
      <c r="AC772" t="s">
        <v>466</v>
      </c>
      <c r="AD772" t="s">
        <v>489</v>
      </c>
      <c r="AE772" t="s">
        <v>257</v>
      </c>
      <c r="AF772">
        <f ca="1">OFFSET('Calculations 2'!$CE$45,W772,0)*OFFSET($AA$6,X772,0)*OFFSET($M$6,W772,)</f>
        <v>1.8554897205634746</v>
      </c>
      <c r="AY772" t="s">
        <v>466</v>
      </c>
      <c r="AZ772" t="s">
        <v>489</v>
      </c>
      <c r="BA772" t="s">
        <v>257</v>
      </c>
      <c r="BB772">
        <v>0</v>
      </c>
      <c r="BE772" t="s">
        <v>466</v>
      </c>
      <c r="BF772" t="s">
        <v>489</v>
      </c>
      <c r="BG772" t="s">
        <v>257</v>
      </c>
      <c r="BH772">
        <v>0</v>
      </c>
      <c r="CT772" t="s">
        <v>466</v>
      </c>
      <c r="CU772" t="s">
        <v>257</v>
      </c>
      <c r="CV772">
        <f ca="1">OFFSET('Calculations 2'!$AJ$12,W772,X772)</f>
        <v>0</v>
      </c>
    </row>
    <row r="773" spans="17:100">
      <c r="Q773" t="s">
        <v>219</v>
      </c>
      <c r="R773" t="s">
        <v>489</v>
      </c>
      <c r="S773" t="s">
        <v>257</v>
      </c>
      <c r="T773">
        <f ca="1">OFFSET('Calculations 2'!$C$45,W773,X773)*OFFSET($M$6,W773,0)</f>
        <v>1.2260303620730852</v>
      </c>
      <c r="V773">
        <f t="shared" si="35"/>
        <v>767</v>
      </c>
      <c r="W773">
        <f t="shared" si="36"/>
        <v>8</v>
      </c>
      <c r="X773">
        <f t="shared" si="37"/>
        <v>23</v>
      </c>
      <c r="AC773" t="s">
        <v>219</v>
      </c>
      <c r="AD773" t="s">
        <v>489</v>
      </c>
      <c r="AE773" t="s">
        <v>257</v>
      </c>
      <c r="AF773">
        <f ca="1">OFFSET('Calculations 2'!$CE$45,W773,0)*OFFSET($AA$6,X773,0)*OFFSET($M$6,W773,)</f>
        <v>11.55451364968941</v>
      </c>
      <c r="AY773" t="s">
        <v>219</v>
      </c>
      <c r="AZ773" t="s">
        <v>489</v>
      </c>
      <c r="BA773" t="s">
        <v>257</v>
      </c>
      <c r="BB773">
        <v>0</v>
      </c>
      <c r="BE773" t="s">
        <v>219</v>
      </c>
      <c r="BF773" t="s">
        <v>489</v>
      </c>
      <c r="BG773" t="s">
        <v>257</v>
      </c>
      <c r="BH773">
        <v>0</v>
      </c>
      <c r="CT773" t="s">
        <v>219</v>
      </c>
      <c r="CU773" t="s">
        <v>257</v>
      </c>
      <c r="CV773">
        <f ca="1">OFFSET('Calculations 2'!$AJ$12,W773,X773)</f>
        <v>0</v>
      </c>
    </row>
    <row r="774" spans="17:100">
      <c r="Q774" t="s">
        <v>242</v>
      </c>
      <c r="R774" t="s">
        <v>489</v>
      </c>
      <c r="S774" t="s">
        <v>257</v>
      </c>
      <c r="T774">
        <f ca="1">OFFSET('Calculations 2'!$C$45,W774,X774)*OFFSET($M$6,W774,0)</f>
        <v>38.370484951924865</v>
      </c>
      <c r="V774">
        <f t="shared" si="35"/>
        <v>768</v>
      </c>
      <c r="W774">
        <f t="shared" si="36"/>
        <v>9</v>
      </c>
      <c r="X774">
        <f t="shared" si="37"/>
        <v>23</v>
      </c>
      <c r="AC774" t="s">
        <v>242</v>
      </c>
      <c r="AD774" t="s">
        <v>489</v>
      </c>
      <c r="AE774" t="s">
        <v>257</v>
      </c>
      <c r="AF774">
        <f ca="1">OFFSET('Calculations 2'!$CE$45,W774,0)*OFFSET($AA$6,X774,0)*OFFSET($M$6,W774,)</f>
        <v>18.087476924031584</v>
      </c>
      <c r="AY774" t="s">
        <v>242</v>
      </c>
      <c r="AZ774" t="s">
        <v>489</v>
      </c>
      <c r="BA774" t="s">
        <v>257</v>
      </c>
      <c r="BB774">
        <v>0</v>
      </c>
      <c r="BE774" t="s">
        <v>242</v>
      </c>
      <c r="BF774" t="s">
        <v>489</v>
      </c>
      <c r="BG774" t="s">
        <v>257</v>
      </c>
      <c r="BH774">
        <v>0</v>
      </c>
      <c r="CT774" t="s">
        <v>242</v>
      </c>
      <c r="CU774" t="s">
        <v>257</v>
      </c>
      <c r="CV774">
        <f ca="1">OFFSET('Calculations 2'!$AJ$12,W774,X774)</f>
        <v>0</v>
      </c>
    </row>
    <row r="775" spans="17:100">
      <c r="Q775" t="s">
        <v>467</v>
      </c>
      <c r="R775" t="s">
        <v>489</v>
      </c>
      <c r="S775" t="s">
        <v>257</v>
      </c>
      <c r="T775">
        <f ca="1">OFFSET('Calculations 2'!$C$45,W775,X775)*OFFSET($M$6,W775,0)</f>
        <v>0</v>
      </c>
      <c r="V775">
        <f t="shared" si="35"/>
        <v>769</v>
      </c>
      <c r="W775">
        <f t="shared" si="36"/>
        <v>10</v>
      </c>
      <c r="X775">
        <f t="shared" si="37"/>
        <v>23</v>
      </c>
      <c r="AC775" t="s">
        <v>467</v>
      </c>
      <c r="AD775" t="s">
        <v>489</v>
      </c>
      <c r="AE775" t="s">
        <v>257</v>
      </c>
      <c r="AF775">
        <f ca="1">OFFSET('Calculations 2'!$CE$45,W775,0)*OFFSET($AA$6,X775,0)*OFFSET($M$6,W775,)</f>
        <v>16.755799143567362</v>
      </c>
      <c r="AY775" t="s">
        <v>467</v>
      </c>
      <c r="AZ775" t="s">
        <v>489</v>
      </c>
      <c r="BA775" t="s">
        <v>257</v>
      </c>
      <c r="BB775">
        <v>0</v>
      </c>
      <c r="BE775" t="s">
        <v>467</v>
      </c>
      <c r="BF775" t="s">
        <v>489</v>
      </c>
      <c r="BG775" t="s">
        <v>257</v>
      </c>
      <c r="BH775">
        <v>0</v>
      </c>
      <c r="CT775" t="s">
        <v>467</v>
      </c>
      <c r="CU775" t="s">
        <v>257</v>
      </c>
      <c r="CV775">
        <f ca="1">OFFSET('Calculations 2'!$AJ$12,W775,X775)</f>
        <v>0</v>
      </c>
    </row>
    <row r="776" spans="17:100">
      <c r="Q776" t="s">
        <v>231</v>
      </c>
      <c r="R776" t="s">
        <v>489</v>
      </c>
      <c r="S776" t="s">
        <v>257</v>
      </c>
      <c r="T776">
        <f ca="1">OFFSET('Calculations 2'!$C$45,W776,X776)*OFFSET($M$6,W776,0)</f>
        <v>2.1243085313435019E-2</v>
      </c>
      <c r="V776">
        <f t="shared" ref="V776:V839" si="38">V775+1</f>
        <v>770</v>
      </c>
      <c r="W776">
        <f t="shared" ref="W776:W839" si="39">MOD(V776,$V$3)</f>
        <v>11</v>
      </c>
      <c r="X776">
        <f t="shared" ref="X776:X839" si="40">FLOOR(V776/$V$3,1)</f>
        <v>23</v>
      </c>
      <c r="AC776" t="s">
        <v>231</v>
      </c>
      <c r="AD776" t="s">
        <v>489</v>
      </c>
      <c r="AE776" t="s">
        <v>257</v>
      </c>
      <c r="AF776">
        <f ca="1">OFFSET('Calculations 2'!$CE$45,W776,0)*OFFSET($AA$6,X776,0)*OFFSET($M$6,W776,)</f>
        <v>49.007815532146907</v>
      </c>
      <c r="AY776" t="s">
        <v>231</v>
      </c>
      <c r="AZ776" t="s">
        <v>489</v>
      </c>
      <c r="BA776" t="s">
        <v>257</v>
      </c>
      <c r="BB776">
        <v>0</v>
      </c>
      <c r="BE776" t="s">
        <v>231</v>
      </c>
      <c r="BF776" t="s">
        <v>489</v>
      </c>
      <c r="BG776" t="s">
        <v>257</v>
      </c>
      <c r="BH776">
        <v>0</v>
      </c>
      <c r="CT776" t="s">
        <v>231</v>
      </c>
      <c r="CU776" t="s">
        <v>257</v>
      </c>
      <c r="CV776">
        <f ca="1">OFFSET('Calculations 2'!$AJ$12,W776,X776)</f>
        <v>0</v>
      </c>
    </row>
    <row r="777" spans="17:100">
      <c r="Q777" t="s">
        <v>468</v>
      </c>
      <c r="R777" t="s">
        <v>489</v>
      </c>
      <c r="S777" t="s">
        <v>257</v>
      </c>
      <c r="T777">
        <f ca="1">OFFSET('Calculations 2'!$C$45,W777,X777)*OFFSET($M$6,W777,0)</f>
        <v>87.72199453205495</v>
      </c>
      <c r="V777">
        <f t="shared" si="38"/>
        <v>771</v>
      </c>
      <c r="W777">
        <f t="shared" si="39"/>
        <v>12</v>
      </c>
      <c r="X777">
        <f t="shared" si="40"/>
        <v>23</v>
      </c>
      <c r="AC777" t="s">
        <v>468</v>
      </c>
      <c r="AD777" t="s">
        <v>489</v>
      </c>
      <c r="AE777" t="s">
        <v>257</v>
      </c>
      <c r="AF777">
        <f ca="1">OFFSET('Calculations 2'!$CE$45,W777,0)*OFFSET($AA$6,X777,0)*OFFSET($M$6,W777,)</f>
        <v>70.934950096903194</v>
      </c>
      <c r="AY777" t="s">
        <v>468</v>
      </c>
      <c r="AZ777" t="s">
        <v>489</v>
      </c>
      <c r="BA777" t="s">
        <v>257</v>
      </c>
      <c r="BB777">
        <v>0</v>
      </c>
      <c r="BE777" t="s">
        <v>468</v>
      </c>
      <c r="BF777" t="s">
        <v>489</v>
      </c>
      <c r="BG777" t="s">
        <v>257</v>
      </c>
      <c r="BH777">
        <v>0</v>
      </c>
      <c r="CT777" t="s">
        <v>468</v>
      </c>
      <c r="CU777" t="s">
        <v>257</v>
      </c>
      <c r="CV777">
        <f ca="1">OFFSET('Calculations 2'!$AJ$12,W777,X777)</f>
        <v>0</v>
      </c>
    </row>
    <row r="778" spans="17:100">
      <c r="Q778" t="s">
        <v>469</v>
      </c>
      <c r="R778" t="s">
        <v>489</v>
      </c>
      <c r="S778" t="s">
        <v>257</v>
      </c>
      <c r="T778">
        <f ca="1">OFFSET('Calculations 2'!$C$45,W778,X778)*OFFSET($M$6,W778,0)</f>
        <v>0</v>
      </c>
      <c r="V778">
        <f t="shared" si="38"/>
        <v>772</v>
      </c>
      <c r="W778">
        <f t="shared" si="39"/>
        <v>13</v>
      </c>
      <c r="X778">
        <f t="shared" si="40"/>
        <v>23</v>
      </c>
      <c r="AC778" t="s">
        <v>469</v>
      </c>
      <c r="AD778" t="s">
        <v>489</v>
      </c>
      <c r="AE778" t="s">
        <v>257</v>
      </c>
      <c r="AF778">
        <f ca="1">OFFSET('Calculations 2'!$CE$45,W778,0)*OFFSET($AA$6,X778,0)*OFFSET($M$6,W778,)</f>
        <v>14.756008701901955</v>
      </c>
      <c r="AY778" t="s">
        <v>469</v>
      </c>
      <c r="AZ778" t="s">
        <v>489</v>
      </c>
      <c r="BA778" t="s">
        <v>257</v>
      </c>
      <c r="BB778">
        <v>0</v>
      </c>
      <c r="BE778" t="s">
        <v>469</v>
      </c>
      <c r="BF778" t="s">
        <v>489</v>
      </c>
      <c r="BG778" t="s">
        <v>257</v>
      </c>
      <c r="BH778">
        <v>0</v>
      </c>
      <c r="CT778" t="s">
        <v>469</v>
      </c>
      <c r="CU778" t="s">
        <v>257</v>
      </c>
      <c r="CV778">
        <f ca="1">OFFSET('Calculations 2'!$AJ$12,W778,X778)</f>
        <v>0</v>
      </c>
    </row>
    <row r="779" spans="17:100">
      <c r="Q779" t="s">
        <v>245</v>
      </c>
      <c r="R779" t="s">
        <v>489</v>
      </c>
      <c r="S779" t="s">
        <v>257</v>
      </c>
      <c r="T779">
        <f ca="1">OFFSET('Calculations 2'!$C$45,W779,X779)*OFFSET($M$6,W779,0)</f>
        <v>10.181842158050809</v>
      </c>
      <c r="V779">
        <f t="shared" si="38"/>
        <v>773</v>
      </c>
      <c r="W779">
        <f t="shared" si="39"/>
        <v>14</v>
      </c>
      <c r="X779">
        <f t="shared" si="40"/>
        <v>23</v>
      </c>
      <c r="AC779" t="s">
        <v>245</v>
      </c>
      <c r="AD779" t="s">
        <v>489</v>
      </c>
      <c r="AE779" t="s">
        <v>257</v>
      </c>
      <c r="AF779">
        <f ca="1">OFFSET('Calculations 2'!$CE$45,W779,0)*OFFSET($AA$6,X779,0)*OFFSET($M$6,W779,)</f>
        <v>21.315172075229714</v>
      </c>
      <c r="AY779" t="s">
        <v>245</v>
      </c>
      <c r="AZ779" t="s">
        <v>489</v>
      </c>
      <c r="BA779" t="s">
        <v>257</v>
      </c>
      <c r="BB779">
        <v>0</v>
      </c>
      <c r="BE779" t="s">
        <v>245</v>
      </c>
      <c r="BF779" t="s">
        <v>489</v>
      </c>
      <c r="BG779" t="s">
        <v>257</v>
      </c>
      <c r="BH779">
        <v>0</v>
      </c>
      <c r="CT779" t="s">
        <v>245</v>
      </c>
      <c r="CU779" t="s">
        <v>257</v>
      </c>
      <c r="CV779">
        <f ca="1">OFFSET('Calculations 2'!$AJ$12,W779,X779)</f>
        <v>0</v>
      </c>
    </row>
    <row r="780" spans="17:100">
      <c r="Q780" t="s">
        <v>470</v>
      </c>
      <c r="R780" t="s">
        <v>489</v>
      </c>
      <c r="S780" t="s">
        <v>257</v>
      </c>
      <c r="T780">
        <f ca="1">OFFSET('Calculations 2'!$C$45,W780,X780)*OFFSET($M$6,W780,0)</f>
        <v>47.608421231078516</v>
      </c>
      <c r="V780">
        <f t="shared" si="38"/>
        <v>774</v>
      </c>
      <c r="W780">
        <f t="shared" si="39"/>
        <v>15</v>
      </c>
      <c r="X780">
        <f t="shared" si="40"/>
        <v>23</v>
      </c>
      <c r="AC780" t="s">
        <v>470</v>
      </c>
      <c r="AD780" t="s">
        <v>489</v>
      </c>
      <c r="AE780" t="s">
        <v>257</v>
      </c>
      <c r="AF780">
        <f ca="1">OFFSET('Calculations 2'!$CE$45,W780,0)*OFFSET($AA$6,X780,0)*OFFSET($M$6,W780,)</f>
        <v>58.039831851886326</v>
      </c>
      <c r="AY780" t="s">
        <v>470</v>
      </c>
      <c r="AZ780" t="s">
        <v>489</v>
      </c>
      <c r="BA780" t="s">
        <v>257</v>
      </c>
      <c r="BB780">
        <v>0</v>
      </c>
      <c r="BE780" t="s">
        <v>470</v>
      </c>
      <c r="BF780" t="s">
        <v>489</v>
      </c>
      <c r="BG780" t="s">
        <v>257</v>
      </c>
      <c r="BH780">
        <v>0</v>
      </c>
      <c r="CT780" t="s">
        <v>470</v>
      </c>
      <c r="CU780" t="s">
        <v>257</v>
      </c>
      <c r="CV780">
        <f ca="1">OFFSET('Calculations 2'!$AJ$12,W780,X780)</f>
        <v>0</v>
      </c>
    </row>
    <row r="781" spans="17:100">
      <c r="Q781" t="s">
        <v>471</v>
      </c>
      <c r="R781" t="s">
        <v>489</v>
      </c>
      <c r="S781" t="s">
        <v>257</v>
      </c>
      <c r="T781">
        <f ca="1">OFFSET('Calculations 2'!$C$45,W781,X781)*OFFSET($M$6,W781,0)</f>
        <v>1389.7091791521621</v>
      </c>
      <c r="V781">
        <f t="shared" si="38"/>
        <v>775</v>
      </c>
      <c r="W781">
        <f t="shared" si="39"/>
        <v>16</v>
      </c>
      <c r="X781">
        <f t="shared" si="40"/>
        <v>23</v>
      </c>
      <c r="AC781" t="s">
        <v>471</v>
      </c>
      <c r="AD781" t="s">
        <v>489</v>
      </c>
      <c r="AE781" t="s">
        <v>257</v>
      </c>
      <c r="AF781">
        <f ca="1">OFFSET('Calculations 2'!$CE$45,W781,0)*OFFSET($AA$6,X781,0)*OFFSET($M$6,W781,)</f>
        <v>0</v>
      </c>
      <c r="AY781" t="s">
        <v>471</v>
      </c>
      <c r="AZ781" t="s">
        <v>489</v>
      </c>
      <c r="BA781" t="s">
        <v>257</v>
      </c>
      <c r="BB781">
        <v>0</v>
      </c>
      <c r="BE781" t="s">
        <v>471</v>
      </c>
      <c r="BF781" t="s">
        <v>489</v>
      </c>
      <c r="BG781" t="s">
        <v>257</v>
      </c>
      <c r="BH781">
        <v>0</v>
      </c>
      <c r="CT781" t="s">
        <v>471</v>
      </c>
      <c r="CU781" t="s">
        <v>257</v>
      </c>
      <c r="CV781">
        <f ca="1">OFFSET('Calculations 2'!$AJ$12,W781,X781)</f>
        <v>0</v>
      </c>
    </row>
    <row r="782" spans="17:100">
      <c r="Q782" t="s">
        <v>221</v>
      </c>
      <c r="R782" t="s">
        <v>489</v>
      </c>
      <c r="S782" t="s">
        <v>257</v>
      </c>
      <c r="T782">
        <f ca="1">OFFSET('Calculations 2'!$C$45,W782,X782)*OFFSET($M$6,W782,0)</f>
        <v>695.85018090540814</v>
      </c>
      <c r="V782">
        <f t="shared" si="38"/>
        <v>776</v>
      </c>
      <c r="W782">
        <f t="shared" si="39"/>
        <v>17</v>
      </c>
      <c r="X782">
        <f t="shared" si="40"/>
        <v>23</v>
      </c>
      <c r="AC782" t="s">
        <v>221</v>
      </c>
      <c r="AD782" t="s">
        <v>489</v>
      </c>
      <c r="AE782" t="s">
        <v>257</v>
      </c>
      <c r="AF782">
        <f ca="1">OFFSET('Calculations 2'!$CE$45,W782,0)*OFFSET($AA$6,X782,0)*OFFSET($M$6,W782,)</f>
        <v>1927.9926990256915</v>
      </c>
      <c r="AY782" t="s">
        <v>221</v>
      </c>
      <c r="AZ782" t="s">
        <v>489</v>
      </c>
      <c r="BA782" t="s">
        <v>257</v>
      </c>
      <c r="BB782">
        <v>0</v>
      </c>
      <c r="BE782" t="s">
        <v>221</v>
      </c>
      <c r="BF782" t="s">
        <v>489</v>
      </c>
      <c r="BG782" t="s">
        <v>257</v>
      </c>
      <c r="BH782">
        <v>0</v>
      </c>
      <c r="CT782" t="s">
        <v>221</v>
      </c>
      <c r="CU782" t="s">
        <v>257</v>
      </c>
      <c r="CV782">
        <f ca="1">OFFSET('Calculations 2'!$AJ$12,W782,X782)</f>
        <v>0</v>
      </c>
    </row>
    <row r="783" spans="17:100">
      <c r="Q783" t="s">
        <v>244</v>
      </c>
      <c r="R783" t="s">
        <v>489</v>
      </c>
      <c r="S783" t="s">
        <v>257</v>
      </c>
      <c r="T783">
        <f ca="1">OFFSET('Calculations 2'!$C$45,W783,X783)*OFFSET($M$6,W783,0)</f>
        <v>3902.7695985709024</v>
      </c>
      <c r="V783">
        <f t="shared" si="38"/>
        <v>777</v>
      </c>
      <c r="W783">
        <f t="shared" si="39"/>
        <v>18</v>
      </c>
      <c r="X783">
        <f t="shared" si="40"/>
        <v>23</v>
      </c>
      <c r="AC783" t="s">
        <v>244</v>
      </c>
      <c r="AD783" t="s">
        <v>489</v>
      </c>
      <c r="AE783" t="s">
        <v>257</v>
      </c>
      <c r="AF783">
        <f ca="1">OFFSET('Calculations 2'!$CE$45,W783,0)*OFFSET($AA$6,X783,0)*OFFSET($M$6,W783,)</f>
        <v>308.27317742137024</v>
      </c>
      <c r="AY783" t="s">
        <v>244</v>
      </c>
      <c r="AZ783" t="s">
        <v>489</v>
      </c>
      <c r="BA783" t="s">
        <v>257</v>
      </c>
      <c r="BB783">
        <v>0</v>
      </c>
      <c r="BE783" t="s">
        <v>244</v>
      </c>
      <c r="BF783" t="s">
        <v>489</v>
      </c>
      <c r="BG783" t="s">
        <v>257</v>
      </c>
      <c r="BH783">
        <v>0</v>
      </c>
      <c r="CT783" t="s">
        <v>244</v>
      </c>
      <c r="CU783" t="s">
        <v>257</v>
      </c>
      <c r="CV783">
        <f ca="1">OFFSET('Calculations 2'!$AJ$12,W783,X783)</f>
        <v>0</v>
      </c>
    </row>
    <row r="784" spans="17:100">
      <c r="Q784" t="s">
        <v>472</v>
      </c>
      <c r="R784" t="s">
        <v>489</v>
      </c>
      <c r="S784" t="s">
        <v>257</v>
      </c>
      <c r="T784">
        <f ca="1">OFFSET('Calculations 2'!$C$45,W784,X784)*OFFSET($M$6,W784,0)</f>
        <v>293.03121139669179</v>
      </c>
      <c r="V784">
        <f t="shared" si="38"/>
        <v>778</v>
      </c>
      <c r="W784">
        <f t="shared" si="39"/>
        <v>19</v>
      </c>
      <c r="X784">
        <f t="shared" si="40"/>
        <v>23</v>
      </c>
      <c r="AC784" t="s">
        <v>472</v>
      </c>
      <c r="AD784" t="s">
        <v>489</v>
      </c>
      <c r="AE784" t="s">
        <v>257</v>
      </c>
      <c r="AF784">
        <f ca="1">OFFSET('Calculations 2'!$CE$45,W784,0)*OFFSET($AA$6,X784,0)*OFFSET($M$6,W784,)</f>
        <v>0</v>
      </c>
      <c r="AY784" t="s">
        <v>472</v>
      </c>
      <c r="AZ784" t="s">
        <v>489</v>
      </c>
      <c r="BA784" t="s">
        <v>257</v>
      </c>
      <c r="BB784">
        <v>0</v>
      </c>
      <c r="BE784" t="s">
        <v>472</v>
      </c>
      <c r="BF784" t="s">
        <v>489</v>
      </c>
      <c r="BG784" t="s">
        <v>257</v>
      </c>
      <c r="BH784">
        <v>0</v>
      </c>
      <c r="CT784" t="s">
        <v>472</v>
      </c>
      <c r="CU784" t="s">
        <v>257</v>
      </c>
      <c r="CV784">
        <f ca="1">OFFSET('Calculations 2'!$AJ$12,W784,X784)</f>
        <v>0</v>
      </c>
    </row>
    <row r="785" spans="17:100">
      <c r="Q785" t="s">
        <v>238</v>
      </c>
      <c r="R785" t="s">
        <v>489</v>
      </c>
      <c r="S785" t="s">
        <v>257</v>
      </c>
      <c r="T785">
        <f ca="1">OFFSET('Calculations 2'!$C$45,W785,X785)*OFFSET($M$6,W785,0)</f>
        <v>3395.4361200503031</v>
      </c>
      <c r="V785">
        <f t="shared" si="38"/>
        <v>779</v>
      </c>
      <c r="W785">
        <f t="shared" si="39"/>
        <v>20</v>
      </c>
      <c r="X785">
        <f t="shared" si="40"/>
        <v>23</v>
      </c>
      <c r="AC785" t="s">
        <v>238</v>
      </c>
      <c r="AD785" t="s">
        <v>489</v>
      </c>
      <c r="AE785" t="s">
        <v>257</v>
      </c>
      <c r="AF785">
        <f ca="1">OFFSET('Calculations 2'!$CE$45,W785,0)*OFFSET($AA$6,X785,0)*OFFSET($M$6,W785,)</f>
        <v>0</v>
      </c>
      <c r="AY785" t="s">
        <v>238</v>
      </c>
      <c r="AZ785" t="s">
        <v>489</v>
      </c>
      <c r="BA785" t="s">
        <v>257</v>
      </c>
      <c r="BB785">
        <v>0</v>
      </c>
      <c r="BE785" t="s">
        <v>238</v>
      </c>
      <c r="BF785" t="s">
        <v>489</v>
      </c>
      <c r="BG785" t="s">
        <v>257</v>
      </c>
      <c r="BH785">
        <v>0</v>
      </c>
      <c r="CT785" t="s">
        <v>238</v>
      </c>
      <c r="CU785" t="s">
        <v>257</v>
      </c>
      <c r="CV785">
        <f ca="1">OFFSET('Calculations 2'!$AJ$12,W785,X785)</f>
        <v>0</v>
      </c>
    </row>
    <row r="786" spans="17:100">
      <c r="Q786" t="s">
        <v>247</v>
      </c>
      <c r="R786" t="s">
        <v>489</v>
      </c>
      <c r="S786" t="s">
        <v>257</v>
      </c>
      <c r="T786">
        <f ca="1">OFFSET('Calculations 2'!$C$45,W786,X786)*OFFSET($M$6,W786,0)</f>
        <v>0</v>
      </c>
      <c r="V786">
        <f t="shared" si="38"/>
        <v>780</v>
      </c>
      <c r="W786">
        <f t="shared" si="39"/>
        <v>21</v>
      </c>
      <c r="X786">
        <f t="shared" si="40"/>
        <v>23</v>
      </c>
      <c r="AC786" t="s">
        <v>247</v>
      </c>
      <c r="AD786" t="s">
        <v>489</v>
      </c>
      <c r="AE786" t="s">
        <v>257</v>
      </c>
      <c r="AF786">
        <f ca="1">OFFSET('Calculations 2'!$CE$45,W786,0)*OFFSET($AA$6,X786,0)*OFFSET($M$6,W786,)</f>
        <v>0</v>
      </c>
      <c r="AY786" t="s">
        <v>247</v>
      </c>
      <c r="AZ786" t="s">
        <v>489</v>
      </c>
      <c r="BA786" t="s">
        <v>257</v>
      </c>
      <c r="BB786">
        <v>0</v>
      </c>
      <c r="BE786" t="s">
        <v>247</v>
      </c>
      <c r="BF786" t="s">
        <v>489</v>
      </c>
      <c r="BG786" t="s">
        <v>257</v>
      </c>
      <c r="BH786">
        <v>0</v>
      </c>
      <c r="CT786" t="s">
        <v>247</v>
      </c>
      <c r="CU786" t="s">
        <v>257</v>
      </c>
      <c r="CV786">
        <f ca="1">OFFSET('Calculations 2'!$AJ$12,W786,X786)</f>
        <v>0</v>
      </c>
    </row>
    <row r="787" spans="17:100">
      <c r="Q787" t="s">
        <v>218</v>
      </c>
      <c r="R787" t="s">
        <v>489</v>
      </c>
      <c r="S787" t="s">
        <v>257</v>
      </c>
      <c r="T787">
        <f ca="1">OFFSET('Calculations 2'!$C$45,W787,X787)*OFFSET($M$6,W787,0)</f>
        <v>4187.5300414901358</v>
      </c>
      <c r="V787">
        <f t="shared" si="38"/>
        <v>781</v>
      </c>
      <c r="W787">
        <f t="shared" si="39"/>
        <v>22</v>
      </c>
      <c r="X787">
        <f t="shared" si="40"/>
        <v>23</v>
      </c>
      <c r="AC787" t="s">
        <v>218</v>
      </c>
      <c r="AD787" t="s">
        <v>489</v>
      </c>
      <c r="AE787" t="s">
        <v>257</v>
      </c>
      <c r="AF787">
        <f ca="1">OFFSET('Calculations 2'!$CE$45,W787,0)*OFFSET($AA$6,X787,0)*OFFSET($M$6,W787,)</f>
        <v>0</v>
      </c>
      <c r="AY787" t="s">
        <v>218</v>
      </c>
      <c r="AZ787" t="s">
        <v>489</v>
      </c>
      <c r="BA787" t="s">
        <v>257</v>
      </c>
      <c r="BB787">
        <v>0</v>
      </c>
      <c r="BE787" t="s">
        <v>218</v>
      </c>
      <c r="BF787" t="s">
        <v>489</v>
      </c>
      <c r="BG787" t="s">
        <v>257</v>
      </c>
      <c r="BH787">
        <v>0</v>
      </c>
      <c r="CT787" t="s">
        <v>218</v>
      </c>
      <c r="CU787" t="s">
        <v>257</v>
      </c>
      <c r="CV787">
        <f ca="1">OFFSET('Calculations 2'!$AJ$12,W787,X787)</f>
        <v>0</v>
      </c>
    </row>
    <row r="788" spans="17:100">
      <c r="Q788" t="s">
        <v>257</v>
      </c>
      <c r="R788" t="s">
        <v>489</v>
      </c>
      <c r="S788" t="s">
        <v>257</v>
      </c>
      <c r="T788">
        <f ca="1">OFFSET('Calculations 2'!$C$45,W788,X788)*OFFSET($M$6,W788,0)</f>
        <v>12219.873427021215</v>
      </c>
      <c r="V788">
        <f t="shared" si="38"/>
        <v>782</v>
      </c>
      <c r="W788">
        <f t="shared" si="39"/>
        <v>23</v>
      </c>
      <c r="X788">
        <f t="shared" si="40"/>
        <v>23</v>
      </c>
      <c r="AC788" t="s">
        <v>257</v>
      </c>
      <c r="AD788" t="s">
        <v>489</v>
      </c>
      <c r="AE788" t="s">
        <v>257</v>
      </c>
      <c r="AF788">
        <f ca="1">OFFSET('Calculations 2'!$CE$45,W788,0)*OFFSET($AA$6,X788,0)*OFFSET($M$6,W788,)</f>
        <v>0</v>
      </c>
      <c r="AY788" t="s">
        <v>257</v>
      </c>
      <c r="AZ788" t="s">
        <v>489</v>
      </c>
      <c r="BA788" t="s">
        <v>257</v>
      </c>
      <c r="BB788">
        <v>0</v>
      </c>
      <c r="BE788" t="s">
        <v>257</v>
      </c>
      <c r="BF788" t="s">
        <v>489</v>
      </c>
      <c r="BG788" t="s">
        <v>257</v>
      </c>
      <c r="BH788">
        <v>0</v>
      </c>
      <c r="CT788" t="s">
        <v>257</v>
      </c>
      <c r="CU788" t="s">
        <v>257</v>
      </c>
      <c r="CV788">
        <f ca="1">OFFSET('Calculations 2'!$AJ$12,W788,X788)</f>
        <v>51951.452999999994</v>
      </c>
    </row>
    <row r="789" spans="17:100">
      <c r="Q789" t="s">
        <v>220</v>
      </c>
      <c r="R789" t="s">
        <v>489</v>
      </c>
      <c r="S789" t="s">
        <v>257</v>
      </c>
      <c r="T789">
        <f ca="1">OFFSET('Calculations 2'!$C$45,W789,X789)*OFFSET($M$6,W789,0)</f>
        <v>196.51026958345605</v>
      </c>
      <c r="V789">
        <f t="shared" si="38"/>
        <v>783</v>
      </c>
      <c r="W789">
        <f t="shared" si="39"/>
        <v>24</v>
      </c>
      <c r="X789">
        <f t="shared" si="40"/>
        <v>23</v>
      </c>
      <c r="AC789" t="s">
        <v>220</v>
      </c>
      <c r="AD789" t="s">
        <v>489</v>
      </c>
      <c r="AE789" t="s">
        <v>257</v>
      </c>
      <c r="AF789">
        <f ca="1">OFFSET('Calculations 2'!$CE$45,W789,0)*OFFSET($AA$6,X789,0)*OFFSET($M$6,W789,)</f>
        <v>0</v>
      </c>
      <c r="AY789" t="s">
        <v>220</v>
      </c>
      <c r="AZ789" t="s">
        <v>489</v>
      </c>
      <c r="BA789" t="s">
        <v>257</v>
      </c>
      <c r="BB789">
        <v>0</v>
      </c>
      <c r="BE789" t="s">
        <v>220</v>
      </c>
      <c r="BF789" t="s">
        <v>489</v>
      </c>
      <c r="BG789" t="s">
        <v>257</v>
      </c>
      <c r="BH789">
        <v>0</v>
      </c>
      <c r="CT789" t="s">
        <v>220</v>
      </c>
      <c r="CU789" t="s">
        <v>257</v>
      </c>
      <c r="CV789">
        <f ca="1">OFFSET('Calculations 2'!$AJ$12,W789,X789)</f>
        <v>0</v>
      </c>
    </row>
    <row r="790" spans="17:100">
      <c r="Q790" t="s">
        <v>235</v>
      </c>
      <c r="R790" t="s">
        <v>489</v>
      </c>
      <c r="S790" t="s">
        <v>257</v>
      </c>
      <c r="T790">
        <f ca="1">OFFSET('Calculations 2'!$C$45,W790,X790)*OFFSET($M$6,W790,0)</f>
        <v>313.06071384784696</v>
      </c>
      <c r="V790">
        <f t="shared" si="38"/>
        <v>784</v>
      </c>
      <c r="W790">
        <f t="shared" si="39"/>
        <v>25</v>
      </c>
      <c r="X790">
        <f t="shared" si="40"/>
        <v>23</v>
      </c>
      <c r="AC790" t="s">
        <v>235</v>
      </c>
      <c r="AD790" t="s">
        <v>489</v>
      </c>
      <c r="AE790" t="s">
        <v>257</v>
      </c>
      <c r="AF790">
        <f ca="1">OFFSET('Calculations 2'!$CE$45,W790,0)*OFFSET($AA$6,X790,0)*OFFSET($M$6,W790,)</f>
        <v>0</v>
      </c>
      <c r="AY790" t="s">
        <v>235</v>
      </c>
      <c r="AZ790" t="s">
        <v>489</v>
      </c>
      <c r="BA790" t="s">
        <v>257</v>
      </c>
      <c r="BB790">
        <v>0</v>
      </c>
      <c r="BE790" t="s">
        <v>235</v>
      </c>
      <c r="BF790" t="s">
        <v>489</v>
      </c>
      <c r="BG790" t="s">
        <v>257</v>
      </c>
      <c r="BH790">
        <v>0</v>
      </c>
      <c r="CT790" t="s">
        <v>235</v>
      </c>
      <c r="CU790" t="s">
        <v>257</v>
      </c>
      <c r="CV790">
        <f ca="1">OFFSET('Calculations 2'!$AJ$12,W790,X790)</f>
        <v>0</v>
      </c>
    </row>
    <row r="791" spans="17:100">
      <c r="Q791" t="s">
        <v>473</v>
      </c>
      <c r="R791" t="s">
        <v>489</v>
      </c>
      <c r="S791" t="s">
        <v>257</v>
      </c>
      <c r="T791">
        <f ca="1">OFFSET('Calculations 2'!$C$45,W791,X791)*OFFSET($M$6,W791,0)</f>
        <v>531.54653107921763</v>
      </c>
      <c r="V791">
        <f t="shared" si="38"/>
        <v>785</v>
      </c>
      <c r="W791">
        <f t="shared" si="39"/>
        <v>26</v>
      </c>
      <c r="X791">
        <f t="shared" si="40"/>
        <v>23</v>
      </c>
      <c r="AC791" t="s">
        <v>473</v>
      </c>
      <c r="AD791" t="s">
        <v>489</v>
      </c>
      <c r="AE791" t="s">
        <v>257</v>
      </c>
      <c r="AF791">
        <f ca="1">OFFSET('Calculations 2'!$CE$45,W791,0)*OFFSET($AA$6,X791,0)*OFFSET($M$6,W791,)</f>
        <v>0</v>
      </c>
      <c r="AY791" t="s">
        <v>473</v>
      </c>
      <c r="AZ791" t="s">
        <v>489</v>
      </c>
      <c r="BA791" t="s">
        <v>257</v>
      </c>
      <c r="BB791">
        <v>0</v>
      </c>
      <c r="BE791" t="s">
        <v>473</v>
      </c>
      <c r="BF791" t="s">
        <v>489</v>
      </c>
      <c r="BG791" t="s">
        <v>257</v>
      </c>
      <c r="BH791">
        <v>0</v>
      </c>
      <c r="CT791" t="s">
        <v>473</v>
      </c>
      <c r="CU791" t="s">
        <v>257</v>
      </c>
      <c r="CV791">
        <f ca="1">OFFSET('Calculations 2'!$AJ$12,W791,X791)</f>
        <v>0</v>
      </c>
    </row>
    <row r="792" spans="17:100">
      <c r="Q792" t="s">
        <v>233</v>
      </c>
      <c r="R792" t="s">
        <v>489</v>
      </c>
      <c r="S792" t="s">
        <v>257</v>
      </c>
      <c r="T792">
        <f ca="1">OFFSET('Calculations 2'!$C$45,W792,X792)*OFFSET($M$6,W792,0)</f>
        <v>941.04331087720311</v>
      </c>
      <c r="V792">
        <f t="shared" si="38"/>
        <v>786</v>
      </c>
      <c r="W792">
        <f t="shared" si="39"/>
        <v>27</v>
      </c>
      <c r="X792">
        <f t="shared" si="40"/>
        <v>23</v>
      </c>
      <c r="AC792" t="s">
        <v>233</v>
      </c>
      <c r="AD792" t="s">
        <v>489</v>
      </c>
      <c r="AE792" t="s">
        <v>257</v>
      </c>
      <c r="AF792">
        <f ca="1">OFFSET('Calculations 2'!$CE$45,W792,0)*OFFSET($AA$6,X792,0)*OFFSET($M$6,W792,)</f>
        <v>0</v>
      </c>
      <c r="AY792" t="s">
        <v>233</v>
      </c>
      <c r="AZ792" t="s">
        <v>489</v>
      </c>
      <c r="BA792" t="s">
        <v>257</v>
      </c>
      <c r="BB792">
        <v>0</v>
      </c>
      <c r="BE792" t="s">
        <v>233</v>
      </c>
      <c r="BF792" t="s">
        <v>489</v>
      </c>
      <c r="BG792" t="s">
        <v>257</v>
      </c>
      <c r="BH792">
        <v>0</v>
      </c>
      <c r="CT792" t="s">
        <v>233</v>
      </c>
      <c r="CU792" t="s">
        <v>257</v>
      </c>
      <c r="CV792">
        <f ca="1">OFFSET('Calculations 2'!$AJ$12,W792,X792)</f>
        <v>0</v>
      </c>
    </row>
    <row r="793" spans="17:100">
      <c r="Q793" t="s">
        <v>474</v>
      </c>
      <c r="R793" t="s">
        <v>489</v>
      </c>
      <c r="S793" t="s">
        <v>257</v>
      </c>
      <c r="T793">
        <f ca="1">OFFSET('Calculations 2'!$C$45,W793,X793)*OFFSET($M$6,W793,0)</f>
        <v>7.7124577485856687</v>
      </c>
      <c r="V793">
        <f t="shared" si="38"/>
        <v>787</v>
      </c>
      <c r="W793">
        <f t="shared" si="39"/>
        <v>28</v>
      </c>
      <c r="X793">
        <f t="shared" si="40"/>
        <v>23</v>
      </c>
      <c r="AC793" t="s">
        <v>474</v>
      </c>
      <c r="AD793" t="s">
        <v>489</v>
      </c>
      <c r="AE793" t="s">
        <v>257</v>
      </c>
      <c r="AF793">
        <f ca="1">OFFSET('Calculations 2'!$CE$45,W793,0)*OFFSET($AA$6,X793,0)*OFFSET($M$6,W793,)</f>
        <v>0</v>
      </c>
      <c r="AY793" t="s">
        <v>474</v>
      </c>
      <c r="AZ793" t="s">
        <v>489</v>
      </c>
      <c r="BA793" t="s">
        <v>257</v>
      </c>
      <c r="BB793">
        <v>0</v>
      </c>
      <c r="BE793" t="s">
        <v>474</v>
      </c>
      <c r="BF793" t="s">
        <v>489</v>
      </c>
      <c r="BG793" t="s">
        <v>257</v>
      </c>
      <c r="BH793">
        <v>0</v>
      </c>
      <c r="CT793" t="s">
        <v>474</v>
      </c>
      <c r="CU793" t="s">
        <v>257</v>
      </c>
      <c r="CV793">
        <f ca="1">OFFSET('Calculations 2'!$AJ$12,W793,X793)</f>
        <v>0</v>
      </c>
    </row>
    <row r="794" spans="17:100">
      <c r="Q794" t="s">
        <v>223</v>
      </c>
      <c r="R794" t="s">
        <v>489</v>
      </c>
      <c r="S794" t="s">
        <v>257</v>
      </c>
      <c r="T794">
        <f ca="1">OFFSET('Calculations 2'!$C$45,W794,X794)*OFFSET($M$6,W794,0)</f>
        <v>29.926522585180319</v>
      </c>
      <c r="V794">
        <f t="shared" si="38"/>
        <v>788</v>
      </c>
      <c r="W794">
        <f t="shared" si="39"/>
        <v>29</v>
      </c>
      <c r="X794">
        <f t="shared" si="40"/>
        <v>23</v>
      </c>
      <c r="AC794" t="s">
        <v>223</v>
      </c>
      <c r="AD794" t="s">
        <v>489</v>
      </c>
      <c r="AE794" t="s">
        <v>257</v>
      </c>
      <c r="AF794">
        <f ca="1">OFFSET('Calculations 2'!$CE$45,W794,0)*OFFSET($AA$6,X794,0)*OFFSET($M$6,W794,)</f>
        <v>0</v>
      </c>
      <c r="AY794" t="s">
        <v>223</v>
      </c>
      <c r="AZ794" t="s">
        <v>489</v>
      </c>
      <c r="BA794" t="s">
        <v>257</v>
      </c>
      <c r="BB794">
        <v>0</v>
      </c>
      <c r="BE794" t="s">
        <v>223</v>
      </c>
      <c r="BF794" t="s">
        <v>489</v>
      </c>
      <c r="BG794" t="s">
        <v>257</v>
      </c>
      <c r="BH794">
        <v>0</v>
      </c>
      <c r="CT794" t="s">
        <v>223</v>
      </c>
      <c r="CU794" t="s">
        <v>257</v>
      </c>
      <c r="CV794">
        <f ca="1">OFFSET('Calculations 2'!$AJ$12,W794,X794)</f>
        <v>0</v>
      </c>
    </row>
    <row r="795" spans="17:100">
      <c r="Q795" t="s">
        <v>475</v>
      </c>
      <c r="R795" t="s">
        <v>489</v>
      </c>
      <c r="S795" t="s">
        <v>257</v>
      </c>
      <c r="T795">
        <f ca="1">OFFSET('Calculations 2'!$C$45,W795,X795)*OFFSET($M$6,W795,0)</f>
        <v>4.4863352847005507</v>
      </c>
      <c r="V795">
        <f t="shared" si="38"/>
        <v>789</v>
      </c>
      <c r="W795">
        <f t="shared" si="39"/>
        <v>30</v>
      </c>
      <c r="X795">
        <f t="shared" si="40"/>
        <v>23</v>
      </c>
      <c r="AC795" t="s">
        <v>475</v>
      </c>
      <c r="AD795" t="s">
        <v>489</v>
      </c>
      <c r="AE795" t="s">
        <v>257</v>
      </c>
      <c r="AF795">
        <f ca="1">OFFSET('Calculations 2'!$CE$45,W795,0)*OFFSET($AA$6,X795,0)*OFFSET($M$6,W795,)</f>
        <v>0</v>
      </c>
      <c r="AY795" t="s">
        <v>475</v>
      </c>
      <c r="AZ795" t="s">
        <v>489</v>
      </c>
      <c r="BA795" t="s">
        <v>257</v>
      </c>
      <c r="BB795">
        <v>0</v>
      </c>
      <c r="BE795" t="s">
        <v>475</v>
      </c>
      <c r="BF795" t="s">
        <v>489</v>
      </c>
      <c r="BG795" t="s">
        <v>257</v>
      </c>
      <c r="BH795">
        <v>0</v>
      </c>
      <c r="CT795" t="s">
        <v>475</v>
      </c>
      <c r="CU795" t="s">
        <v>257</v>
      </c>
      <c r="CV795">
        <f ca="1">OFFSET('Calculations 2'!$AJ$12,W795,X795)</f>
        <v>0</v>
      </c>
    </row>
    <row r="796" spans="17:100">
      <c r="Q796" t="s">
        <v>476</v>
      </c>
      <c r="R796" t="s">
        <v>489</v>
      </c>
      <c r="S796" t="s">
        <v>257</v>
      </c>
      <c r="T796">
        <f ca="1">OFFSET('Calculations 2'!$C$45,W796,X796)*OFFSET($M$6,W796,0)</f>
        <v>13.280642987196144</v>
      </c>
      <c r="V796">
        <f t="shared" si="38"/>
        <v>790</v>
      </c>
      <c r="W796">
        <f t="shared" si="39"/>
        <v>31</v>
      </c>
      <c r="X796">
        <f t="shared" si="40"/>
        <v>23</v>
      </c>
      <c r="AC796" t="s">
        <v>476</v>
      </c>
      <c r="AD796" t="s">
        <v>489</v>
      </c>
      <c r="AE796" t="s">
        <v>257</v>
      </c>
      <c r="AF796">
        <f ca="1">OFFSET('Calculations 2'!$CE$45,W796,0)*OFFSET($AA$6,X796,0)*OFFSET($M$6,W796,)</f>
        <v>0</v>
      </c>
      <c r="AY796" t="s">
        <v>476</v>
      </c>
      <c r="AZ796" t="s">
        <v>489</v>
      </c>
      <c r="BA796" t="s">
        <v>257</v>
      </c>
      <c r="BB796">
        <v>0</v>
      </c>
      <c r="BE796" t="s">
        <v>476</v>
      </c>
      <c r="BF796" t="s">
        <v>489</v>
      </c>
      <c r="BG796" t="s">
        <v>257</v>
      </c>
      <c r="BH796">
        <v>0</v>
      </c>
      <c r="CT796" t="s">
        <v>476</v>
      </c>
      <c r="CU796" t="s">
        <v>257</v>
      </c>
      <c r="CV796">
        <f ca="1">OFFSET('Calculations 2'!$AJ$12,W796,X796)</f>
        <v>0</v>
      </c>
    </row>
    <row r="797" spans="17:100">
      <c r="Q797" t="s">
        <v>222</v>
      </c>
      <c r="R797" t="s">
        <v>489</v>
      </c>
      <c r="S797" t="s">
        <v>257</v>
      </c>
      <c r="T797">
        <f ca="1">OFFSET('Calculations 2'!$C$45,W797,X797)*OFFSET($M$6,W797,0)</f>
        <v>0</v>
      </c>
      <c r="V797">
        <f t="shared" si="38"/>
        <v>791</v>
      </c>
      <c r="W797">
        <f t="shared" si="39"/>
        <v>32</v>
      </c>
      <c r="X797">
        <f t="shared" si="40"/>
        <v>23</v>
      </c>
      <c r="AC797" t="s">
        <v>222</v>
      </c>
      <c r="AD797" t="s">
        <v>489</v>
      </c>
      <c r="AE797" t="s">
        <v>257</v>
      </c>
      <c r="AF797">
        <f ca="1">OFFSET('Calculations 2'!$CE$45,W797,0)*OFFSET($AA$6,X797,0)*OFFSET($M$6,W797,)</f>
        <v>0</v>
      </c>
      <c r="AY797" t="s">
        <v>222</v>
      </c>
      <c r="AZ797" t="s">
        <v>489</v>
      </c>
      <c r="BA797" t="s">
        <v>257</v>
      </c>
      <c r="BB797">
        <v>0</v>
      </c>
      <c r="BE797" t="s">
        <v>222</v>
      </c>
      <c r="BF797" t="s">
        <v>489</v>
      </c>
      <c r="BG797" t="s">
        <v>257</v>
      </c>
      <c r="BH797">
        <v>0</v>
      </c>
      <c r="CT797" t="s">
        <v>222</v>
      </c>
      <c r="CU797" t="s">
        <v>257</v>
      </c>
      <c r="CV797">
        <f ca="1">OFFSET('Calculations 2'!$AJ$12,W797,X797)</f>
        <v>0</v>
      </c>
    </row>
    <row r="798" spans="17:100">
      <c r="Q798" t="s">
        <v>217</v>
      </c>
      <c r="R798" t="s">
        <v>489</v>
      </c>
      <c r="S798" t="s">
        <v>220</v>
      </c>
      <c r="T798">
        <f ca="1">OFFSET('Calculations 2'!$C$45,W798,X798)*OFFSET($M$6,W798,0)</f>
        <v>0</v>
      </c>
      <c r="V798">
        <f t="shared" si="38"/>
        <v>792</v>
      </c>
      <c r="W798">
        <f t="shared" si="39"/>
        <v>0</v>
      </c>
      <c r="X798">
        <f t="shared" si="40"/>
        <v>24</v>
      </c>
      <c r="AC798" t="s">
        <v>217</v>
      </c>
      <c r="AD798" t="s">
        <v>489</v>
      </c>
      <c r="AE798" t="s">
        <v>220</v>
      </c>
      <c r="AF798">
        <f ca="1">OFFSET('Calculations 2'!$CE$45,W798,0)*OFFSET($AA$6,X798,0)*OFFSET($M$6,W798,)</f>
        <v>0.89188495636052234</v>
      </c>
      <c r="AY798" t="s">
        <v>217</v>
      </c>
      <c r="AZ798" t="s">
        <v>489</v>
      </c>
      <c r="BA798" t="s">
        <v>220</v>
      </c>
      <c r="BB798">
        <v>0</v>
      </c>
      <c r="BE798" t="s">
        <v>217</v>
      </c>
      <c r="BF798" t="s">
        <v>489</v>
      </c>
      <c r="BG798" t="s">
        <v>220</v>
      </c>
      <c r="BH798">
        <v>0</v>
      </c>
      <c r="CT798" t="s">
        <v>217</v>
      </c>
      <c r="CU798" t="s">
        <v>220</v>
      </c>
      <c r="CV798">
        <f ca="1">OFFSET('Calculations 2'!$AJ$12,W798,X798)</f>
        <v>0</v>
      </c>
    </row>
    <row r="799" spans="17:100">
      <c r="Q799" t="s">
        <v>232</v>
      </c>
      <c r="R799" t="s">
        <v>489</v>
      </c>
      <c r="S799" t="s">
        <v>220</v>
      </c>
      <c r="T799">
        <f ca="1">OFFSET('Calculations 2'!$C$45,W799,X799)*OFFSET($M$6,W799,0)</f>
        <v>0</v>
      </c>
      <c r="V799">
        <f t="shared" si="38"/>
        <v>793</v>
      </c>
      <c r="W799">
        <f t="shared" si="39"/>
        <v>1</v>
      </c>
      <c r="X799">
        <f t="shared" si="40"/>
        <v>24</v>
      </c>
      <c r="AC799" t="s">
        <v>232</v>
      </c>
      <c r="AD799" t="s">
        <v>489</v>
      </c>
      <c r="AE799" t="s">
        <v>220</v>
      </c>
      <c r="AF799">
        <f ca="1">OFFSET('Calculations 2'!$CE$45,W799,0)*OFFSET($AA$6,X799,0)*OFFSET($M$6,W799,)</f>
        <v>1.5558203681530154</v>
      </c>
      <c r="AY799" t="s">
        <v>232</v>
      </c>
      <c r="AZ799" t="s">
        <v>489</v>
      </c>
      <c r="BA799" t="s">
        <v>220</v>
      </c>
      <c r="BB799">
        <v>0</v>
      </c>
      <c r="BE799" t="s">
        <v>232</v>
      </c>
      <c r="BF799" t="s">
        <v>489</v>
      </c>
      <c r="BG799" t="s">
        <v>220</v>
      </c>
      <c r="BH799">
        <v>0</v>
      </c>
      <c r="CT799" t="s">
        <v>232</v>
      </c>
      <c r="CU799" t="s">
        <v>220</v>
      </c>
      <c r="CV799">
        <f ca="1">OFFSET('Calculations 2'!$AJ$12,W799,X799)</f>
        <v>0</v>
      </c>
    </row>
    <row r="800" spans="17:100">
      <c r="Q800" t="s">
        <v>226</v>
      </c>
      <c r="R800" t="s">
        <v>489</v>
      </c>
      <c r="S800" t="s">
        <v>220</v>
      </c>
      <c r="T800">
        <f ca="1">OFFSET('Calculations 2'!$C$45,W800,X800)*OFFSET($M$6,W800,0)</f>
        <v>0</v>
      </c>
      <c r="V800">
        <f t="shared" si="38"/>
        <v>794</v>
      </c>
      <c r="W800">
        <f t="shared" si="39"/>
        <v>2</v>
      </c>
      <c r="X800">
        <f t="shared" si="40"/>
        <v>24</v>
      </c>
      <c r="AC800" t="s">
        <v>226</v>
      </c>
      <c r="AD800" t="s">
        <v>489</v>
      </c>
      <c r="AE800" t="s">
        <v>220</v>
      </c>
      <c r="AF800">
        <f ca="1">OFFSET('Calculations 2'!$CE$45,W800,0)*OFFSET($AA$6,X800,0)*OFFSET($M$6,W800,)</f>
        <v>2.6196738949936238</v>
      </c>
      <c r="AY800" t="s">
        <v>226</v>
      </c>
      <c r="AZ800" t="s">
        <v>489</v>
      </c>
      <c r="BA800" t="s">
        <v>220</v>
      </c>
      <c r="BB800">
        <v>0</v>
      </c>
      <c r="BE800" t="s">
        <v>226</v>
      </c>
      <c r="BF800" t="s">
        <v>489</v>
      </c>
      <c r="BG800" t="s">
        <v>220</v>
      </c>
      <c r="BH800">
        <v>0</v>
      </c>
      <c r="CT800" t="s">
        <v>226</v>
      </c>
      <c r="CU800" t="s">
        <v>220</v>
      </c>
      <c r="CV800">
        <f ca="1">OFFSET('Calculations 2'!$AJ$12,W800,X800)</f>
        <v>0</v>
      </c>
    </row>
    <row r="801" spans="17:100">
      <c r="Q801" t="s">
        <v>243</v>
      </c>
      <c r="R801" t="s">
        <v>489</v>
      </c>
      <c r="S801" t="s">
        <v>220</v>
      </c>
      <c r="T801">
        <f ca="1">OFFSET('Calculations 2'!$C$45,W801,X801)*OFFSET($M$6,W801,0)</f>
        <v>10.716804118222335</v>
      </c>
      <c r="V801">
        <f t="shared" si="38"/>
        <v>795</v>
      </c>
      <c r="W801">
        <f t="shared" si="39"/>
        <v>3</v>
      </c>
      <c r="X801">
        <f t="shared" si="40"/>
        <v>24</v>
      </c>
      <c r="AC801" t="s">
        <v>243</v>
      </c>
      <c r="AD801" t="s">
        <v>489</v>
      </c>
      <c r="AE801" t="s">
        <v>220</v>
      </c>
      <c r="AF801">
        <f ca="1">OFFSET('Calculations 2'!$CE$45,W801,0)*OFFSET($AA$6,X801,0)*OFFSET($M$6,W801,)</f>
        <v>13.645501770449336</v>
      </c>
      <c r="AY801" t="s">
        <v>243</v>
      </c>
      <c r="AZ801" t="s">
        <v>489</v>
      </c>
      <c r="BA801" t="s">
        <v>220</v>
      </c>
      <c r="BB801">
        <v>0</v>
      </c>
      <c r="BE801" t="s">
        <v>243</v>
      </c>
      <c r="BF801" t="s">
        <v>489</v>
      </c>
      <c r="BG801" t="s">
        <v>220</v>
      </c>
      <c r="BH801">
        <v>0</v>
      </c>
      <c r="CT801" t="s">
        <v>243</v>
      </c>
      <c r="CU801" t="s">
        <v>220</v>
      </c>
      <c r="CV801">
        <f ca="1">OFFSET('Calculations 2'!$AJ$12,W801,X801)</f>
        <v>0</v>
      </c>
    </row>
    <row r="802" spans="17:100">
      <c r="Q802" t="s">
        <v>228</v>
      </c>
      <c r="R802" t="s">
        <v>489</v>
      </c>
      <c r="S802" t="s">
        <v>220</v>
      </c>
      <c r="T802">
        <f ca="1">OFFSET('Calculations 2'!$C$45,W802,X802)*OFFSET($M$6,W802,0)</f>
        <v>6.3376211435194132E-2</v>
      </c>
      <c r="V802">
        <f t="shared" si="38"/>
        <v>796</v>
      </c>
      <c r="W802">
        <f t="shared" si="39"/>
        <v>4</v>
      </c>
      <c r="X802">
        <f t="shared" si="40"/>
        <v>24</v>
      </c>
      <c r="AC802" t="s">
        <v>228</v>
      </c>
      <c r="AD802" t="s">
        <v>489</v>
      </c>
      <c r="AE802" t="s">
        <v>220</v>
      </c>
      <c r="AF802">
        <f ca="1">OFFSET('Calculations 2'!$CE$45,W802,0)*OFFSET($AA$6,X802,0)*OFFSET($M$6,W802,)</f>
        <v>9.6824710585159443E-2</v>
      </c>
      <c r="AY802" t="s">
        <v>228</v>
      </c>
      <c r="AZ802" t="s">
        <v>489</v>
      </c>
      <c r="BA802" t="s">
        <v>220</v>
      </c>
      <c r="BB802">
        <v>0</v>
      </c>
      <c r="BE802" t="s">
        <v>228</v>
      </c>
      <c r="BF802" t="s">
        <v>489</v>
      </c>
      <c r="BG802" t="s">
        <v>220</v>
      </c>
      <c r="BH802">
        <v>0</v>
      </c>
      <c r="CT802" t="s">
        <v>228</v>
      </c>
      <c r="CU802" t="s">
        <v>220</v>
      </c>
      <c r="CV802">
        <f ca="1">OFFSET('Calculations 2'!$AJ$12,W802,X802)</f>
        <v>0</v>
      </c>
    </row>
    <row r="803" spans="17:100">
      <c r="Q803" t="s">
        <v>246</v>
      </c>
      <c r="R803" t="s">
        <v>489</v>
      </c>
      <c r="S803" t="s">
        <v>220</v>
      </c>
      <c r="T803">
        <f ca="1">OFFSET('Calculations 2'!$C$45,W803,X803)*OFFSET($M$6,W803,0)</f>
        <v>0</v>
      </c>
      <c r="V803">
        <f t="shared" si="38"/>
        <v>797</v>
      </c>
      <c r="W803">
        <f t="shared" si="39"/>
        <v>5</v>
      </c>
      <c r="X803">
        <f t="shared" si="40"/>
        <v>24</v>
      </c>
      <c r="AC803" t="s">
        <v>246</v>
      </c>
      <c r="AD803" t="s">
        <v>489</v>
      </c>
      <c r="AE803" t="s">
        <v>220</v>
      </c>
      <c r="AF803">
        <f ca="1">OFFSET('Calculations 2'!$CE$45,W803,0)*OFFSET($AA$6,X803,0)*OFFSET($M$6,W803,)</f>
        <v>0.59605167391639335</v>
      </c>
      <c r="AY803" t="s">
        <v>246</v>
      </c>
      <c r="AZ803" t="s">
        <v>489</v>
      </c>
      <c r="BA803" t="s">
        <v>220</v>
      </c>
      <c r="BB803">
        <v>0</v>
      </c>
      <c r="BE803" t="s">
        <v>246</v>
      </c>
      <c r="BF803" t="s">
        <v>489</v>
      </c>
      <c r="BG803" t="s">
        <v>220</v>
      </c>
      <c r="BH803">
        <v>0</v>
      </c>
      <c r="CT803" t="s">
        <v>246</v>
      </c>
      <c r="CU803" t="s">
        <v>220</v>
      </c>
      <c r="CV803">
        <f ca="1">OFFSET('Calculations 2'!$AJ$12,W803,X803)</f>
        <v>0</v>
      </c>
    </row>
    <row r="804" spans="17:100">
      <c r="Q804" t="s">
        <v>239</v>
      </c>
      <c r="R804" t="s">
        <v>489</v>
      </c>
      <c r="S804" t="s">
        <v>220</v>
      </c>
      <c r="T804">
        <f ca="1">OFFSET('Calculations 2'!$C$45,W804,X804)*OFFSET($M$6,W804,0)</f>
        <v>96.462064284283656</v>
      </c>
      <c r="V804">
        <f t="shared" si="38"/>
        <v>798</v>
      </c>
      <c r="W804">
        <f t="shared" si="39"/>
        <v>6</v>
      </c>
      <c r="X804">
        <f t="shared" si="40"/>
        <v>24</v>
      </c>
      <c r="AC804" t="s">
        <v>239</v>
      </c>
      <c r="AD804" t="s">
        <v>489</v>
      </c>
      <c r="AE804" t="s">
        <v>220</v>
      </c>
      <c r="AF804">
        <f ca="1">OFFSET('Calculations 2'!$CE$45,W804,0)*OFFSET($AA$6,X804,0)*OFFSET($M$6,W804,)</f>
        <v>11.930344493752083</v>
      </c>
      <c r="AY804" t="s">
        <v>239</v>
      </c>
      <c r="AZ804" t="s">
        <v>489</v>
      </c>
      <c r="BA804" t="s">
        <v>220</v>
      </c>
      <c r="BB804">
        <v>0</v>
      </c>
      <c r="BE804" t="s">
        <v>239</v>
      </c>
      <c r="BF804" t="s">
        <v>489</v>
      </c>
      <c r="BG804" t="s">
        <v>220</v>
      </c>
      <c r="BH804">
        <v>0</v>
      </c>
      <c r="CT804" t="s">
        <v>239</v>
      </c>
      <c r="CU804" t="s">
        <v>220</v>
      </c>
      <c r="CV804">
        <f ca="1">OFFSET('Calculations 2'!$AJ$12,W804,X804)</f>
        <v>0</v>
      </c>
    </row>
    <row r="805" spans="17:100">
      <c r="Q805" t="s">
        <v>466</v>
      </c>
      <c r="R805" t="s">
        <v>489</v>
      </c>
      <c r="S805" t="s">
        <v>220</v>
      </c>
      <c r="T805">
        <f ca="1">OFFSET('Calculations 2'!$C$45,W805,X805)*OFFSET($M$6,W805,0)</f>
        <v>142.09359570165341</v>
      </c>
      <c r="V805">
        <f t="shared" si="38"/>
        <v>799</v>
      </c>
      <c r="W805">
        <f t="shared" si="39"/>
        <v>7</v>
      </c>
      <c r="X805">
        <f t="shared" si="40"/>
        <v>24</v>
      </c>
      <c r="AC805" t="s">
        <v>466</v>
      </c>
      <c r="AD805" t="s">
        <v>489</v>
      </c>
      <c r="AE805" t="s">
        <v>220</v>
      </c>
      <c r="AF805">
        <f ca="1">OFFSET('Calculations 2'!$CE$45,W805,0)*OFFSET($AA$6,X805,0)*OFFSET($M$6,W805,)</f>
        <v>1.8179536199535096</v>
      </c>
      <c r="AY805" t="s">
        <v>466</v>
      </c>
      <c r="AZ805" t="s">
        <v>489</v>
      </c>
      <c r="BA805" t="s">
        <v>220</v>
      </c>
      <c r="BB805">
        <v>0</v>
      </c>
      <c r="BE805" t="s">
        <v>466</v>
      </c>
      <c r="BF805" t="s">
        <v>489</v>
      </c>
      <c r="BG805" t="s">
        <v>220</v>
      </c>
      <c r="BH805">
        <v>0</v>
      </c>
      <c r="CT805" t="s">
        <v>466</v>
      </c>
      <c r="CU805" t="s">
        <v>220</v>
      </c>
      <c r="CV805">
        <f ca="1">OFFSET('Calculations 2'!$AJ$12,W805,X805)</f>
        <v>0</v>
      </c>
    </row>
    <row r="806" spans="17:100">
      <c r="Q806" t="s">
        <v>219</v>
      </c>
      <c r="R806" t="s">
        <v>489</v>
      </c>
      <c r="S806" t="s">
        <v>220</v>
      </c>
      <c r="T806">
        <f ca="1">OFFSET('Calculations 2'!$C$45,W806,X806)*OFFSET($M$6,W806,0)</f>
        <v>0.75669625775222171</v>
      </c>
      <c r="V806">
        <f t="shared" si="38"/>
        <v>800</v>
      </c>
      <c r="W806">
        <f t="shared" si="39"/>
        <v>8</v>
      </c>
      <c r="X806">
        <f t="shared" si="40"/>
        <v>24</v>
      </c>
      <c r="AC806" t="s">
        <v>219</v>
      </c>
      <c r="AD806" t="s">
        <v>489</v>
      </c>
      <c r="AE806" t="s">
        <v>220</v>
      </c>
      <c r="AF806">
        <f ca="1">OFFSET('Calculations 2'!$CE$45,W806,0)*OFFSET($AA$6,X806,0)*OFFSET($M$6,W806,)</f>
        <v>11.320768680882875</v>
      </c>
      <c r="AY806" t="s">
        <v>219</v>
      </c>
      <c r="AZ806" t="s">
        <v>489</v>
      </c>
      <c r="BA806" t="s">
        <v>220</v>
      </c>
      <c r="BB806">
        <v>0</v>
      </c>
      <c r="BE806" t="s">
        <v>219</v>
      </c>
      <c r="BF806" t="s">
        <v>489</v>
      </c>
      <c r="BG806" t="s">
        <v>220</v>
      </c>
      <c r="BH806">
        <v>0</v>
      </c>
      <c r="CT806" t="s">
        <v>219</v>
      </c>
      <c r="CU806" t="s">
        <v>220</v>
      </c>
      <c r="CV806">
        <f ca="1">OFFSET('Calculations 2'!$AJ$12,W806,X806)</f>
        <v>0</v>
      </c>
    </row>
    <row r="807" spans="17:100">
      <c r="Q807" t="s">
        <v>242</v>
      </c>
      <c r="R807" t="s">
        <v>489</v>
      </c>
      <c r="S807" t="s">
        <v>220</v>
      </c>
      <c r="T807">
        <f ca="1">OFFSET('Calculations 2'!$C$45,W807,X807)*OFFSET($M$6,W807,0)</f>
        <v>40.025879923126688</v>
      </c>
      <c r="V807">
        <f t="shared" si="38"/>
        <v>801</v>
      </c>
      <c r="W807">
        <f t="shared" si="39"/>
        <v>9</v>
      </c>
      <c r="X807">
        <f t="shared" si="40"/>
        <v>24</v>
      </c>
      <c r="AC807" t="s">
        <v>242</v>
      </c>
      <c r="AD807" t="s">
        <v>489</v>
      </c>
      <c r="AE807" t="s">
        <v>220</v>
      </c>
      <c r="AF807">
        <f ca="1">OFFSET('Calculations 2'!$CE$45,W807,0)*OFFSET($AA$6,X807,0)*OFFSET($M$6,W807,)</f>
        <v>17.72157171524676</v>
      </c>
      <c r="AY807" t="s">
        <v>242</v>
      </c>
      <c r="AZ807" t="s">
        <v>489</v>
      </c>
      <c r="BA807" t="s">
        <v>220</v>
      </c>
      <c r="BB807">
        <v>0</v>
      </c>
      <c r="BE807" t="s">
        <v>242</v>
      </c>
      <c r="BF807" t="s">
        <v>489</v>
      </c>
      <c r="BG807" t="s">
        <v>220</v>
      </c>
      <c r="BH807">
        <v>0</v>
      </c>
      <c r="CT807" t="s">
        <v>242</v>
      </c>
      <c r="CU807" t="s">
        <v>220</v>
      </c>
      <c r="CV807">
        <f ca="1">OFFSET('Calculations 2'!$AJ$12,W807,X807)</f>
        <v>0</v>
      </c>
    </row>
    <row r="808" spans="17:100">
      <c r="Q808" t="s">
        <v>467</v>
      </c>
      <c r="R808" t="s">
        <v>489</v>
      </c>
      <c r="S808" t="s">
        <v>220</v>
      </c>
      <c r="T808">
        <f ca="1">OFFSET('Calculations 2'!$C$45,W808,X808)*OFFSET($M$6,W808,0)</f>
        <v>0</v>
      </c>
      <c r="V808">
        <f t="shared" si="38"/>
        <v>802</v>
      </c>
      <c r="W808">
        <f t="shared" si="39"/>
        <v>10</v>
      </c>
      <c r="X808">
        <f t="shared" si="40"/>
        <v>24</v>
      </c>
      <c r="AC808" t="s">
        <v>467</v>
      </c>
      <c r="AD808" t="s">
        <v>489</v>
      </c>
      <c r="AE808" t="s">
        <v>220</v>
      </c>
      <c r="AF808">
        <f ca="1">OFFSET('Calculations 2'!$CE$45,W808,0)*OFFSET($AA$6,X808,0)*OFFSET($M$6,W808,)</f>
        <v>16.416833448698242</v>
      </c>
      <c r="AY808" t="s">
        <v>467</v>
      </c>
      <c r="AZ808" t="s">
        <v>489</v>
      </c>
      <c r="BA808" t="s">
        <v>220</v>
      </c>
      <c r="BB808">
        <v>0</v>
      </c>
      <c r="BE808" t="s">
        <v>467</v>
      </c>
      <c r="BF808" t="s">
        <v>489</v>
      </c>
      <c r="BG808" t="s">
        <v>220</v>
      </c>
      <c r="BH808">
        <v>0</v>
      </c>
      <c r="CT808" t="s">
        <v>467</v>
      </c>
      <c r="CU808" t="s">
        <v>220</v>
      </c>
      <c r="CV808">
        <f ca="1">OFFSET('Calculations 2'!$AJ$12,W808,X808)</f>
        <v>0</v>
      </c>
    </row>
    <row r="809" spans="17:100">
      <c r="Q809" t="s">
        <v>231</v>
      </c>
      <c r="R809" t="s">
        <v>489</v>
      </c>
      <c r="S809" t="s">
        <v>220</v>
      </c>
      <c r="T809">
        <f ca="1">OFFSET('Calculations 2'!$C$45,W809,X809)*OFFSET($M$6,W809,0)</f>
        <v>0</v>
      </c>
      <c r="V809">
        <f t="shared" si="38"/>
        <v>803</v>
      </c>
      <c r="W809">
        <f t="shared" si="39"/>
        <v>11</v>
      </c>
      <c r="X809">
        <f t="shared" si="40"/>
        <v>24</v>
      </c>
      <c r="AC809" t="s">
        <v>231</v>
      </c>
      <c r="AD809" t="s">
        <v>489</v>
      </c>
      <c r="AE809" t="s">
        <v>220</v>
      </c>
      <c r="AF809">
        <f ca="1">OFFSET('Calculations 2'!$CE$45,W809,0)*OFFSET($AA$6,X809,0)*OFFSET($M$6,W809,)</f>
        <v>48.016399479499292</v>
      </c>
      <c r="AY809" t="s">
        <v>231</v>
      </c>
      <c r="AZ809" t="s">
        <v>489</v>
      </c>
      <c r="BA809" t="s">
        <v>220</v>
      </c>
      <c r="BB809">
        <v>0</v>
      </c>
      <c r="BE809" t="s">
        <v>231</v>
      </c>
      <c r="BF809" t="s">
        <v>489</v>
      </c>
      <c r="BG809" t="s">
        <v>220</v>
      </c>
      <c r="BH809">
        <v>0</v>
      </c>
      <c r="CT809" t="s">
        <v>231</v>
      </c>
      <c r="CU809" t="s">
        <v>220</v>
      </c>
      <c r="CV809">
        <f ca="1">OFFSET('Calculations 2'!$AJ$12,W809,X809)</f>
        <v>0</v>
      </c>
    </row>
    <row r="810" spans="17:100">
      <c r="Q810" t="s">
        <v>468</v>
      </c>
      <c r="R810" t="s">
        <v>489</v>
      </c>
      <c r="S810" t="s">
        <v>220</v>
      </c>
      <c r="T810">
        <f ca="1">OFFSET('Calculations 2'!$C$45,W810,X810)*OFFSET($M$6,W810,0)</f>
        <v>0</v>
      </c>
      <c r="V810">
        <f t="shared" si="38"/>
        <v>804</v>
      </c>
      <c r="W810">
        <f t="shared" si="39"/>
        <v>12</v>
      </c>
      <c r="X810">
        <f t="shared" si="40"/>
        <v>24</v>
      </c>
      <c r="AC810" t="s">
        <v>468</v>
      </c>
      <c r="AD810" t="s">
        <v>489</v>
      </c>
      <c r="AE810" t="s">
        <v>220</v>
      </c>
      <c r="AF810">
        <f ca="1">OFFSET('Calculations 2'!$CE$45,W810,0)*OFFSET($AA$6,X810,0)*OFFSET($M$6,W810,)</f>
        <v>69.499953505926868</v>
      </c>
      <c r="AY810" t="s">
        <v>468</v>
      </c>
      <c r="AZ810" t="s">
        <v>489</v>
      </c>
      <c r="BA810" t="s">
        <v>220</v>
      </c>
      <c r="BB810">
        <v>0</v>
      </c>
      <c r="BE810" t="s">
        <v>468</v>
      </c>
      <c r="BF810" t="s">
        <v>489</v>
      </c>
      <c r="BG810" t="s">
        <v>220</v>
      </c>
      <c r="BH810">
        <v>0</v>
      </c>
      <c r="CT810" t="s">
        <v>468</v>
      </c>
      <c r="CU810" t="s">
        <v>220</v>
      </c>
      <c r="CV810">
        <f ca="1">OFFSET('Calculations 2'!$AJ$12,W810,X810)</f>
        <v>0</v>
      </c>
    </row>
    <row r="811" spans="17:100">
      <c r="Q811" t="s">
        <v>469</v>
      </c>
      <c r="R811" t="s">
        <v>489</v>
      </c>
      <c r="S811" t="s">
        <v>220</v>
      </c>
      <c r="T811">
        <f ca="1">OFFSET('Calculations 2'!$C$45,W811,X811)*OFFSET($M$6,W811,0)</f>
        <v>51.828736375515263</v>
      </c>
      <c r="V811">
        <f t="shared" si="38"/>
        <v>805</v>
      </c>
      <c r="W811">
        <f t="shared" si="39"/>
        <v>13</v>
      </c>
      <c r="X811">
        <f t="shared" si="40"/>
        <v>24</v>
      </c>
      <c r="AC811" t="s">
        <v>469</v>
      </c>
      <c r="AD811" t="s">
        <v>489</v>
      </c>
      <c r="AE811" t="s">
        <v>220</v>
      </c>
      <c r="AF811">
        <f ca="1">OFFSET('Calculations 2'!$CE$45,W811,0)*OFFSET($AA$6,X811,0)*OFFSET($M$6,W811,)</f>
        <v>14.457498275733759</v>
      </c>
      <c r="AY811" t="s">
        <v>469</v>
      </c>
      <c r="AZ811" t="s">
        <v>489</v>
      </c>
      <c r="BA811" t="s">
        <v>220</v>
      </c>
      <c r="BB811">
        <v>0</v>
      </c>
      <c r="BE811" t="s">
        <v>469</v>
      </c>
      <c r="BF811" t="s">
        <v>489</v>
      </c>
      <c r="BG811" t="s">
        <v>220</v>
      </c>
      <c r="BH811">
        <v>0</v>
      </c>
      <c r="CT811" t="s">
        <v>469</v>
      </c>
      <c r="CU811" t="s">
        <v>220</v>
      </c>
      <c r="CV811">
        <f ca="1">OFFSET('Calculations 2'!$AJ$12,W811,X811)</f>
        <v>0</v>
      </c>
    </row>
    <row r="812" spans="17:100">
      <c r="Q812" t="s">
        <v>245</v>
      </c>
      <c r="R812" t="s">
        <v>489</v>
      </c>
      <c r="S812" t="s">
        <v>220</v>
      </c>
      <c r="T812">
        <f ca="1">OFFSET('Calculations 2'!$C$45,W812,X812)*OFFSET($M$6,W812,0)</f>
        <v>15.322536560471111</v>
      </c>
      <c r="V812">
        <f t="shared" si="38"/>
        <v>806</v>
      </c>
      <c r="W812">
        <f t="shared" si="39"/>
        <v>14</v>
      </c>
      <c r="X812">
        <f t="shared" si="40"/>
        <v>24</v>
      </c>
      <c r="AC812" t="s">
        <v>245</v>
      </c>
      <c r="AD812" t="s">
        <v>489</v>
      </c>
      <c r="AE812" t="s">
        <v>220</v>
      </c>
      <c r="AF812">
        <f ca="1">OFFSET('Calculations 2'!$CE$45,W812,0)*OFFSET($AA$6,X812,0)*OFFSET($M$6,W812,)</f>
        <v>20.88397138752579</v>
      </c>
      <c r="AY812" t="s">
        <v>245</v>
      </c>
      <c r="AZ812" t="s">
        <v>489</v>
      </c>
      <c r="BA812" t="s">
        <v>220</v>
      </c>
      <c r="BB812">
        <v>0</v>
      </c>
      <c r="BE812" t="s">
        <v>245</v>
      </c>
      <c r="BF812" t="s">
        <v>489</v>
      </c>
      <c r="BG812" t="s">
        <v>220</v>
      </c>
      <c r="BH812">
        <v>0</v>
      </c>
      <c r="CT812" t="s">
        <v>245</v>
      </c>
      <c r="CU812" t="s">
        <v>220</v>
      </c>
      <c r="CV812">
        <f ca="1">OFFSET('Calculations 2'!$AJ$12,W812,X812)</f>
        <v>0</v>
      </c>
    </row>
    <row r="813" spans="17:100">
      <c r="Q813" t="s">
        <v>470</v>
      </c>
      <c r="R813" t="s">
        <v>489</v>
      </c>
      <c r="S813" t="s">
        <v>220</v>
      </c>
      <c r="T813">
        <f ca="1">OFFSET('Calculations 2'!$C$45,W813,X813)*OFFSET($M$6,W813,0)</f>
        <v>434.79710206172177</v>
      </c>
      <c r="V813">
        <f t="shared" si="38"/>
        <v>807</v>
      </c>
      <c r="W813">
        <f t="shared" si="39"/>
        <v>15</v>
      </c>
      <c r="X813">
        <f t="shared" si="40"/>
        <v>24</v>
      </c>
      <c r="AC813" t="s">
        <v>470</v>
      </c>
      <c r="AD813" t="s">
        <v>489</v>
      </c>
      <c r="AE813" t="s">
        <v>220</v>
      </c>
      <c r="AF813">
        <f ca="1">OFFSET('Calculations 2'!$CE$45,W813,0)*OFFSET($AA$6,X813,0)*OFFSET($M$6,W813,)</f>
        <v>56.865700330900985</v>
      </c>
      <c r="AY813" t="s">
        <v>470</v>
      </c>
      <c r="AZ813" t="s">
        <v>489</v>
      </c>
      <c r="BA813" t="s">
        <v>220</v>
      </c>
      <c r="BB813">
        <v>0</v>
      </c>
      <c r="BE813" t="s">
        <v>470</v>
      </c>
      <c r="BF813" t="s">
        <v>489</v>
      </c>
      <c r="BG813" t="s">
        <v>220</v>
      </c>
      <c r="BH813">
        <v>0</v>
      </c>
      <c r="CT813" t="s">
        <v>470</v>
      </c>
      <c r="CU813" t="s">
        <v>220</v>
      </c>
      <c r="CV813">
        <f ca="1">OFFSET('Calculations 2'!$AJ$12,W813,X813)</f>
        <v>0</v>
      </c>
    </row>
    <row r="814" spans="17:100">
      <c r="Q814" t="s">
        <v>471</v>
      </c>
      <c r="R814" t="s">
        <v>489</v>
      </c>
      <c r="S814" t="s">
        <v>220</v>
      </c>
      <c r="T814">
        <f ca="1">OFFSET('Calculations 2'!$C$45,W814,X814)*OFFSET($M$6,W814,0)</f>
        <v>263.07901114949567</v>
      </c>
      <c r="V814">
        <f t="shared" si="38"/>
        <v>808</v>
      </c>
      <c r="W814">
        <f t="shared" si="39"/>
        <v>16</v>
      </c>
      <c r="X814">
        <f t="shared" si="40"/>
        <v>24</v>
      </c>
      <c r="AC814" t="s">
        <v>471</v>
      </c>
      <c r="AD814" t="s">
        <v>489</v>
      </c>
      <c r="AE814" t="s">
        <v>220</v>
      </c>
      <c r="AF814">
        <f ca="1">OFFSET('Calculations 2'!$CE$45,W814,0)*OFFSET($AA$6,X814,0)*OFFSET($M$6,W814,)</f>
        <v>0</v>
      </c>
      <c r="AY814" t="s">
        <v>471</v>
      </c>
      <c r="AZ814" t="s">
        <v>489</v>
      </c>
      <c r="BA814" t="s">
        <v>220</v>
      </c>
      <c r="BB814">
        <v>0</v>
      </c>
      <c r="BE814" t="s">
        <v>471</v>
      </c>
      <c r="BF814" t="s">
        <v>489</v>
      </c>
      <c r="BG814" t="s">
        <v>220</v>
      </c>
      <c r="BH814">
        <v>0</v>
      </c>
      <c r="CT814" t="s">
        <v>471</v>
      </c>
      <c r="CU814" t="s">
        <v>220</v>
      </c>
      <c r="CV814">
        <f ca="1">OFFSET('Calculations 2'!$AJ$12,W814,X814)</f>
        <v>0</v>
      </c>
    </row>
    <row r="815" spans="17:100">
      <c r="Q815" t="s">
        <v>221</v>
      </c>
      <c r="R815" t="s">
        <v>489</v>
      </c>
      <c r="S815" t="s">
        <v>220</v>
      </c>
      <c r="T815">
        <f ca="1">OFFSET('Calculations 2'!$C$45,W815,X815)*OFFSET($M$6,W815,0)</f>
        <v>182.46914165445128</v>
      </c>
      <c r="V815">
        <f t="shared" si="38"/>
        <v>809</v>
      </c>
      <c r="W815">
        <f t="shared" si="39"/>
        <v>17</v>
      </c>
      <c r="X815">
        <f t="shared" si="40"/>
        <v>24</v>
      </c>
      <c r="AC815" t="s">
        <v>221</v>
      </c>
      <c r="AD815" t="s">
        <v>489</v>
      </c>
      <c r="AE815" t="s">
        <v>220</v>
      </c>
      <c r="AF815">
        <f ca="1">OFFSET('Calculations 2'!$CE$45,W815,0)*OFFSET($AA$6,X815,0)*OFFSET($M$6,W815,)</f>
        <v>1888.9898809966435</v>
      </c>
      <c r="AY815" t="s">
        <v>221</v>
      </c>
      <c r="AZ815" t="s">
        <v>489</v>
      </c>
      <c r="BA815" t="s">
        <v>220</v>
      </c>
      <c r="BB815">
        <v>0</v>
      </c>
      <c r="BE815" t="s">
        <v>221</v>
      </c>
      <c r="BF815" t="s">
        <v>489</v>
      </c>
      <c r="BG815" t="s">
        <v>220</v>
      </c>
      <c r="BH815">
        <v>0</v>
      </c>
      <c r="CT815" t="s">
        <v>221</v>
      </c>
      <c r="CU815" t="s">
        <v>220</v>
      </c>
      <c r="CV815">
        <f ca="1">OFFSET('Calculations 2'!$AJ$12,W815,X815)</f>
        <v>0</v>
      </c>
    </row>
    <row r="816" spans="17:100">
      <c r="Q816" t="s">
        <v>244</v>
      </c>
      <c r="R816" t="s">
        <v>489</v>
      </c>
      <c r="S816" t="s">
        <v>220</v>
      </c>
      <c r="T816">
        <f ca="1">OFFSET('Calculations 2'!$C$45,W816,X816)*OFFSET($M$6,W816,0)</f>
        <v>1320.0108316752551</v>
      </c>
      <c r="V816">
        <f t="shared" si="38"/>
        <v>810</v>
      </c>
      <c r="W816">
        <f t="shared" si="39"/>
        <v>18</v>
      </c>
      <c r="X816">
        <f t="shared" si="40"/>
        <v>24</v>
      </c>
      <c r="AC816" t="s">
        <v>244</v>
      </c>
      <c r="AD816" t="s">
        <v>489</v>
      </c>
      <c r="AE816" t="s">
        <v>220</v>
      </c>
      <c r="AF816">
        <f ca="1">OFFSET('Calculations 2'!$CE$45,W816,0)*OFFSET($AA$6,X816,0)*OFFSET($M$6,W816,)</f>
        <v>302.0368868751051</v>
      </c>
      <c r="AY816" t="s">
        <v>244</v>
      </c>
      <c r="AZ816" t="s">
        <v>489</v>
      </c>
      <c r="BA816" t="s">
        <v>220</v>
      </c>
      <c r="BB816">
        <v>0</v>
      </c>
      <c r="BE816" t="s">
        <v>244</v>
      </c>
      <c r="BF816" t="s">
        <v>489</v>
      </c>
      <c r="BG816" t="s">
        <v>220</v>
      </c>
      <c r="BH816">
        <v>0</v>
      </c>
      <c r="CT816" t="s">
        <v>244</v>
      </c>
      <c r="CU816" t="s">
        <v>220</v>
      </c>
      <c r="CV816">
        <f ca="1">OFFSET('Calculations 2'!$AJ$12,W816,X816)</f>
        <v>0</v>
      </c>
    </row>
    <row r="817" spans="17:100">
      <c r="Q817" t="s">
        <v>472</v>
      </c>
      <c r="R817" t="s">
        <v>489</v>
      </c>
      <c r="S817" t="s">
        <v>220</v>
      </c>
      <c r="T817">
        <f ca="1">OFFSET('Calculations 2'!$C$45,W817,X817)*OFFSET($M$6,W817,0)</f>
        <v>0</v>
      </c>
      <c r="V817">
        <f t="shared" si="38"/>
        <v>811</v>
      </c>
      <c r="W817">
        <f t="shared" si="39"/>
        <v>19</v>
      </c>
      <c r="X817">
        <f t="shared" si="40"/>
        <v>24</v>
      </c>
      <c r="AC817" t="s">
        <v>472</v>
      </c>
      <c r="AD817" t="s">
        <v>489</v>
      </c>
      <c r="AE817" t="s">
        <v>220</v>
      </c>
      <c r="AF817">
        <f ca="1">OFFSET('Calculations 2'!$CE$45,W817,0)*OFFSET($AA$6,X817,0)*OFFSET($M$6,W817,)</f>
        <v>0</v>
      </c>
      <c r="AY817" t="s">
        <v>472</v>
      </c>
      <c r="AZ817" t="s">
        <v>489</v>
      </c>
      <c r="BA817" t="s">
        <v>220</v>
      </c>
      <c r="BB817">
        <v>0</v>
      </c>
      <c r="BE817" t="s">
        <v>472</v>
      </c>
      <c r="BF817" t="s">
        <v>489</v>
      </c>
      <c r="BG817" t="s">
        <v>220</v>
      </c>
      <c r="BH817">
        <v>0</v>
      </c>
      <c r="CT817" t="s">
        <v>472</v>
      </c>
      <c r="CU817" t="s">
        <v>220</v>
      </c>
      <c r="CV817">
        <f ca="1">OFFSET('Calculations 2'!$AJ$12,W817,X817)</f>
        <v>0</v>
      </c>
    </row>
    <row r="818" spans="17:100">
      <c r="Q818" t="s">
        <v>238</v>
      </c>
      <c r="R818" t="s">
        <v>489</v>
      </c>
      <c r="S818" t="s">
        <v>220</v>
      </c>
      <c r="T818">
        <f ca="1">OFFSET('Calculations 2'!$C$45,W818,X818)*OFFSET($M$6,W818,0)</f>
        <v>601.52402252718889</v>
      </c>
      <c r="V818">
        <f t="shared" si="38"/>
        <v>812</v>
      </c>
      <c r="W818">
        <f t="shared" si="39"/>
        <v>20</v>
      </c>
      <c r="X818">
        <f t="shared" si="40"/>
        <v>24</v>
      </c>
      <c r="AC818" t="s">
        <v>238</v>
      </c>
      <c r="AD818" t="s">
        <v>489</v>
      </c>
      <c r="AE818" t="s">
        <v>220</v>
      </c>
      <c r="AF818">
        <f ca="1">OFFSET('Calculations 2'!$CE$45,W818,0)*OFFSET($AA$6,X818,0)*OFFSET($M$6,W818,)</f>
        <v>0</v>
      </c>
      <c r="AY818" t="s">
        <v>238</v>
      </c>
      <c r="AZ818" t="s">
        <v>489</v>
      </c>
      <c r="BA818" t="s">
        <v>220</v>
      </c>
      <c r="BB818">
        <v>0</v>
      </c>
      <c r="BE818" t="s">
        <v>238</v>
      </c>
      <c r="BF818" t="s">
        <v>489</v>
      </c>
      <c r="BG818" t="s">
        <v>220</v>
      </c>
      <c r="BH818">
        <v>0</v>
      </c>
      <c r="CT818" t="s">
        <v>238</v>
      </c>
      <c r="CU818" t="s">
        <v>220</v>
      </c>
      <c r="CV818">
        <f ca="1">OFFSET('Calculations 2'!$AJ$12,W818,X818)</f>
        <v>0</v>
      </c>
    </row>
    <row r="819" spans="17:100">
      <c r="Q819" t="s">
        <v>247</v>
      </c>
      <c r="R819" t="s">
        <v>489</v>
      </c>
      <c r="S819" t="s">
        <v>220</v>
      </c>
      <c r="T819">
        <f ca="1">OFFSET('Calculations 2'!$C$45,W819,X819)*OFFSET($M$6,W819,0)</f>
        <v>0</v>
      </c>
      <c r="V819">
        <f t="shared" si="38"/>
        <v>813</v>
      </c>
      <c r="W819">
        <f t="shared" si="39"/>
        <v>21</v>
      </c>
      <c r="X819">
        <f t="shared" si="40"/>
        <v>24</v>
      </c>
      <c r="AC819" t="s">
        <v>247</v>
      </c>
      <c r="AD819" t="s">
        <v>489</v>
      </c>
      <c r="AE819" t="s">
        <v>220</v>
      </c>
      <c r="AF819">
        <f ca="1">OFFSET('Calculations 2'!$CE$45,W819,0)*OFFSET($AA$6,X819,0)*OFFSET($M$6,W819,)</f>
        <v>0</v>
      </c>
      <c r="AY819" t="s">
        <v>247</v>
      </c>
      <c r="AZ819" t="s">
        <v>489</v>
      </c>
      <c r="BA819" t="s">
        <v>220</v>
      </c>
      <c r="BB819">
        <v>0</v>
      </c>
      <c r="BE819" t="s">
        <v>247</v>
      </c>
      <c r="BF819" t="s">
        <v>489</v>
      </c>
      <c r="BG819" t="s">
        <v>220</v>
      </c>
      <c r="BH819">
        <v>0</v>
      </c>
      <c r="CT819" t="s">
        <v>247</v>
      </c>
      <c r="CU819" t="s">
        <v>220</v>
      </c>
      <c r="CV819">
        <f ca="1">OFFSET('Calculations 2'!$AJ$12,W819,X819)</f>
        <v>0</v>
      </c>
    </row>
    <row r="820" spans="17:100">
      <c r="Q820" t="s">
        <v>218</v>
      </c>
      <c r="R820" t="s">
        <v>489</v>
      </c>
      <c r="S820" t="s">
        <v>220</v>
      </c>
      <c r="T820">
        <f ca="1">OFFSET('Calculations 2'!$C$45,W820,X820)*OFFSET($M$6,W820,0)</f>
        <v>1761.8172263225238</v>
      </c>
      <c r="V820">
        <f t="shared" si="38"/>
        <v>814</v>
      </c>
      <c r="W820">
        <f t="shared" si="39"/>
        <v>22</v>
      </c>
      <c r="X820">
        <f t="shared" si="40"/>
        <v>24</v>
      </c>
      <c r="AC820" t="s">
        <v>218</v>
      </c>
      <c r="AD820" t="s">
        <v>489</v>
      </c>
      <c r="AE820" t="s">
        <v>220</v>
      </c>
      <c r="AF820">
        <f ca="1">OFFSET('Calculations 2'!$CE$45,W820,0)*OFFSET($AA$6,X820,0)*OFFSET($M$6,W820,)</f>
        <v>0</v>
      </c>
      <c r="AY820" t="s">
        <v>218</v>
      </c>
      <c r="AZ820" t="s">
        <v>489</v>
      </c>
      <c r="BA820" t="s">
        <v>220</v>
      </c>
      <c r="BB820">
        <v>0</v>
      </c>
      <c r="BE820" t="s">
        <v>218</v>
      </c>
      <c r="BF820" t="s">
        <v>489</v>
      </c>
      <c r="BG820" t="s">
        <v>220</v>
      </c>
      <c r="BH820">
        <v>0</v>
      </c>
      <c r="CT820" t="s">
        <v>218</v>
      </c>
      <c r="CU820" t="s">
        <v>220</v>
      </c>
      <c r="CV820">
        <f ca="1">OFFSET('Calculations 2'!$AJ$12,W820,X820)</f>
        <v>0</v>
      </c>
    </row>
    <row r="821" spans="17:100">
      <c r="Q821" t="s">
        <v>257</v>
      </c>
      <c r="R821" t="s">
        <v>489</v>
      </c>
      <c r="S821" t="s">
        <v>220</v>
      </c>
      <c r="T821">
        <f ca="1">OFFSET('Calculations 2'!$C$45,W821,X821)*OFFSET($M$6,W821,0)</f>
        <v>2482.7036783433218</v>
      </c>
      <c r="V821">
        <f t="shared" si="38"/>
        <v>815</v>
      </c>
      <c r="W821">
        <f t="shared" si="39"/>
        <v>23</v>
      </c>
      <c r="X821">
        <f t="shared" si="40"/>
        <v>24</v>
      </c>
      <c r="AC821" t="s">
        <v>257</v>
      </c>
      <c r="AD821" t="s">
        <v>489</v>
      </c>
      <c r="AE821" t="s">
        <v>220</v>
      </c>
      <c r="AF821">
        <f ca="1">OFFSET('Calculations 2'!$CE$45,W821,0)*OFFSET($AA$6,X821,0)*OFFSET($M$6,W821,)</f>
        <v>0</v>
      </c>
      <c r="AY821" t="s">
        <v>257</v>
      </c>
      <c r="AZ821" t="s">
        <v>489</v>
      </c>
      <c r="BA821" t="s">
        <v>220</v>
      </c>
      <c r="BB821">
        <v>0</v>
      </c>
      <c r="BE821" t="s">
        <v>257</v>
      </c>
      <c r="BF821" t="s">
        <v>489</v>
      </c>
      <c r="BG821" t="s">
        <v>220</v>
      </c>
      <c r="BH821">
        <v>0</v>
      </c>
      <c r="CT821" t="s">
        <v>257</v>
      </c>
      <c r="CU821" t="s">
        <v>220</v>
      </c>
      <c r="CV821">
        <f ca="1">OFFSET('Calculations 2'!$AJ$12,W821,X821)</f>
        <v>0</v>
      </c>
    </row>
    <row r="822" spans="17:100">
      <c r="Q822" t="s">
        <v>220</v>
      </c>
      <c r="R822" t="s">
        <v>489</v>
      </c>
      <c r="S822" t="s">
        <v>220</v>
      </c>
      <c r="T822">
        <f ca="1">OFFSET('Calculations 2'!$C$45,W822,X822)*OFFSET($M$6,W822,0)</f>
        <v>2182.1267677492915</v>
      </c>
      <c r="V822">
        <f t="shared" si="38"/>
        <v>816</v>
      </c>
      <c r="W822">
        <f t="shared" si="39"/>
        <v>24</v>
      </c>
      <c r="X822">
        <f t="shared" si="40"/>
        <v>24</v>
      </c>
      <c r="AC822" t="s">
        <v>220</v>
      </c>
      <c r="AD822" t="s">
        <v>489</v>
      </c>
      <c r="AE822" t="s">
        <v>220</v>
      </c>
      <c r="AF822">
        <f ca="1">OFFSET('Calculations 2'!$CE$45,W822,0)*OFFSET($AA$6,X822,0)*OFFSET($M$6,W822,)</f>
        <v>0</v>
      </c>
      <c r="AY822" t="s">
        <v>220</v>
      </c>
      <c r="AZ822" t="s">
        <v>489</v>
      </c>
      <c r="BA822" t="s">
        <v>220</v>
      </c>
      <c r="BB822">
        <v>0</v>
      </c>
      <c r="BE822" t="s">
        <v>220</v>
      </c>
      <c r="BF822" t="s">
        <v>489</v>
      </c>
      <c r="BG822" t="s">
        <v>220</v>
      </c>
      <c r="BH822">
        <v>0</v>
      </c>
      <c r="CT822" t="s">
        <v>220</v>
      </c>
      <c r="CU822" t="s">
        <v>220</v>
      </c>
      <c r="CV822">
        <f ca="1">OFFSET('Calculations 2'!$AJ$12,W822,X822)</f>
        <v>33978.014777243785</v>
      </c>
    </row>
    <row r="823" spans="17:100">
      <c r="Q823" t="s">
        <v>235</v>
      </c>
      <c r="R823" t="s">
        <v>489</v>
      </c>
      <c r="S823" t="s">
        <v>220</v>
      </c>
      <c r="T823">
        <f ca="1">OFFSET('Calculations 2'!$C$45,W823,X823)*OFFSET($M$6,W823,0)</f>
        <v>611.21877228626238</v>
      </c>
      <c r="V823">
        <f t="shared" si="38"/>
        <v>817</v>
      </c>
      <c r="W823">
        <f t="shared" si="39"/>
        <v>25</v>
      </c>
      <c r="X823">
        <f t="shared" si="40"/>
        <v>24</v>
      </c>
      <c r="AC823" t="s">
        <v>235</v>
      </c>
      <c r="AD823" t="s">
        <v>489</v>
      </c>
      <c r="AE823" t="s">
        <v>220</v>
      </c>
      <c r="AF823">
        <f ca="1">OFFSET('Calculations 2'!$CE$45,W823,0)*OFFSET($AA$6,X823,0)*OFFSET($M$6,W823,)</f>
        <v>0</v>
      </c>
      <c r="AY823" t="s">
        <v>235</v>
      </c>
      <c r="AZ823" t="s">
        <v>489</v>
      </c>
      <c r="BA823" t="s">
        <v>220</v>
      </c>
      <c r="BB823">
        <v>0</v>
      </c>
      <c r="BE823" t="s">
        <v>235</v>
      </c>
      <c r="BF823" t="s">
        <v>489</v>
      </c>
      <c r="BG823" t="s">
        <v>220</v>
      </c>
      <c r="BH823">
        <v>0</v>
      </c>
      <c r="CT823" t="s">
        <v>235</v>
      </c>
      <c r="CU823" t="s">
        <v>220</v>
      </c>
      <c r="CV823">
        <f ca="1">OFFSET('Calculations 2'!$AJ$12,W823,X823)</f>
        <v>0</v>
      </c>
    </row>
    <row r="824" spans="17:100">
      <c r="Q824" t="s">
        <v>473</v>
      </c>
      <c r="R824" t="s">
        <v>489</v>
      </c>
      <c r="S824" t="s">
        <v>220</v>
      </c>
      <c r="T824">
        <f ca="1">OFFSET('Calculations 2'!$C$45,W824,X824)*OFFSET($M$6,W824,0)</f>
        <v>603.92281639058865</v>
      </c>
      <c r="V824">
        <f t="shared" si="38"/>
        <v>818</v>
      </c>
      <c r="W824">
        <f t="shared" si="39"/>
        <v>26</v>
      </c>
      <c r="X824">
        <f t="shared" si="40"/>
        <v>24</v>
      </c>
      <c r="AC824" t="s">
        <v>473</v>
      </c>
      <c r="AD824" t="s">
        <v>489</v>
      </c>
      <c r="AE824" t="s">
        <v>220</v>
      </c>
      <c r="AF824">
        <f ca="1">OFFSET('Calculations 2'!$CE$45,W824,0)*OFFSET($AA$6,X824,0)*OFFSET($M$6,W824,)</f>
        <v>0</v>
      </c>
      <c r="AY824" t="s">
        <v>473</v>
      </c>
      <c r="AZ824" t="s">
        <v>489</v>
      </c>
      <c r="BA824" t="s">
        <v>220</v>
      </c>
      <c r="BB824">
        <v>0</v>
      </c>
      <c r="BE824" t="s">
        <v>473</v>
      </c>
      <c r="BF824" t="s">
        <v>489</v>
      </c>
      <c r="BG824" t="s">
        <v>220</v>
      </c>
      <c r="BH824">
        <v>0</v>
      </c>
      <c r="CT824" t="s">
        <v>473</v>
      </c>
      <c r="CU824" t="s">
        <v>220</v>
      </c>
      <c r="CV824">
        <f ca="1">OFFSET('Calculations 2'!$AJ$12,W824,X824)</f>
        <v>0</v>
      </c>
    </row>
    <row r="825" spans="17:100">
      <c r="Q825" t="s">
        <v>233</v>
      </c>
      <c r="R825" t="s">
        <v>489</v>
      </c>
      <c r="S825" t="s">
        <v>220</v>
      </c>
      <c r="T825">
        <f ca="1">OFFSET('Calculations 2'!$C$45,W825,X825)*OFFSET($M$6,W825,0)</f>
        <v>4354.2036518019931</v>
      </c>
      <c r="V825">
        <f t="shared" si="38"/>
        <v>819</v>
      </c>
      <c r="W825">
        <f t="shared" si="39"/>
        <v>27</v>
      </c>
      <c r="X825">
        <f t="shared" si="40"/>
        <v>24</v>
      </c>
      <c r="AC825" t="s">
        <v>233</v>
      </c>
      <c r="AD825" t="s">
        <v>489</v>
      </c>
      <c r="AE825" t="s">
        <v>220</v>
      </c>
      <c r="AF825">
        <f ca="1">OFFSET('Calculations 2'!$CE$45,W825,0)*OFFSET($AA$6,X825,0)*OFFSET($M$6,W825,)</f>
        <v>0</v>
      </c>
      <c r="AY825" t="s">
        <v>233</v>
      </c>
      <c r="AZ825" t="s">
        <v>489</v>
      </c>
      <c r="BA825" t="s">
        <v>220</v>
      </c>
      <c r="BB825">
        <v>0</v>
      </c>
      <c r="BE825" t="s">
        <v>233</v>
      </c>
      <c r="BF825" t="s">
        <v>489</v>
      </c>
      <c r="BG825" t="s">
        <v>220</v>
      </c>
      <c r="BH825">
        <v>0</v>
      </c>
      <c r="CT825" t="s">
        <v>233</v>
      </c>
      <c r="CU825" t="s">
        <v>220</v>
      </c>
      <c r="CV825">
        <f ca="1">OFFSET('Calculations 2'!$AJ$12,W825,X825)</f>
        <v>0</v>
      </c>
    </row>
    <row r="826" spans="17:100">
      <c r="Q826" t="s">
        <v>474</v>
      </c>
      <c r="R826" t="s">
        <v>489</v>
      </c>
      <c r="S826" t="s">
        <v>220</v>
      </c>
      <c r="T826">
        <f ca="1">OFFSET('Calculations 2'!$C$45,W826,X826)*OFFSET($M$6,W826,0)</f>
        <v>392.77535599184523</v>
      </c>
      <c r="V826">
        <f t="shared" si="38"/>
        <v>820</v>
      </c>
      <c r="W826">
        <f t="shared" si="39"/>
        <v>28</v>
      </c>
      <c r="X826">
        <f t="shared" si="40"/>
        <v>24</v>
      </c>
      <c r="AC826" t="s">
        <v>474</v>
      </c>
      <c r="AD826" t="s">
        <v>489</v>
      </c>
      <c r="AE826" t="s">
        <v>220</v>
      </c>
      <c r="AF826">
        <f ca="1">OFFSET('Calculations 2'!$CE$45,W826,0)*OFFSET($AA$6,X826,0)*OFFSET($M$6,W826,)</f>
        <v>0</v>
      </c>
      <c r="AY826" t="s">
        <v>474</v>
      </c>
      <c r="AZ826" t="s">
        <v>489</v>
      </c>
      <c r="BA826" t="s">
        <v>220</v>
      </c>
      <c r="BB826">
        <v>0</v>
      </c>
      <c r="BE826" t="s">
        <v>474</v>
      </c>
      <c r="BF826" t="s">
        <v>489</v>
      </c>
      <c r="BG826" t="s">
        <v>220</v>
      </c>
      <c r="BH826">
        <v>0</v>
      </c>
      <c r="CT826" t="s">
        <v>474</v>
      </c>
      <c r="CU826" t="s">
        <v>220</v>
      </c>
      <c r="CV826">
        <f ca="1">OFFSET('Calculations 2'!$AJ$12,W826,X826)</f>
        <v>0</v>
      </c>
    </row>
    <row r="827" spans="17:100">
      <c r="Q827" t="s">
        <v>223</v>
      </c>
      <c r="R827" t="s">
        <v>489</v>
      </c>
      <c r="S827" t="s">
        <v>220</v>
      </c>
      <c r="T827">
        <f ca="1">OFFSET('Calculations 2'!$C$45,W827,X827)*OFFSET($M$6,W827,0)</f>
        <v>10.236379494734836</v>
      </c>
      <c r="V827">
        <f t="shared" si="38"/>
        <v>821</v>
      </c>
      <c r="W827">
        <f t="shared" si="39"/>
        <v>29</v>
      </c>
      <c r="X827">
        <f t="shared" si="40"/>
        <v>24</v>
      </c>
      <c r="AC827" t="s">
        <v>223</v>
      </c>
      <c r="AD827" t="s">
        <v>489</v>
      </c>
      <c r="AE827" t="s">
        <v>220</v>
      </c>
      <c r="AF827">
        <f ca="1">OFFSET('Calculations 2'!$CE$45,W827,0)*OFFSET($AA$6,X827,0)*OFFSET($M$6,W827,)</f>
        <v>0</v>
      </c>
      <c r="AY827" t="s">
        <v>223</v>
      </c>
      <c r="AZ827" t="s">
        <v>489</v>
      </c>
      <c r="BA827" t="s">
        <v>220</v>
      </c>
      <c r="BB827">
        <v>0</v>
      </c>
      <c r="BE827" t="s">
        <v>223</v>
      </c>
      <c r="BF827" t="s">
        <v>489</v>
      </c>
      <c r="BG827" t="s">
        <v>220</v>
      </c>
      <c r="BH827">
        <v>0</v>
      </c>
      <c r="CT827" t="s">
        <v>223</v>
      </c>
      <c r="CU827" t="s">
        <v>220</v>
      </c>
      <c r="CV827">
        <f ca="1">OFFSET('Calculations 2'!$AJ$12,W827,X827)</f>
        <v>0</v>
      </c>
    </row>
    <row r="828" spans="17:100">
      <c r="Q828" t="s">
        <v>475</v>
      </c>
      <c r="R828" t="s">
        <v>489</v>
      </c>
      <c r="S828" t="s">
        <v>220</v>
      </c>
      <c r="T828">
        <f ca="1">OFFSET('Calculations 2'!$C$45,W828,X828)*OFFSET($M$6,W828,0)</f>
        <v>22.585876117984142</v>
      </c>
      <c r="V828">
        <f t="shared" si="38"/>
        <v>822</v>
      </c>
      <c r="W828">
        <f t="shared" si="39"/>
        <v>30</v>
      </c>
      <c r="X828">
        <f t="shared" si="40"/>
        <v>24</v>
      </c>
      <c r="AC828" t="s">
        <v>475</v>
      </c>
      <c r="AD828" t="s">
        <v>489</v>
      </c>
      <c r="AE828" t="s">
        <v>220</v>
      </c>
      <c r="AF828">
        <f ca="1">OFFSET('Calculations 2'!$CE$45,W828,0)*OFFSET($AA$6,X828,0)*OFFSET($M$6,W828,)</f>
        <v>0</v>
      </c>
      <c r="AY828" t="s">
        <v>475</v>
      </c>
      <c r="AZ828" t="s">
        <v>489</v>
      </c>
      <c r="BA828" t="s">
        <v>220</v>
      </c>
      <c r="BB828">
        <v>0</v>
      </c>
      <c r="BE828" t="s">
        <v>475</v>
      </c>
      <c r="BF828" t="s">
        <v>489</v>
      </c>
      <c r="BG828" t="s">
        <v>220</v>
      </c>
      <c r="BH828">
        <v>0</v>
      </c>
      <c r="CT828" t="s">
        <v>475</v>
      </c>
      <c r="CU828" t="s">
        <v>220</v>
      </c>
      <c r="CV828">
        <f ca="1">OFFSET('Calculations 2'!$AJ$12,W828,X828)</f>
        <v>0</v>
      </c>
    </row>
    <row r="829" spans="17:100">
      <c r="Q829" t="s">
        <v>476</v>
      </c>
      <c r="R829" t="s">
        <v>489</v>
      </c>
      <c r="S829" t="s">
        <v>220</v>
      </c>
      <c r="T829">
        <f ca="1">OFFSET('Calculations 2'!$C$45,W829,X829)*OFFSET($M$6,W829,0)</f>
        <v>7.8864130916325044</v>
      </c>
      <c r="V829">
        <f t="shared" si="38"/>
        <v>823</v>
      </c>
      <c r="W829">
        <f t="shared" si="39"/>
        <v>31</v>
      </c>
      <c r="X829">
        <f t="shared" si="40"/>
        <v>24</v>
      </c>
      <c r="AC829" t="s">
        <v>476</v>
      </c>
      <c r="AD829" t="s">
        <v>489</v>
      </c>
      <c r="AE829" t="s">
        <v>220</v>
      </c>
      <c r="AF829">
        <f ca="1">OFFSET('Calculations 2'!$CE$45,W829,0)*OFFSET($AA$6,X829,0)*OFFSET($M$6,W829,)</f>
        <v>0</v>
      </c>
      <c r="AY829" t="s">
        <v>476</v>
      </c>
      <c r="AZ829" t="s">
        <v>489</v>
      </c>
      <c r="BA829" t="s">
        <v>220</v>
      </c>
      <c r="BB829">
        <v>0</v>
      </c>
      <c r="BE829" t="s">
        <v>476</v>
      </c>
      <c r="BF829" t="s">
        <v>489</v>
      </c>
      <c r="BG829" t="s">
        <v>220</v>
      </c>
      <c r="BH829">
        <v>0</v>
      </c>
      <c r="CT829" t="s">
        <v>476</v>
      </c>
      <c r="CU829" t="s">
        <v>220</v>
      </c>
      <c r="CV829">
        <f ca="1">OFFSET('Calculations 2'!$AJ$12,W829,X829)</f>
        <v>0</v>
      </c>
    </row>
    <row r="830" spans="17:100">
      <c r="Q830" t="s">
        <v>222</v>
      </c>
      <c r="R830" t="s">
        <v>489</v>
      </c>
      <c r="S830" t="s">
        <v>220</v>
      </c>
      <c r="T830">
        <f ca="1">OFFSET('Calculations 2'!$C$45,W830,X830)*OFFSET($M$6,W830,0)</f>
        <v>0</v>
      </c>
      <c r="V830">
        <f t="shared" si="38"/>
        <v>824</v>
      </c>
      <c r="W830">
        <f t="shared" si="39"/>
        <v>32</v>
      </c>
      <c r="X830">
        <f t="shared" si="40"/>
        <v>24</v>
      </c>
      <c r="AC830" t="s">
        <v>222</v>
      </c>
      <c r="AD830" t="s">
        <v>489</v>
      </c>
      <c r="AE830" t="s">
        <v>220</v>
      </c>
      <c r="AF830">
        <f ca="1">OFFSET('Calculations 2'!$CE$45,W830,0)*OFFSET($AA$6,X830,0)*OFFSET($M$6,W830,)</f>
        <v>0</v>
      </c>
      <c r="AY830" t="s">
        <v>222</v>
      </c>
      <c r="AZ830" t="s">
        <v>489</v>
      </c>
      <c r="BA830" t="s">
        <v>220</v>
      </c>
      <c r="BB830">
        <v>0</v>
      </c>
      <c r="BE830" t="s">
        <v>222</v>
      </c>
      <c r="BF830" t="s">
        <v>489</v>
      </c>
      <c r="BG830" t="s">
        <v>220</v>
      </c>
      <c r="BH830">
        <v>0</v>
      </c>
      <c r="CT830" t="s">
        <v>222</v>
      </c>
      <c r="CU830" t="s">
        <v>220</v>
      </c>
      <c r="CV830">
        <f ca="1">OFFSET('Calculations 2'!$AJ$12,W830,X830)</f>
        <v>0</v>
      </c>
    </row>
    <row r="831" spans="17:100">
      <c r="Q831" t="s">
        <v>217</v>
      </c>
      <c r="R831" t="s">
        <v>489</v>
      </c>
      <c r="S831" t="s">
        <v>235</v>
      </c>
      <c r="T831">
        <f ca="1">OFFSET('Calculations 2'!$C$45,W831,X831)*OFFSET($M$6,W831,0)</f>
        <v>0</v>
      </c>
      <c r="V831">
        <f t="shared" si="38"/>
        <v>825</v>
      </c>
      <c r="W831">
        <f t="shared" si="39"/>
        <v>0</v>
      </c>
      <c r="X831">
        <f t="shared" si="40"/>
        <v>25</v>
      </c>
      <c r="AC831" t="s">
        <v>217</v>
      </c>
      <c r="AD831" t="s">
        <v>489</v>
      </c>
      <c r="AE831" t="s">
        <v>235</v>
      </c>
      <c r="AF831">
        <f ca="1">OFFSET('Calculations 2'!$CE$45,W831,0)*OFFSET($AA$6,X831,0)*OFFSET($M$6,W831,)</f>
        <v>3.9113790253446279</v>
      </c>
      <c r="AY831" t="s">
        <v>217</v>
      </c>
      <c r="AZ831" t="s">
        <v>489</v>
      </c>
      <c r="BA831" t="s">
        <v>235</v>
      </c>
      <c r="BB831">
        <v>0</v>
      </c>
      <c r="BE831" t="s">
        <v>217</v>
      </c>
      <c r="BF831" t="s">
        <v>489</v>
      </c>
      <c r="BG831" t="s">
        <v>235</v>
      </c>
      <c r="BH831">
        <v>0</v>
      </c>
      <c r="CT831" t="s">
        <v>217</v>
      </c>
      <c r="CU831" t="s">
        <v>235</v>
      </c>
      <c r="CV831">
        <f ca="1">OFFSET('Calculations 2'!$AJ$12,W831,X831)</f>
        <v>0</v>
      </c>
    </row>
    <row r="832" spans="17:100">
      <c r="Q832" t="s">
        <v>232</v>
      </c>
      <c r="R832" t="s">
        <v>489</v>
      </c>
      <c r="S832" t="s">
        <v>235</v>
      </c>
      <c r="T832">
        <f ca="1">OFFSET('Calculations 2'!$C$45,W832,X832)*OFFSET($M$6,W832,0)</f>
        <v>0</v>
      </c>
      <c r="V832">
        <f t="shared" si="38"/>
        <v>826</v>
      </c>
      <c r="W832">
        <f t="shared" si="39"/>
        <v>1</v>
      </c>
      <c r="X832">
        <f t="shared" si="40"/>
        <v>25</v>
      </c>
      <c r="AC832" t="s">
        <v>232</v>
      </c>
      <c r="AD832" t="s">
        <v>489</v>
      </c>
      <c r="AE832" t="s">
        <v>235</v>
      </c>
      <c r="AF832">
        <f ca="1">OFFSET('Calculations 2'!$CE$45,W832,0)*OFFSET($AA$6,X832,0)*OFFSET($M$6,W832,)</f>
        <v>6.8230808377238601</v>
      </c>
      <c r="AY832" t="s">
        <v>232</v>
      </c>
      <c r="AZ832" t="s">
        <v>489</v>
      </c>
      <c r="BA832" t="s">
        <v>235</v>
      </c>
      <c r="BB832">
        <v>0</v>
      </c>
      <c r="BE832" t="s">
        <v>232</v>
      </c>
      <c r="BF832" t="s">
        <v>489</v>
      </c>
      <c r="BG832" t="s">
        <v>235</v>
      </c>
      <c r="BH832">
        <v>0</v>
      </c>
      <c r="CT832" t="s">
        <v>232</v>
      </c>
      <c r="CU832" t="s">
        <v>235</v>
      </c>
      <c r="CV832">
        <f ca="1">OFFSET('Calculations 2'!$AJ$12,W832,X832)</f>
        <v>0</v>
      </c>
    </row>
    <row r="833" spans="17:100">
      <c r="Q833" t="s">
        <v>226</v>
      </c>
      <c r="R833" t="s">
        <v>489</v>
      </c>
      <c r="S833" t="s">
        <v>235</v>
      </c>
      <c r="T833">
        <f ca="1">OFFSET('Calculations 2'!$C$45,W833,X833)*OFFSET($M$6,W833,0)</f>
        <v>0</v>
      </c>
      <c r="V833">
        <f t="shared" si="38"/>
        <v>827</v>
      </c>
      <c r="W833">
        <f t="shared" si="39"/>
        <v>2</v>
      </c>
      <c r="X833">
        <f t="shared" si="40"/>
        <v>25</v>
      </c>
      <c r="AC833" t="s">
        <v>226</v>
      </c>
      <c r="AD833" t="s">
        <v>489</v>
      </c>
      <c r="AE833" t="s">
        <v>235</v>
      </c>
      <c r="AF833">
        <f ca="1">OFFSET('Calculations 2'!$CE$45,W833,0)*OFFSET($AA$6,X833,0)*OFFSET($M$6,W833,)</f>
        <v>11.488631412658357</v>
      </c>
      <c r="AY833" t="s">
        <v>226</v>
      </c>
      <c r="AZ833" t="s">
        <v>489</v>
      </c>
      <c r="BA833" t="s">
        <v>235</v>
      </c>
      <c r="BB833">
        <v>0</v>
      </c>
      <c r="BE833" t="s">
        <v>226</v>
      </c>
      <c r="BF833" t="s">
        <v>489</v>
      </c>
      <c r="BG833" t="s">
        <v>235</v>
      </c>
      <c r="BH833">
        <v>0</v>
      </c>
      <c r="CT833" t="s">
        <v>226</v>
      </c>
      <c r="CU833" t="s">
        <v>235</v>
      </c>
      <c r="CV833">
        <f ca="1">OFFSET('Calculations 2'!$AJ$12,W833,X833)</f>
        <v>0</v>
      </c>
    </row>
    <row r="834" spans="17:100">
      <c r="Q834" t="s">
        <v>243</v>
      </c>
      <c r="R834" t="s">
        <v>489</v>
      </c>
      <c r="S834" t="s">
        <v>235</v>
      </c>
      <c r="T834">
        <f ca="1">OFFSET('Calculations 2'!$C$45,W834,X834)*OFFSET($M$6,W834,0)</f>
        <v>0</v>
      </c>
      <c r="V834">
        <f t="shared" si="38"/>
        <v>828</v>
      </c>
      <c r="W834">
        <f t="shared" si="39"/>
        <v>3</v>
      </c>
      <c r="X834">
        <f t="shared" si="40"/>
        <v>25</v>
      </c>
      <c r="AC834" t="s">
        <v>243</v>
      </c>
      <c r="AD834" t="s">
        <v>489</v>
      </c>
      <c r="AE834" t="s">
        <v>235</v>
      </c>
      <c r="AF834">
        <f ca="1">OFFSET('Calculations 2'!$CE$45,W834,0)*OFFSET($AA$6,X834,0)*OFFSET($M$6,W834,)</f>
        <v>59.842616510804689</v>
      </c>
      <c r="AY834" t="s">
        <v>243</v>
      </c>
      <c r="AZ834" t="s">
        <v>489</v>
      </c>
      <c r="BA834" t="s">
        <v>235</v>
      </c>
      <c r="BB834">
        <v>0</v>
      </c>
      <c r="BE834" t="s">
        <v>243</v>
      </c>
      <c r="BF834" t="s">
        <v>489</v>
      </c>
      <c r="BG834" t="s">
        <v>235</v>
      </c>
      <c r="BH834">
        <v>0</v>
      </c>
      <c r="CT834" t="s">
        <v>243</v>
      </c>
      <c r="CU834" t="s">
        <v>235</v>
      </c>
      <c r="CV834">
        <f ca="1">OFFSET('Calculations 2'!$AJ$12,W834,X834)</f>
        <v>0</v>
      </c>
    </row>
    <row r="835" spans="17:100">
      <c r="Q835" t="s">
        <v>228</v>
      </c>
      <c r="R835" t="s">
        <v>489</v>
      </c>
      <c r="S835" t="s">
        <v>235</v>
      </c>
      <c r="T835">
        <f ca="1">OFFSET('Calculations 2'!$C$45,W835,X835)*OFFSET($M$6,W835,0)</f>
        <v>0</v>
      </c>
      <c r="V835">
        <f t="shared" si="38"/>
        <v>829</v>
      </c>
      <c r="W835">
        <f t="shared" si="39"/>
        <v>4</v>
      </c>
      <c r="X835">
        <f t="shared" si="40"/>
        <v>25</v>
      </c>
      <c r="AC835" t="s">
        <v>228</v>
      </c>
      <c r="AD835" t="s">
        <v>489</v>
      </c>
      <c r="AE835" t="s">
        <v>235</v>
      </c>
      <c r="AF835">
        <f ca="1">OFFSET('Calculations 2'!$CE$45,W835,0)*OFFSET($AA$6,X835,0)*OFFSET($M$6,W835,)</f>
        <v>0.42462667344819433</v>
      </c>
      <c r="AY835" t="s">
        <v>228</v>
      </c>
      <c r="AZ835" t="s">
        <v>489</v>
      </c>
      <c r="BA835" t="s">
        <v>235</v>
      </c>
      <c r="BB835">
        <v>0</v>
      </c>
      <c r="BE835" t="s">
        <v>228</v>
      </c>
      <c r="BF835" t="s">
        <v>489</v>
      </c>
      <c r="BG835" t="s">
        <v>235</v>
      </c>
      <c r="BH835">
        <v>0</v>
      </c>
      <c r="CT835" t="s">
        <v>228</v>
      </c>
      <c r="CU835" t="s">
        <v>235</v>
      </c>
      <c r="CV835">
        <f ca="1">OFFSET('Calculations 2'!$AJ$12,W835,X835)</f>
        <v>0</v>
      </c>
    </row>
    <row r="836" spans="17:100">
      <c r="Q836" t="s">
        <v>246</v>
      </c>
      <c r="R836" t="s">
        <v>489</v>
      </c>
      <c r="S836" t="s">
        <v>235</v>
      </c>
      <c r="T836">
        <f ca="1">OFFSET('Calculations 2'!$C$45,W836,X836)*OFFSET($M$6,W836,0)</f>
        <v>0</v>
      </c>
      <c r="V836">
        <f t="shared" si="38"/>
        <v>830</v>
      </c>
      <c r="W836">
        <f t="shared" si="39"/>
        <v>5</v>
      </c>
      <c r="X836">
        <f t="shared" si="40"/>
        <v>25</v>
      </c>
      <c r="AC836" t="s">
        <v>246</v>
      </c>
      <c r="AD836" t="s">
        <v>489</v>
      </c>
      <c r="AE836" t="s">
        <v>235</v>
      </c>
      <c r="AF836">
        <f ca="1">OFFSET('Calculations 2'!$CE$45,W836,0)*OFFSET($AA$6,X836,0)*OFFSET($M$6,W836,)</f>
        <v>2.6139963442053307</v>
      </c>
      <c r="AY836" t="s">
        <v>246</v>
      </c>
      <c r="AZ836" t="s">
        <v>489</v>
      </c>
      <c r="BA836" t="s">
        <v>235</v>
      </c>
      <c r="BB836">
        <v>0</v>
      </c>
      <c r="BE836" t="s">
        <v>246</v>
      </c>
      <c r="BF836" t="s">
        <v>489</v>
      </c>
      <c r="BG836" t="s">
        <v>235</v>
      </c>
      <c r="BH836">
        <v>0</v>
      </c>
      <c r="CT836" t="s">
        <v>246</v>
      </c>
      <c r="CU836" t="s">
        <v>235</v>
      </c>
      <c r="CV836">
        <f ca="1">OFFSET('Calculations 2'!$AJ$12,W836,X836)</f>
        <v>0</v>
      </c>
    </row>
    <row r="837" spans="17:100">
      <c r="Q837" t="s">
        <v>239</v>
      </c>
      <c r="R837" t="s">
        <v>489</v>
      </c>
      <c r="S837" t="s">
        <v>235</v>
      </c>
      <c r="T837">
        <f ca="1">OFFSET('Calculations 2'!$C$45,W837,X837)*OFFSET($M$6,W837,0)</f>
        <v>90.310210986616283</v>
      </c>
      <c r="V837">
        <f t="shared" si="38"/>
        <v>831</v>
      </c>
      <c r="W837">
        <f t="shared" si="39"/>
        <v>6</v>
      </c>
      <c r="X837">
        <f t="shared" si="40"/>
        <v>25</v>
      </c>
      <c r="AC837" t="s">
        <v>239</v>
      </c>
      <c r="AD837" t="s">
        <v>489</v>
      </c>
      <c r="AE837" t="s">
        <v>235</v>
      </c>
      <c r="AF837">
        <f ca="1">OFFSET('Calculations 2'!$CE$45,W837,0)*OFFSET($AA$6,X837,0)*OFFSET($M$6,W837,)</f>
        <v>52.32076052545824</v>
      </c>
      <c r="AY837" t="s">
        <v>239</v>
      </c>
      <c r="AZ837" t="s">
        <v>489</v>
      </c>
      <c r="BA837" t="s">
        <v>235</v>
      </c>
      <c r="BB837">
        <v>0</v>
      </c>
      <c r="BE837" t="s">
        <v>239</v>
      </c>
      <c r="BF837" t="s">
        <v>489</v>
      </c>
      <c r="BG837" t="s">
        <v>235</v>
      </c>
      <c r="BH837">
        <v>0</v>
      </c>
      <c r="CT837" t="s">
        <v>239</v>
      </c>
      <c r="CU837" t="s">
        <v>235</v>
      </c>
      <c r="CV837">
        <f ca="1">OFFSET('Calculations 2'!$AJ$12,W837,X837)</f>
        <v>0</v>
      </c>
    </row>
    <row r="838" spans="17:100">
      <c r="Q838" t="s">
        <v>466</v>
      </c>
      <c r="R838" t="s">
        <v>489</v>
      </c>
      <c r="S838" t="s">
        <v>235</v>
      </c>
      <c r="T838">
        <f ca="1">OFFSET('Calculations 2'!$C$45,W838,X838)*OFFSET($M$6,W838,0)</f>
        <v>4.2814225646406872</v>
      </c>
      <c r="V838">
        <f t="shared" si="38"/>
        <v>832</v>
      </c>
      <c r="W838">
        <f t="shared" si="39"/>
        <v>7</v>
      </c>
      <c r="X838">
        <f t="shared" si="40"/>
        <v>25</v>
      </c>
      <c r="AC838" t="s">
        <v>466</v>
      </c>
      <c r="AD838" t="s">
        <v>489</v>
      </c>
      <c r="AE838" t="s">
        <v>235</v>
      </c>
      <c r="AF838">
        <f ca="1">OFFSET('Calculations 2'!$CE$45,W838,0)*OFFSET($AA$6,X838,0)*OFFSET($M$6,W838,)</f>
        <v>7.9726713713749087</v>
      </c>
      <c r="AY838" t="s">
        <v>466</v>
      </c>
      <c r="AZ838" t="s">
        <v>489</v>
      </c>
      <c r="BA838" t="s">
        <v>235</v>
      </c>
      <c r="BB838">
        <v>0</v>
      </c>
      <c r="BE838" t="s">
        <v>466</v>
      </c>
      <c r="BF838" t="s">
        <v>489</v>
      </c>
      <c r="BG838" t="s">
        <v>235</v>
      </c>
      <c r="BH838">
        <v>0</v>
      </c>
      <c r="CT838" t="s">
        <v>466</v>
      </c>
      <c r="CU838" t="s">
        <v>235</v>
      </c>
      <c r="CV838">
        <f ca="1">OFFSET('Calculations 2'!$AJ$12,W838,X838)</f>
        <v>0</v>
      </c>
    </row>
    <row r="839" spans="17:100">
      <c r="Q839" t="s">
        <v>219</v>
      </c>
      <c r="R839" t="s">
        <v>489</v>
      </c>
      <c r="S839" t="s">
        <v>235</v>
      </c>
      <c r="T839">
        <f ca="1">OFFSET('Calculations 2'!$C$45,W839,X839)*OFFSET($M$6,W839,0)</f>
        <v>0</v>
      </c>
      <c r="V839">
        <f t="shared" si="38"/>
        <v>833</v>
      </c>
      <c r="W839">
        <f t="shared" si="39"/>
        <v>8</v>
      </c>
      <c r="X839">
        <f t="shared" si="40"/>
        <v>25</v>
      </c>
      <c r="AC839" t="s">
        <v>219</v>
      </c>
      <c r="AD839" t="s">
        <v>489</v>
      </c>
      <c r="AE839" t="s">
        <v>235</v>
      </c>
      <c r="AF839">
        <f ca="1">OFFSET('Calculations 2'!$CE$45,W839,0)*OFFSET($AA$6,X839,0)*OFFSET($M$6,W839,)</f>
        <v>49.647453803766844</v>
      </c>
      <c r="AY839" t="s">
        <v>219</v>
      </c>
      <c r="AZ839" t="s">
        <v>489</v>
      </c>
      <c r="BA839" t="s">
        <v>235</v>
      </c>
      <c r="BB839">
        <v>0</v>
      </c>
      <c r="BE839" t="s">
        <v>219</v>
      </c>
      <c r="BF839" t="s">
        <v>489</v>
      </c>
      <c r="BG839" t="s">
        <v>235</v>
      </c>
      <c r="BH839">
        <v>0</v>
      </c>
      <c r="CT839" t="s">
        <v>219</v>
      </c>
      <c r="CU839" t="s">
        <v>235</v>
      </c>
      <c r="CV839">
        <f ca="1">OFFSET('Calculations 2'!$AJ$12,W839,X839)</f>
        <v>0</v>
      </c>
    </row>
    <row r="840" spans="17:100">
      <c r="Q840" t="s">
        <v>242</v>
      </c>
      <c r="R840" t="s">
        <v>489</v>
      </c>
      <c r="S840" t="s">
        <v>235</v>
      </c>
      <c r="T840">
        <f ca="1">OFFSET('Calculations 2'!$C$45,W840,X840)*OFFSET($M$6,W840,0)</f>
        <v>0</v>
      </c>
      <c r="V840">
        <f t="shared" ref="V840:V903" si="41">V839+1</f>
        <v>834</v>
      </c>
      <c r="W840">
        <f t="shared" ref="W840:W903" si="42">MOD(V840,$V$3)</f>
        <v>9</v>
      </c>
      <c r="X840">
        <f t="shared" ref="X840:X903" si="43">FLOOR(V840/$V$3,1)</f>
        <v>25</v>
      </c>
      <c r="AC840" t="s">
        <v>242</v>
      </c>
      <c r="AD840" t="s">
        <v>489</v>
      </c>
      <c r="AE840" t="s">
        <v>235</v>
      </c>
      <c r="AF840">
        <f ca="1">OFFSET('Calculations 2'!$CE$45,W840,0)*OFFSET($AA$6,X840,0)*OFFSET($M$6,W840,)</f>
        <v>77.718301456738118</v>
      </c>
      <c r="AY840" t="s">
        <v>242</v>
      </c>
      <c r="AZ840" t="s">
        <v>489</v>
      </c>
      <c r="BA840" t="s">
        <v>235</v>
      </c>
      <c r="BB840">
        <v>0</v>
      </c>
      <c r="BE840" t="s">
        <v>242</v>
      </c>
      <c r="BF840" t="s">
        <v>489</v>
      </c>
      <c r="BG840" t="s">
        <v>235</v>
      </c>
      <c r="BH840">
        <v>0</v>
      </c>
      <c r="CT840" t="s">
        <v>242</v>
      </c>
      <c r="CU840" t="s">
        <v>235</v>
      </c>
      <c r="CV840">
        <f ca="1">OFFSET('Calculations 2'!$AJ$12,W840,X840)</f>
        <v>0</v>
      </c>
    </row>
    <row r="841" spans="17:100">
      <c r="Q841" t="s">
        <v>467</v>
      </c>
      <c r="R841" t="s">
        <v>489</v>
      </c>
      <c r="S841" t="s">
        <v>235</v>
      </c>
      <c r="T841">
        <f ca="1">OFFSET('Calculations 2'!$C$45,W841,X841)*OFFSET($M$6,W841,0)</f>
        <v>0</v>
      </c>
      <c r="V841">
        <f t="shared" si="41"/>
        <v>835</v>
      </c>
      <c r="W841">
        <f t="shared" si="42"/>
        <v>10</v>
      </c>
      <c r="X841">
        <f t="shared" si="43"/>
        <v>25</v>
      </c>
      <c r="AC841" t="s">
        <v>467</v>
      </c>
      <c r="AD841" t="s">
        <v>489</v>
      </c>
      <c r="AE841" t="s">
        <v>235</v>
      </c>
      <c r="AF841">
        <f ca="1">OFFSET('Calculations 2'!$CE$45,W841,0)*OFFSET($AA$6,X841,0)*OFFSET($M$6,W841,)</f>
        <v>71.996346116032157</v>
      </c>
      <c r="AY841" t="s">
        <v>467</v>
      </c>
      <c r="AZ841" t="s">
        <v>489</v>
      </c>
      <c r="BA841" t="s">
        <v>235</v>
      </c>
      <c r="BB841">
        <v>0</v>
      </c>
      <c r="BE841" t="s">
        <v>467</v>
      </c>
      <c r="BF841" t="s">
        <v>489</v>
      </c>
      <c r="BG841" t="s">
        <v>235</v>
      </c>
      <c r="BH841">
        <v>0</v>
      </c>
      <c r="CT841" t="s">
        <v>467</v>
      </c>
      <c r="CU841" t="s">
        <v>235</v>
      </c>
      <c r="CV841">
        <f ca="1">OFFSET('Calculations 2'!$AJ$12,W841,X841)</f>
        <v>0</v>
      </c>
    </row>
    <row r="842" spans="17:100">
      <c r="Q842" t="s">
        <v>231</v>
      </c>
      <c r="R842" t="s">
        <v>489</v>
      </c>
      <c r="S842" t="s">
        <v>235</v>
      </c>
      <c r="T842">
        <f ca="1">OFFSET('Calculations 2'!$C$45,W842,X842)*OFFSET($M$6,W842,0)</f>
        <v>0</v>
      </c>
      <c r="V842">
        <f t="shared" si="41"/>
        <v>836</v>
      </c>
      <c r="W842">
        <f t="shared" si="42"/>
        <v>11</v>
      </c>
      <c r="X842">
        <f t="shared" si="43"/>
        <v>25</v>
      </c>
      <c r="AC842" t="s">
        <v>231</v>
      </c>
      <c r="AD842" t="s">
        <v>489</v>
      </c>
      <c r="AE842" t="s">
        <v>235</v>
      </c>
      <c r="AF842">
        <f ca="1">OFFSET('Calculations 2'!$CE$45,W842,0)*OFFSET($AA$6,X842,0)*OFFSET($M$6,W842,)</f>
        <v>210.57686471478561</v>
      </c>
      <c r="AY842" t="s">
        <v>231</v>
      </c>
      <c r="AZ842" t="s">
        <v>489</v>
      </c>
      <c r="BA842" t="s">
        <v>235</v>
      </c>
      <c r="BB842">
        <v>0</v>
      </c>
      <c r="BE842" t="s">
        <v>231</v>
      </c>
      <c r="BF842" t="s">
        <v>489</v>
      </c>
      <c r="BG842" t="s">
        <v>235</v>
      </c>
      <c r="BH842">
        <v>0</v>
      </c>
      <c r="CT842" t="s">
        <v>231</v>
      </c>
      <c r="CU842" t="s">
        <v>235</v>
      </c>
      <c r="CV842">
        <f ca="1">OFFSET('Calculations 2'!$AJ$12,W842,X842)</f>
        <v>0</v>
      </c>
    </row>
    <row r="843" spans="17:100">
      <c r="Q843" t="s">
        <v>468</v>
      </c>
      <c r="R843" t="s">
        <v>489</v>
      </c>
      <c r="S843" t="s">
        <v>235</v>
      </c>
      <c r="T843">
        <f ca="1">OFFSET('Calculations 2'!$C$45,W843,X843)*OFFSET($M$6,W843,0)</f>
        <v>0</v>
      </c>
      <c r="V843">
        <f t="shared" si="41"/>
        <v>837</v>
      </c>
      <c r="W843">
        <f t="shared" si="42"/>
        <v>12</v>
      </c>
      <c r="X843">
        <f t="shared" si="43"/>
        <v>25</v>
      </c>
      <c r="AC843" t="s">
        <v>468</v>
      </c>
      <c r="AD843" t="s">
        <v>489</v>
      </c>
      <c r="AE843" t="s">
        <v>235</v>
      </c>
      <c r="AF843">
        <f ca="1">OFFSET('Calculations 2'!$CE$45,W843,0)*OFFSET($AA$6,X843,0)*OFFSET($M$6,W843,)</f>
        <v>304.79341362006818</v>
      </c>
      <c r="AY843" t="s">
        <v>468</v>
      </c>
      <c r="AZ843" t="s">
        <v>489</v>
      </c>
      <c r="BA843" t="s">
        <v>235</v>
      </c>
      <c r="BB843">
        <v>0</v>
      </c>
      <c r="BE843" t="s">
        <v>468</v>
      </c>
      <c r="BF843" t="s">
        <v>489</v>
      </c>
      <c r="BG843" t="s">
        <v>235</v>
      </c>
      <c r="BH843">
        <v>0</v>
      </c>
      <c r="CT843" t="s">
        <v>468</v>
      </c>
      <c r="CU843" t="s">
        <v>235</v>
      </c>
      <c r="CV843">
        <f ca="1">OFFSET('Calculations 2'!$AJ$12,W843,X843)</f>
        <v>0</v>
      </c>
    </row>
    <row r="844" spans="17:100">
      <c r="Q844" t="s">
        <v>469</v>
      </c>
      <c r="R844" t="s">
        <v>489</v>
      </c>
      <c r="S844" t="s">
        <v>235</v>
      </c>
      <c r="T844">
        <f ca="1">OFFSET('Calculations 2'!$C$45,W844,X844)*OFFSET($M$6,W844,0)</f>
        <v>0</v>
      </c>
      <c r="V844">
        <f t="shared" si="41"/>
        <v>838</v>
      </c>
      <c r="W844">
        <f t="shared" si="42"/>
        <v>13</v>
      </c>
      <c r="X844">
        <f t="shared" si="43"/>
        <v>25</v>
      </c>
      <c r="AC844" t="s">
        <v>469</v>
      </c>
      <c r="AD844" t="s">
        <v>489</v>
      </c>
      <c r="AE844" t="s">
        <v>235</v>
      </c>
      <c r="AF844">
        <f ca="1">OFFSET('Calculations 2'!$CE$45,W844,0)*OFFSET($AA$6,X844,0)*OFFSET($M$6,W844,)</f>
        <v>63.403643162025382</v>
      </c>
      <c r="AY844" t="s">
        <v>469</v>
      </c>
      <c r="AZ844" t="s">
        <v>489</v>
      </c>
      <c r="BA844" t="s">
        <v>235</v>
      </c>
      <c r="BB844">
        <v>0</v>
      </c>
      <c r="BE844" t="s">
        <v>469</v>
      </c>
      <c r="BF844" t="s">
        <v>489</v>
      </c>
      <c r="BG844" t="s">
        <v>235</v>
      </c>
      <c r="BH844">
        <v>0</v>
      </c>
      <c r="CT844" t="s">
        <v>469</v>
      </c>
      <c r="CU844" t="s">
        <v>235</v>
      </c>
      <c r="CV844">
        <f ca="1">OFFSET('Calculations 2'!$AJ$12,W844,X844)</f>
        <v>0</v>
      </c>
    </row>
    <row r="845" spans="17:100">
      <c r="Q845" t="s">
        <v>245</v>
      </c>
      <c r="R845" t="s">
        <v>489</v>
      </c>
      <c r="S845" t="s">
        <v>235</v>
      </c>
      <c r="T845">
        <f ca="1">OFFSET('Calculations 2'!$C$45,W845,X845)*OFFSET($M$6,W845,0)</f>
        <v>0</v>
      </c>
      <c r="V845">
        <f t="shared" si="41"/>
        <v>839</v>
      </c>
      <c r="W845">
        <f t="shared" si="42"/>
        <v>14</v>
      </c>
      <c r="X845">
        <f t="shared" si="43"/>
        <v>25</v>
      </c>
      <c r="AC845" t="s">
        <v>245</v>
      </c>
      <c r="AD845" t="s">
        <v>489</v>
      </c>
      <c r="AE845" t="s">
        <v>235</v>
      </c>
      <c r="AF845">
        <f ca="1">OFFSET('Calculations 2'!$CE$45,W845,0)*OFFSET($AA$6,X845,0)*OFFSET($M$6,W845,)</f>
        <v>91.58706744465654</v>
      </c>
      <c r="AY845" t="s">
        <v>245</v>
      </c>
      <c r="AZ845" t="s">
        <v>489</v>
      </c>
      <c r="BA845" t="s">
        <v>235</v>
      </c>
      <c r="BB845">
        <v>0</v>
      </c>
      <c r="BE845" t="s">
        <v>245</v>
      </c>
      <c r="BF845" t="s">
        <v>489</v>
      </c>
      <c r="BG845" t="s">
        <v>235</v>
      </c>
      <c r="BH845">
        <v>0</v>
      </c>
      <c r="CT845" t="s">
        <v>245</v>
      </c>
      <c r="CU845" t="s">
        <v>235</v>
      </c>
      <c r="CV845">
        <f ca="1">OFFSET('Calculations 2'!$AJ$12,W845,X845)</f>
        <v>0</v>
      </c>
    </row>
    <row r="846" spans="17:100">
      <c r="Q846" t="s">
        <v>470</v>
      </c>
      <c r="R846" t="s">
        <v>489</v>
      </c>
      <c r="S846" t="s">
        <v>235</v>
      </c>
      <c r="T846">
        <f ca="1">OFFSET('Calculations 2'!$C$45,W846,X846)*OFFSET($M$6,W846,0)</f>
        <v>51.135605105657362</v>
      </c>
      <c r="V846">
        <f t="shared" si="41"/>
        <v>840</v>
      </c>
      <c r="W846">
        <f t="shared" si="42"/>
        <v>15</v>
      </c>
      <c r="X846">
        <f t="shared" si="43"/>
        <v>25</v>
      </c>
      <c r="AC846" t="s">
        <v>470</v>
      </c>
      <c r="AD846" t="s">
        <v>489</v>
      </c>
      <c r="AE846" t="s">
        <v>235</v>
      </c>
      <c r="AF846">
        <f ca="1">OFFSET('Calculations 2'!$CE$45,W846,0)*OFFSET($AA$6,X846,0)*OFFSET($M$6,W846,)</f>
        <v>249.38564772238414</v>
      </c>
      <c r="AY846" t="s">
        <v>470</v>
      </c>
      <c r="AZ846" t="s">
        <v>489</v>
      </c>
      <c r="BA846" t="s">
        <v>235</v>
      </c>
      <c r="BB846">
        <v>0</v>
      </c>
      <c r="BE846" t="s">
        <v>470</v>
      </c>
      <c r="BF846" t="s">
        <v>489</v>
      </c>
      <c r="BG846" t="s">
        <v>235</v>
      </c>
      <c r="BH846">
        <v>0</v>
      </c>
      <c r="CT846" t="s">
        <v>470</v>
      </c>
      <c r="CU846" t="s">
        <v>235</v>
      </c>
      <c r="CV846">
        <f ca="1">OFFSET('Calculations 2'!$AJ$12,W846,X846)</f>
        <v>0</v>
      </c>
    </row>
    <row r="847" spans="17:100">
      <c r="Q847" t="s">
        <v>471</v>
      </c>
      <c r="R847" t="s">
        <v>489</v>
      </c>
      <c r="S847" t="s">
        <v>235</v>
      </c>
      <c r="T847">
        <f ca="1">OFFSET('Calculations 2'!$C$45,W847,X847)*OFFSET($M$6,W847,0)</f>
        <v>344.94741940562096</v>
      </c>
      <c r="V847">
        <f t="shared" si="41"/>
        <v>841</v>
      </c>
      <c r="W847">
        <f t="shared" si="42"/>
        <v>16</v>
      </c>
      <c r="X847">
        <f t="shared" si="43"/>
        <v>25</v>
      </c>
      <c r="AC847" t="s">
        <v>471</v>
      </c>
      <c r="AD847" t="s">
        <v>489</v>
      </c>
      <c r="AE847" t="s">
        <v>235</v>
      </c>
      <c r="AF847">
        <f ca="1">OFFSET('Calculations 2'!$CE$45,W847,0)*OFFSET($AA$6,X847,0)*OFFSET($M$6,W847,)</f>
        <v>0</v>
      </c>
      <c r="AY847" t="s">
        <v>471</v>
      </c>
      <c r="AZ847" t="s">
        <v>489</v>
      </c>
      <c r="BA847" t="s">
        <v>235</v>
      </c>
      <c r="BB847">
        <v>0</v>
      </c>
      <c r="BE847" t="s">
        <v>471</v>
      </c>
      <c r="BF847" t="s">
        <v>489</v>
      </c>
      <c r="BG847" t="s">
        <v>235</v>
      </c>
      <c r="BH847">
        <v>0</v>
      </c>
      <c r="CT847" t="s">
        <v>471</v>
      </c>
      <c r="CU847" t="s">
        <v>235</v>
      </c>
      <c r="CV847">
        <f ca="1">OFFSET('Calculations 2'!$AJ$12,W847,X847)</f>
        <v>0</v>
      </c>
    </row>
    <row r="848" spans="17:100">
      <c r="Q848" t="s">
        <v>221</v>
      </c>
      <c r="R848" t="s">
        <v>489</v>
      </c>
      <c r="S848" t="s">
        <v>235</v>
      </c>
      <c r="T848">
        <f ca="1">OFFSET('Calculations 2'!$C$45,W848,X848)*OFFSET($M$6,W848,0)</f>
        <v>329.2881612956329</v>
      </c>
      <c r="V848">
        <f t="shared" si="41"/>
        <v>842</v>
      </c>
      <c r="W848">
        <f t="shared" si="42"/>
        <v>17</v>
      </c>
      <c r="X848">
        <f t="shared" si="43"/>
        <v>25</v>
      </c>
      <c r="AC848" t="s">
        <v>221</v>
      </c>
      <c r="AD848" t="s">
        <v>489</v>
      </c>
      <c r="AE848" t="s">
        <v>235</v>
      </c>
      <c r="AF848">
        <f ca="1">OFFSET('Calculations 2'!$CE$45,W848,0)*OFFSET($AA$6,X848,0)*OFFSET($M$6,W848,)</f>
        <v>8284.202291928641</v>
      </c>
      <c r="AY848" t="s">
        <v>221</v>
      </c>
      <c r="AZ848" t="s">
        <v>489</v>
      </c>
      <c r="BA848" t="s">
        <v>235</v>
      </c>
      <c r="BB848">
        <v>0</v>
      </c>
      <c r="BE848" t="s">
        <v>221</v>
      </c>
      <c r="BF848" t="s">
        <v>489</v>
      </c>
      <c r="BG848" t="s">
        <v>235</v>
      </c>
      <c r="BH848">
        <v>0</v>
      </c>
      <c r="CT848" t="s">
        <v>221</v>
      </c>
      <c r="CU848" t="s">
        <v>235</v>
      </c>
      <c r="CV848">
        <f ca="1">OFFSET('Calculations 2'!$AJ$12,W848,X848)</f>
        <v>0</v>
      </c>
    </row>
    <row r="849" spans="17:100">
      <c r="Q849" t="s">
        <v>244</v>
      </c>
      <c r="R849" t="s">
        <v>489</v>
      </c>
      <c r="S849" t="s">
        <v>235</v>
      </c>
      <c r="T849">
        <f ca="1">OFFSET('Calculations 2'!$C$45,W849,X849)*OFFSET($M$6,W849,0)</f>
        <v>37.888990723926057</v>
      </c>
      <c r="V849">
        <f t="shared" si="41"/>
        <v>843</v>
      </c>
      <c r="W849">
        <f t="shared" si="42"/>
        <v>18</v>
      </c>
      <c r="X849">
        <f t="shared" si="43"/>
        <v>25</v>
      </c>
      <c r="AC849" t="s">
        <v>244</v>
      </c>
      <c r="AD849" t="s">
        <v>489</v>
      </c>
      <c r="AE849" t="s">
        <v>235</v>
      </c>
      <c r="AF849">
        <f ca="1">OFFSET('Calculations 2'!$CE$45,W849,0)*OFFSET($AA$6,X849,0)*OFFSET($M$6,W849,)</f>
        <v>1324.5887104369212</v>
      </c>
      <c r="AY849" t="s">
        <v>244</v>
      </c>
      <c r="AZ849" t="s">
        <v>489</v>
      </c>
      <c r="BA849" t="s">
        <v>235</v>
      </c>
      <c r="BB849">
        <v>0</v>
      </c>
      <c r="BE849" t="s">
        <v>244</v>
      </c>
      <c r="BF849" t="s">
        <v>489</v>
      </c>
      <c r="BG849" t="s">
        <v>235</v>
      </c>
      <c r="BH849">
        <v>0</v>
      </c>
      <c r="CT849" t="s">
        <v>244</v>
      </c>
      <c r="CU849" t="s">
        <v>235</v>
      </c>
      <c r="CV849">
        <f ca="1">OFFSET('Calculations 2'!$AJ$12,W849,X849)</f>
        <v>0</v>
      </c>
    </row>
    <row r="850" spans="17:100">
      <c r="Q850" t="s">
        <v>472</v>
      </c>
      <c r="R850" t="s">
        <v>489</v>
      </c>
      <c r="S850" t="s">
        <v>235</v>
      </c>
      <c r="T850">
        <f ca="1">OFFSET('Calculations 2'!$C$45,W850,X850)*OFFSET($M$6,W850,0)</f>
        <v>0</v>
      </c>
      <c r="V850">
        <f t="shared" si="41"/>
        <v>844</v>
      </c>
      <c r="W850">
        <f t="shared" si="42"/>
        <v>19</v>
      </c>
      <c r="X850">
        <f t="shared" si="43"/>
        <v>25</v>
      </c>
      <c r="AC850" t="s">
        <v>472</v>
      </c>
      <c r="AD850" t="s">
        <v>489</v>
      </c>
      <c r="AE850" t="s">
        <v>235</v>
      </c>
      <c r="AF850">
        <f ca="1">OFFSET('Calculations 2'!$CE$45,W850,0)*OFFSET($AA$6,X850,0)*OFFSET($M$6,W850,)</f>
        <v>0</v>
      </c>
      <c r="AY850" t="s">
        <v>472</v>
      </c>
      <c r="AZ850" t="s">
        <v>489</v>
      </c>
      <c r="BA850" t="s">
        <v>235</v>
      </c>
      <c r="BB850">
        <v>0</v>
      </c>
      <c r="BE850" t="s">
        <v>472</v>
      </c>
      <c r="BF850" t="s">
        <v>489</v>
      </c>
      <c r="BG850" t="s">
        <v>235</v>
      </c>
      <c r="BH850">
        <v>0</v>
      </c>
      <c r="CT850" t="s">
        <v>472</v>
      </c>
      <c r="CU850" t="s">
        <v>235</v>
      </c>
      <c r="CV850">
        <f ca="1">OFFSET('Calculations 2'!$AJ$12,W850,X850)</f>
        <v>0</v>
      </c>
    </row>
    <row r="851" spans="17:100">
      <c r="Q851" t="s">
        <v>238</v>
      </c>
      <c r="R851" t="s">
        <v>489</v>
      </c>
      <c r="S851" t="s">
        <v>235</v>
      </c>
      <c r="T851">
        <f ca="1">OFFSET('Calculations 2'!$C$45,W851,X851)*OFFSET($M$6,W851,0)</f>
        <v>30.561068785241424</v>
      </c>
      <c r="V851">
        <f t="shared" si="41"/>
        <v>845</v>
      </c>
      <c r="W851">
        <f t="shared" si="42"/>
        <v>20</v>
      </c>
      <c r="X851">
        <f t="shared" si="43"/>
        <v>25</v>
      </c>
      <c r="AC851" t="s">
        <v>238</v>
      </c>
      <c r="AD851" t="s">
        <v>489</v>
      </c>
      <c r="AE851" t="s">
        <v>235</v>
      </c>
      <c r="AF851">
        <f ca="1">OFFSET('Calculations 2'!$CE$45,W851,0)*OFFSET($AA$6,X851,0)*OFFSET($M$6,W851,)</f>
        <v>0</v>
      </c>
      <c r="AY851" t="s">
        <v>238</v>
      </c>
      <c r="AZ851" t="s">
        <v>489</v>
      </c>
      <c r="BA851" t="s">
        <v>235</v>
      </c>
      <c r="BB851">
        <v>0</v>
      </c>
      <c r="BE851" t="s">
        <v>238</v>
      </c>
      <c r="BF851" t="s">
        <v>489</v>
      </c>
      <c r="BG851" t="s">
        <v>235</v>
      </c>
      <c r="BH851">
        <v>0</v>
      </c>
      <c r="CT851" t="s">
        <v>238</v>
      </c>
      <c r="CU851" t="s">
        <v>235</v>
      </c>
      <c r="CV851">
        <f ca="1">OFFSET('Calculations 2'!$AJ$12,W851,X851)</f>
        <v>0</v>
      </c>
    </row>
    <row r="852" spans="17:100">
      <c r="Q852" t="s">
        <v>247</v>
      </c>
      <c r="R852" t="s">
        <v>489</v>
      </c>
      <c r="S852" t="s">
        <v>235</v>
      </c>
      <c r="T852">
        <f ca="1">OFFSET('Calculations 2'!$C$45,W852,X852)*OFFSET($M$6,W852,0)</f>
        <v>0</v>
      </c>
      <c r="V852">
        <f t="shared" si="41"/>
        <v>846</v>
      </c>
      <c r="W852">
        <f t="shared" si="42"/>
        <v>21</v>
      </c>
      <c r="X852">
        <f t="shared" si="43"/>
        <v>25</v>
      </c>
      <c r="AC852" t="s">
        <v>247</v>
      </c>
      <c r="AD852" t="s">
        <v>489</v>
      </c>
      <c r="AE852" t="s">
        <v>235</v>
      </c>
      <c r="AF852">
        <f ca="1">OFFSET('Calculations 2'!$CE$45,W852,0)*OFFSET($AA$6,X852,0)*OFFSET($M$6,W852,)</f>
        <v>0</v>
      </c>
      <c r="AY852" t="s">
        <v>247</v>
      </c>
      <c r="AZ852" t="s">
        <v>489</v>
      </c>
      <c r="BA852" t="s">
        <v>235</v>
      </c>
      <c r="BB852">
        <v>0</v>
      </c>
      <c r="BE852" t="s">
        <v>247</v>
      </c>
      <c r="BF852" t="s">
        <v>489</v>
      </c>
      <c r="BG852" t="s">
        <v>235</v>
      </c>
      <c r="BH852">
        <v>0</v>
      </c>
      <c r="CT852" t="s">
        <v>247</v>
      </c>
      <c r="CU852" t="s">
        <v>235</v>
      </c>
      <c r="CV852">
        <f ca="1">OFFSET('Calculations 2'!$AJ$12,W852,X852)</f>
        <v>0</v>
      </c>
    </row>
    <row r="853" spans="17:100">
      <c r="Q853" t="s">
        <v>218</v>
      </c>
      <c r="R853" t="s">
        <v>489</v>
      </c>
      <c r="S853" t="s">
        <v>235</v>
      </c>
      <c r="T853">
        <f ca="1">OFFSET('Calculations 2'!$C$45,W853,X853)*OFFSET($M$6,W853,0)</f>
        <v>0</v>
      </c>
      <c r="V853">
        <f t="shared" si="41"/>
        <v>847</v>
      </c>
      <c r="W853">
        <f t="shared" si="42"/>
        <v>22</v>
      </c>
      <c r="X853">
        <f t="shared" si="43"/>
        <v>25</v>
      </c>
      <c r="AC853" t="s">
        <v>218</v>
      </c>
      <c r="AD853" t="s">
        <v>489</v>
      </c>
      <c r="AE853" t="s">
        <v>235</v>
      </c>
      <c r="AF853">
        <f ca="1">OFFSET('Calculations 2'!$CE$45,W853,0)*OFFSET($AA$6,X853,0)*OFFSET($M$6,W853,)</f>
        <v>0</v>
      </c>
      <c r="AY853" t="s">
        <v>218</v>
      </c>
      <c r="AZ853" t="s">
        <v>489</v>
      </c>
      <c r="BA853" t="s">
        <v>235</v>
      </c>
      <c r="BB853">
        <v>0</v>
      </c>
      <c r="BE853" t="s">
        <v>218</v>
      </c>
      <c r="BF853" t="s">
        <v>489</v>
      </c>
      <c r="BG853" t="s">
        <v>235</v>
      </c>
      <c r="BH853">
        <v>0</v>
      </c>
      <c r="CT853" t="s">
        <v>218</v>
      </c>
      <c r="CU853" t="s">
        <v>235</v>
      </c>
      <c r="CV853">
        <f ca="1">OFFSET('Calculations 2'!$AJ$12,W853,X853)</f>
        <v>0</v>
      </c>
    </row>
    <row r="854" spans="17:100">
      <c r="Q854" t="s">
        <v>257</v>
      </c>
      <c r="R854" t="s">
        <v>489</v>
      </c>
      <c r="S854" t="s">
        <v>235</v>
      </c>
      <c r="T854">
        <f ca="1">OFFSET('Calculations 2'!$C$45,W854,X854)*OFFSET($M$6,W854,0)</f>
        <v>0</v>
      </c>
      <c r="V854">
        <f t="shared" si="41"/>
        <v>848</v>
      </c>
      <c r="W854">
        <f t="shared" si="42"/>
        <v>23</v>
      </c>
      <c r="X854">
        <f t="shared" si="43"/>
        <v>25</v>
      </c>
      <c r="AC854" t="s">
        <v>257</v>
      </c>
      <c r="AD854" t="s">
        <v>489</v>
      </c>
      <c r="AE854" t="s">
        <v>235</v>
      </c>
      <c r="AF854">
        <f ca="1">OFFSET('Calculations 2'!$CE$45,W854,0)*OFFSET($AA$6,X854,0)*OFFSET($M$6,W854,)</f>
        <v>0</v>
      </c>
      <c r="AY854" t="s">
        <v>257</v>
      </c>
      <c r="AZ854" t="s">
        <v>489</v>
      </c>
      <c r="BA854" t="s">
        <v>235</v>
      </c>
      <c r="BB854">
        <v>0</v>
      </c>
      <c r="BE854" t="s">
        <v>257</v>
      </c>
      <c r="BF854" t="s">
        <v>489</v>
      </c>
      <c r="BG854" t="s">
        <v>235</v>
      </c>
      <c r="BH854">
        <v>0</v>
      </c>
      <c r="CT854" t="s">
        <v>257</v>
      </c>
      <c r="CU854" t="s">
        <v>235</v>
      </c>
      <c r="CV854">
        <f ca="1">OFFSET('Calculations 2'!$AJ$12,W854,X854)</f>
        <v>0</v>
      </c>
    </row>
    <row r="855" spans="17:100">
      <c r="Q855" t="s">
        <v>220</v>
      </c>
      <c r="R855" t="s">
        <v>489</v>
      </c>
      <c r="S855" t="s">
        <v>235</v>
      </c>
      <c r="T855">
        <f ca="1">OFFSET('Calculations 2'!$C$45,W855,X855)*OFFSET($M$6,W855,0)</f>
        <v>3076.0472364185293</v>
      </c>
      <c r="V855">
        <f t="shared" si="41"/>
        <v>849</v>
      </c>
      <c r="W855">
        <f t="shared" si="42"/>
        <v>24</v>
      </c>
      <c r="X855">
        <f t="shared" si="43"/>
        <v>25</v>
      </c>
      <c r="AC855" t="s">
        <v>220</v>
      </c>
      <c r="AD855" t="s">
        <v>489</v>
      </c>
      <c r="AE855" t="s">
        <v>235</v>
      </c>
      <c r="AF855">
        <f ca="1">OFFSET('Calculations 2'!$CE$45,W855,0)*OFFSET($AA$6,X855,0)*OFFSET($M$6,W855,)</f>
        <v>0</v>
      </c>
      <c r="AY855" t="s">
        <v>220</v>
      </c>
      <c r="AZ855" t="s">
        <v>489</v>
      </c>
      <c r="BA855" t="s">
        <v>235</v>
      </c>
      <c r="BB855">
        <v>0</v>
      </c>
      <c r="BE855" t="s">
        <v>220</v>
      </c>
      <c r="BF855" t="s">
        <v>489</v>
      </c>
      <c r="BG855" t="s">
        <v>235</v>
      </c>
      <c r="BH855">
        <v>0</v>
      </c>
      <c r="CT855" t="s">
        <v>220</v>
      </c>
      <c r="CU855" t="s">
        <v>235</v>
      </c>
      <c r="CV855">
        <f ca="1">OFFSET('Calculations 2'!$AJ$12,W855,X855)</f>
        <v>0</v>
      </c>
    </row>
    <row r="856" spans="17:100">
      <c r="Q856" t="s">
        <v>235</v>
      </c>
      <c r="R856" t="s">
        <v>489</v>
      </c>
      <c r="S856" t="s">
        <v>235</v>
      </c>
      <c r="T856">
        <f ca="1">OFFSET('Calculations 2'!$C$45,W856,X856)*OFFSET($M$6,W856,0)</f>
        <v>7080.8081172639259</v>
      </c>
      <c r="V856">
        <f t="shared" si="41"/>
        <v>850</v>
      </c>
      <c r="W856">
        <f t="shared" si="42"/>
        <v>25</v>
      </c>
      <c r="X856">
        <f t="shared" si="43"/>
        <v>25</v>
      </c>
      <c r="AC856" t="s">
        <v>235</v>
      </c>
      <c r="AD856" t="s">
        <v>489</v>
      </c>
      <c r="AE856" t="s">
        <v>235</v>
      </c>
      <c r="AF856">
        <f ca="1">OFFSET('Calculations 2'!$CE$45,W856,0)*OFFSET($AA$6,X856,0)*OFFSET($M$6,W856,)</f>
        <v>0</v>
      </c>
      <c r="AY856" t="s">
        <v>235</v>
      </c>
      <c r="AZ856" t="s">
        <v>489</v>
      </c>
      <c r="BA856" t="s">
        <v>235</v>
      </c>
      <c r="BB856">
        <v>0</v>
      </c>
      <c r="BE856" t="s">
        <v>235</v>
      </c>
      <c r="BF856" t="s">
        <v>489</v>
      </c>
      <c r="BG856" t="s">
        <v>235</v>
      </c>
      <c r="BH856">
        <v>0</v>
      </c>
      <c r="CT856" t="s">
        <v>235</v>
      </c>
      <c r="CU856" t="s">
        <v>235</v>
      </c>
      <c r="CV856">
        <f ca="1">OFFSET('Calculations 2'!$AJ$12,W856,X856)</f>
        <v>68358.296123052918</v>
      </c>
    </row>
    <row r="857" spans="17:100">
      <c r="Q857" t="s">
        <v>473</v>
      </c>
      <c r="R857" t="s">
        <v>489</v>
      </c>
      <c r="S857" t="s">
        <v>235</v>
      </c>
      <c r="T857">
        <f ca="1">OFFSET('Calculations 2'!$C$45,W857,X857)*OFFSET($M$6,W857,0)</f>
        <v>322.05294274947374</v>
      </c>
      <c r="V857">
        <f t="shared" si="41"/>
        <v>851</v>
      </c>
      <c r="W857">
        <f t="shared" si="42"/>
        <v>26</v>
      </c>
      <c r="X857">
        <f t="shared" si="43"/>
        <v>25</v>
      </c>
      <c r="AC857" t="s">
        <v>473</v>
      </c>
      <c r="AD857" t="s">
        <v>489</v>
      </c>
      <c r="AE857" t="s">
        <v>235</v>
      </c>
      <c r="AF857">
        <f ca="1">OFFSET('Calculations 2'!$CE$45,W857,0)*OFFSET($AA$6,X857,0)*OFFSET($M$6,W857,)</f>
        <v>0</v>
      </c>
      <c r="AY857" t="s">
        <v>473</v>
      </c>
      <c r="AZ857" t="s">
        <v>489</v>
      </c>
      <c r="BA857" t="s">
        <v>235</v>
      </c>
      <c r="BB857">
        <v>0</v>
      </c>
      <c r="BE857" t="s">
        <v>473</v>
      </c>
      <c r="BF857" t="s">
        <v>489</v>
      </c>
      <c r="BG857" t="s">
        <v>235</v>
      </c>
      <c r="BH857">
        <v>0</v>
      </c>
      <c r="CT857" t="s">
        <v>473</v>
      </c>
      <c r="CU857" t="s">
        <v>235</v>
      </c>
      <c r="CV857">
        <f ca="1">OFFSET('Calculations 2'!$AJ$12,W857,X857)</f>
        <v>0</v>
      </c>
    </row>
    <row r="858" spans="17:100">
      <c r="Q858" t="s">
        <v>233</v>
      </c>
      <c r="R858" t="s">
        <v>489</v>
      </c>
      <c r="S858" t="s">
        <v>235</v>
      </c>
      <c r="T858">
        <f ca="1">OFFSET('Calculations 2'!$C$45,W858,X858)*OFFSET($M$6,W858,0)</f>
        <v>1748.1415525923999</v>
      </c>
      <c r="V858">
        <f t="shared" si="41"/>
        <v>852</v>
      </c>
      <c r="W858">
        <f t="shared" si="42"/>
        <v>27</v>
      </c>
      <c r="X858">
        <f t="shared" si="43"/>
        <v>25</v>
      </c>
      <c r="AC858" t="s">
        <v>233</v>
      </c>
      <c r="AD858" t="s">
        <v>489</v>
      </c>
      <c r="AE858" t="s">
        <v>235</v>
      </c>
      <c r="AF858">
        <f ca="1">OFFSET('Calculations 2'!$CE$45,W858,0)*OFFSET($AA$6,X858,0)*OFFSET($M$6,W858,)</f>
        <v>0</v>
      </c>
      <c r="AY858" t="s">
        <v>233</v>
      </c>
      <c r="AZ858" t="s">
        <v>489</v>
      </c>
      <c r="BA858" t="s">
        <v>235</v>
      </c>
      <c r="BB858">
        <v>0</v>
      </c>
      <c r="BE858" t="s">
        <v>233</v>
      </c>
      <c r="BF858" t="s">
        <v>489</v>
      </c>
      <c r="BG858" t="s">
        <v>235</v>
      </c>
      <c r="BH858">
        <v>0</v>
      </c>
      <c r="CT858" t="s">
        <v>233</v>
      </c>
      <c r="CU858" t="s">
        <v>235</v>
      </c>
      <c r="CV858">
        <f ca="1">OFFSET('Calculations 2'!$AJ$12,W858,X858)</f>
        <v>0</v>
      </c>
    </row>
    <row r="859" spans="17:100">
      <c r="Q859" t="s">
        <v>474</v>
      </c>
      <c r="R859" t="s">
        <v>489</v>
      </c>
      <c r="S859" t="s">
        <v>235</v>
      </c>
      <c r="T859">
        <f ca="1">OFFSET('Calculations 2'!$C$45,W859,X859)*OFFSET($M$6,W859,0)</f>
        <v>49.325695778609926</v>
      </c>
      <c r="V859">
        <f t="shared" si="41"/>
        <v>853</v>
      </c>
      <c r="W859">
        <f t="shared" si="42"/>
        <v>28</v>
      </c>
      <c r="X859">
        <f t="shared" si="43"/>
        <v>25</v>
      </c>
      <c r="AC859" t="s">
        <v>474</v>
      </c>
      <c r="AD859" t="s">
        <v>489</v>
      </c>
      <c r="AE859" t="s">
        <v>235</v>
      </c>
      <c r="AF859">
        <f ca="1">OFFSET('Calculations 2'!$CE$45,W859,0)*OFFSET($AA$6,X859,0)*OFFSET($M$6,W859,)</f>
        <v>0</v>
      </c>
      <c r="AY859" t="s">
        <v>474</v>
      </c>
      <c r="AZ859" t="s">
        <v>489</v>
      </c>
      <c r="BA859" t="s">
        <v>235</v>
      </c>
      <c r="BB859">
        <v>0</v>
      </c>
      <c r="BE859" t="s">
        <v>474</v>
      </c>
      <c r="BF859" t="s">
        <v>489</v>
      </c>
      <c r="BG859" t="s">
        <v>235</v>
      </c>
      <c r="BH859">
        <v>0</v>
      </c>
      <c r="CT859" t="s">
        <v>474</v>
      </c>
      <c r="CU859" t="s">
        <v>235</v>
      </c>
      <c r="CV859">
        <f ca="1">OFFSET('Calculations 2'!$AJ$12,W859,X859)</f>
        <v>0</v>
      </c>
    </row>
    <row r="860" spans="17:100">
      <c r="Q860" t="s">
        <v>223</v>
      </c>
      <c r="R860" t="s">
        <v>489</v>
      </c>
      <c r="S860" t="s">
        <v>235</v>
      </c>
      <c r="T860">
        <f ca="1">OFFSET('Calculations 2'!$C$45,W860,X860)*OFFSET($M$6,W860,0)</f>
        <v>0</v>
      </c>
      <c r="V860">
        <f t="shared" si="41"/>
        <v>854</v>
      </c>
      <c r="W860">
        <f t="shared" si="42"/>
        <v>29</v>
      </c>
      <c r="X860">
        <f t="shared" si="43"/>
        <v>25</v>
      </c>
      <c r="AC860" t="s">
        <v>223</v>
      </c>
      <c r="AD860" t="s">
        <v>489</v>
      </c>
      <c r="AE860" t="s">
        <v>235</v>
      </c>
      <c r="AF860">
        <f ca="1">OFFSET('Calculations 2'!$CE$45,W860,0)*OFFSET($AA$6,X860,0)*OFFSET($M$6,W860,)</f>
        <v>0</v>
      </c>
      <c r="AY860" t="s">
        <v>223</v>
      </c>
      <c r="AZ860" t="s">
        <v>489</v>
      </c>
      <c r="BA860" t="s">
        <v>235</v>
      </c>
      <c r="BB860">
        <v>0</v>
      </c>
      <c r="BE860" t="s">
        <v>223</v>
      </c>
      <c r="BF860" t="s">
        <v>489</v>
      </c>
      <c r="BG860" t="s">
        <v>235</v>
      </c>
      <c r="BH860">
        <v>0</v>
      </c>
      <c r="CT860" t="s">
        <v>223</v>
      </c>
      <c r="CU860" t="s">
        <v>235</v>
      </c>
      <c r="CV860">
        <f ca="1">OFFSET('Calculations 2'!$AJ$12,W860,X860)</f>
        <v>0</v>
      </c>
    </row>
    <row r="861" spans="17:100">
      <c r="Q861" t="s">
        <v>475</v>
      </c>
      <c r="R861" t="s">
        <v>489</v>
      </c>
      <c r="S861" t="s">
        <v>235</v>
      </c>
      <c r="T861">
        <f ca="1">OFFSET('Calculations 2'!$C$45,W861,X861)*OFFSET($M$6,W861,0)</f>
        <v>0</v>
      </c>
      <c r="V861">
        <f t="shared" si="41"/>
        <v>855</v>
      </c>
      <c r="W861">
        <f t="shared" si="42"/>
        <v>30</v>
      </c>
      <c r="X861">
        <f t="shared" si="43"/>
        <v>25</v>
      </c>
      <c r="AC861" t="s">
        <v>475</v>
      </c>
      <c r="AD861" t="s">
        <v>489</v>
      </c>
      <c r="AE861" t="s">
        <v>235</v>
      </c>
      <c r="AF861">
        <f ca="1">OFFSET('Calculations 2'!$CE$45,W861,0)*OFFSET($AA$6,X861,0)*OFFSET($M$6,W861,)</f>
        <v>0</v>
      </c>
      <c r="AY861" t="s">
        <v>475</v>
      </c>
      <c r="AZ861" t="s">
        <v>489</v>
      </c>
      <c r="BA861" t="s">
        <v>235</v>
      </c>
      <c r="BB861">
        <v>0</v>
      </c>
      <c r="BE861" t="s">
        <v>475</v>
      </c>
      <c r="BF861" t="s">
        <v>489</v>
      </c>
      <c r="BG861" t="s">
        <v>235</v>
      </c>
      <c r="BH861">
        <v>0</v>
      </c>
      <c r="CT861" t="s">
        <v>475</v>
      </c>
      <c r="CU861" t="s">
        <v>235</v>
      </c>
      <c r="CV861">
        <f ca="1">OFFSET('Calculations 2'!$AJ$12,W861,X861)</f>
        <v>0</v>
      </c>
    </row>
    <row r="862" spans="17:100">
      <c r="Q862" t="s">
        <v>476</v>
      </c>
      <c r="R862" t="s">
        <v>489</v>
      </c>
      <c r="S862" t="s">
        <v>235</v>
      </c>
      <c r="T862">
        <f ca="1">OFFSET('Calculations 2'!$C$45,W862,X862)*OFFSET($M$6,W862,0)</f>
        <v>178.33506894751994</v>
      </c>
      <c r="V862">
        <f t="shared" si="41"/>
        <v>856</v>
      </c>
      <c r="W862">
        <f t="shared" si="42"/>
        <v>31</v>
      </c>
      <c r="X862">
        <f t="shared" si="43"/>
        <v>25</v>
      </c>
      <c r="AC862" t="s">
        <v>476</v>
      </c>
      <c r="AD862" t="s">
        <v>489</v>
      </c>
      <c r="AE862" t="s">
        <v>235</v>
      </c>
      <c r="AF862">
        <f ca="1">OFFSET('Calculations 2'!$CE$45,W862,0)*OFFSET($AA$6,X862,0)*OFFSET($M$6,W862,)</f>
        <v>0</v>
      </c>
      <c r="AY862" t="s">
        <v>476</v>
      </c>
      <c r="AZ862" t="s">
        <v>489</v>
      </c>
      <c r="BA862" t="s">
        <v>235</v>
      </c>
      <c r="BB862">
        <v>0</v>
      </c>
      <c r="BE862" t="s">
        <v>476</v>
      </c>
      <c r="BF862" t="s">
        <v>489</v>
      </c>
      <c r="BG862" t="s">
        <v>235</v>
      </c>
      <c r="BH862">
        <v>0</v>
      </c>
      <c r="CT862" t="s">
        <v>476</v>
      </c>
      <c r="CU862" t="s">
        <v>235</v>
      </c>
      <c r="CV862">
        <f ca="1">OFFSET('Calculations 2'!$AJ$12,W862,X862)</f>
        <v>0</v>
      </c>
    </row>
    <row r="863" spans="17:100">
      <c r="Q863" t="s">
        <v>222</v>
      </c>
      <c r="R863" t="s">
        <v>489</v>
      </c>
      <c r="S863" t="s">
        <v>235</v>
      </c>
      <c r="T863">
        <f ca="1">OFFSET('Calculations 2'!$C$45,W863,X863)*OFFSET($M$6,W863,0)</f>
        <v>0</v>
      </c>
      <c r="V863">
        <f t="shared" si="41"/>
        <v>857</v>
      </c>
      <c r="W863">
        <f t="shared" si="42"/>
        <v>32</v>
      </c>
      <c r="X863">
        <f t="shared" si="43"/>
        <v>25</v>
      </c>
      <c r="AC863" t="s">
        <v>222</v>
      </c>
      <c r="AD863" t="s">
        <v>489</v>
      </c>
      <c r="AE863" t="s">
        <v>235</v>
      </c>
      <c r="AF863">
        <f ca="1">OFFSET('Calculations 2'!$CE$45,W863,0)*OFFSET($AA$6,X863,0)*OFFSET($M$6,W863,)</f>
        <v>0</v>
      </c>
      <c r="AY863" t="s">
        <v>222</v>
      </c>
      <c r="AZ863" t="s">
        <v>489</v>
      </c>
      <c r="BA863" t="s">
        <v>235</v>
      </c>
      <c r="BB863">
        <v>0</v>
      </c>
      <c r="BE863" t="s">
        <v>222</v>
      </c>
      <c r="BF863" t="s">
        <v>489</v>
      </c>
      <c r="BG863" t="s">
        <v>235</v>
      </c>
      <c r="BH863">
        <v>0</v>
      </c>
      <c r="CT863" t="s">
        <v>222</v>
      </c>
      <c r="CU863" t="s">
        <v>235</v>
      </c>
      <c r="CV863">
        <f ca="1">OFFSET('Calculations 2'!$AJ$12,W863,X863)</f>
        <v>0</v>
      </c>
    </row>
    <row r="864" spans="17:100">
      <c r="Q864" t="s">
        <v>217</v>
      </c>
      <c r="R864" t="s">
        <v>489</v>
      </c>
      <c r="S864" t="s">
        <v>473</v>
      </c>
      <c r="T864">
        <f ca="1">OFFSET('Calculations 2'!$C$45,W864,X864)*OFFSET($M$6,W864,0)</f>
        <v>0</v>
      </c>
      <c r="V864">
        <f t="shared" si="41"/>
        <v>858</v>
      </c>
      <c r="W864">
        <f t="shared" si="42"/>
        <v>0</v>
      </c>
      <c r="X864">
        <f t="shared" si="43"/>
        <v>26</v>
      </c>
      <c r="AC864" t="s">
        <v>217</v>
      </c>
      <c r="AD864" t="s">
        <v>489</v>
      </c>
      <c r="AE864" t="s">
        <v>473</v>
      </c>
      <c r="AF864">
        <f ca="1">OFFSET('Calculations 2'!$CE$45,W864,0)*OFFSET($AA$6,X864,0)*OFFSET($M$6,W864,)</f>
        <v>2.4497994739332158</v>
      </c>
      <c r="AY864" t="s">
        <v>217</v>
      </c>
      <c r="AZ864" t="s">
        <v>489</v>
      </c>
      <c r="BA864" t="s">
        <v>473</v>
      </c>
      <c r="BB864">
        <v>0</v>
      </c>
      <c r="BE864" t="s">
        <v>217</v>
      </c>
      <c r="BF864" t="s">
        <v>489</v>
      </c>
      <c r="BG864" t="s">
        <v>473</v>
      </c>
      <c r="BH864">
        <v>0</v>
      </c>
      <c r="CT864" t="s">
        <v>217</v>
      </c>
      <c r="CU864" t="s">
        <v>473</v>
      </c>
      <c r="CV864">
        <f ca="1">OFFSET('Calculations 2'!$AJ$12,W864,X864)</f>
        <v>0</v>
      </c>
    </row>
    <row r="865" spans="17:100">
      <c r="Q865" t="s">
        <v>232</v>
      </c>
      <c r="R865" t="s">
        <v>489</v>
      </c>
      <c r="S865" t="s">
        <v>473</v>
      </c>
      <c r="T865">
        <f ca="1">OFFSET('Calculations 2'!$C$45,W865,X865)*OFFSET($M$6,W865,0)</f>
        <v>0</v>
      </c>
      <c r="V865">
        <f t="shared" si="41"/>
        <v>859</v>
      </c>
      <c r="W865">
        <f t="shared" si="42"/>
        <v>1</v>
      </c>
      <c r="X865">
        <f t="shared" si="43"/>
        <v>26</v>
      </c>
      <c r="AC865" t="s">
        <v>232</v>
      </c>
      <c r="AD865" t="s">
        <v>489</v>
      </c>
      <c r="AE865" t="s">
        <v>473</v>
      </c>
      <c r="AF865">
        <f ca="1">OFFSET('Calculations 2'!$CE$45,W865,0)*OFFSET($AA$6,X865,0)*OFFSET($M$6,W865,)</f>
        <v>4.273474838043076</v>
      </c>
      <c r="AY865" t="s">
        <v>232</v>
      </c>
      <c r="AZ865" t="s">
        <v>489</v>
      </c>
      <c r="BA865" t="s">
        <v>473</v>
      </c>
      <c r="BB865">
        <v>0</v>
      </c>
      <c r="BE865" t="s">
        <v>232</v>
      </c>
      <c r="BF865" t="s">
        <v>489</v>
      </c>
      <c r="BG865" t="s">
        <v>473</v>
      </c>
      <c r="BH865">
        <v>0</v>
      </c>
      <c r="CT865" t="s">
        <v>232</v>
      </c>
      <c r="CU865" t="s">
        <v>473</v>
      </c>
      <c r="CV865">
        <f ca="1">OFFSET('Calculations 2'!$AJ$12,W865,X865)</f>
        <v>0</v>
      </c>
    </row>
    <row r="866" spans="17:100">
      <c r="Q866" t="s">
        <v>226</v>
      </c>
      <c r="R866" t="s">
        <v>489</v>
      </c>
      <c r="S866" t="s">
        <v>473</v>
      </c>
      <c r="T866">
        <f ca="1">OFFSET('Calculations 2'!$C$45,W866,X866)*OFFSET($M$6,W866,0)</f>
        <v>18.857054673291714</v>
      </c>
      <c r="V866">
        <f t="shared" si="41"/>
        <v>860</v>
      </c>
      <c r="W866">
        <f t="shared" si="42"/>
        <v>2</v>
      </c>
      <c r="X866">
        <f t="shared" si="43"/>
        <v>26</v>
      </c>
      <c r="AC866" t="s">
        <v>226</v>
      </c>
      <c r="AD866" t="s">
        <v>489</v>
      </c>
      <c r="AE866" t="s">
        <v>473</v>
      </c>
      <c r="AF866">
        <f ca="1">OFFSET('Calculations 2'!$CE$45,W866,0)*OFFSET($AA$6,X866,0)*OFFSET($M$6,W866,)</f>
        <v>7.1956317729814616</v>
      </c>
      <c r="AY866" t="s">
        <v>226</v>
      </c>
      <c r="AZ866" t="s">
        <v>489</v>
      </c>
      <c r="BA866" t="s">
        <v>473</v>
      </c>
      <c r="BB866">
        <v>0</v>
      </c>
      <c r="BE866" t="s">
        <v>226</v>
      </c>
      <c r="BF866" t="s">
        <v>489</v>
      </c>
      <c r="BG866" t="s">
        <v>473</v>
      </c>
      <c r="BH866">
        <v>0</v>
      </c>
      <c r="CT866" t="s">
        <v>226</v>
      </c>
      <c r="CU866" t="s">
        <v>473</v>
      </c>
      <c r="CV866">
        <f ca="1">OFFSET('Calculations 2'!$AJ$12,W866,X866)</f>
        <v>0</v>
      </c>
    </row>
    <row r="867" spans="17:100">
      <c r="Q867" t="s">
        <v>243</v>
      </c>
      <c r="R867" t="s">
        <v>489</v>
      </c>
      <c r="S867" t="s">
        <v>473</v>
      </c>
      <c r="T867">
        <f ca="1">OFFSET('Calculations 2'!$C$45,W867,X867)*OFFSET($M$6,W867,0)</f>
        <v>0.23914918211468589</v>
      </c>
      <c r="V867">
        <f t="shared" si="41"/>
        <v>861</v>
      </c>
      <c r="W867">
        <f t="shared" si="42"/>
        <v>3</v>
      </c>
      <c r="X867">
        <f t="shared" si="43"/>
        <v>26</v>
      </c>
      <c r="AC867" t="s">
        <v>243</v>
      </c>
      <c r="AD867" t="s">
        <v>489</v>
      </c>
      <c r="AE867" t="s">
        <v>473</v>
      </c>
      <c r="AF867">
        <f ca="1">OFFSET('Calculations 2'!$CE$45,W867,0)*OFFSET($AA$6,X867,0)*OFFSET($M$6,W867,)</f>
        <v>37.481003374261213</v>
      </c>
      <c r="AY867" t="s">
        <v>243</v>
      </c>
      <c r="AZ867" t="s">
        <v>489</v>
      </c>
      <c r="BA867" t="s">
        <v>473</v>
      </c>
      <c r="BB867">
        <v>0</v>
      </c>
      <c r="BE867" t="s">
        <v>243</v>
      </c>
      <c r="BF867" t="s">
        <v>489</v>
      </c>
      <c r="BG867" t="s">
        <v>473</v>
      </c>
      <c r="BH867">
        <v>0</v>
      </c>
      <c r="CT867" t="s">
        <v>243</v>
      </c>
      <c r="CU867" t="s">
        <v>473</v>
      </c>
      <c r="CV867">
        <f ca="1">OFFSET('Calculations 2'!$AJ$12,W867,X867)</f>
        <v>0</v>
      </c>
    </row>
    <row r="868" spans="17:100">
      <c r="Q868" t="s">
        <v>228</v>
      </c>
      <c r="R868" t="s">
        <v>489</v>
      </c>
      <c r="S868" t="s">
        <v>473</v>
      </c>
      <c r="T868">
        <f ca="1">OFFSET('Calculations 2'!$C$45,W868,X868)*OFFSET($M$6,W868,0)</f>
        <v>0</v>
      </c>
      <c r="V868">
        <f t="shared" si="41"/>
        <v>862</v>
      </c>
      <c r="W868">
        <f t="shared" si="42"/>
        <v>4</v>
      </c>
      <c r="X868">
        <f t="shared" si="43"/>
        <v>26</v>
      </c>
      <c r="AC868" t="s">
        <v>228</v>
      </c>
      <c r="AD868" t="s">
        <v>489</v>
      </c>
      <c r="AE868" t="s">
        <v>473</v>
      </c>
      <c r="AF868">
        <f ca="1">OFFSET('Calculations 2'!$CE$45,W868,0)*OFFSET($AA$6,X868,0)*OFFSET($M$6,W868,)</f>
        <v>0.26595484469566144</v>
      </c>
      <c r="AY868" t="s">
        <v>228</v>
      </c>
      <c r="AZ868" t="s">
        <v>489</v>
      </c>
      <c r="BA868" t="s">
        <v>473</v>
      </c>
      <c r="BB868">
        <v>0</v>
      </c>
      <c r="BE868" t="s">
        <v>228</v>
      </c>
      <c r="BF868" t="s">
        <v>489</v>
      </c>
      <c r="BG868" t="s">
        <v>473</v>
      </c>
      <c r="BH868">
        <v>0</v>
      </c>
      <c r="CT868" t="s">
        <v>228</v>
      </c>
      <c r="CU868" t="s">
        <v>473</v>
      </c>
      <c r="CV868">
        <f ca="1">OFFSET('Calculations 2'!$AJ$12,W868,X868)</f>
        <v>0</v>
      </c>
    </row>
    <row r="869" spans="17:100">
      <c r="Q869" t="s">
        <v>246</v>
      </c>
      <c r="R869" t="s">
        <v>489</v>
      </c>
      <c r="S869" t="s">
        <v>473</v>
      </c>
      <c r="T869">
        <f ca="1">OFFSET('Calculations 2'!$C$45,W869,X869)*OFFSET($M$6,W869,0)</f>
        <v>0</v>
      </c>
      <c r="V869">
        <f t="shared" si="41"/>
        <v>863</v>
      </c>
      <c r="W869">
        <f t="shared" si="42"/>
        <v>5</v>
      </c>
      <c r="X869">
        <f t="shared" si="43"/>
        <v>26</v>
      </c>
      <c r="AC869" t="s">
        <v>246</v>
      </c>
      <c r="AD869" t="s">
        <v>489</v>
      </c>
      <c r="AE869" t="s">
        <v>473</v>
      </c>
      <c r="AF869">
        <f ca="1">OFFSET('Calculations 2'!$CE$45,W869,0)*OFFSET($AA$6,X869,0)*OFFSET($M$6,W869,)</f>
        <v>1.6372146057446684</v>
      </c>
      <c r="AY869" t="s">
        <v>246</v>
      </c>
      <c r="AZ869" t="s">
        <v>489</v>
      </c>
      <c r="BA869" t="s">
        <v>473</v>
      </c>
      <c r="BB869">
        <v>0</v>
      </c>
      <c r="BE869" t="s">
        <v>246</v>
      </c>
      <c r="BF869" t="s">
        <v>489</v>
      </c>
      <c r="BG869" t="s">
        <v>473</v>
      </c>
      <c r="BH869">
        <v>0</v>
      </c>
      <c r="CT869" t="s">
        <v>246</v>
      </c>
      <c r="CU869" t="s">
        <v>473</v>
      </c>
      <c r="CV869">
        <f ca="1">OFFSET('Calculations 2'!$AJ$12,W869,X869)</f>
        <v>0</v>
      </c>
    </row>
    <row r="870" spans="17:100">
      <c r="Q870" t="s">
        <v>239</v>
      </c>
      <c r="R870" t="s">
        <v>489</v>
      </c>
      <c r="S870" t="s">
        <v>473</v>
      </c>
      <c r="T870">
        <f ca="1">OFFSET('Calculations 2'!$C$45,W870,X870)*OFFSET($M$6,W870,0)</f>
        <v>14.941112835530813</v>
      </c>
      <c r="V870">
        <f t="shared" si="41"/>
        <v>864</v>
      </c>
      <c r="W870">
        <f t="shared" si="42"/>
        <v>6</v>
      </c>
      <c r="X870">
        <f t="shared" si="43"/>
        <v>26</v>
      </c>
      <c r="AC870" t="s">
        <v>239</v>
      </c>
      <c r="AD870" t="s">
        <v>489</v>
      </c>
      <c r="AE870" t="s">
        <v>473</v>
      </c>
      <c r="AF870">
        <f ca="1">OFFSET('Calculations 2'!$CE$45,W870,0)*OFFSET($AA$6,X870,0)*OFFSET($M$6,W870,)</f>
        <v>32.769867297572873</v>
      </c>
      <c r="AY870" t="s">
        <v>239</v>
      </c>
      <c r="AZ870" t="s">
        <v>489</v>
      </c>
      <c r="BA870" t="s">
        <v>473</v>
      </c>
      <c r="BB870">
        <v>0</v>
      </c>
      <c r="BE870" t="s">
        <v>239</v>
      </c>
      <c r="BF870" t="s">
        <v>489</v>
      </c>
      <c r="BG870" t="s">
        <v>473</v>
      </c>
      <c r="BH870">
        <v>0</v>
      </c>
      <c r="CT870" t="s">
        <v>239</v>
      </c>
      <c r="CU870" t="s">
        <v>473</v>
      </c>
      <c r="CV870">
        <f ca="1">OFFSET('Calculations 2'!$AJ$12,W870,X870)</f>
        <v>0</v>
      </c>
    </row>
    <row r="871" spans="17:100">
      <c r="Q871" t="s">
        <v>466</v>
      </c>
      <c r="R871" t="s">
        <v>489</v>
      </c>
      <c r="S871" t="s">
        <v>473</v>
      </c>
      <c r="T871">
        <f ca="1">OFFSET('Calculations 2'!$C$45,W871,X871)*OFFSET($M$6,W871,0)</f>
        <v>16.305916884069287</v>
      </c>
      <c r="V871">
        <f t="shared" si="41"/>
        <v>865</v>
      </c>
      <c r="W871">
        <f t="shared" si="42"/>
        <v>7</v>
      </c>
      <c r="X871">
        <f t="shared" si="43"/>
        <v>26</v>
      </c>
      <c r="AC871" t="s">
        <v>466</v>
      </c>
      <c r="AD871" t="s">
        <v>489</v>
      </c>
      <c r="AE871" t="s">
        <v>473</v>
      </c>
      <c r="AF871">
        <f ca="1">OFFSET('Calculations 2'!$CE$45,W871,0)*OFFSET($AA$6,X871,0)*OFFSET($M$6,W871,)</f>
        <v>4.9934936003078265</v>
      </c>
      <c r="AY871" t="s">
        <v>466</v>
      </c>
      <c r="AZ871" t="s">
        <v>489</v>
      </c>
      <c r="BA871" t="s">
        <v>473</v>
      </c>
      <c r="BB871">
        <v>0</v>
      </c>
      <c r="BE871" t="s">
        <v>466</v>
      </c>
      <c r="BF871" t="s">
        <v>489</v>
      </c>
      <c r="BG871" t="s">
        <v>473</v>
      </c>
      <c r="BH871">
        <v>0</v>
      </c>
      <c r="CT871" t="s">
        <v>466</v>
      </c>
      <c r="CU871" t="s">
        <v>473</v>
      </c>
      <c r="CV871">
        <f ca="1">OFFSET('Calculations 2'!$AJ$12,W871,X871)</f>
        <v>0</v>
      </c>
    </row>
    <row r="872" spans="17:100">
      <c r="Q872" t="s">
        <v>219</v>
      </c>
      <c r="R872" t="s">
        <v>489</v>
      </c>
      <c r="S872" t="s">
        <v>473</v>
      </c>
      <c r="T872">
        <f ca="1">OFFSET('Calculations 2'!$C$45,W872,X872)*OFFSET($M$6,W872,0)</f>
        <v>0.76477182312548708</v>
      </c>
      <c r="V872">
        <f t="shared" si="41"/>
        <v>866</v>
      </c>
      <c r="W872">
        <f t="shared" si="42"/>
        <v>8</v>
      </c>
      <c r="X872">
        <f t="shared" si="43"/>
        <v>26</v>
      </c>
      <c r="AC872" t="s">
        <v>219</v>
      </c>
      <c r="AD872" t="s">
        <v>489</v>
      </c>
      <c r="AE872" t="s">
        <v>473</v>
      </c>
      <c r="AF872">
        <f ca="1">OFFSET('Calculations 2'!$CE$45,W872,0)*OFFSET($AA$6,X872,0)*OFFSET($M$6,W872,)</f>
        <v>31.095505043742289</v>
      </c>
      <c r="AY872" t="s">
        <v>219</v>
      </c>
      <c r="AZ872" t="s">
        <v>489</v>
      </c>
      <c r="BA872" t="s">
        <v>473</v>
      </c>
      <c r="BB872">
        <v>0</v>
      </c>
      <c r="BE872" t="s">
        <v>219</v>
      </c>
      <c r="BF872" t="s">
        <v>489</v>
      </c>
      <c r="BG872" t="s">
        <v>473</v>
      </c>
      <c r="BH872">
        <v>0</v>
      </c>
      <c r="CT872" t="s">
        <v>219</v>
      </c>
      <c r="CU872" t="s">
        <v>473</v>
      </c>
      <c r="CV872">
        <f ca="1">OFFSET('Calculations 2'!$AJ$12,W872,X872)</f>
        <v>0</v>
      </c>
    </row>
    <row r="873" spans="17:100">
      <c r="Q873" t="s">
        <v>242</v>
      </c>
      <c r="R873" t="s">
        <v>489</v>
      </c>
      <c r="S873" t="s">
        <v>473</v>
      </c>
      <c r="T873">
        <f ca="1">OFFSET('Calculations 2'!$C$45,W873,X873)*OFFSET($M$6,W873,0)</f>
        <v>0</v>
      </c>
      <c r="V873">
        <f t="shared" si="41"/>
        <v>867</v>
      </c>
      <c r="W873">
        <f t="shared" si="42"/>
        <v>9</v>
      </c>
      <c r="X873">
        <f t="shared" si="43"/>
        <v>26</v>
      </c>
      <c r="AC873" t="s">
        <v>242</v>
      </c>
      <c r="AD873" t="s">
        <v>489</v>
      </c>
      <c r="AE873" t="s">
        <v>473</v>
      </c>
      <c r="AF873">
        <f ca="1">OFFSET('Calculations 2'!$CE$45,W873,0)*OFFSET($AA$6,X873,0)*OFFSET($M$6,W873,)</f>
        <v>48.677014625787805</v>
      </c>
      <c r="AY873" t="s">
        <v>242</v>
      </c>
      <c r="AZ873" t="s">
        <v>489</v>
      </c>
      <c r="BA873" t="s">
        <v>473</v>
      </c>
      <c r="BB873">
        <v>0</v>
      </c>
      <c r="BE873" t="s">
        <v>242</v>
      </c>
      <c r="BF873" t="s">
        <v>489</v>
      </c>
      <c r="BG873" t="s">
        <v>473</v>
      </c>
      <c r="BH873">
        <v>0</v>
      </c>
      <c r="CT873" t="s">
        <v>242</v>
      </c>
      <c r="CU873" t="s">
        <v>473</v>
      </c>
      <c r="CV873">
        <f ca="1">OFFSET('Calculations 2'!$AJ$12,W873,X873)</f>
        <v>0</v>
      </c>
    </row>
    <row r="874" spans="17:100">
      <c r="Q874" t="s">
        <v>467</v>
      </c>
      <c r="R874" t="s">
        <v>489</v>
      </c>
      <c r="S874" t="s">
        <v>473</v>
      </c>
      <c r="T874">
        <f ca="1">OFFSET('Calculations 2'!$C$45,W874,X874)*OFFSET($M$6,W874,0)</f>
        <v>0</v>
      </c>
      <c r="V874">
        <f t="shared" si="41"/>
        <v>868</v>
      </c>
      <c r="W874">
        <f t="shared" si="42"/>
        <v>10</v>
      </c>
      <c r="X874">
        <f t="shared" si="43"/>
        <v>26</v>
      </c>
      <c r="AC874" t="s">
        <v>467</v>
      </c>
      <c r="AD874" t="s">
        <v>489</v>
      </c>
      <c r="AE874" t="s">
        <v>473</v>
      </c>
      <c r="AF874">
        <f ca="1">OFFSET('Calculations 2'!$CE$45,W874,0)*OFFSET($AA$6,X874,0)*OFFSET($M$6,W874,)</f>
        <v>45.093203623913425</v>
      </c>
      <c r="AY874" t="s">
        <v>467</v>
      </c>
      <c r="AZ874" t="s">
        <v>489</v>
      </c>
      <c r="BA874" t="s">
        <v>473</v>
      </c>
      <c r="BB874">
        <v>0</v>
      </c>
      <c r="BE874" t="s">
        <v>467</v>
      </c>
      <c r="BF874" t="s">
        <v>489</v>
      </c>
      <c r="BG874" t="s">
        <v>473</v>
      </c>
      <c r="BH874">
        <v>0</v>
      </c>
      <c r="CT874" t="s">
        <v>467</v>
      </c>
      <c r="CU874" t="s">
        <v>473</v>
      </c>
      <c r="CV874">
        <f ca="1">OFFSET('Calculations 2'!$AJ$12,W874,X874)</f>
        <v>0</v>
      </c>
    </row>
    <row r="875" spans="17:100">
      <c r="Q875" t="s">
        <v>231</v>
      </c>
      <c r="R875" t="s">
        <v>489</v>
      </c>
      <c r="S875" t="s">
        <v>473</v>
      </c>
      <c r="T875">
        <f ca="1">OFFSET('Calculations 2'!$C$45,W875,X875)*OFFSET($M$6,W875,0)</f>
        <v>0</v>
      </c>
      <c r="V875">
        <f t="shared" si="41"/>
        <v>869</v>
      </c>
      <c r="W875">
        <f t="shared" si="42"/>
        <v>11</v>
      </c>
      <c r="X875">
        <f t="shared" si="43"/>
        <v>26</v>
      </c>
      <c r="AC875" t="s">
        <v>231</v>
      </c>
      <c r="AD875" t="s">
        <v>489</v>
      </c>
      <c r="AE875" t="s">
        <v>473</v>
      </c>
      <c r="AF875">
        <f ca="1">OFFSET('Calculations 2'!$CE$45,W875,0)*OFFSET($AA$6,X875,0)*OFFSET($M$6,W875,)</f>
        <v>131.88982429421679</v>
      </c>
      <c r="AY875" t="s">
        <v>231</v>
      </c>
      <c r="AZ875" t="s">
        <v>489</v>
      </c>
      <c r="BA875" t="s">
        <v>473</v>
      </c>
      <c r="BB875">
        <v>0</v>
      </c>
      <c r="BE875" t="s">
        <v>231</v>
      </c>
      <c r="BF875" t="s">
        <v>489</v>
      </c>
      <c r="BG875" t="s">
        <v>473</v>
      </c>
      <c r="BH875">
        <v>0</v>
      </c>
      <c r="CT875" t="s">
        <v>231</v>
      </c>
      <c r="CU875" t="s">
        <v>473</v>
      </c>
      <c r="CV875">
        <f ca="1">OFFSET('Calculations 2'!$AJ$12,W875,X875)</f>
        <v>0</v>
      </c>
    </row>
    <row r="876" spans="17:100">
      <c r="Q876" t="s">
        <v>468</v>
      </c>
      <c r="R876" t="s">
        <v>489</v>
      </c>
      <c r="S876" t="s">
        <v>473</v>
      </c>
      <c r="T876">
        <f ca="1">OFFSET('Calculations 2'!$C$45,W876,X876)*OFFSET($M$6,W876,0)</f>
        <v>28.744998926270082</v>
      </c>
      <c r="V876">
        <f t="shared" si="41"/>
        <v>870</v>
      </c>
      <c r="W876">
        <f t="shared" si="42"/>
        <v>12</v>
      </c>
      <c r="X876">
        <f t="shared" si="43"/>
        <v>26</v>
      </c>
      <c r="AC876" t="s">
        <v>468</v>
      </c>
      <c r="AD876" t="s">
        <v>489</v>
      </c>
      <c r="AE876" t="s">
        <v>473</v>
      </c>
      <c r="AF876">
        <f ca="1">OFFSET('Calculations 2'!$CE$45,W876,0)*OFFSET($AA$6,X876,0)*OFFSET($M$6,W876,)</f>
        <v>190.9001248680988</v>
      </c>
      <c r="AY876" t="s">
        <v>468</v>
      </c>
      <c r="AZ876" t="s">
        <v>489</v>
      </c>
      <c r="BA876" t="s">
        <v>473</v>
      </c>
      <c r="BB876">
        <v>0</v>
      </c>
      <c r="BE876" t="s">
        <v>468</v>
      </c>
      <c r="BF876" t="s">
        <v>489</v>
      </c>
      <c r="BG876" t="s">
        <v>473</v>
      </c>
      <c r="BH876">
        <v>0</v>
      </c>
      <c r="CT876" t="s">
        <v>468</v>
      </c>
      <c r="CU876" t="s">
        <v>473</v>
      </c>
      <c r="CV876">
        <f ca="1">OFFSET('Calculations 2'!$AJ$12,W876,X876)</f>
        <v>0</v>
      </c>
    </row>
    <row r="877" spans="17:100">
      <c r="Q877" t="s">
        <v>469</v>
      </c>
      <c r="R877" t="s">
        <v>489</v>
      </c>
      <c r="S877" t="s">
        <v>473</v>
      </c>
      <c r="T877">
        <f ca="1">OFFSET('Calculations 2'!$C$45,W877,X877)*OFFSET($M$6,W877,0)</f>
        <v>0</v>
      </c>
      <c r="V877">
        <f t="shared" si="41"/>
        <v>871</v>
      </c>
      <c r="W877">
        <f t="shared" si="42"/>
        <v>13</v>
      </c>
      <c r="X877">
        <f t="shared" si="43"/>
        <v>26</v>
      </c>
      <c r="AC877" t="s">
        <v>469</v>
      </c>
      <c r="AD877" t="s">
        <v>489</v>
      </c>
      <c r="AE877" t="s">
        <v>473</v>
      </c>
      <c r="AF877">
        <f ca="1">OFFSET('Calculations 2'!$CE$45,W877,0)*OFFSET($AA$6,X877,0)*OFFSET($M$6,W877,)</f>
        <v>39.711367949081207</v>
      </c>
      <c r="AY877" t="s">
        <v>469</v>
      </c>
      <c r="AZ877" t="s">
        <v>489</v>
      </c>
      <c r="BA877" t="s">
        <v>473</v>
      </c>
      <c r="BB877">
        <v>0</v>
      </c>
      <c r="BE877" t="s">
        <v>469</v>
      </c>
      <c r="BF877" t="s">
        <v>489</v>
      </c>
      <c r="BG877" t="s">
        <v>473</v>
      </c>
      <c r="BH877">
        <v>0</v>
      </c>
      <c r="CT877" t="s">
        <v>469</v>
      </c>
      <c r="CU877" t="s">
        <v>473</v>
      </c>
      <c r="CV877">
        <f ca="1">OFFSET('Calculations 2'!$AJ$12,W877,X877)</f>
        <v>0</v>
      </c>
    </row>
    <row r="878" spans="17:100">
      <c r="Q878" t="s">
        <v>245</v>
      </c>
      <c r="R878" t="s">
        <v>489</v>
      </c>
      <c r="S878" t="s">
        <v>473</v>
      </c>
      <c r="T878">
        <f ca="1">OFFSET('Calculations 2'!$C$45,W878,X878)*OFFSET($M$6,W878,0)</f>
        <v>0.27499637764579293</v>
      </c>
      <c r="V878">
        <f t="shared" si="41"/>
        <v>872</v>
      </c>
      <c r="W878">
        <f t="shared" si="42"/>
        <v>14</v>
      </c>
      <c r="X878">
        <f t="shared" si="43"/>
        <v>26</v>
      </c>
      <c r="AC878" t="s">
        <v>245</v>
      </c>
      <c r="AD878" t="s">
        <v>489</v>
      </c>
      <c r="AE878" t="s">
        <v>473</v>
      </c>
      <c r="AF878">
        <f ca="1">OFFSET('Calculations 2'!$CE$45,W878,0)*OFFSET($AA$6,X878,0)*OFFSET($M$6,W878,)</f>
        <v>57.363387232776944</v>
      </c>
      <c r="AY878" t="s">
        <v>245</v>
      </c>
      <c r="AZ878" t="s">
        <v>489</v>
      </c>
      <c r="BA878" t="s">
        <v>473</v>
      </c>
      <c r="BB878">
        <v>0</v>
      </c>
      <c r="BE878" t="s">
        <v>245</v>
      </c>
      <c r="BF878" t="s">
        <v>489</v>
      </c>
      <c r="BG878" t="s">
        <v>473</v>
      </c>
      <c r="BH878">
        <v>0</v>
      </c>
      <c r="CT878" t="s">
        <v>245</v>
      </c>
      <c r="CU878" t="s">
        <v>473</v>
      </c>
      <c r="CV878">
        <f ca="1">OFFSET('Calculations 2'!$AJ$12,W878,X878)</f>
        <v>0</v>
      </c>
    </row>
    <row r="879" spans="17:100">
      <c r="Q879" t="s">
        <v>470</v>
      </c>
      <c r="R879" t="s">
        <v>489</v>
      </c>
      <c r="S879" t="s">
        <v>473</v>
      </c>
      <c r="T879">
        <f ca="1">OFFSET('Calculations 2'!$C$45,W879,X879)*OFFSET($M$6,W879,0)</f>
        <v>13.52417367791033</v>
      </c>
      <c r="V879">
        <f t="shared" si="41"/>
        <v>873</v>
      </c>
      <c r="W879">
        <f t="shared" si="42"/>
        <v>15</v>
      </c>
      <c r="X879">
        <f t="shared" si="43"/>
        <v>26</v>
      </c>
      <c r="AC879" t="s">
        <v>470</v>
      </c>
      <c r="AD879" t="s">
        <v>489</v>
      </c>
      <c r="AE879" t="s">
        <v>473</v>
      </c>
      <c r="AF879">
        <f ca="1">OFFSET('Calculations 2'!$CE$45,W879,0)*OFFSET($AA$6,X879,0)*OFFSET($M$6,W879,)</f>
        <v>156.19678497993715</v>
      </c>
      <c r="AY879" t="s">
        <v>470</v>
      </c>
      <c r="AZ879" t="s">
        <v>489</v>
      </c>
      <c r="BA879" t="s">
        <v>473</v>
      </c>
      <c r="BB879">
        <v>0</v>
      </c>
      <c r="BE879" t="s">
        <v>470</v>
      </c>
      <c r="BF879" t="s">
        <v>489</v>
      </c>
      <c r="BG879" t="s">
        <v>473</v>
      </c>
      <c r="BH879">
        <v>0</v>
      </c>
      <c r="CT879" t="s">
        <v>470</v>
      </c>
      <c r="CU879" t="s">
        <v>473</v>
      </c>
      <c r="CV879">
        <f ca="1">OFFSET('Calculations 2'!$AJ$12,W879,X879)</f>
        <v>0</v>
      </c>
    </row>
    <row r="880" spans="17:100">
      <c r="Q880" t="s">
        <v>471</v>
      </c>
      <c r="R880" t="s">
        <v>489</v>
      </c>
      <c r="S880" t="s">
        <v>473</v>
      </c>
      <c r="T880">
        <f ca="1">OFFSET('Calculations 2'!$C$45,W880,X880)*OFFSET($M$6,W880,0)</f>
        <v>1325.0476228365983</v>
      </c>
      <c r="V880">
        <f t="shared" si="41"/>
        <v>874</v>
      </c>
      <c r="W880">
        <f t="shared" si="42"/>
        <v>16</v>
      </c>
      <c r="X880">
        <f t="shared" si="43"/>
        <v>26</v>
      </c>
      <c r="AC880" t="s">
        <v>471</v>
      </c>
      <c r="AD880" t="s">
        <v>489</v>
      </c>
      <c r="AE880" t="s">
        <v>473</v>
      </c>
      <c r="AF880">
        <f ca="1">OFFSET('Calculations 2'!$CE$45,W880,0)*OFFSET($AA$6,X880,0)*OFFSET($M$6,W880,)</f>
        <v>0</v>
      </c>
      <c r="AY880" t="s">
        <v>471</v>
      </c>
      <c r="AZ880" t="s">
        <v>489</v>
      </c>
      <c r="BA880" t="s">
        <v>473</v>
      </c>
      <c r="BB880">
        <v>0</v>
      </c>
      <c r="BE880" t="s">
        <v>471</v>
      </c>
      <c r="BF880" t="s">
        <v>489</v>
      </c>
      <c r="BG880" t="s">
        <v>473</v>
      </c>
      <c r="BH880">
        <v>0</v>
      </c>
      <c r="CT880" t="s">
        <v>471</v>
      </c>
      <c r="CU880" t="s">
        <v>473</v>
      </c>
      <c r="CV880">
        <f ca="1">OFFSET('Calculations 2'!$AJ$12,W880,X880)</f>
        <v>0</v>
      </c>
    </row>
    <row r="881" spans="17:100">
      <c r="Q881" t="s">
        <v>221</v>
      </c>
      <c r="R881" t="s">
        <v>489</v>
      </c>
      <c r="S881" t="s">
        <v>473</v>
      </c>
      <c r="T881">
        <f ca="1">OFFSET('Calculations 2'!$C$45,W881,X881)*OFFSET($M$6,W881,0)</f>
        <v>3500.0958517136155</v>
      </c>
      <c r="V881">
        <f t="shared" si="41"/>
        <v>875</v>
      </c>
      <c r="W881">
        <f t="shared" si="42"/>
        <v>17</v>
      </c>
      <c r="X881">
        <f t="shared" si="43"/>
        <v>26</v>
      </c>
      <c r="AC881" t="s">
        <v>221</v>
      </c>
      <c r="AD881" t="s">
        <v>489</v>
      </c>
      <c r="AE881" t="s">
        <v>473</v>
      </c>
      <c r="AF881">
        <f ca="1">OFFSET('Calculations 2'!$CE$45,W881,0)*OFFSET($AA$6,X881,0)*OFFSET($M$6,W881,)</f>
        <v>5188.6136028289884</v>
      </c>
      <c r="AY881" t="s">
        <v>221</v>
      </c>
      <c r="AZ881" t="s">
        <v>489</v>
      </c>
      <c r="BA881" t="s">
        <v>473</v>
      </c>
      <c r="BB881">
        <v>0</v>
      </c>
      <c r="BE881" t="s">
        <v>221</v>
      </c>
      <c r="BF881" t="s">
        <v>489</v>
      </c>
      <c r="BG881" t="s">
        <v>473</v>
      </c>
      <c r="BH881">
        <v>0</v>
      </c>
      <c r="CT881" t="s">
        <v>221</v>
      </c>
      <c r="CU881" t="s">
        <v>473</v>
      </c>
      <c r="CV881">
        <f ca="1">OFFSET('Calculations 2'!$AJ$12,W881,X881)</f>
        <v>0</v>
      </c>
    </row>
    <row r="882" spans="17:100">
      <c r="Q882" t="s">
        <v>244</v>
      </c>
      <c r="R882" t="s">
        <v>489</v>
      </c>
      <c r="S882" t="s">
        <v>473</v>
      </c>
      <c r="T882">
        <f ca="1">OFFSET('Calculations 2'!$C$45,W882,X882)*OFFSET($M$6,W882,0)</f>
        <v>48.601540134549637</v>
      </c>
      <c r="V882">
        <f t="shared" si="41"/>
        <v>876</v>
      </c>
      <c r="W882">
        <f t="shared" si="42"/>
        <v>18</v>
      </c>
      <c r="X882">
        <f t="shared" si="43"/>
        <v>26</v>
      </c>
      <c r="AC882" t="s">
        <v>244</v>
      </c>
      <c r="AD882" t="s">
        <v>489</v>
      </c>
      <c r="AE882" t="s">
        <v>473</v>
      </c>
      <c r="AF882">
        <f ca="1">OFFSET('Calculations 2'!$CE$45,W882,0)*OFFSET($AA$6,X882,0)*OFFSET($M$6,W882,)</f>
        <v>829.62471930736376</v>
      </c>
      <c r="AY882" t="s">
        <v>244</v>
      </c>
      <c r="AZ882" t="s">
        <v>489</v>
      </c>
      <c r="BA882" t="s">
        <v>473</v>
      </c>
      <c r="BB882">
        <v>0</v>
      </c>
      <c r="BE882" t="s">
        <v>244</v>
      </c>
      <c r="BF882" t="s">
        <v>489</v>
      </c>
      <c r="BG882" t="s">
        <v>473</v>
      </c>
      <c r="BH882">
        <v>0</v>
      </c>
      <c r="CT882" t="s">
        <v>244</v>
      </c>
      <c r="CU882" t="s">
        <v>473</v>
      </c>
      <c r="CV882">
        <f ca="1">OFFSET('Calculations 2'!$AJ$12,W882,X882)</f>
        <v>0</v>
      </c>
    </row>
    <row r="883" spans="17:100">
      <c r="Q883" t="s">
        <v>472</v>
      </c>
      <c r="R883" t="s">
        <v>489</v>
      </c>
      <c r="S883" t="s">
        <v>473</v>
      </c>
      <c r="T883">
        <f ca="1">OFFSET('Calculations 2'!$C$45,W883,X883)*OFFSET($M$6,W883,0)</f>
        <v>0</v>
      </c>
      <c r="V883">
        <f t="shared" si="41"/>
        <v>877</v>
      </c>
      <c r="W883">
        <f t="shared" si="42"/>
        <v>19</v>
      </c>
      <c r="X883">
        <f t="shared" si="43"/>
        <v>26</v>
      </c>
      <c r="AC883" t="s">
        <v>472</v>
      </c>
      <c r="AD883" t="s">
        <v>489</v>
      </c>
      <c r="AE883" t="s">
        <v>473</v>
      </c>
      <c r="AF883">
        <f ca="1">OFFSET('Calculations 2'!$CE$45,W883,0)*OFFSET($AA$6,X883,0)*OFFSET($M$6,W883,)</f>
        <v>0</v>
      </c>
      <c r="AY883" t="s">
        <v>472</v>
      </c>
      <c r="AZ883" t="s">
        <v>489</v>
      </c>
      <c r="BA883" t="s">
        <v>473</v>
      </c>
      <c r="BB883">
        <v>0</v>
      </c>
      <c r="BE883" t="s">
        <v>472</v>
      </c>
      <c r="BF883" t="s">
        <v>489</v>
      </c>
      <c r="BG883" t="s">
        <v>473</v>
      </c>
      <c r="BH883">
        <v>0</v>
      </c>
      <c r="CT883" t="s">
        <v>472</v>
      </c>
      <c r="CU883" t="s">
        <v>473</v>
      </c>
      <c r="CV883">
        <f ca="1">OFFSET('Calculations 2'!$AJ$12,W883,X883)</f>
        <v>0</v>
      </c>
    </row>
    <row r="884" spans="17:100">
      <c r="Q884" t="s">
        <v>238</v>
      </c>
      <c r="R884" t="s">
        <v>489</v>
      </c>
      <c r="S884" t="s">
        <v>473</v>
      </c>
      <c r="T884">
        <f ca="1">OFFSET('Calculations 2'!$C$45,W884,X884)*OFFSET($M$6,W884,0)</f>
        <v>1.9506401825855249</v>
      </c>
      <c r="V884">
        <f t="shared" si="41"/>
        <v>878</v>
      </c>
      <c r="W884">
        <f t="shared" si="42"/>
        <v>20</v>
      </c>
      <c r="X884">
        <f t="shared" si="43"/>
        <v>26</v>
      </c>
      <c r="AC884" t="s">
        <v>238</v>
      </c>
      <c r="AD884" t="s">
        <v>489</v>
      </c>
      <c r="AE884" t="s">
        <v>473</v>
      </c>
      <c r="AF884">
        <f ca="1">OFFSET('Calculations 2'!$CE$45,W884,0)*OFFSET($AA$6,X884,0)*OFFSET($M$6,W884,)</f>
        <v>0</v>
      </c>
      <c r="AY884" t="s">
        <v>238</v>
      </c>
      <c r="AZ884" t="s">
        <v>489</v>
      </c>
      <c r="BA884" t="s">
        <v>473</v>
      </c>
      <c r="BB884">
        <v>0</v>
      </c>
      <c r="BE884" t="s">
        <v>238</v>
      </c>
      <c r="BF884" t="s">
        <v>489</v>
      </c>
      <c r="BG884" t="s">
        <v>473</v>
      </c>
      <c r="BH884">
        <v>0</v>
      </c>
      <c r="CT884" t="s">
        <v>238</v>
      </c>
      <c r="CU884" t="s">
        <v>473</v>
      </c>
      <c r="CV884">
        <f ca="1">OFFSET('Calculations 2'!$AJ$12,W884,X884)</f>
        <v>0</v>
      </c>
    </row>
    <row r="885" spans="17:100">
      <c r="Q885" t="s">
        <v>247</v>
      </c>
      <c r="R885" t="s">
        <v>489</v>
      </c>
      <c r="S885" t="s">
        <v>473</v>
      </c>
      <c r="T885">
        <f ca="1">OFFSET('Calculations 2'!$C$45,W885,X885)*OFFSET($M$6,W885,0)</f>
        <v>0</v>
      </c>
      <c r="V885">
        <f t="shared" si="41"/>
        <v>879</v>
      </c>
      <c r="W885">
        <f t="shared" si="42"/>
        <v>21</v>
      </c>
      <c r="X885">
        <f t="shared" si="43"/>
        <v>26</v>
      </c>
      <c r="AC885" t="s">
        <v>247</v>
      </c>
      <c r="AD885" t="s">
        <v>489</v>
      </c>
      <c r="AE885" t="s">
        <v>473</v>
      </c>
      <c r="AF885">
        <f ca="1">OFFSET('Calculations 2'!$CE$45,W885,0)*OFFSET($AA$6,X885,0)*OFFSET($M$6,W885,)</f>
        <v>0</v>
      </c>
      <c r="AY885" t="s">
        <v>247</v>
      </c>
      <c r="AZ885" t="s">
        <v>489</v>
      </c>
      <c r="BA885" t="s">
        <v>473</v>
      </c>
      <c r="BB885">
        <v>0</v>
      </c>
      <c r="BE885" t="s">
        <v>247</v>
      </c>
      <c r="BF885" t="s">
        <v>489</v>
      </c>
      <c r="BG885" t="s">
        <v>473</v>
      </c>
      <c r="BH885">
        <v>0</v>
      </c>
      <c r="CT885" t="s">
        <v>247</v>
      </c>
      <c r="CU885" t="s">
        <v>473</v>
      </c>
      <c r="CV885">
        <f ca="1">OFFSET('Calculations 2'!$AJ$12,W885,X885)</f>
        <v>0</v>
      </c>
    </row>
    <row r="886" spans="17:100">
      <c r="Q886" t="s">
        <v>218</v>
      </c>
      <c r="R886" t="s">
        <v>489</v>
      </c>
      <c r="S886" t="s">
        <v>473</v>
      </c>
      <c r="T886">
        <f ca="1">OFFSET('Calculations 2'!$C$45,W886,X886)*OFFSET($M$6,W886,0)</f>
        <v>1.1110233513986032</v>
      </c>
      <c r="V886">
        <f t="shared" si="41"/>
        <v>880</v>
      </c>
      <c r="W886">
        <f t="shared" si="42"/>
        <v>22</v>
      </c>
      <c r="X886">
        <f t="shared" si="43"/>
        <v>26</v>
      </c>
      <c r="AC886" t="s">
        <v>218</v>
      </c>
      <c r="AD886" t="s">
        <v>489</v>
      </c>
      <c r="AE886" t="s">
        <v>473</v>
      </c>
      <c r="AF886">
        <f ca="1">OFFSET('Calculations 2'!$CE$45,W886,0)*OFFSET($AA$6,X886,0)*OFFSET($M$6,W886,)</f>
        <v>0</v>
      </c>
      <c r="AY886" t="s">
        <v>218</v>
      </c>
      <c r="AZ886" t="s">
        <v>489</v>
      </c>
      <c r="BA886" t="s">
        <v>473</v>
      </c>
      <c r="BB886">
        <v>0</v>
      </c>
      <c r="BE886" t="s">
        <v>218</v>
      </c>
      <c r="BF886" t="s">
        <v>489</v>
      </c>
      <c r="BG886" t="s">
        <v>473</v>
      </c>
      <c r="BH886">
        <v>0</v>
      </c>
      <c r="CT886" t="s">
        <v>218</v>
      </c>
      <c r="CU886" t="s">
        <v>473</v>
      </c>
      <c r="CV886">
        <f ca="1">OFFSET('Calculations 2'!$AJ$12,W886,X886)</f>
        <v>0</v>
      </c>
    </row>
    <row r="887" spans="17:100">
      <c r="Q887" t="s">
        <v>257</v>
      </c>
      <c r="R887" t="s">
        <v>489</v>
      </c>
      <c r="S887" t="s">
        <v>473</v>
      </c>
      <c r="T887">
        <f ca="1">OFFSET('Calculations 2'!$C$45,W887,X887)*OFFSET($M$6,W887,0)</f>
        <v>0.72628209755105055</v>
      </c>
      <c r="V887">
        <f t="shared" si="41"/>
        <v>881</v>
      </c>
      <c r="W887">
        <f t="shared" si="42"/>
        <v>23</v>
      </c>
      <c r="X887">
        <f t="shared" si="43"/>
        <v>26</v>
      </c>
      <c r="AC887" t="s">
        <v>257</v>
      </c>
      <c r="AD887" t="s">
        <v>489</v>
      </c>
      <c r="AE887" t="s">
        <v>473</v>
      </c>
      <c r="AF887">
        <f ca="1">OFFSET('Calculations 2'!$CE$45,W887,0)*OFFSET($AA$6,X887,0)*OFFSET($M$6,W887,)</f>
        <v>0</v>
      </c>
      <c r="AY887" t="s">
        <v>257</v>
      </c>
      <c r="AZ887" t="s">
        <v>489</v>
      </c>
      <c r="BA887" t="s">
        <v>473</v>
      </c>
      <c r="BB887">
        <v>0</v>
      </c>
      <c r="BE887" t="s">
        <v>257</v>
      </c>
      <c r="BF887" t="s">
        <v>489</v>
      </c>
      <c r="BG887" t="s">
        <v>473</v>
      </c>
      <c r="BH887">
        <v>0</v>
      </c>
      <c r="CT887" t="s">
        <v>257</v>
      </c>
      <c r="CU887" t="s">
        <v>473</v>
      </c>
      <c r="CV887">
        <f ca="1">OFFSET('Calculations 2'!$AJ$12,W887,X887)</f>
        <v>0</v>
      </c>
    </row>
    <row r="888" spans="17:100">
      <c r="Q888" t="s">
        <v>220</v>
      </c>
      <c r="R888" t="s">
        <v>489</v>
      </c>
      <c r="S888" t="s">
        <v>473</v>
      </c>
      <c r="T888">
        <f ca="1">OFFSET('Calculations 2'!$C$45,W888,X888)*OFFSET($M$6,W888,0)</f>
        <v>289.7290651621941</v>
      </c>
      <c r="V888">
        <f t="shared" si="41"/>
        <v>882</v>
      </c>
      <c r="W888">
        <f t="shared" si="42"/>
        <v>24</v>
      </c>
      <c r="X888">
        <f t="shared" si="43"/>
        <v>26</v>
      </c>
      <c r="AC888" t="s">
        <v>220</v>
      </c>
      <c r="AD888" t="s">
        <v>489</v>
      </c>
      <c r="AE888" t="s">
        <v>473</v>
      </c>
      <c r="AF888">
        <f ca="1">OFFSET('Calculations 2'!$CE$45,W888,0)*OFFSET($AA$6,X888,0)*OFFSET($M$6,W888,)</f>
        <v>0</v>
      </c>
      <c r="AY888" t="s">
        <v>220</v>
      </c>
      <c r="AZ888" t="s">
        <v>489</v>
      </c>
      <c r="BA888" t="s">
        <v>473</v>
      </c>
      <c r="BB888">
        <v>0</v>
      </c>
      <c r="BE888" t="s">
        <v>220</v>
      </c>
      <c r="BF888" t="s">
        <v>489</v>
      </c>
      <c r="BG888" t="s">
        <v>473</v>
      </c>
      <c r="BH888">
        <v>0</v>
      </c>
      <c r="CT888" t="s">
        <v>220</v>
      </c>
      <c r="CU888" t="s">
        <v>473</v>
      </c>
      <c r="CV888">
        <f ca="1">OFFSET('Calculations 2'!$AJ$12,W888,X888)</f>
        <v>0</v>
      </c>
    </row>
    <row r="889" spans="17:100">
      <c r="Q889" t="s">
        <v>235</v>
      </c>
      <c r="R889" t="s">
        <v>489</v>
      </c>
      <c r="S889" t="s">
        <v>473</v>
      </c>
      <c r="T889">
        <f ca="1">OFFSET('Calculations 2'!$C$45,W889,X889)*OFFSET($M$6,W889,0)</f>
        <v>6151.8327946468362</v>
      </c>
      <c r="V889">
        <f t="shared" si="41"/>
        <v>883</v>
      </c>
      <c r="W889">
        <f t="shared" si="42"/>
        <v>25</v>
      </c>
      <c r="X889">
        <f t="shared" si="43"/>
        <v>26</v>
      </c>
      <c r="AC889" t="s">
        <v>235</v>
      </c>
      <c r="AD889" t="s">
        <v>489</v>
      </c>
      <c r="AE889" t="s">
        <v>473</v>
      </c>
      <c r="AF889">
        <f ca="1">OFFSET('Calculations 2'!$CE$45,W889,0)*OFFSET($AA$6,X889,0)*OFFSET($M$6,W889,)</f>
        <v>0</v>
      </c>
      <c r="AY889" t="s">
        <v>235</v>
      </c>
      <c r="AZ889" t="s">
        <v>489</v>
      </c>
      <c r="BA889" t="s">
        <v>473</v>
      </c>
      <c r="BB889">
        <v>0</v>
      </c>
      <c r="BE889" t="s">
        <v>235</v>
      </c>
      <c r="BF889" t="s">
        <v>489</v>
      </c>
      <c r="BG889" t="s">
        <v>473</v>
      </c>
      <c r="BH889">
        <v>0</v>
      </c>
      <c r="CT889" t="s">
        <v>235</v>
      </c>
      <c r="CU889" t="s">
        <v>473</v>
      </c>
      <c r="CV889">
        <f ca="1">OFFSET('Calculations 2'!$AJ$12,W889,X889)</f>
        <v>0</v>
      </c>
    </row>
    <row r="890" spans="17:100">
      <c r="Q890" t="s">
        <v>473</v>
      </c>
      <c r="R890" t="s">
        <v>489</v>
      </c>
      <c r="S890" t="s">
        <v>473</v>
      </c>
      <c r="T890">
        <f ca="1">OFFSET('Calculations 2'!$C$45,W890,X890)*OFFSET($M$6,W890,0)</f>
        <v>2059.2334761254633</v>
      </c>
      <c r="V890">
        <f t="shared" si="41"/>
        <v>884</v>
      </c>
      <c r="W890">
        <f t="shared" si="42"/>
        <v>26</v>
      </c>
      <c r="X890">
        <f t="shared" si="43"/>
        <v>26</v>
      </c>
      <c r="AC890" t="s">
        <v>473</v>
      </c>
      <c r="AD890" t="s">
        <v>489</v>
      </c>
      <c r="AE890" t="s">
        <v>473</v>
      </c>
      <c r="AF890">
        <f ca="1">OFFSET('Calculations 2'!$CE$45,W890,0)*OFFSET($AA$6,X890,0)*OFFSET($M$6,W890,)</f>
        <v>0</v>
      </c>
      <c r="AY890" t="s">
        <v>473</v>
      </c>
      <c r="AZ890" t="s">
        <v>489</v>
      </c>
      <c r="BA890" t="s">
        <v>473</v>
      </c>
      <c r="BB890">
        <v>0</v>
      </c>
      <c r="BE890" t="s">
        <v>473</v>
      </c>
      <c r="BF890" t="s">
        <v>489</v>
      </c>
      <c r="BG890" t="s">
        <v>473</v>
      </c>
      <c r="BH890">
        <v>0</v>
      </c>
      <c r="CT890" t="s">
        <v>473</v>
      </c>
      <c r="CU890" t="s">
        <v>473</v>
      </c>
      <c r="CV890">
        <f ca="1">OFFSET('Calculations 2'!$AJ$12,W890,X890)</f>
        <v>51738.011936033465</v>
      </c>
    </row>
    <row r="891" spans="17:100">
      <c r="Q891" t="s">
        <v>233</v>
      </c>
      <c r="R891" t="s">
        <v>489</v>
      </c>
      <c r="S891" t="s">
        <v>473</v>
      </c>
      <c r="T891">
        <f ca="1">OFFSET('Calculations 2'!$C$45,W891,X891)*OFFSET($M$6,W891,0)</f>
        <v>3590.4937287553876</v>
      </c>
      <c r="V891">
        <f t="shared" si="41"/>
        <v>885</v>
      </c>
      <c r="W891">
        <f t="shared" si="42"/>
        <v>27</v>
      </c>
      <c r="X891">
        <f t="shared" si="43"/>
        <v>26</v>
      </c>
      <c r="AC891" t="s">
        <v>233</v>
      </c>
      <c r="AD891" t="s">
        <v>489</v>
      </c>
      <c r="AE891" t="s">
        <v>473</v>
      </c>
      <c r="AF891">
        <f ca="1">OFFSET('Calculations 2'!$CE$45,W891,0)*OFFSET($AA$6,X891,0)*OFFSET($M$6,W891,)</f>
        <v>0</v>
      </c>
      <c r="AY891" t="s">
        <v>233</v>
      </c>
      <c r="AZ891" t="s">
        <v>489</v>
      </c>
      <c r="BA891" t="s">
        <v>473</v>
      </c>
      <c r="BB891">
        <v>0</v>
      </c>
      <c r="BE891" t="s">
        <v>233</v>
      </c>
      <c r="BF891" t="s">
        <v>489</v>
      </c>
      <c r="BG891" t="s">
        <v>473</v>
      </c>
      <c r="BH891">
        <v>0</v>
      </c>
      <c r="CT891" t="s">
        <v>233</v>
      </c>
      <c r="CU891" t="s">
        <v>473</v>
      </c>
      <c r="CV891">
        <f ca="1">OFFSET('Calculations 2'!$AJ$12,W891,X891)</f>
        <v>0</v>
      </c>
    </row>
    <row r="892" spans="17:100">
      <c r="Q892" t="s">
        <v>474</v>
      </c>
      <c r="R892" t="s">
        <v>489</v>
      </c>
      <c r="S892" t="s">
        <v>473</v>
      </c>
      <c r="T892">
        <f ca="1">OFFSET('Calculations 2'!$C$45,W892,X892)*OFFSET($M$6,W892,0)</f>
        <v>179.5928878706122</v>
      </c>
      <c r="V892">
        <f t="shared" si="41"/>
        <v>886</v>
      </c>
      <c r="W892">
        <f t="shared" si="42"/>
        <v>28</v>
      </c>
      <c r="X892">
        <f t="shared" si="43"/>
        <v>26</v>
      </c>
      <c r="AC892" t="s">
        <v>474</v>
      </c>
      <c r="AD892" t="s">
        <v>489</v>
      </c>
      <c r="AE892" t="s">
        <v>473</v>
      </c>
      <c r="AF892">
        <f ca="1">OFFSET('Calculations 2'!$CE$45,W892,0)*OFFSET($AA$6,X892,0)*OFFSET($M$6,W892,)</f>
        <v>0</v>
      </c>
      <c r="AY892" t="s">
        <v>474</v>
      </c>
      <c r="AZ892" t="s">
        <v>489</v>
      </c>
      <c r="BA892" t="s">
        <v>473</v>
      </c>
      <c r="BB892">
        <v>0</v>
      </c>
      <c r="BE892" t="s">
        <v>474</v>
      </c>
      <c r="BF892" t="s">
        <v>489</v>
      </c>
      <c r="BG892" t="s">
        <v>473</v>
      </c>
      <c r="BH892">
        <v>0</v>
      </c>
      <c r="CT892" t="s">
        <v>474</v>
      </c>
      <c r="CU892" t="s">
        <v>473</v>
      </c>
      <c r="CV892">
        <f ca="1">OFFSET('Calculations 2'!$AJ$12,W892,X892)</f>
        <v>0</v>
      </c>
    </row>
    <row r="893" spans="17:100">
      <c r="Q893" t="s">
        <v>223</v>
      </c>
      <c r="R893" t="s">
        <v>489</v>
      </c>
      <c r="S893" t="s">
        <v>473</v>
      </c>
      <c r="T893">
        <f ca="1">OFFSET('Calculations 2'!$C$45,W893,X893)*OFFSET($M$6,W893,0)</f>
        <v>175.4770744375501</v>
      </c>
      <c r="V893">
        <f t="shared" si="41"/>
        <v>887</v>
      </c>
      <c r="W893">
        <f t="shared" si="42"/>
        <v>29</v>
      </c>
      <c r="X893">
        <f t="shared" si="43"/>
        <v>26</v>
      </c>
      <c r="AC893" t="s">
        <v>223</v>
      </c>
      <c r="AD893" t="s">
        <v>489</v>
      </c>
      <c r="AE893" t="s">
        <v>473</v>
      </c>
      <c r="AF893">
        <f ca="1">OFFSET('Calculations 2'!$CE$45,W893,0)*OFFSET($AA$6,X893,0)*OFFSET($M$6,W893,)</f>
        <v>0</v>
      </c>
      <c r="AY893" t="s">
        <v>223</v>
      </c>
      <c r="AZ893" t="s">
        <v>489</v>
      </c>
      <c r="BA893" t="s">
        <v>473</v>
      </c>
      <c r="BB893">
        <v>0</v>
      </c>
      <c r="BE893" t="s">
        <v>223</v>
      </c>
      <c r="BF893" t="s">
        <v>489</v>
      </c>
      <c r="BG893" t="s">
        <v>473</v>
      </c>
      <c r="BH893">
        <v>0</v>
      </c>
      <c r="CT893" t="s">
        <v>223</v>
      </c>
      <c r="CU893" t="s">
        <v>473</v>
      </c>
      <c r="CV893">
        <f ca="1">OFFSET('Calculations 2'!$AJ$12,W893,X893)</f>
        <v>0</v>
      </c>
    </row>
    <row r="894" spans="17:100">
      <c r="Q894" t="s">
        <v>475</v>
      </c>
      <c r="R894" t="s">
        <v>489</v>
      </c>
      <c r="S894" t="s">
        <v>473</v>
      </c>
      <c r="T894">
        <f ca="1">OFFSET('Calculations 2'!$C$45,W894,X894)*OFFSET($M$6,W894,0)</f>
        <v>1.0607794893365856</v>
      </c>
      <c r="V894">
        <f t="shared" si="41"/>
        <v>888</v>
      </c>
      <c r="W894">
        <f t="shared" si="42"/>
        <v>30</v>
      </c>
      <c r="X894">
        <f t="shared" si="43"/>
        <v>26</v>
      </c>
      <c r="AC894" t="s">
        <v>475</v>
      </c>
      <c r="AD894" t="s">
        <v>489</v>
      </c>
      <c r="AE894" t="s">
        <v>473</v>
      </c>
      <c r="AF894">
        <f ca="1">OFFSET('Calculations 2'!$CE$45,W894,0)*OFFSET($AA$6,X894,0)*OFFSET($M$6,W894,)</f>
        <v>0</v>
      </c>
      <c r="AY894" t="s">
        <v>475</v>
      </c>
      <c r="AZ894" t="s">
        <v>489</v>
      </c>
      <c r="BA894" t="s">
        <v>473</v>
      </c>
      <c r="BB894">
        <v>0</v>
      </c>
      <c r="BE894" t="s">
        <v>475</v>
      </c>
      <c r="BF894" t="s">
        <v>489</v>
      </c>
      <c r="BG894" t="s">
        <v>473</v>
      </c>
      <c r="BH894">
        <v>0</v>
      </c>
      <c r="CT894" t="s">
        <v>475</v>
      </c>
      <c r="CU894" t="s">
        <v>473</v>
      </c>
      <c r="CV894">
        <f ca="1">OFFSET('Calculations 2'!$AJ$12,W894,X894)</f>
        <v>0</v>
      </c>
    </row>
    <row r="895" spans="17:100">
      <c r="Q895" t="s">
        <v>476</v>
      </c>
      <c r="R895" t="s">
        <v>489</v>
      </c>
      <c r="S895" t="s">
        <v>473</v>
      </c>
      <c r="T895">
        <f ca="1">OFFSET('Calculations 2'!$C$45,W895,X895)*OFFSET($M$6,W895,0)</f>
        <v>74.367891490585279</v>
      </c>
      <c r="V895">
        <f t="shared" si="41"/>
        <v>889</v>
      </c>
      <c r="W895">
        <f t="shared" si="42"/>
        <v>31</v>
      </c>
      <c r="X895">
        <f t="shared" si="43"/>
        <v>26</v>
      </c>
      <c r="AC895" t="s">
        <v>476</v>
      </c>
      <c r="AD895" t="s">
        <v>489</v>
      </c>
      <c r="AE895" t="s">
        <v>473</v>
      </c>
      <c r="AF895">
        <f ca="1">OFFSET('Calculations 2'!$CE$45,W895,0)*OFFSET($AA$6,X895,0)*OFFSET($M$6,W895,)</f>
        <v>0</v>
      </c>
      <c r="AY895" t="s">
        <v>476</v>
      </c>
      <c r="AZ895" t="s">
        <v>489</v>
      </c>
      <c r="BA895" t="s">
        <v>473</v>
      </c>
      <c r="BB895">
        <v>0</v>
      </c>
      <c r="BE895" t="s">
        <v>476</v>
      </c>
      <c r="BF895" t="s">
        <v>489</v>
      </c>
      <c r="BG895" t="s">
        <v>473</v>
      </c>
      <c r="BH895">
        <v>0</v>
      </c>
      <c r="CT895" t="s">
        <v>476</v>
      </c>
      <c r="CU895" t="s">
        <v>473</v>
      </c>
      <c r="CV895">
        <f ca="1">OFFSET('Calculations 2'!$AJ$12,W895,X895)</f>
        <v>0</v>
      </c>
    </row>
    <row r="896" spans="17:100">
      <c r="Q896" t="s">
        <v>222</v>
      </c>
      <c r="R896" t="s">
        <v>489</v>
      </c>
      <c r="S896" t="s">
        <v>473</v>
      </c>
      <c r="T896">
        <f ca="1">OFFSET('Calculations 2'!$C$45,W896,X896)*OFFSET($M$6,W896,0)</f>
        <v>0</v>
      </c>
      <c r="V896">
        <f t="shared" si="41"/>
        <v>890</v>
      </c>
      <c r="W896">
        <f t="shared" si="42"/>
        <v>32</v>
      </c>
      <c r="X896">
        <f t="shared" si="43"/>
        <v>26</v>
      </c>
      <c r="AC896" t="s">
        <v>222</v>
      </c>
      <c r="AD896" t="s">
        <v>489</v>
      </c>
      <c r="AE896" t="s">
        <v>473</v>
      </c>
      <c r="AF896">
        <f ca="1">OFFSET('Calculations 2'!$CE$45,W896,0)*OFFSET($AA$6,X896,0)*OFFSET($M$6,W896,)</f>
        <v>0</v>
      </c>
      <c r="AY896" t="s">
        <v>222</v>
      </c>
      <c r="AZ896" t="s">
        <v>489</v>
      </c>
      <c r="BA896" t="s">
        <v>473</v>
      </c>
      <c r="BB896">
        <v>0</v>
      </c>
      <c r="BE896" t="s">
        <v>222</v>
      </c>
      <c r="BF896" t="s">
        <v>489</v>
      </c>
      <c r="BG896" t="s">
        <v>473</v>
      </c>
      <c r="BH896">
        <v>0</v>
      </c>
      <c r="CT896" t="s">
        <v>222</v>
      </c>
      <c r="CU896" t="s">
        <v>473</v>
      </c>
      <c r="CV896">
        <f ca="1">OFFSET('Calculations 2'!$AJ$12,W896,X896)</f>
        <v>0</v>
      </c>
    </row>
    <row r="897" spans="17:100">
      <c r="Q897" t="s">
        <v>217</v>
      </c>
      <c r="R897" t="s">
        <v>489</v>
      </c>
      <c r="S897" t="s">
        <v>233</v>
      </c>
      <c r="T897">
        <f ca="1">OFFSET('Calculations 2'!$C$45,W897,X897)*OFFSET($M$6,W897,0)</f>
        <v>0</v>
      </c>
      <c r="V897">
        <f t="shared" si="41"/>
        <v>891</v>
      </c>
      <c r="W897">
        <f t="shared" si="42"/>
        <v>0</v>
      </c>
      <c r="X897">
        <f t="shared" si="43"/>
        <v>27</v>
      </c>
      <c r="AC897" t="s">
        <v>217</v>
      </c>
      <c r="AD897" t="s">
        <v>489</v>
      </c>
      <c r="AE897" t="s">
        <v>233</v>
      </c>
      <c r="AF897">
        <f ca="1">OFFSET('Calculations 2'!$CE$45,W897,0)*OFFSET($AA$6,X897,0)*OFFSET($M$6,W897,)</f>
        <v>0.41681199383393835</v>
      </c>
      <c r="AY897" t="s">
        <v>217</v>
      </c>
      <c r="AZ897" t="s">
        <v>489</v>
      </c>
      <c r="BA897" t="s">
        <v>233</v>
      </c>
      <c r="BB897">
        <v>0</v>
      </c>
      <c r="BE897" t="s">
        <v>217</v>
      </c>
      <c r="BF897" t="s">
        <v>489</v>
      </c>
      <c r="BG897" t="s">
        <v>233</v>
      </c>
      <c r="BH897">
        <v>0</v>
      </c>
      <c r="CT897" t="s">
        <v>217</v>
      </c>
      <c r="CU897" t="s">
        <v>233</v>
      </c>
      <c r="CV897">
        <f ca="1">OFFSET('Calculations 2'!$AJ$12,W897,X897)</f>
        <v>0</v>
      </c>
    </row>
    <row r="898" spans="17:100">
      <c r="Q898" t="s">
        <v>232</v>
      </c>
      <c r="R898" t="s">
        <v>489</v>
      </c>
      <c r="S898" t="s">
        <v>233</v>
      </c>
      <c r="T898">
        <f ca="1">OFFSET('Calculations 2'!$C$45,W898,X898)*OFFSET($M$6,W898,0)</f>
        <v>0</v>
      </c>
      <c r="V898">
        <f t="shared" si="41"/>
        <v>892</v>
      </c>
      <c r="W898">
        <f t="shared" si="42"/>
        <v>1</v>
      </c>
      <c r="X898">
        <f t="shared" si="43"/>
        <v>27</v>
      </c>
      <c r="AC898" t="s">
        <v>232</v>
      </c>
      <c r="AD898" t="s">
        <v>489</v>
      </c>
      <c r="AE898" t="s">
        <v>233</v>
      </c>
      <c r="AF898">
        <f ca="1">OFFSET('Calculations 2'!$CE$45,W898,0)*OFFSET($AA$6,X898,0)*OFFSET($M$6,W898,)</f>
        <v>0.7270944364209867</v>
      </c>
      <c r="AY898" t="s">
        <v>232</v>
      </c>
      <c r="AZ898" t="s">
        <v>489</v>
      </c>
      <c r="BA898" t="s">
        <v>233</v>
      </c>
      <c r="BB898">
        <v>0</v>
      </c>
      <c r="BE898" t="s">
        <v>232</v>
      </c>
      <c r="BF898" t="s">
        <v>489</v>
      </c>
      <c r="BG898" t="s">
        <v>233</v>
      </c>
      <c r="BH898">
        <v>0</v>
      </c>
      <c r="CT898" t="s">
        <v>232</v>
      </c>
      <c r="CU898" t="s">
        <v>233</v>
      </c>
      <c r="CV898">
        <f ca="1">OFFSET('Calculations 2'!$AJ$12,W898,X898)</f>
        <v>0</v>
      </c>
    </row>
    <row r="899" spans="17:100">
      <c r="Q899" t="s">
        <v>226</v>
      </c>
      <c r="R899" t="s">
        <v>489</v>
      </c>
      <c r="S899" t="s">
        <v>233</v>
      </c>
      <c r="T899">
        <f ca="1">OFFSET('Calculations 2'!$C$45,W899,X899)*OFFSET($M$6,W899,0)</f>
        <v>21.94295824923072</v>
      </c>
      <c r="V899">
        <f t="shared" si="41"/>
        <v>893</v>
      </c>
      <c r="W899">
        <f t="shared" si="42"/>
        <v>2</v>
      </c>
      <c r="X899">
        <f t="shared" si="43"/>
        <v>27</v>
      </c>
      <c r="AC899" t="s">
        <v>226</v>
      </c>
      <c r="AD899" t="s">
        <v>489</v>
      </c>
      <c r="AE899" t="s">
        <v>233</v>
      </c>
      <c r="AF899">
        <f ca="1">OFFSET('Calculations 2'!$CE$45,W899,0)*OFFSET($AA$6,X899,0)*OFFSET($M$6,W899,)</f>
        <v>1.2242739285823694</v>
      </c>
      <c r="AY899" t="s">
        <v>226</v>
      </c>
      <c r="AZ899" t="s">
        <v>489</v>
      </c>
      <c r="BA899" t="s">
        <v>233</v>
      </c>
      <c r="BB899">
        <v>0</v>
      </c>
      <c r="BE899" t="s">
        <v>226</v>
      </c>
      <c r="BF899" t="s">
        <v>489</v>
      </c>
      <c r="BG899" t="s">
        <v>233</v>
      </c>
      <c r="BH899">
        <v>0</v>
      </c>
      <c r="CT899" t="s">
        <v>226</v>
      </c>
      <c r="CU899" t="s">
        <v>233</v>
      </c>
      <c r="CV899">
        <f ca="1">OFFSET('Calculations 2'!$AJ$12,W899,X899)</f>
        <v>0</v>
      </c>
    </row>
    <row r="900" spans="17:100">
      <c r="Q900" t="s">
        <v>243</v>
      </c>
      <c r="R900" t="s">
        <v>489</v>
      </c>
      <c r="S900" t="s">
        <v>233</v>
      </c>
      <c r="T900">
        <f ca="1">OFFSET('Calculations 2'!$C$45,W900,X900)*OFFSET($M$6,W900,0)</f>
        <v>17.436152679260108</v>
      </c>
      <c r="V900">
        <f t="shared" si="41"/>
        <v>894</v>
      </c>
      <c r="W900">
        <f t="shared" si="42"/>
        <v>3</v>
      </c>
      <c r="X900">
        <f t="shared" si="43"/>
        <v>27</v>
      </c>
      <c r="AC900" t="s">
        <v>243</v>
      </c>
      <c r="AD900" t="s">
        <v>489</v>
      </c>
      <c r="AE900" t="s">
        <v>233</v>
      </c>
      <c r="AF900">
        <f ca="1">OFFSET('Calculations 2'!$CE$45,W900,0)*OFFSET($AA$6,X900,0)*OFFSET($M$6,W900,)</f>
        <v>6.3770655164032712</v>
      </c>
      <c r="AY900" t="s">
        <v>243</v>
      </c>
      <c r="AZ900" t="s">
        <v>489</v>
      </c>
      <c r="BA900" t="s">
        <v>233</v>
      </c>
      <c r="BB900">
        <v>0</v>
      </c>
      <c r="BE900" t="s">
        <v>243</v>
      </c>
      <c r="BF900" t="s">
        <v>489</v>
      </c>
      <c r="BG900" t="s">
        <v>233</v>
      </c>
      <c r="BH900">
        <v>0</v>
      </c>
      <c r="CT900" t="s">
        <v>243</v>
      </c>
      <c r="CU900" t="s">
        <v>233</v>
      </c>
      <c r="CV900">
        <f ca="1">OFFSET('Calculations 2'!$AJ$12,W900,X900)</f>
        <v>0</v>
      </c>
    </row>
    <row r="901" spans="17:100">
      <c r="Q901" t="s">
        <v>228</v>
      </c>
      <c r="R901" t="s">
        <v>489</v>
      </c>
      <c r="S901" t="s">
        <v>233</v>
      </c>
      <c r="T901">
        <f ca="1">OFFSET('Calculations 2'!$C$45,W901,X901)*OFFSET($M$6,W901,0)</f>
        <v>6.2667044426087523E-4</v>
      </c>
      <c r="V901">
        <f t="shared" si="41"/>
        <v>895</v>
      </c>
      <c r="W901">
        <f t="shared" si="42"/>
        <v>4</v>
      </c>
      <c r="X901">
        <f t="shared" si="43"/>
        <v>27</v>
      </c>
      <c r="AC901" t="s">
        <v>228</v>
      </c>
      <c r="AD901" t="s">
        <v>489</v>
      </c>
      <c r="AE901" t="s">
        <v>233</v>
      </c>
      <c r="AF901">
        <f ca="1">OFFSET('Calculations 2'!$CE$45,W901,0)*OFFSET($AA$6,X901,0)*OFFSET($M$6,W901,)</f>
        <v>4.5249895049334979E-2</v>
      </c>
      <c r="AY901" t="s">
        <v>228</v>
      </c>
      <c r="AZ901" t="s">
        <v>489</v>
      </c>
      <c r="BA901" t="s">
        <v>233</v>
      </c>
      <c r="BB901">
        <v>0</v>
      </c>
      <c r="BE901" t="s">
        <v>228</v>
      </c>
      <c r="BF901" t="s">
        <v>489</v>
      </c>
      <c r="BG901" t="s">
        <v>233</v>
      </c>
      <c r="BH901">
        <v>0</v>
      </c>
      <c r="CT901" t="s">
        <v>228</v>
      </c>
      <c r="CU901" t="s">
        <v>233</v>
      </c>
      <c r="CV901">
        <f ca="1">OFFSET('Calculations 2'!$AJ$12,W901,X901)</f>
        <v>0</v>
      </c>
    </row>
    <row r="902" spans="17:100">
      <c r="Q902" t="s">
        <v>246</v>
      </c>
      <c r="R902" t="s">
        <v>489</v>
      </c>
      <c r="S902" t="s">
        <v>233</v>
      </c>
      <c r="T902">
        <f ca="1">OFFSET('Calculations 2'!$C$45,W902,X902)*OFFSET($M$6,W902,0)</f>
        <v>19.572499986512216</v>
      </c>
      <c r="V902">
        <f t="shared" si="41"/>
        <v>896</v>
      </c>
      <c r="W902">
        <f t="shared" si="42"/>
        <v>5</v>
      </c>
      <c r="X902">
        <f t="shared" si="43"/>
        <v>27</v>
      </c>
      <c r="AC902" t="s">
        <v>246</v>
      </c>
      <c r="AD902" t="s">
        <v>489</v>
      </c>
      <c r="AE902" t="s">
        <v>233</v>
      </c>
      <c r="AF902">
        <f ca="1">OFFSET('Calculations 2'!$CE$45,W902,0)*OFFSET($AA$6,X902,0)*OFFSET($M$6,W902,)</f>
        <v>0.27855777234650664</v>
      </c>
      <c r="AY902" t="s">
        <v>246</v>
      </c>
      <c r="AZ902" t="s">
        <v>489</v>
      </c>
      <c r="BA902" t="s">
        <v>233</v>
      </c>
      <c r="BB902">
        <v>0</v>
      </c>
      <c r="BE902" t="s">
        <v>246</v>
      </c>
      <c r="BF902" t="s">
        <v>489</v>
      </c>
      <c r="BG902" t="s">
        <v>233</v>
      </c>
      <c r="BH902">
        <v>0</v>
      </c>
      <c r="CT902" t="s">
        <v>246</v>
      </c>
      <c r="CU902" t="s">
        <v>233</v>
      </c>
      <c r="CV902">
        <f ca="1">OFFSET('Calculations 2'!$AJ$12,W902,X902)</f>
        <v>0</v>
      </c>
    </row>
    <row r="903" spans="17:100">
      <c r="Q903" t="s">
        <v>239</v>
      </c>
      <c r="R903" t="s">
        <v>489</v>
      </c>
      <c r="S903" t="s">
        <v>233</v>
      </c>
      <c r="T903">
        <f ca="1">OFFSET('Calculations 2'!$C$45,W903,X903)*OFFSET($M$6,W903,0)</f>
        <v>1463.1643519849026</v>
      </c>
      <c r="V903">
        <f t="shared" si="41"/>
        <v>897</v>
      </c>
      <c r="W903">
        <f t="shared" si="42"/>
        <v>6</v>
      </c>
      <c r="X903">
        <f t="shared" si="43"/>
        <v>27</v>
      </c>
      <c r="AC903" t="s">
        <v>239</v>
      </c>
      <c r="AD903" t="s">
        <v>489</v>
      </c>
      <c r="AE903" t="s">
        <v>233</v>
      </c>
      <c r="AF903">
        <f ca="1">OFFSET('Calculations 2'!$CE$45,W903,0)*OFFSET($AA$6,X903,0)*OFFSET($M$6,W903,)</f>
        <v>5.5755068409926833</v>
      </c>
      <c r="AY903" t="s">
        <v>239</v>
      </c>
      <c r="AZ903" t="s">
        <v>489</v>
      </c>
      <c r="BA903" t="s">
        <v>233</v>
      </c>
      <c r="BB903">
        <v>0</v>
      </c>
      <c r="BE903" t="s">
        <v>239</v>
      </c>
      <c r="BF903" t="s">
        <v>489</v>
      </c>
      <c r="BG903" t="s">
        <v>233</v>
      </c>
      <c r="BH903">
        <v>0</v>
      </c>
      <c r="CT903" t="s">
        <v>239</v>
      </c>
      <c r="CU903" t="s">
        <v>233</v>
      </c>
      <c r="CV903">
        <f ca="1">OFFSET('Calculations 2'!$AJ$12,W903,X903)</f>
        <v>0</v>
      </c>
    </row>
    <row r="904" spans="17:100">
      <c r="Q904" t="s">
        <v>466</v>
      </c>
      <c r="R904" t="s">
        <v>489</v>
      </c>
      <c r="S904" t="s">
        <v>233</v>
      </c>
      <c r="T904">
        <f ca="1">OFFSET('Calculations 2'!$C$45,W904,X904)*OFFSET($M$6,W904,0)</f>
        <v>427.52563429506199</v>
      </c>
      <c r="V904">
        <f t="shared" ref="V904:V967" si="44">V903+1</f>
        <v>898</v>
      </c>
      <c r="W904">
        <f t="shared" ref="W904:W967" si="45">MOD(V904,$V$3)</f>
        <v>7</v>
      </c>
      <c r="X904">
        <f t="shared" ref="X904:X967" si="46">FLOOR(V904/$V$3,1)</f>
        <v>27</v>
      </c>
      <c r="AC904" t="s">
        <v>466</v>
      </c>
      <c r="AD904" t="s">
        <v>489</v>
      </c>
      <c r="AE904" t="s">
        <v>233</v>
      </c>
      <c r="AF904">
        <f ca="1">OFFSET('Calculations 2'!$CE$45,W904,0)*OFFSET($AA$6,X904,0)*OFFSET($M$6,W904,)</f>
        <v>0.84959934308405216</v>
      </c>
      <c r="AY904" t="s">
        <v>466</v>
      </c>
      <c r="AZ904" t="s">
        <v>489</v>
      </c>
      <c r="BA904" t="s">
        <v>233</v>
      </c>
      <c r="BB904">
        <v>0</v>
      </c>
      <c r="BE904" t="s">
        <v>466</v>
      </c>
      <c r="BF904" t="s">
        <v>489</v>
      </c>
      <c r="BG904" t="s">
        <v>233</v>
      </c>
      <c r="BH904">
        <v>0</v>
      </c>
      <c r="CT904" t="s">
        <v>466</v>
      </c>
      <c r="CU904" t="s">
        <v>233</v>
      </c>
      <c r="CV904">
        <f ca="1">OFFSET('Calculations 2'!$AJ$12,W904,X904)</f>
        <v>0</v>
      </c>
    </row>
    <row r="905" spans="17:100">
      <c r="Q905" t="s">
        <v>219</v>
      </c>
      <c r="R905" t="s">
        <v>489</v>
      </c>
      <c r="S905" t="s">
        <v>233</v>
      </c>
      <c r="T905">
        <f ca="1">OFFSET('Calculations 2'!$C$45,W905,X905)*OFFSET($M$6,W905,0)</f>
        <v>153.25168942457159</v>
      </c>
      <c r="V905">
        <f t="shared" si="44"/>
        <v>899</v>
      </c>
      <c r="W905">
        <f t="shared" si="45"/>
        <v>8</v>
      </c>
      <c r="X905">
        <f t="shared" si="46"/>
        <v>27</v>
      </c>
      <c r="AC905" t="s">
        <v>219</v>
      </c>
      <c r="AD905" t="s">
        <v>489</v>
      </c>
      <c r="AE905" t="s">
        <v>233</v>
      </c>
      <c r="AF905">
        <f ca="1">OFFSET('Calculations 2'!$CE$45,W905,0)*OFFSET($AA$6,X905,0)*OFFSET($M$6,W905,)</f>
        <v>5.290628720621906</v>
      </c>
      <c r="AY905" t="s">
        <v>219</v>
      </c>
      <c r="AZ905" t="s">
        <v>489</v>
      </c>
      <c r="BA905" t="s">
        <v>233</v>
      </c>
      <c r="BB905">
        <v>0</v>
      </c>
      <c r="BE905" t="s">
        <v>219</v>
      </c>
      <c r="BF905" t="s">
        <v>489</v>
      </c>
      <c r="BG905" t="s">
        <v>233</v>
      </c>
      <c r="BH905">
        <v>0</v>
      </c>
      <c r="CT905" t="s">
        <v>219</v>
      </c>
      <c r="CU905" t="s">
        <v>233</v>
      </c>
      <c r="CV905">
        <f ca="1">OFFSET('Calculations 2'!$AJ$12,W905,X905)</f>
        <v>0</v>
      </c>
    </row>
    <row r="906" spans="17:100">
      <c r="Q906" t="s">
        <v>242</v>
      </c>
      <c r="R906" t="s">
        <v>489</v>
      </c>
      <c r="S906" t="s">
        <v>233</v>
      </c>
      <c r="T906">
        <f ca="1">OFFSET('Calculations 2'!$C$45,W906,X906)*OFFSET($M$6,W906,0)</f>
        <v>120.88817001246851</v>
      </c>
      <c r="V906">
        <f t="shared" si="44"/>
        <v>900</v>
      </c>
      <c r="W906">
        <f t="shared" si="45"/>
        <v>9</v>
      </c>
      <c r="X906">
        <f t="shared" si="46"/>
        <v>27</v>
      </c>
      <c r="AC906" t="s">
        <v>242</v>
      </c>
      <c r="AD906" t="s">
        <v>489</v>
      </c>
      <c r="AE906" t="s">
        <v>233</v>
      </c>
      <c r="AF906">
        <f ca="1">OFFSET('Calculations 2'!$CE$45,W906,0)*OFFSET($AA$6,X906,0)*OFFSET($M$6,W906,)</f>
        <v>8.2819690901001071</v>
      </c>
      <c r="AY906" t="s">
        <v>242</v>
      </c>
      <c r="AZ906" t="s">
        <v>489</v>
      </c>
      <c r="BA906" t="s">
        <v>233</v>
      </c>
      <c r="BB906">
        <v>0</v>
      </c>
      <c r="BE906" t="s">
        <v>242</v>
      </c>
      <c r="BF906" t="s">
        <v>489</v>
      </c>
      <c r="BG906" t="s">
        <v>233</v>
      </c>
      <c r="BH906">
        <v>0</v>
      </c>
      <c r="CT906" t="s">
        <v>242</v>
      </c>
      <c r="CU906" t="s">
        <v>233</v>
      </c>
      <c r="CV906">
        <f ca="1">OFFSET('Calculations 2'!$AJ$12,W906,X906)</f>
        <v>0</v>
      </c>
    </row>
    <row r="907" spans="17:100">
      <c r="Q907" t="s">
        <v>467</v>
      </c>
      <c r="R907" t="s">
        <v>489</v>
      </c>
      <c r="S907" t="s">
        <v>233</v>
      </c>
      <c r="T907">
        <f ca="1">OFFSET('Calculations 2'!$C$45,W907,X907)*OFFSET($M$6,W907,0)</f>
        <v>0</v>
      </c>
      <c r="V907">
        <f t="shared" si="44"/>
        <v>901</v>
      </c>
      <c r="W907">
        <f t="shared" si="45"/>
        <v>10</v>
      </c>
      <c r="X907">
        <f t="shared" si="46"/>
        <v>27</v>
      </c>
      <c r="AC907" t="s">
        <v>467</v>
      </c>
      <c r="AD907" t="s">
        <v>489</v>
      </c>
      <c r="AE907" t="s">
        <v>233</v>
      </c>
      <c r="AF907">
        <f ca="1">OFFSET('Calculations 2'!$CE$45,W907,0)*OFFSET($AA$6,X907,0)*OFFSET($M$6,W907,)</f>
        <v>7.6722149346642858</v>
      </c>
      <c r="AY907" t="s">
        <v>467</v>
      </c>
      <c r="AZ907" t="s">
        <v>489</v>
      </c>
      <c r="BA907" t="s">
        <v>233</v>
      </c>
      <c r="BB907">
        <v>0</v>
      </c>
      <c r="BE907" t="s">
        <v>467</v>
      </c>
      <c r="BF907" t="s">
        <v>489</v>
      </c>
      <c r="BG907" t="s">
        <v>233</v>
      </c>
      <c r="BH907">
        <v>0</v>
      </c>
      <c r="CT907" t="s">
        <v>467</v>
      </c>
      <c r="CU907" t="s">
        <v>233</v>
      </c>
      <c r="CV907">
        <f ca="1">OFFSET('Calculations 2'!$AJ$12,W907,X907)</f>
        <v>0</v>
      </c>
    </row>
    <row r="908" spans="17:100">
      <c r="Q908" t="s">
        <v>231</v>
      </c>
      <c r="R908" t="s">
        <v>489</v>
      </c>
      <c r="S908" t="s">
        <v>233</v>
      </c>
      <c r="T908">
        <f ca="1">OFFSET('Calculations 2'!$C$45,W908,X908)*OFFSET($M$6,W908,0)</f>
        <v>8.3301970248111203</v>
      </c>
      <c r="V908">
        <f t="shared" si="44"/>
        <v>902</v>
      </c>
      <c r="W908">
        <f t="shared" si="45"/>
        <v>11</v>
      </c>
      <c r="X908">
        <f t="shared" si="46"/>
        <v>27</v>
      </c>
      <c r="AC908" t="s">
        <v>231</v>
      </c>
      <c r="AD908" t="s">
        <v>489</v>
      </c>
      <c r="AE908" t="s">
        <v>233</v>
      </c>
      <c r="AF908">
        <f ca="1">OFFSET('Calculations 2'!$CE$45,W908,0)*OFFSET($AA$6,X908,0)*OFFSET($M$6,W908,)</f>
        <v>22.43990221053453</v>
      </c>
      <c r="AY908" t="s">
        <v>231</v>
      </c>
      <c r="AZ908" t="s">
        <v>489</v>
      </c>
      <c r="BA908" t="s">
        <v>233</v>
      </c>
      <c r="BB908">
        <v>0</v>
      </c>
      <c r="BE908" t="s">
        <v>231</v>
      </c>
      <c r="BF908" t="s">
        <v>489</v>
      </c>
      <c r="BG908" t="s">
        <v>233</v>
      </c>
      <c r="BH908">
        <v>0</v>
      </c>
      <c r="CT908" t="s">
        <v>231</v>
      </c>
      <c r="CU908" t="s">
        <v>233</v>
      </c>
      <c r="CV908">
        <f ca="1">OFFSET('Calculations 2'!$AJ$12,W908,X908)</f>
        <v>0</v>
      </c>
    </row>
    <row r="909" spans="17:100">
      <c r="Q909" t="s">
        <v>468</v>
      </c>
      <c r="R909" t="s">
        <v>489</v>
      </c>
      <c r="S909" t="s">
        <v>233</v>
      </c>
      <c r="T909">
        <f ca="1">OFFSET('Calculations 2'!$C$45,W909,X909)*OFFSET($M$6,W909,0)</f>
        <v>12.714916142947699</v>
      </c>
      <c r="V909">
        <f t="shared" si="44"/>
        <v>903</v>
      </c>
      <c r="W909">
        <f t="shared" si="45"/>
        <v>12</v>
      </c>
      <c r="X909">
        <f t="shared" si="46"/>
        <v>27</v>
      </c>
      <c r="AC909" t="s">
        <v>468</v>
      </c>
      <c r="AD909" t="s">
        <v>489</v>
      </c>
      <c r="AE909" t="s">
        <v>233</v>
      </c>
      <c r="AF909">
        <f ca="1">OFFSET('Calculations 2'!$CE$45,W909,0)*OFFSET($AA$6,X909,0)*OFFSET($M$6,W909,)</f>
        <v>32.479989695511392</v>
      </c>
      <c r="AY909" t="s">
        <v>468</v>
      </c>
      <c r="AZ909" t="s">
        <v>489</v>
      </c>
      <c r="BA909" t="s">
        <v>233</v>
      </c>
      <c r="BB909">
        <v>0</v>
      </c>
      <c r="BE909" t="s">
        <v>468</v>
      </c>
      <c r="BF909" t="s">
        <v>489</v>
      </c>
      <c r="BG909" t="s">
        <v>233</v>
      </c>
      <c r="BH909">
        <v>0</v>
      </c>
      <c r="CT909" t="s">
        <v>468</v>
      </c>
      <c r="CU909" t="s">
        <v>233</v>
      </c>
      <c r="CV909">
        <f ca="1">OFFSET('Calculations 2'!$AJ$12,W909,X909)</f>
        <v>0</v>
      </c>
    </row>
    <row r="910" spans="17:100">
      <c r="Q910" t="s">
        <v>469</v>
      </c>
      <c r="R910" t="s">
        <v>489</v>
      </c>
      <c r="S910" t="s">
        <v>233</v>
      </c>
      <c r="T910">
        <f ca="1">OFFSET('Calculations 2'!$C$45,W910,X910)*OFFSET($M$6,W910,0)</f>
        <v>34.907298905667119</v>
      </c>
      <c r="V910">
        <f t="shared" si="44"/>
        <v>904</v>
      </c>
      <c r="W910">
        <f t="shared" si="45"/>
        <v>13</v>
      </c>
      <c r="X910">
        <f t="shared" si="46"/>
        <v>27</v>
      </c>
      <c r="AC910" t="s">
        <v>469</v>
      </c>
      <c r="AD910" t="s">
        <v>489</v>
      </c>
      <c r="AE910" t="s">
        <v>233</v>
      </c>
      <c r="AF910">
        <f ca="1">OFFSET('Calculations 2'!$CE$45,W910,0)*OFFSET($AA$6,X910,0)*OFFSET($M$6,W910,)</f>
        <v>6.7565425778113806</v>
      </c>
      <c r="AY910" t="s">
        <v>469</v>
      </c>
      <c r="AZ910" t="s">
        <v>489</v>
      </c>
      <c r="BA910" t="s">
        <v>233</v>
      </c>
      <c r="BB910">
        <v>0</v>
      </c>
      <c r="BE910" t="s">
        <v>469</v>
      </c>
      <c r="BF910" t="s">
        <v>489</v>
      </c>
      <c r="BG910" t="s">
        <v>233</v>
      </c>
      <c r="BH910">
        <v>0</v>
      </c>
      <c r="CT910" t="s">
        <v>469</v>
      </c>
      <c r="CU910" t="s">
        <v>233</v>
      </c>
      <c r="CV910">
        <f ca="1">OFFSET('Calculations 2'!$AJ$12,W910,X910)</f>
        <v>0</v>
      </c>
    </row>
    <row r="911" spans="17:100">
      <c r="Q911" t="s">
        <v>245</v>
      </c>
      <c r="R911" t="s">
        <v>489</v>
      </c>
      <c r="S911" t="s">
        <v>233</v>
      </c>
      <c r="T911">
        <f ca="1">OFFSET('Calculations 2'!$C$45,W911,X911)*OFFSET($M$6,W911,0)</f>
        <v>26.865160011504706</v>
      </c>
      <c r="V911">
        <f t="shared" si="44"/>
        <v>905</v>
      </c>
      <c r="W911">
        <f t="shared" si="45"/>
        <v>14</v>
      </c>
      <c r="X911">
        <f t="shared" si="46"/>
        <v>27</v>
      </c>
      <c r="AC911" t="s">
        <v>245</v>
      </c>
      <c r="AD911" t="s">
        <v>489</v>
      </c>
      <c r="AE911" t="s">
        <v>233</v>
      </c>
      <c r="AF911">
        <f ca="1">OFFSET('Calculations 2'!$CE$45,W911,0)*OFFSET($AA$6,X911,0)*OFFSET($M$6,W911,)</f>
        <v>9.7598795574783637</v>
      </c>
      <c r="AY911" t="s">
        <v>245</v>
      </c>
      <c r="AZ911" t="s">
        <v>489</v>
      </c>
      <c r="BA911" t="s">
        <v>233</v>
      </c>
      <c r="BB911">
        <v>0</v>
      </c>
      <c r="BE911" t="s">
        <v>245</v>
      </c>
      <c r="BF911" t="s">
        <v>489</v>
      </c>
      <c r="BG911" t="s">
        <v>233</v>
      </c>
      <c r="BH911">
        <v>0</v>
      </c>
      <c r="CT911" t="s">
        <v>245</v>
      </c>
      <c r="CU911" t="s">
        <v>233</v>
      </c>
      <c r="CV911">
        <f ca="1">OFFSET('Calculations 2'!$AJ$12,W911,X911)</f>
        <v>0</v>
      </c>
    </row>
    <row r="912" spans="17:100">
      <c r="Q912" t="s">
        <v>470</v>
      </c>
      <c r="R912" t="s">
        <v>489</v>
      </c>
      <c r="S912" t="s">
        <v>233</v>
      </c>
      <c r="T912">
        <f ca="1">OFFSET('Calculations 2'!$C$45,W912,X912)*OFFSET($M$6,W912,0)</f>
        <v>110.48669414205837</v>
      </c>
      <c r="V912">
        <f t="shared" si="44"/>
        <v>906</v>
      </c>
      <c r="W912">
        <f t="shared" si="45"/>
        <v>15</v>
      </c>
      <c r="X912">
        <f t="shared" si="46"/>
        <v>27</v>
      </c>
      <c r="AC912" t="s">
        <v>470</v>
      </c>
      <c r="AD912" t="s">
        <v>489</v>
      </c>
      <c r="AE912" t="s">
        <v>233</v>
      </c>
      <c r="AF912">
        <f ca="1">OFFSET('Calculations 2'!$CE$45,W912,0)*OFFSET($AA$6,X912,0)*OFFSET($M$6,W912,)</f>
        <v>26.575519372371854</v>
      </c>
      <c r="AY912" t="s">
        <v>470</v>
      </c>
      <c r="AZ912" t="s">
        <v>489</v>
      </c>
      <c r="BA912" t="s">
        <v>233</v>
      </c>
      <c r="BB912">
        <v>0</v>
      </c>
      <c r="BE912" t="s">
        <v>470</v>
      </c>
      <c r="BF912" t="s">
        <v>489</v>
      </c>
      <c r="BG912" t="s">
        <v>233</v>
      </c>
      <c r="BH912">
        <v>0</v>
      </c>
      <c r="CT912" t="s">
        <v>470</v>
      </c>
      <c r="CU912" t="s">
        <v>233</v>
      </c>
      <c r="CV912">
        <f ca="1">OFFSET('Calculations 2'!$AJ$12,W912,X912)</f>
        <v>0</v>
      </c>
    </row>
    <row r="913" spans="17:100">
      <c r="Q913" t="s">
        <v>471</v>
      </c>
      <c r="R913" t="s">
        <v>489</v>
      </c>
      <c r="S913" t="s">
        <v>233</v>
      </c>
      <c r="T913">
        <f ca="1">OFFSET('Calculations 2'!$C$45,W913,X913)*OFFSET($M$6,W913,0)</f>
        <v>899.73462214867607</v>
      </c>
      <c r="V913">
        <f t="shared" si="44"/>
        <v>907</v>
      </c>
      <c r="W913">
        <f t="shared" si="45"/>
        <v>16</v>
      </c>
      <c r="X913">
        <f t="shared" si="46"/>
        <v>27</v>
      </c>
      <c r="AC913" t="s">
        <v>471</v>
      </c>
      <c r="AD913" t="s">
        <v>489</v>
      </c>
      <c r="AE913" t="s">
        <v>233</v>
      </c>
      <c r="AF913">
        <f ca="1">OFFSET('Calculations 2'!$CE$45,W913,0)*OFFSET($AA$6,X913,0)*OFFSET($M$6,W913,)</f>
        <v>0</v>
      </c>
      <c r="AY913" t="s">
        <v>471</v>
      </c>
      <c r="AZ913" t="s">
        <v>489</v>
      </c>
      <c r="BA913" t="s">
        <v>233</v>
      </c>
      <c r="BB913">
        <v>0</v>
      </c>
      <c r="BE913" t="s">
        <v>471</v>
      </c>
      <c r="BF913" t="s">
        <v>489</v>
      </c>
      <c r="BG913" t="s">
        <v>233</v>
      </c>
      <c r="BH913">
        <v>0</v>
      </c>
      <c r="CT913" t="s">
        <v>471</v>
      </c>
      <c r="CU913" t="s">
        <v>233</v>
      </c>
      <c r="CV913">
        <f ca="1">OFFSET('Calculations 2'!$AJ$12,W913,X913)</f>
        <v>0</v>
      </c>
    </row>
    <row r="914" spans="17:100">
      <c r="Q914" t="s">
        <v>221</v>
      </c>
      <c r="R914" t="s">
        <v>489</v>
      </c>
      <c r="S914" t="s">
        <v>233</v>
      </c>
      <c r="T914">
        <f ca="1">OFFSET('Calculations 2'!$C$45,W914,X914)*OFFSET($M$6,W914,0)</f>
        <v>2342.2937722541401</v>
      </c>
      <c r="V914">
        <f t="shared" si="44"/>
        <v>908</v>
      </c>
      <c r="W914">
        <f t="shared" si="45"/>
        <v>17</v>
      </c>
      <c r="X914">
        <f t="shared" si="46"/>
        <v>27</v>
      </c>
      <c r="AC914" t="s">
        <v>221</v>
      </c>
      <c r="AD914" t="s">
        <v>489</v>
      </c>
      <c r="AE914" t="s">
        <v>233</v>
      </c>
      <c r="AF914">
        <f ca="1">OFFSET('Calculations 2'!$CE$45,W914,0)*OFFSET($AA$6,X914,0)*OFFSET($M$6,W914,)</f>
        <v>882.79730812286152</v>
      </c>
      <c r="AY914" t="s">
        <v>221</v>
      </c>
      <c r="AZ914" t="s">
        <v>489</v>
      </c>
      <c r="BA914" t="s">
        <v>233</v>
      </c>
      <c r="BB914">
        <v>0</v>
      </c>
      <c r="BE914" t="s">
        <v>221</v>
      </c>
      <c r="BF914" t="s">
        <v>489</v>
      </c>
      <c r="BG914" t="s">
        <v>233</v>
      </c>
      <c r="BH914">
        <v>0</v>
      </c>
      <c r="CT914" t="s">
        <v>221</v>
      </c>
      <c r="CU914" t="s">
        <v>233</v>
      </c>
      <c r="CV914">
        <f ca="1">OFFSET('Calculations 2'!$AJ$12,W914,X914)</f>
        <v>0</v>
      </c>
    </row>
    <row r="915" spans="17:100">
      <c r="Q915" t="s">
        <v>244</v>
      </c>
      <c r="R915" t="s">
        <v>489</v>
      </c>
      <c r="S915" t="s">
        <v>233</v>
      </c>
      <c r="T915">
        <f ca="1">OFFSET('Calculations 2'!$C$45,W915,X915)*OFFSET($M$6,W915,0)</f>
        <v>5906.3929120980911</v>
      </c>
      <c r="V915">
        <f t="shared" si="44"/>
        <v>909</v>
      </c>
      <c r="W915">
        <f t="shared" si="45"/>
        <v>18</v>
      </c>
      <c r="X915">
        <f t="shared" si="46"/>
        <v>27</v>
      </c>
      <c r="AC915" t="s">
        <v>244</v>
      </c>
      <c r="AD915" t="s">
        <v>489</v>
      </c>
      <c r="AE915" t="s">
        <v>233</v>
      </c>
      <c r="AF915">
        <f ca="1">OFFSET('Calculations 2'!$CE$45,W915,0)*OFFSET($AA$6,X915,0)*OFFSET($M$6,W915,)</f>
        <v>141.15340339804914</v>
      </c>
      <c r="AY915" t="s">
        <v>244</v>
      </c>
      <c r="AZ915" t="s">
        <v>489</v>
      </c>
      <c r="BA915" t="s">
        <v>233</v>
      </c>
      <c r="BB915">
        <v>0</v>
      </c>
      <c r="BE915" t="s">
        <v>244</v>
      </c>
      <c r="BF915" t="s">
        <v>489</v>
      </c>
      <c r="BG915" t="s">
        <v>233</v>
      </c>
      <c r="BH915">
        <v>0</v>
      </c>
      <c r="CT915" t="s">
        <v>244</v>
      </c>
      <c r="CU915" t="s">
        <v>233</v>
      </c>
      <c r="CV915">
        <f ca="1">OFFSET('Calculations 2'!$AJ$12,W915,X915)</f>
        <v>0</v>
      </c>
    </row>
    <row r="916" spans="17:100">
      <c r="Q916" t="s">
        <v>472</v>
      </c>
      <c r="R916" t="s">
        <v>489</v>
      </c>
      <c r="S916" t="s">
        <v>233</v>
      </c>
      <c r="T916">
        <f ca="1">OFFSET('Calculations 2'!$C$45,W916,X916)*OFFSET($M$6,W916,0)</f>
        <v>0</v>
      </c>
      <c r="V916">
        <f t="shared" si="44"/>
        <v>910</v>
      </c>
      <c r="W916">
        <f t="shared" si="45"/>
        <v>19</v>
      </c>
      <c r="X916">
        <f t="shared" si="46"/>
        <v>27</v>
      </c>
      <c r="AC916" t="s">
        <v>472</v>
      </c>
      <c r="AD916" t="s">
        <v>489</v>
      </c>
      <c r="AE916" t="s">
        <v>233</v>
      </c>
      <c r="AF916">
        <f ca="1">OFFSET('Calculations 2'!$CE$45,W916,0)*OFFSET($AA$6,X916,0)*OFFSET($M$6,W916,)</f>
        <v>0</v>
      </c>
      <c r="AY916" t="s">
        <v>472</v>
      </c>
      <c r="AZ916" t="s">
        <v>489</v>
      </c>
      <c r="BA916" t="s">
        <v>233</v>
      </c>
      <c r="BB916">
        <v>0</v>
      </c>
      <c r="BE916" t="s">
        <v>472</v>
      </c>
      <c r="BF916" t="s">
        <v>489</v>
      </c>
      <c r="BG916" t="s">
        <v>233</v>
      </c>
      <c r="BH916">
        <v>0</v>
      </c>
      <c r="CT916" t="s">
        <v>472</v>
      </c>
      <c r="CU916" t="s">
        <v>233</v>
      </c>
      <c r="CV916">
        <f ca="1">OFFSET('Calculations 2'!$AJ$12,W916,X916)</f>
        <v>0</v>
      </c>
    </row>
    <row r="917" spans="17:100">
      <c r="Q917" t="s">
        <v>238</v>
      </c>
      <c r="R917" t="s">
        <v>489</v>
      </c>
      <c r="S917" t="s">
        <v>233</v>
      </c>
      <c r="T917">
        <f ca="1">OFFSET('Calculations 2'!$C$45,W917,X917)*OFFSET($M$6,W917,0)</f>
        <v>169.25823344948898</v>
      </c>
      <c r="V917">
        <f t="shared" si="44"/>
        <v>911</v>
      </c>
      <c r="W917">
        <f t="shared" si="45"/>
        <v>20</v>
      </c>
      <c r="X917">
        <f t="shared" si="46"/>
        <v>27</v>
      </c>
      <c r="AC917" t="s">
        <v>238</v>
      </c>
      <c r="AD917" t="s">
        <v>489</v>
      </c>
      <c r="AE917" t="s">
        <v>233</v>
      </c>
      <c r="AF917">
        <f ca="1">OFFSET('Calculations 2'!$CE$45,W917,0)*OFFSET($AA$6,X917,0)*OFFSET($M$6,W917,)</f>
        <v>0</v>
      </c>
      <c r="AY917" t="s">
        <v>238</v>
      </c>
      <c r="AZ917" t="s">
        <v>489</v>
      </c>
      <c r="BA917" t="s">
        <v>233</v>
      </c>
      <c r="BB917">
        <v>0</v>
      </c>
      <c r="BE917" t="s">
        <v>238</v>
      </c>
      <c r="BF917" t="s">
        <v>489</v>
      </c>
      <c r="BG917" t="s">
        <v>233</v>
      </c>
      <c r="BH917">
        <v>0</v>
      </c>
      <c r="CT917" t="s">
        <v>238</v>
      </c>
      <c r="CU917" t="s">
        <v>233</v>
      </c>
      <c r="CV917">
        <f ca="1">OFFSET('Calculations 2'!$AJ$12,W917,X917)</f>
        <v>0</v>
      </c>
    </row>
    <row r="918" spans="17:100">
      <c r="Q918" t="s">
        <v>247</v>
      </c>
      <c r="R918" t="s">
        <v>489</v>
      </c>
      <c r="S918" t="s">
        <v>233</v>
      </c>
      <c r="T918">
        <f ca="1">OFFSET('Calculations 2'!$C$45,W918,X918)*OFFSET($M$6,W918,0)</f>
        <v>0</v>
      </c>
      <c r="V918">
        <f t="shared" si="44"/>
        <v>912</v>
      </c>
      <c r="W918">
        <f t="shared" si="45"/>
        <v>21</v>
      </c>
      <c r="X918">
        <f t="shared" si="46"/>
        <v>27</v>
      </c>
      <c r="AC918" t="s">
        <v>247</v>
      </c>
      <c r="AD918" t="s">
        <v>489</v>
      </c>
      <c r="AE918" t="s">
        <v>233</v>
      </c>
      <c r="AF918">
        <f ca="1">OFFSET('Calculations 2'!$CE$45,W918,0)*OFFSET($AA$6,X918,0)*OFFSET($M$6,W918,)</f>
        <v>0</v>
      </c>
      <c r="AY918" t="s">
        <v>247</v>
      </c>
      <c r="AZ918" t="s">
        <v>489</v>
      </c>
      <c r="BA918" t="s">
        <v>233</v>
      </c>
      <c r="BB918">
        <v>0</v>
      </c>
      <c r="BE918" t="s">
        <v>247</v>
      </c>
      <c r="BF918" t="s">
        <v>489</v>
      </c>
      <c r="BG918" t="s">
        <v>233</v>
      </c>
      <c r="BH918">
        <v>0</v>
      </c>
      <c r="CT918" t="s">
        <v>247</v>
      </c>
      <c r="CU918" t="s">
        <v>233</v>
      </c>
      <c r="CV918">
        <f ca="1">OFFSET('Calculations 2'!$AJ$12,W918,X918)</f>
        <v>0</v>
      </c>
    </row>
    <row r="919" spans="17:100">
      <c r="Q919" t="s">
        <v>218</v>
      </c>
      <c r="R919" t="s">
        <v>489</v>
      </c>
      <c r="S919" t="s">
        <v>233</v>
      </c>
      <c r="T919">
        <f ca="1">OFFSET('Calculations 2'!$C$45,W919,X919)*OFFSET($M$6,W919,0)</f>
        <v>352.953613080884</v>
      </c>
      <c r="V919">
        <f t="shared" si="44"/>
        <v>913</v>
      </c>
      <c r="W919">
        <f t="shared" si="45"/>
        <v>22</v>
      </c>
      <c r="X919">
        <f t="shared" si="46"/>
        <v>27</v>
      </c>
      <c r="AC919" t="s">
        <v>218</v>
      </c>
      <c r="AD919" t="s">
        <v>489</v>
      </c>
      <c r="AE919" t="s">
        <v>233</v>
      </c>
      <c r="AF919">
        <f ca="1">OFFSET('Calculations 2'!$CE$45,W919,0)*OFFSET($AA$6,X919,0)*OFFSET($M$6,W919,)</f>
        <v>0</v>
      </c>
      <c r="AY919" t="s">
        <v>218</v>
      </c>
      <c r="AZ919" t="s">
        <v>489</v>
      </c>
      <c r="BA919" t="s">
        <v>233</v>
      </c>
      <c r="BB919">
        <v>0</v>
      </c>
      <c r="BE919" t="s">
        <v>218</v>
      </c>
      <c r="BF919" t="s">
        <v>489</v>
      </c>
      <c r="BG919" t="s">
        <v>233</v>
      </c>
      <c r="BH919">
        <v>0</v>
      </c>
      <c r="CT919" t="s">
        <v>218</v>
      </c>
      <c r="CU919" t="s">
        <v>233</v>
      </c>
      <c r="CV919">
        <f ca="1">OFFSET('Calculations 2'!$AJ$12,W919,X919)</f>
        <v>0</v>
      </c>
    </row>
    <row r="920" spans="17:100">
      <c r="Q920" t="s">
        <v>257</v>
      </c>
      <c r="R920" t="s">
        <v>489</v>
      </c>
      <c r="S920" t="s">
        <v>233</v>
      </c>
      <c r="T920">
        <f ca="1">OFFSET('Calculations 2'!$C$45,W920,X920)*OFFSET($M$6,W920,0)</f>
        <v>734.36693519576295</v>
      </c>
      <c r="V920">
        <f t="shared" si="44"/>
        <v>914</v>
      </c>
      <c r="W920">
        <f t="shared" si="45"/>
        <v>23</v>
      </c>
      <c r="X920">
        <f t="shared" si="46"/>
        <v>27</v>
      </c>
      <c r="AC920" t="s">
        <v>257</v>
      </c>
      <c r="AD920" t="s">
        <v>489</v>
      </c>
      <c r="AE920" t="s">
        <v>233</v>
      </c>
      <c r="AF920">
        <f ca="1">OFFSET('Calculations 2'!$CE$45,W920,0)*OFFSET($AA$6,X920,0)*OFFSET($M$6,W920,)</f>
        <v>0</v>
      </c>
      <c r="AY920" t="s">
        <v>257</v>
      </c>
      <c r="AZ920" t="s">
        <v>489</v>
      </c>
      <c r="BA920" t="s">
        <v>233</v>
      </c>
      <c r="BB920">
        <v>0</v>
      </c>
      <c r="BE920" t="s">
        <v>257</v>
      </c>
      <c r="BF920" t="s">
        <v>489</v>
      </c>
      <c r="BG920" t="s">
        <v>233</v>
      </c>
      <c r="BH920">
        <v>0</v>
      </c>
      <c r="CT920" t="s">
        <v>257</v>
      </c>
      <c r="CU920" t="s">
        <v>233</v>
      </c>
      <c r="CV920">
        <f ca="1">OFFSET('Calculations 2'!$AJ$12,W920,X920)</f>
        <v>0</v>
      </c>
    </row>
    <row r="921" spans="17:100">
      <c r="Q921" t="s">
        <v>220</v>
      </c>
      <c r="R921" t="s">
        <v>489</v>
      </c>
      <c r="S921" t="s">
        <v>233</v>
      </c>
      <c r="T921">
        <f ca="1">OFFSET('Calculations 2'!$C$45,W921,X921)*OFFSET($M$6,W921,0)</f>
        <v>5173.429264625368</v>
      </c>
      <c r="V921">
        <f t="shared" si="44"/>
        <v>915</v>
      </c>
      <c r="W921">
        <f t="shared" si="45"/>
        <v>24</v>
      </c>
      <c r="X921">
        <f t="shared" si="46"/>
        <v>27</v>
      </c>
      <c r="AC921" t="s">
        <v>220</v>
      </c>
      <c r="AD921" t="s">
        <v>489</v>
      </c>
      <c r="AE921" t="s">
        <v>233</v>
      </c>
      <c r="AF921">
        <f ca="1">OFFSET('Calculations 2'!$CE$45,W921,0)*OFFSET($AA$6,X921,0)*OFFSET($M$6,W921,)</f>
        <v>0</v>
      </c>
      <c r="AY921" t="s">
        <v>220</v>
      </c>
      <c r="AZ921" t="s">
        <v>489</v>
      </c>
      <c r="BA921" t="s">
        <v>233</v>
      </c>
      <c r="BB921">
        <v>0</v>
      </c>
      <c r="BE921" t="s">
        <v>220</v>
      </c>
      <c r="BF921" t="s">
        <v>489</v>
      </c>
      <c r="BG921" t="s">
        <v>233</v>
      </c>
      <c r="BH921">
        <v>0</v>
      </c>
      <c r="CT921" t="s">
        <v>220</v>
      </c>
      <c r="CU921" t="s">
        <v>233</v>
      </c>
      <c r="CV921">
        <f ca="1">OFFSET('Calculations 2'!$AJ$12,W921,X921)</f>
        <v>0</v>
      </c>
    </row>
    <row r="922" spans="17:100">
      <c r="Q922" t="s">
        <v>235</v>
      </c>
      <c r="R922" t="s">
        <v>489</v>
      </c>
      <c r="S922" t="s">
        <v>233</v>
      </c>
      <c r="T922">
        <f ca="1">OFFSET('Calculations 2'!$C$45,W922,X922)*OFFSET($M$6,W922,0)</f>
        <v>6427.3536921061777</v>
      </c>
      <c r="V922">
        <f t="shared" si="44"/>
        <v>916</v>
      </c>
      <c r="W922">
        <f t="shared" si="45"/>
        <v>25</v>
      </c>
      <c r="X922">
        <f t="shared" si="46"/>
        <v>27</v>
      </c>
      <c r="AC922" t="s">
        <v>235</v>
      </c>
      <c r="AD922" t="s">
        <v>489</v>
      </c>
      <c r="AE922" t="s">
        <v>233</v>
      </c>
      <c r="AF922">
        <f ca="1">OFFSET('Calculations 2'!$CE$45,W922,0)*OFFSET($AA$6,X922,0)*OFFSET($M$6,W922,)</f>
        <v>0</v>
      </c>
      <c r="AY922" t="s">
        <v>235</v>
      </c>
      <c r="AZ922" t="s">
        <v>489</v>
      </c>
      <c r="BA922" t="s">
        <v>233</v>
      </c>
      <c r="BB922">
        <v>0</v>
      </c>
      <c r="BE922" t="s">
        <v>235</v>
      </c>
      <c r="BF922" t="s">
        <v>489</v>
      </c>
      <c r="BG922" t="s">
        <v>233</v>
      </c>
      <c r="BH922">
        <v>0</v>
      </c>
      <c r="CT922" t="s">
        <v>235</v>
      </c>
      <c r="CU922" t="s">
        <v>233</v>
      </c>
      <c r="CV922">
        <f ca="1">OFFSET('Calculations 2'!$AJ$12,W922,X922)</f>
        <v>0</v>
      </c>
    </row>
    <row r="923" spans="17:100">
      <c r="Q923" t="s">
        <v>473</v>
      </c>
      <c r="R923" t="s">
        <v>489</v>
      </c>
      <c r="S923" t="s">
        <v>233</v>
      </c>
      <c r="T923">
        <f ca="1">OFFSET('Calculations 2'!$C$45,W923,X923)*OFFSET($M$6,W923,0)</f>
        <v>1521.2106123214553</v>
      </c>
      <c r="V923">
        <f t="shared" si="44"/>
        <v>917</v>
      </c>
      <c r="W923">
        <f t="shared" si="45"/>
        <v>26</v>
      </c>
      <c r="X923">
        <f t="shared" si="46"/>
        <v>27</v>
      </c>
      <c r="AC923" t="s">
        <v>473</v>
      </c>
      <c r="AD923" t="s">
        <v>489</v>
      </c>
      <c r="AE923" t="s">
        <v>233</v>
      </c>
      <c r="AF923">
        <f ca="1">OFFSET('Calculations 2'!$CE$45,W923,0)*OFFSET($AA$6,X923,0)*OFFSET($M$6,W923,)</f>
        <v>0</v>
      </c>
      <c r="AY923" t="s">
        <v>473</v>
      </c>
      <c r="AZ923" t="s">
        <v>489</v>
      </c>
      <c r="BA923" t="s">
        <v>233</v>
      </c>
      <c r="BB923">
        <v>0</v>
      </c>
      <c r="BE923" t="s">
        <v>473</v>
      </c>
      <c r="BF923" t="s">
        <v>489</v>
      </c>
      <c r="BG923" t="s">
        <v>233</v>
      </c>
      <c r="BH923">
        <v>0</v>
      </c>
      <c r="CT923" t="s">
        <v>473</v>
      </c>
      <c r="CU923" t="s">
        <v>233</v>
      </c>
      <c r="CV923">
        <f ca="1">OFFSET('Calculations 2'!$AJ$12,W923,X923)</f>
        <v>0</v>
      </c>
    </row>
    <row r="924" spans="17:100">
      <c r="Q924" t="s">
        <v>233</v>
      </c>
      <c r="R924" t="s">
        <v>489</v>
      </c>
      <c r="S924" t="s">
        <v>233</v>
      </c>
      <c r="T924">
        <f ca="1">OFFSET('Calculations 2'!$C$45,W924,X924)*OFFSET($M$6,W924,0)</f>
        <v>14582.043638037845</v>
      </c>
      <c r="V924">
        <f t="shared" si="44"/>
        <v>918</v>
      </c>
      <c r="W924">
        <f t="shared" si="45"/>
        <v>27</v>
      </c>
      <c r="X924">
        <f t="shared" si="46"/>
        <v>27</v>
      </c>
      <c r="AC924" t="s">
        <v>233</v>
      </c>
      <c r="AD924" t="s">
        <v>489</v>
      </c>
      <c r="AE924" t="s">
        <v>233</v>
      </c>
      <c r="AF924">
        <f ca="1">OFFSET('Calculations 2'!$CE$45,W924,0)*OFFSET($AA$6,X924,0)*OFFSET($M$6,W924,)</f>
        <v>0</v>
      </c>
      <c r="AY924" t="s">
        <v>233</v>
      </c>
      <c r="AZ924" t="s">
        <v>489</v>
      </c>
      <c r="BA924" t="s">
        <v>233</v>
      </c>
      <c r="BB924">
        <v>0</v>
      </c>
      <c r="BE924" t="s">
        <v>233</v>
      </c>
      <c r="BF924" t="s">
        <v>489</v>
      </c>
      <c r="BG924" t="s">
        <v>233</v>
      </c>
      <c r="BH924">
        <v>0</v>
      </c>
      <c r="CT924" t="s">
        <v>233</v>
      </c>
      <c r="CU924" t="s">
        <v>233</v>
      </c>
      <c r="CV924">
        <f ca="1">OFFSET('Calculations 2'!$AJ$12,W924,X924)</f>
        <v>92686.291595032715</v>
      </c>
    </row>
    <row r="925" spans="17:100">
      <c r="Q925" t="s">
        <v>474</v>
      </c>
      <c r="R925" t="s">
        <v>489</v>
      </c>
      <c r="S925" t="s">
        <v>233</v>
      </c>
      <c r="T925">
        <f ca="1">OFFSET('Calculations 2'!$C$45,W925,X925)*OFFSET($M$6,W925,0)</f>
        <v>2798.824769687998</v>
      </c>
      <c r="V925">
        <f t="shared" si="44"/>
        <v>919</v>
      </c>
      <c r="W925">
        <f t="shared" si="45"/>
        <v>28</v>
      </c>
      <c r="X925">
        <f t="shared" si="46"/>
        <v>27</v>
      </c>
      <c r="AC925" t="s">
        <v>474</v>
      </c>
      <c r="AD925" t="s">
        <v>489</v>
      </c>
      <c r="AE925" t="s">
        <v>233</v>
      </c>
      <c r="AF925">
        <f ca="1">OFFSET('Calculations 2'!$CE$45,W925,0)*OFFSET($AA$6,X925,0)*OFFSET($M$6,W925,)</f>
        <v>0</v>
      </c>
      <c r="AY925" t="s">
        <v>474</v>
      </c>
      <c r="AZ925" t="s">
        <v>489</v>
      </c>
      <c r="BA925" t="s">
        <v>233</v>
      </c>
      <c r="BB925">
        <v>0</v>
      </c>
      <c r="BE925" t="s">
        <v>474</v>
      </c>
      <c r="BF925" t="s">
        <v>489</v>
      </c>
      <c r="BG925" t="s">
        <v>233</v>
      </c>
      <c r="BH925">
        <v>0</v>
      </c>
      <c r="CT925" t="s">
        <v>474</v>
      </c>
      <c r="CU925" t="s">
        <v>233</v>
      </c>
      <c r="CV925">
        <f ca="1">OFFSET('Calculations 2'!$AJ$12,W925,X925)</f>
        <v>0</v>
      </c>
    </row>
    <row r="926" spans="17:100">
      <c r="Q926" t="s">
        <v>223</v>
      </c>
      <c r="R926" t="s">
        <v>489</v>
      </c>
      <c r="S926" t="s">
        <v>233</v>
      </c>
      <c r="T926">
        <f ca="1">OFFSET('Calculations 2'!$C$45,W926,X926)*OFFSET($M$6,W926,0)</f>
        <v>475.93751484732758</v>
      </c>
      <c r="V926">
        <f t="shared" si="44"/>
        <v>920</v>
      </c>
      <c r="W926">
        <f t="shared" si="45"/>
        <v>29</v>
      </c>
      <c r="X926">
        <f t="shared" si="46"/>
        <v>27</v>
      </c>
      <c r="AC926" t="s">
        <v>223</v>
      </c>
      <c r="AD926" t="s">
        <v>489</v>
      </c>
      <c r="AE926" t="s">
        <v>233</v>
      </c>
      <c r="AF926">
        <f ca="1">OFFSET('Calculations 2'!$CE$45,W926,0)*OFFSET($AA$6,X926,0)*OFFSET($M$6,W926,)</f>
        <v>0</v>
      </c>
      <c r="AY926" t="s">
        <v>223</v>
      </c>
      <c r="AZ926" t="s">
        <v>489</v>
      </c>
      <c r="BA926" t="s">
        <v>233</v>
      </c>
      <c r="BB926">
        <v>0</v>
      </c>
      <c r="BE926" t="s">
        <v>223</v>
      </c>
      <c r="BF926" t="s">
        <v>489</v>
      </c>
      <c r="BG926" t="s">
        <v>233</v>
      </c>
      <c r="BH926">
        <v>0</v>
      </c>
      <c r="CT926" t="s">
        <v>223</v>
      </c>
      <c r="CU926" t="s">
        <v>233</v>
      </c>
      <c r="CV926">
        <f ca="1">OFFSET('Calculations 2'!$AJ$12,W926,X926)</f>
        <v>0</v>
      </c>
    </row>
    <row r="927" spans="17:100">
      <c r="Q927" t="s">
        <v>475</v>
      </c>
      <c r="R927" t="s">
        <v>489</v>
      </c>
      <c r="S927" t="s">
        <v>233</v>
      </c>
      <c r="T927">
        <f ca="1">OFFSET('Calculations 2'!$C$45,W927,X927)*OFFSET($M$6,W927,0)</f>
        <v>36.56065831653504</v>
      </c>
      <c r="V927">
        <f t="shared" si="44"/>
        <v>921</v>
      </c>
      <c r="W927">
        <f t="shared" si="45"/>
        <v>30</v>
      </c>
      <c r="X927">
        <f t="shared" si="46"/>
        <v>27</v>
      </c>
      <c r="AC927" t="s">
        <v>475</v>
      </c>
      <c r="AD927" t="s">
        <v>489</v>
      </c>
      <c r="AE927" t="s">
        <v>233</v>
      </c>
      <c r="AF927">
        <f ca="1">OFFSET('Calculations 2'!$CE$45,W927,0)*OFFSET($AA$6,X927,0)*OFFSET($M$6,W927,)</f>
        <v>0</v>
      </c>
      <c r="AY927" t="s">
        <v>475</v>
      </c>
      <c r="AZ927" t="s">
        <v>489</v>
      </c>
      <c r="BA927" t="s">
        <v>233</v>
      </c>
      <c r="BB927">
        <v>0</v>
      </c>
      <c r="BE927" t="s">
        <v>475</v>
      </c>
      <c r="BF927" t="s">
        <v>489</v>
      </c>
      <c r="BG927" t="s">
        <v>233</v>
      </c>
      <c r="BH927">
        <v>0</v>
      </c>
      <c r="CT927" t="s">
        <v>475</v>
      </c>
      <c r="CU927" t="s">
        <v>233</v>
      </c>
      <c r="CV927">
        <f ca="1">OFFSET('Calculations 2'!$AJ$12,W927,X927)</f>
        <v>0</v>
      </c>
    </row>
    <row r="928" spans="17:100">
      <c r="Q928" t="s">
        <v>476</v>
      </c>
      <c r="R928" t="s">
        <v>489</v>
      </c>
      <c r="S928" t="s">
        <v>233</v>
      </c>
      <c r="T928">
        <f ca="1">OFFSET('Calculations 2'!$C$45,W928,X928)*OFFSET($M$6,W928,0)</f>
        <v>898.52413997432382</v>
      </c>
      <c r="V928">
        <f t="shared" si="44"/>
        <v>922</v>
      </c>
      <c r="W928">
        <f t="shared" si="45"/>
        <v>31</v>
      </c>
      <c r="X928">
        <f t="shared" si="46"/>
        <v>27</v>
      </c>
      <c r="AC928" t="s">
        <v>476</v>
      </c>
      <c r="AD928" t="s">
        <v>489</v>
      </c>
      <c r="AE928" t="s">
        <v>233</v>
      </c>
      <c r="AF928">
        <f ca="1">OFFSET('Calculations 2'!$CE$45,W928,0)*OFFSET($AA$6,X928,0)*OFFSET($M$6,W928,)</f>
        <v>0</v>
      </c>
      <c r="AY928" t="s">
        <v>476</v>
      </c>
      <c r="AZ928" t="s">
        <v>489</v>
      </c>
      <c r="BA928" t="s">
        <v>233</v>
      </c>
      <c r="BB928">
        <v>0</v>
      </c>
      <c r="BE928" t="s">
        <v>476</v>
      </c>
      <c r="BF928" t="s">
        <v>489</v>
      </c>
      <c r="BG928" t="s">
        <v>233</v>
      </c>
      <c r="BH928">
        <v>0</v>
      </c>
      <c r="CT928" t="s">
        <v>476</v>
      </c>
      <c r="CU928" t="s">
        <v>233</v>
      </c>
      <c r="CV928">
        <f ca="1">OFFSET('Calculations 2'!$AJ$12,W928,X928)</f>
        <v>0</v>
      </c>
    </row>
    <row r="929" spans="17:100">
      <c r="Q929" t="s">
        <v>222</v>
      </c>
      <c r="R929" t="s">
        <v>489</v>
      </c>
      <c r="S929" t="s">
        <v>233</v>
      </c>
      <c r="T929">
        <f ca="1">OFFSET('Calculations 2'!$C$45,W929,X929)*OFFSET($M$6,W929,0)</f>
        <v>0</v>
      </c>
      <c r="V929">
        <f t="shared" si="44"/>
        <v>923</v>
      </c>
      <c r="W929">
        <f t="shared" si="45"/>
        <v>32</v>
      </c>
      <c r="X929">
        <f t="shared" si="46"/>
        <v>27</v>
      </c>
      <c r="AC929" t="s">
        <v>222</v>
      </c>
      <c r="AD929" t="s">
        <v>489</v>
      </c>
      <c r="AE929" t="s">
        <v>233</v>
      </c>
      <c r="AF929">
        <f ca="1">OFFSET('Calculations 2'!$CE$45,W929,0)*OFFSET($AA$6,X929,0)*OFFSET($M$6,W929,)</f>
        <v>0</v>
      </c>
      <c r="AY929" t="s">
        <v>222</v>
      </c>
      <c r="AZ929" t="s">
        <v>489</v>
      </c>
      <c r="BA929" t="s">
        <v>233</v>
      </c>
      <c r="BB929">
        <v>0</v>
      </c>
      <c r="BE929" t="s">
        <v>222</v>
      </c>
      <c r="BF929" t="s">
        <v>489</v>
      </c>
      <c r="BG929" t="s">
        <v>233</v>
      </c>
      <c r="BH929">
        <v>0</v>
      </c>
      <c r="CT929" t="s">
        <v>222</v>
      </c>
      <c r="CU929" t="s">
        <v>233</v>
      </c>
      <c r="CV929">
        <f ca="1">OFFSET('Calculations 2'!$AJ$12,W929,X929)</f>
        <v>0</v>
      </c>
    </row>
    <row r="930" spans="17:100">
      <c r="Q930" t="s">
        <v>217</v>
      </c>
      <c r="R930" t="s">
        <v>489</v>
      </c>
      <c r="S930" t="s">
        <v>474</v>
      </c>
      <c r="T930">
        <f ca="1">OFFSET('Calculations 2'!$C$45,W930,X930)*OFFSET($M$6,W930,0)</f>
        <v>0</v>
      </c>
      <c r="V930">
        <f t="shared" si="44"/>
        <v>924</v>
      </c>
      <c r="W930">
        <f t="shared" si="45"/>
        <v>0</v>
      </c>
      <c r="X930">
        <f t="shared" si="46"/>
        <v>28</v>
      </c>
      <c r="AC930" t="s">
        <v>217</v>
      </c>
      <c r="AD930" t="s">
        <v>489</v>
      </c>
      <c r="AE930" t="s">
        <v>474</v>
      </c>
      <c r="AF930">
        <f ca="1">OFFSET('Calculations 2'!$CE$45,W930,0)*OFFSET($AA$6,X930,0)*OFFSET($M$6,W930,)</f>
        <v>0.68205471675932106</v>
      </c>
      <c r="AY930" t="s">
        <v>217</v>
      </c>
      <c r="AZ930" t="s">
        <v>489</v>
      </c>
      <c r="BA930" t="s">
        <v>474</v>
      </c>
      <c r="BB930">
        <v>0</v>
      </c>
      <c r="BE930" t="s">
        <v>217</v>
      </c>
      <c r="BF930" t="s">
        <v>489</v>
      </c>
      <c r="BG930" t="s">
        <v>474</v>
      </c>
      <c r="BH930">
        <v>0</v>
      </c>
      <c r="CT930" t="s">
        <v>217</v>
      </c>
      <c r="CU930" t="s">
        <v>474</v>
      </c>
      <c r="CV930">
        <f ca="1">OFFSET('Calculations 2'!$AJ$12,W930,X930)</f>
        <v>0</v>
      </c>
    </row>
    <row r="931" spans="17:100">
      <c r="Q931" t="s">
        <v>232</v>
      </c>
      <c r="R931" t="s">
        <v>489</v>
      </c>
      <c r="S931" t="s">
        <v>474</v>
      </c>
      <c r="T931">
        <f ca="1">OFFSET('Calculations 2'!$C$45,W931,X931)*OFFSET($M$6,W931,0)</f>
        <v>0</v>
      </c>
      <c r="V931">
        <f t="shared" si="44"/>
        <v>925</v>
      </c>
      <c r="W931">
        <f t="shared" si="45"/>
        <v>1</v>
      </c>
      <c r="X931">
        <f t="shared" si="46"/>
        <v>28</v>
      </c>
      <c r="AC931" t="s">
        <v>232</v>
      </c>
      <c r="AD931" t="s">
        <v>489</v>
      </c>
      <c r="AE931" t="s">
        <v>474</v>
      </c>
      <c r="AF931">
        <f ca="1">OFFSET('Calculations 2'!$CE$45,W931,0)*OFFSET($AA$6,X931,0)*OFFSET($M$6,W931,)</f>
        <v>1.1897886750542321</v>
      </c>
      <c r="AY931" t="s">
        <v>232</v>
      </c>
      <c r="AZ931" t="s">
        <v>489</v>
      </c>
      <c r="BA931" t="s">
        <v>474</v>
      </c>
      <c r="BB931">
        <v>0</v>
      </c>
      <c r="BE931" t="s">
        <v>232</v>
      </c>
      <c r="BF931" t="s">
        <v>489</v>
      </c>
      <c r="BG931" t="s">
        <v>474</v>
      </c>
      <c r="BH931">
        <v>0</v>
      </c>
      <c r="CT931" t="s">
        <v>232</v>
      </c>
      <c r="CU931" t="s">
        <v>474</v>
      </c>
      <c r="CV931">
        <f ca="1">OFFSET('Calculations 2'!$AJ$12,W931,X931)</f>
        <v>0</v>
      </c>
    </row>
    <row r="932" spans="17:100">
      <c r="Q932" t="s">
        <v>226</v>
      </c>
      <c r="R932" t="s">
        <v>489</v>
      </c>
      <c r="S932" t="s">
        <v>474</v>
      </c>
      <c r="T932">
        <f ca="1">OFFSET('Calculations 2'!$C$45,W932,X932)*OFFSET($M$6,W932,0)</f>
        <v>32.698842537407472</v>
      </c>
      <c r="V932">
        <f t="shared" si="44"/>
        <v>926</v>
      </c>
      <c r="W932">
        <f t="shared" si="45"/>
        <v>2</v>
      </c>
      <c r="X932">
        <f t="shared" si="46"/>
        <v>28</v>
      </c>
      <c r="AC932" t="s">
        <v>226</v>
      </c>
      <c r="AD932" t="s">
        <v>489</v>
      </c>
      <c r="AE932" t="s">
        <v>474</v>
      </c>
      <c r="AF932">
        <f ca="1">OFFSET('Calculations 2'!$CE$45,W932,0)*OFFSET($AA$6,X932,0)*OFFSET($M$6,W932,)</f>
        <v>2.0033535981398587</v>
      </c>
      <c r="AY932" t="s">
        <v>226</v>
      </c>
      <c r="AZ932" t="s">
        <v>489</v>
      </c>
      <c r="BA932" t="s">
        <v>474</v>
      </c>
      <c r="BB932">
        <v>0</v>
      </c>
      <c r="BE932" t="s">
        <v>226</v>
      </c>
      <c r="BF932" t="s">
        <v>489</v>
      </c>
      <c r="BG932" t="s">
        <v>474</v>
      </c>
      <c r="BH932">
        <v>0</v>
      </c>
      <c r="CT932" t="s">
        <v>226</v>
      </c>
      <c r="CU932" t="s">
        <v>474</v>
      </c>
      <c r="CV932">
        <f ca="1">OFFSET('Calculations 2'!$AJ$12,W932,X932)</f>
        <v>0</v>
      </c>
    </row>
    <row r="933" spans="17:100">
      <c r="Q933" t="s">
        <v>243</v>
      </c>
      <c r="R933" t="s">
        <v>489</v>
      </c>
      <c r="S933" t="s">
        <v>474</v>
      </c>
      <c r="T933">
        <f ca="1">OFFSET('Calculations 2'!$C$45,W933,X933)*OFFSET($M$6,W933,0)</f>
        <v>49.994857054501523</v>
      </c>
      <c r="V933">
        <f t="shared" si="44"/>
        <v>927</v>
      </c>
      <c r="W933">
        <f t="shared" si="45"/>
        <v>3</v>
      </c>
      <c r="X933">
        <f t="shared" si="46"/>
        <v>28</v>
      </c>
      <c r="AC933" t="s">
        <v>243</v>
      </c>
      <c r="AD933" t="s">
        <v>489</v>
      </c>
      <c r="AE933" t="s">
        <v>474</v>
      </c>
      <c r="AF933">
        <f ca="1">OFFSET('Calculations 2'!$CE$45,W933,0)*OFFSET($AA$6,X933,0)*OFFSET($M$6,W933,)</f>
        <v>10.435178639026759</v>
      </c>
      <c r="AY933" t="s">
        <v>243</v>
      </c>
      <c r="AZ933" t="s">
        <v>489</v>
      </c>
      <c r="BA933" t="s">
        <v>474</v>
      </c>
      <c r="BB933">
        <v>0</v>
      </c>
      <c r="BE933" t="s">
        <v>243</v>
      </c>
      <c r="BF933" t="s">
        <v>489</v>
      </c>
      <c r="BG933" t="s">
        <v>474</v>
      </c>
      <c r="BH933">
        <v>0</v>
      </c>
      <c r="CT933" t="s">
        <v>243</v>
      </c>
      <c r="CU933" t="s">
        <v>474</v>
      </c>
      <c r="CV933">
        <f ca="1">OFFSET('Calculations 2'!$AJ$12,W933,X933)</f>
        <v>0</v>
      </c>
    </row>
    <row r="934" spans="17:100">
      <c r="Q934" t="s">
        <v>228</v>
      </c>
      <c r="R934" t="s">
        <v>489</v>
      </c>
      <c r="S934" t="s">
        <v>474</v>
      </c>
      <c r="T934">
        <f ca="1">OFFSET('Calculations 2'!$C$45,W934,X934)*OFFSET($M$6,W934,0)</f>
        <v>0.37689165083767612</v>
      </c>
      <c r="V934">
        <f t="shared" si="44"/>
        <v>928</v>
      </c>
      <c r="W934">
        <f t="shared" si="45"/>
        <v>4</v>
      </c>
      <c r="X934">
        <f t="shared" si="46"/>
        <v>28</v>
      </c>
      <c r="AC934" t="s">
        <v>228</v>
      </c>
      <c r="AD934" t="s">
        <v>489</v>
      </c>
      <c r="AE934" t="s">
        <v>474</v>
      </c>
      <c r="AF934">
        <f ca="1">OFFSET('Calculations 2'!$CE$45,W934,0)*OFFSET($AA$6,X934,0)*OFFSET($M$6,W934,)</f>
        <v>7.4045144592358419E-2</v>
      </c>
      <c r="AY934" t="s">
        <v>228</v>
      </c>
      <c r="AZ934" t="s">
        <v>489</v>
      </c>
      <c r="BA934" t="s">
        <v>474</v>
      </c>
      <c r="BB934">
        <v>0</v>
      </c>
      <c r="BE934" t="s">
        <v>228</v>
      </c>
      <c r="BF934" t="s">
        <v>489</v>
      </c>
      <c r="BG934" t="s">
        <v>474</v>
      </c>
      <c r="BH934">
        <v>0</v>
      </c>
      <c r="CT934" t="s">
        <v>228</v>
      </c>
      <c r="CU934" t="s">
        <v>474</v>
      </c>
      <c r="CV934">
        <f ca="1">OFFSET('Calculations 2'!$AJ$12,W934,X934)</f>
        <v>0</v>
      </c>
    </row>
    <row r="935" spans="17:100">
      <c r="Q935" t="s">
        <v>246</v>
      </c>
      <c r="R935" t="s">
        <v>489</v>
      </c>
      <c r="S935" t="s">
        <v>474</v>
      </c>
      <c r="T935">
        <f ca="1">OFFSET('Calculations 2'!$C$45,W935,X935)*OFFSET($M$6,W935,0)</f>
        <v>0</v>
      </c>
      <c r="V935">
        <f t="shared" si="44"/>
        <v>929</v>
      </c>
      <c r="W935">
        <f t="shared" si="45"/>
        <v>5</v>
      </c>
      <c r="X935">
        <f t="shared" si="46"/>
        <v>28</v>
      </c>
      <c r="AC935" t="s">
        <v>246</v>
      </c>
      <c r="AD935" t="s">
        <v>489</v>
      </c>
      <c r="AE935" t="s">
        <v>474</v>
      </c>
      <c r="AF935">
        <f ca="1">OFFSET('Calculations 2'!$CE$45,W935,0)*OFFSET($AA$6,X935,0)*OFFSET($M$6,W935,)</f>
        <v>0.45582095844055392</v>
      </c>
      <c r="AY935" t="s">
        <v>246</v>
      </c>
      <c r="AZ935" t="s">
        <v>489</v>
      </c>
      <c r="BA935" t="s">
        <v>474</v>
      </c>
      <c r="BB935">
        <v>0</v>
      </c>
      <c r="BE935" t="s">
        <v>246</v>
      </c>
      <c r="BF935" t="s">
        <v>489</v>
      </c>
      <c r="BG935" t="s">
        <v>474</v>
      </c>
      <c r="BH935">
        <v>0</v>
      </c>
      <c r="CT935" t="s">
        <v>246</v>
      </c>
      <c r="CU935" t="s">
        <v>474</v>
      </c>
      <c r="CV935">
        <f ca="1">OFFSET('Calculations 2'!$AJ$12,W935,X935)</f>
        <v>0</v>
      </c>
    </row>
    <row r="936" spans="17:100">
      <c r="Q936" t="s">
        <v>239</v>
      </c>
      <c r="R936" t="s">
        <v>489</v>
      </c>
      <c r="S936" t="s">
        <v>474</v>
      </c>
      <c r="T936">
        <f ca="1">OFFSET('Calculations 2'!$C$45,W936,X936)*OFFSET($M$6,W936,0)</f>
        <v>325.70957997070559</v>
      </c>
      <c r="V936">
        <f t="shared" si="44"/>
        <v>930</v>
      </c>
      <c r="W936">
        <f t="shared" si="45"/>
        <v>6</v>
      </c>
      <c r="X936">
        <f t="shared" si="46"/>
        <v>28</v>
      </c>
      <c r="AC936" t="s">
        <v>239</v>
      </c>
      <c r="AD936" t="s">
        <v>489</v>
      </c>
      <c r="AE936" t="s">
        <v>474</v>
      </c>
      <c r="AF936">
        <f ca="1">OFFSET('Calculations 2'!$CE$45,W936,0)*OFFSET($AA$6,X936,0)*OFFSET($M$6,W936,)</f>
        <v>9.1235396185312077</v>
      </c>
      <c r="AY936" t="s">
        <v>239</v>
      </c>
      <c r="AZ936" t="s">
        <v>489</v>
      </c>
      <c r="BA936" t="s">
        <v>474</v>
      </c>
      <c r="BB936">
        <v>0</v>
      </c>
      <c r="BE936" t="s">
        <v>239</v>
      </c>
      <c r="BF936" t="s">
        <v>489</v>
      </c>
      <c r="BG936" t="s">
        <v>474</v>
      </c>
      <c r="BH936">
        <v>0</v>
      </c>
      <c r="CT936" t="s">
        <v>239</v>
      </c>
      <c r="CU936" t="s">
        <v>474</v>
      </c>
      <c r="CV936">
        <f ca="1">OFFSET('Calculations 2'!$AJ$12,W936,X936)</f>
        <v>0</v>
      </c>
    </row>
    <row r="937" spans="17:100">
      <c r="Q937" t="s">
        <v>466</v>
      </c>
      <c r="R937" t="s">
        <v>489</v>
      </c>
      <c r="S937" t="s">
        <v>474</v>
      </c>
      <c r="T937">
        <f ca="1">OFFSET('Calculations 2'!$C$45,W937,X937)*OFFSET($M$6,W937,0)</f>
        <v>303.54180108804502</v>
      </c>
      <c r="V937">
        <f t="shared" si="44"/>
        <v>931</v>
      </c>
      <c r="W937">
        <f t="shared" si="45"/>
        <v>7</v>
      </c>
      <c r="X937">
        <f t="shared" si="46"/>
        <v>28</v>
      </c>
      <c r="AC937" t="s">
        <v>466</v>
      </c>
      <c r="AD937" t="s">
        <v>489</v>
      </c>
      <c r="AE937" t="s">
        <v>474</v>
      </c>
      <c r="AF937">
        <f ca="1">OFFSET('Calculations 2'!$CE$45,W937,0)*OFFSET($AA$6,X937,0)*OFFSET($M$6,W937,)</f>
        <v>1.3902508754029896</v>
      </c>
      <c r="AY937" t="s">
        <v>466</v>
      </c>
      <c r="AZ937" t="s">
        <v>489</v>
      </c>
      <c r="BA937" t="s">
        <v>474</v>
      </c>
      <c r="BB937">
        <v>0</v>
      </c>
      <c r="BE937" t="s">
        <v>466</v>
      </c>
      <c r="BF937" t="s">
        <v>489</v>
      </c>
      <c r="BG937" t="s">
        <v>474</v>
      </c>
      <c r="BH937">
        <v>0</v>
      </c>
      <c r="CT937" t="s">
        <v>466</v>
      </c>
      <c r="CU937" t="s">
        <v>474</v>
      </c>
      <c r="CV937">
        <f ca="1">OFFSET('Calculations 2'!$AJ$12,W937,X937)</f>
        <v>0</v>
      </c>
    </row>
    <row r="938" spans="17:100">
      <c r="Q938" t="s">
        <v>219</v>
      </c>
      <c r="R938" t="s">
        <v>489</v>
      </c>
      <c r="S938" t="s">
        <v>474</v>
      </c>
      <c r="T938">
        <f ca="1">OFFSET('Calculations 2'!$C$45,W938,X938)*OFFSET($M$6,W938,0)</f>
        <v>5.1455691776009118</v>
      </c>
      <c r="V938">
        <f t="shared" si="44"/>
        <v>932</v>
      </c>
      <c r="W938">
        <f t="shared" si="45"/>
        <v>8</v>
      </c>
      <c r="X938">
        <f t="shared" si="46"/>
        <v>28</v>
      </c>
      <c r="AC938" t="s">
        <v>219</v>
      </c>
      <c r="AD938" t="s">
        <v>489</v>
      </c>
      <c r="AE938" t="s">
        <v>474</v>
      </c>
      <c r="AF938">
        <f ca="1">OFFSET('Calculations 2'!$CE$45,W938,0)*OFFSET($AA$6,X938,0)*OFFSET($M$6,W938,)</f>
        <v>8.6573762917200554</v>
      </c>
      <c r="AY938" t="s">
        <v>219</v>
      </c>
      <c r="AZ938" t="s">
        <v>489</v>
      </c>
      <c r="BA938" t="s">
        <v>474</v>
      </c>
      <c r="BB938">
        <v>0</v>
      </c>
      <c r="BE938" t="s">
        <v>219</v>
      </c>
      <c r="BF938" t="s">
        <v>489</v>
      </c>
      <c r="BG938" t="s">
        <v>474</v>
      </c>
      <c r="BH938">
        <v>0</v>
      </c>
      <c r="CT938" t="s">
        <v>219</v>
      </c>
      <c r="CU938" t="s">
        <v>474</v>
      </c>
      <c r="CV938">
        <f ca="1">OFFSET('Calculations 2'!$AJ$12,W938,X938)</f>
        <v>0</v>
      </c>
    </row>
    <row r="939" spans="17:100">
      <c r="Q939" t="s">
        <v>242</v>
      </c>
      <c r="R939" t="s">
        <v>489</v>
      </c>
      <c r="S939" t="s">
        <v>474</v>
      </c>
      <c r="T939">
        <f ca="1">OFFSET('Calculations 2'!$C$45,W939,X939)*OFFSET($M$6,W939,0)</f>
        <v>0</v>
      </c>
      <c r="V939">
        <f t="shared" si="44"/>
        <v>933</v>
      </c>
      <c r="W939">
        <f t="shared" si="45"/>
        <v>9</v>
      </c>
      <c r="X939">
        <f t="shared" si="46"/>
        <v>28</v>
      </c>
      <c r="AC939" t="s">
        <v>242</v>
      </c>
      <c r="AD939" t="s">
        <v>489</v>
      </c>
      <c r="AE939" t="s">
        <v>474</v>
      </c>
      <c r="AF939">
        <f ca="1">OFFSET('Calculations 2'!$CE$45,W939,0)*OFFSET($AA$6,X939,0)*OFFSET($M$6,W939,)</f>
        <v>13.552287759282176</v>
      </c>
      <c r="AY939" t="s">
        <v>242</v>
      </c>
      <c r="AZ939" t="s">
        <v>489</v>
      </c>
      <c r="BA939" t="s">
        <v>474</v>
      </c>
      <c r="BB939">
        <v>0</v>
      </c>
      <c r="BE939" t="s">
        <v>242</v>
      </c>
      <c r="BF939" t="s">
        <v>489</v>
      </c>
      <c r="BG939" t="s">
        <v>474</v>
      </c>
      <c r="BH939">
        <v>0</v>
      </c>
      <c r="CT939" t="s">
        <v>242</v>
      </c>
      <c r="CU939" t="s">
        <v>474</v>
      </c>
      <c r="CV939">
        <f ca="1">OFFSET('Calculations 2'!$AJ$12,W939,X939)</f>
        <v>0</v>
      </c>
    </row>
    <row r="940" spans="17:100">
      <c r="Q940" t="s">
        <v>467</v>
      </c>
      <c r="R940" t="s">
        <v>489</v>
      </c>
      <c r="S940" t="s">
        <v>474</v>
      </c>
      <c r="T940">
        <f ca="1">OFFSET('Calculations 2'!$C$45,W940,X940)*OFFSET($M$6,W940,0)</f>
        <v>0</v>
      </c>
      <c r="V940">
        <f t="shared" si="44"/>
        <v>934</v>
      </c>
      <c r="W940">
        <f t="shared" si="45"/>
        <v>10</v>
      </c>
      <c r="X940">
        <f t="shared" si="46"/>
        <v>28</v>
      </c>
      <c r="AC940" t="s">
        <v>467</v>
      </c>
      <c r="AD940" t="s">
        <v>489</v>
      </c>
      <c r="AE940" t="s">
        <v>474</v>
      </c>
      <c r="AF940">
        <f ca="1">OFFSET('Calculations 2'!$CE$45,W940,0)*OFFSET($AA$6,X940,0)*OFFSET($M$6,W940,)</f>
        <v>12.554510094697287</v>
      </c>
      <c r="AY940" t="s">
        <v>467</v>
      </c>
      <c r="AZ940" t="s">
        <v>489</v>
      </c>
      <c r="BA940" t="s">
        <v>474</v>
      </c>
      <c r="BB940">
        <v>0</v>
      </c>
      <c r="BE940" t="s">
        <v>467</v>
      </c>
      <c r="BF940" t="s">
        <v>489</v>
      </c>
      <c r="BG940" t="s">
        <v>474</v>
      </c>
      <c r="BH940">
        <v>0</v>
      </c>
      <c r="CT940" t="s">
        <v>467</v>
      </c>
      <c r="CU940" t="s">
        <v>474</v>
      </c>
      <c r="CV940">
        <f ca="1">OFFSET('Calculations 2'!$AJ$12,W940,X940)</f>
        <v>0</v>
      </c>
    </row>
    <row r="941" spans="17:100">
      <c r="Q941" t="s">
        <v>231</v>
      </c>
      <c r="R941" t="s">
        <v>489</v>
      </c>
      <c r="S941" t="s">
        <v>474</v>
      </c>
      <c r="T941">
        <f ca="1">OFFSET('Calculations 2'!$C$45,W941,X941)*OFFSET($M$6,W941,0)</f>
        <v>37.931526327368736</v>
      </c>
      <c r="V941">
        <f t="shared" si="44"/>
        <v>935</v>
      </c>
      <c r="W941">
        <f t="shared" si="45"/>
        <v>11</v>
      </c>
      <c r="X941">
        <f t="shared" si="46"/>
        <v>28</v>
      </c>
      <c r="AC941" t="s">
        <v>231</v>
      </c>
      <c r="AD941" t="s">
        <v>489</v>
      </c>
      <c r="AE941" t="s">
        <v>474</v>
      </c>
      <c r="AF941">
        <f ca="1">OFFSET('Calculations 2'!$CE$45,W941,0)*OFFSET($AA$6,X941,0)*OFFSET($M$6,W941,)</f>
        <v>36.719771438272808</v>
      </c>
      <c r="AY941" t="s">
        <v>231</v>
      </c>
      <c r="AZ941" t="s">
        <v>489</v>
      </c>
      <c r="BA941" t="s">
        <v>474</v>
      </c>
      <c r="BB941">
        <v>0</v>
      </c>
      <c r="BE941" t="s">
        <v>231</v>
      </c>
      <c r="BF941" t="s">
        <v>489</v>
      </c>
      <c r="BG941" t="s">
        <v>474</v>
      </c>
      <c r="BH941">
        <v>0</v>
      </c>
      <c r="CT941" t="s">
        <v>231</v>
      </c>
      <c r="CU941" t="s">
        <v>474</v>
      </c>
      <c r="CV941">
        <f ca="1">OFFSET('Calculations 2'!$AJ$12,W941,X941)</f>
        <v>0</v>
      </c>
    </row>
    <row r="942" spans="17:100">
      <c r="Q942" t="s">
        <v>468</v>
      </c>
      <c r="R942" t="s">
        <v>489</v>
      </c>
      <c r="S942" t="s">
        <v>474</v>
      </c>
      <c r="T942">
        <f ca="1">OFFSET('Calculations 2'!$C$45,W942,X942)*OFFSET($M$6,W942,0)</f>
        <v>6.2807787864781925</v>
      </c>
      <c r="V942">
        <f t="shared" si="44"/>
        <v>936</v>
      </c>
      <c r="W942">
        <f t="shared" si="45"/>
        <v>12</v>
      </c>
      <c r="X942">
        <f t="shared" si="46"/>
        <v>28</v>
      </c>
      <c r="AC942" t="s">
        <v>468</v>
      </c>
      <c r="AD942" t="s">
        <v>489</v>
      </c>
      <c r="AE942" t="s">
        <v>474</v>
      </c>
      <c r="AF942">
        <f ca="1">OFFSET('Calculations 2'!$CE$45,W942,0)*OFFSET($AA$6,X942,0)*OFFSET($M$6,W942,)</f>
        <v>53.148974837186884</v>
      </c>
      <c r="AY942" t="s">
        <v>468</v>
      </c>
      <c r="AZ942" t="s">
        <v>489</v>
      </c>
      <c r="BA942" t="s">
        <v>474</v>
      </c>
      <c r="BB942">
        <v>0</v>
      </c>
      <c r="BE942" t="s">
        <v>468</v>
      </c>
      <c r="BF942" t="s">
        <v>489</v>
      </c>
      <c r="BG942" t="s">
        <v>474</v>
      </c>
      <c r="BH942">
        <v>0</v>
      </c>
      <c r="CT942" t="s">
        <v>468</v>
      </c>
      <c r="CU942" t="s">
        <v>474</v>
      </c>
      <c r="CV942">
        <f ca="1">OFFSET('Calculations 2'!$AJ$12,W942,X942)</f>
        <v>0</v>
      </c>
    </row>
    <row r="943" spans="17:100">
      <c r="Q943" t="s">
        <v>469</v>
      </c>
      <c r="R943" t="s">
        <v>489</v>
      </c>
      <c r="S943" t="s">
        <v>474</v>
      </c>
      <c r="T943">
        <f ca="1">OFFSET('Calculations 2'!$C$45,W943,X943)*OFFSET($M$6,W943,0)</f>
        <v>0.1861471690273355</v>
      </c>
      <c r="V943">
        <f t="shared" si="44"/>
        <v>937</v>
      </c>
      <c r="W943">
        <f t="shared" si="45"/>
        <v>13</v>
      </c>
      <c r="X943">
        <f t="shared" si="46"/>
        <v>28</v>
      </c>
      <c r="AC943" t="s">
        <v>469</v>
      </c>
      <c r="AD943" t="s">
        <v>489</v>
      </c>
      <c r="AE943" t="s">
        <v>474</v>
      </c>
      <c r="AF943">
        <f ca="1">OFFSET('Calculations 2'!$CE$45,W943,0)*OFFSET($AA$6,X943,0)*OFFSET($M$6,W943,)</f>
        <v>11.056139944037778</v>
      </c>
      <c r="AY943" t="s">
        <v>469</v>
      </c>
      <c r="AZ943" t="s">
        <v>489</v>
      </c>
      <c r="BA943" t="s">
        <v>474</v>
      </c>
      <c r="BB943">
        <v>0</v>
      </c>
      <c r="BE943" t="s">
        <v>469</v>
      </c>
      <c r="BF943" t="s">
        <v>489</v>
      </c>
      <c r="BG943" t="s">
        <v>474</v>
      </c>
      <c r="BH943">
        <v>0</v>
      </c>
      <c r="CT943" t="s">
        <v>469</v>
      </c>
      <c r="CU943" t="s">
        <v>474</v>
      </c>
      <c r="CV943">
        <f ca="1">OFFSET('Calculations 2'!$AJ$12,W943,X943)</f>
        <v>0</v>
      </c>
    </row>
    <row r="944" spans="17:100">
      <c r="Q944" t="s">
        <v>245</v>
      </c>
      <c r="R944" t="s">
        <v>489</v>
      </c>
      <c r="S944" t="s">
        <v>474</v>
      </c>
      <c r="T944">
        <f ca="1">OFFSET('Calculations 2'!$C$45,W944,X944)*OFFSET($M$6,W944,0)</f>
        <v>0.13930326086787445</v>
      </c>
      <c r="V944">
        <f t="shared" si="44"/>
        <v>938</v>
      </c>
      <c r="W944">
        <f t="shared" si="45"/>
        <v>14</v>
      </c>
      <c r="X944">
        <f t="shared" si="46"/>
        <v>28</v>
      </c>
      <c r="AC944" t="s">
        <v>245</v>
      </c>
      <c r="AD944" t="s">
        <v>489</v>
      </c>
      <c r="AE944" t="s">
        <v>474</v>
      </c>
      <c r="AF944">
        <f ca="1">OFFSET('Calculations 2'!$CE$45,W944,0)*OFFSET($AA$6,X944,0)*OFFSET($M$6,W944,)</f>
        <v>15.97068219162885</v>
      </c>
      <c r="AY944" t="s">
        <v>245</v>
      </c>
      <c r="AZ944" t="s">
        <v>489</v>
      </c>
      <c r="BA944" t="s">
        <v>474</v>
      </c>
      <c r="BB944">
        <v>0</v>
      </c>
      <c r="BE944" t="s">
        <v>245</v>
      </c>
      <c r="BF944" t="s">
        <v>489</v>
      </c>
      <c r="BG944" t="s">
        <v>474</v>
      </c>
      <c r="BH944">
        <v>0</v>
      </c>
      <c r="CT944" t="s">
        <v>245</v>
      </c>
      <c r="CU944" t="s">
        <v>474</v>
      </c>
      <c r="CV944">
        <f ca="1">OFFSET('Calculations 2'!$AJ$12,W944,X944)</f>
        <v>0</v>
      </c>
    </row>
    <row r="945" spans="17:100">
      <c r="Q945" t="s">
        <v>470</v>
      </c>
      <c r="R945" t="s">
        <v>489</v>
      </c>
      <c r="S945" t="s">
        <v>474</v>
      </c>
      <c r="T945">
        <f ca="1">OFFSET('Calculations 2'!$C$45,W945,X945)*OFFSET($M$6,W945,0)</f>
        <v>63.442360097852642</v>
      </c>
      <c r="V945">
        <f t="shared" si="44"/>
        <v>939</v>
      </c>
      <c r="W945">
        <f t="shared" si="45"/>
        <v>15</v>
      </c>
      <c r="X945">
        <f t="shared" si="46"/>
        <v>28</v>
      </c>
      <c r="AC945" t="s">
        <v>470</v>
      </c>
      <c r="AD945" t="s">
        <v>489</v>
      </c>
      <c r="AE945" t="s">
        <v>474</v>
      </c>
      <c r="AF945">
        <f ca="1">OFFSET('Calculations 2'!$CE$45,W945,0)*OFFSET($AA$6,X945,0)*OFFSET($M$6,W945,)</f>
        <v>43.487132343596812</v>
      </c>
      <c r="AY945" t="s">
        <v>470</v>
      </c>
      <c r="AZ945" t="s">
        <v>489</v>
      </c>
      <c r="BA945" t="s">
        <v>474</v>
      </c>
      <c r="BB945">
        <v>0</v>
      </c>
      <c r="BE945" t="s">
        <v>470</v>
      </c>
      <c r="BF945" t="s">
        <v>489</v>
      </c>
      <c r="BG945" t="s">
        <v>474</v>
      </c>
      <c r="BH945">
        <v>0</v>
      </c>
      <c r="CT945" t="s">
        <v>470</v>
      </c>
      <c r="CU945" t="s">
        <v>474</v>
      </c>
      <c r="CV945">
        <f ca="1">OFFSET('Calculations 2'!$AJ$12,W945,X945)</f>
        <v>0</v>
      </c>
    </row>
    <row r="946" spans="17:100">
      <c r="Q946" t="s">
        <v>471</v>
      </c>
      <c r="R946" t="s">
        <v>489</v>
      </c>
      <c r="S946" t="s">
        <v>474</v>
      </c>
      <c r="T946">
        <f ca="1">OFFSET('Calculations 2'!$C$45,W946,X946)*OFFSET($M$6,W946,0)</f>
        <v>2429.6091971184273</v>
      </c>
      <c r="V946">
        <f t="shared" si="44"/>
        <v>940</v>
      </c>
      <c r="W946">
        <f t="shared" si="45"/>
        <v>16</v>
      </c>
      <c r="X946">
        <f t="shared" si="46"/>
        <v>28</v>
      </c>
      <c r="AC946" t="s">
        <v>471</v>
      </c>
      <c r="AD946" t="s">
        <v>489</v>
      </c>
      <c r="AE946" t="s">
        <v>474</v>
      </c>
      <c r="AF946">
        <f ca="1">OFFSET('Calculations 2'!$CE$45,W946,0)*OFFSET($AA$6,X946,0)*OFFSET($M$6,W946,)</f>
        <v>0</v>
      </c>
      <c r="AY946" t="s">
        <v>471</v>
      </c>
      <c r="AZ946" t="s">
        <v>489</v>
      </c>
      <c r="BA946" t="s">
        <v>474</v>
      </c>
      <c r="BB946">
        <v>0</v>
      </c>
      <c r="BE946" t="s">
        <v>471</v>
      </c>
      <c r="BF946" t="s">
        <v>489</v>
      </c>
      <c r="BG946" t="s">
        <v>474</v>
      </c>
      <c r="BH946">
        <v>0</v>
      </c>
      <c r="CT946" t="s">
        <v>471</v>
      </c>
      <c r="CU946" t="s">
        <v>474</v>
      </c>
      <c r="CV946">
        <f ca="1">OFFSET('Calculations 2'!$AJ$12,W946,X946)</f>
        <v>0</v>
      </c>
    </row>
    <row r="947" spans="17:100">
      <c r="Q947" t="s">
        <v>221</v>
      </c>
      <c r="R947" t="s">
        <v>489</v>
      </c>
      <c r="S947" t="s">
        <v>474</v>
      </c>
      <c r="T947">
        <f ca="1">OFFSET('Calculations 2'!$C$45,W947,X947)*OFFSET($M$6,W947,0)</f>
        <v>1501.0534730112875</v>
      </c>
      <c r="V947">
        <f t="shared" si="44"/>
        <v>941</v>
      </c>
      <c r="W947">
        <f t="shared" si="45"/>
        <v>17</v>
      </c>
      <c r="X947">
        <f t="shared" si="46"/>
        <v>28</v>
      </c>
      <c r="AC947" t="s">
        <v>221</v>
      </c>
      <c r="AD947" t="s">
        <v>489</v>
      </c>
      <c r="AE947" t="s">
        <v>474</v>
      </c>
      <c r="AF947">
        <f ca="1">OFFSET('Calculations 2'!$CE$45,W947,0)*OFFSET($AA$6,X947,0)*OFFSET($M$6,W947,)</f>
        <v>1444.574716790702</v>
      </c>
      <c r="AY947" t="s">
        <v>221</v>
      </c>
      <c r="AZ947" t="s">
        <v>489</v>
      </c>
      <c r="BA947" t="s">
        <v>474</v>
      </c>
      <c r="BB947">
        <v>0</v>
      </c>
      <c r="BE947" t="s">
        <v>221</v>
      </c>
      <c r="BF947" t="s">
        <v>489</v>
      </c>
      <c r="BG947" t="s">
        <v>474</v>
      </c>
      <c r="BH947">
        <v>0</v>
      </c>
      <c r="CT947" t="s">
        <v>221</v>
      </c>
      <c r="CU947" t="s">
        <v>474</v>
      </c>
      <c r="CV947">
        <f ca="1">OFFSET('Calculations 2'!$AJ$12,W947,X947)</f>
        <v>0</v>
      </c>
    </row>
    <row r="948" spans="17:100">
      <c r="Q948" t="s">
        <v>244</v>
      </c>
      <c r="R948" t="s">
        <v>489</v>
      </c>
      <c r="S948" t="s">
        <v>474</v>
      </c>
      <c r="T948">
        <f ca="1">OFFSET('Calculations 2'!$C$45,W948,X948)*OFFSET($M$6,W948,0)</f>
        <v>434.94268574128546</v>
      </c>
      <c r="V948">
        <f t="shared" si="44"/>
        <v>942</v>
      </c>
      <c r="W948">
        <f t="shared" si="45"/>
        <v>18</v>
      </c>
      <c r="X948">
        <f t="shared" si="46"/>
        <v>28</v>
      </c>
      <c r="AC948" t="s">
        <v>244</v>
      </c>
      <c r="AD948" t="s">
        <v>489</v>
      </c>
      <c r="AE948" t="s">
        <v>474</v>
      </c>
      <c r="AF948">
        <f ca="1">OFFSET('Calculations 2'!$CE$45,W948,0)*OFFSET($AA$6,X948,0)*OFFSET($M$6,W948,)</f>
        <v>230.97786531696383</v>
      </c>
      <c r="AY948" t="s">
        <v>244</v>
      </c>
      <c r="AZ948" t="s">
        <v>489</v>
      </c>
      <c r="BA948" t="s">
        <v>474</v>
      </c>
      <c r="BB948">
        <v>0</v>
      </c>
      <c r="BE948" t="s">
        <v>244</v>
      </c>
      <c r="BF948" t="s">
        <v>489</v>
      </c>
      <c r="BG948" t="s">
        <v>474</v>
      </c>
      <c r="BH948">
        <v>0</v>
      </c>
      <c r="CT948" t="s">
        <v>244</v>
      </c>
      <c r="CU948" t="s">
        <v>474</v>
      </c>
      <c r="CV948">
        <f ca="1">OFFSET('Calculations 2'!$AJ$12,W948,X948)</f>
        <v>0</v>
      </c>
    </row>
    <row r="949" spans="17:100">
      <c r="Q949" t="s">
        <v>472</v>
      </c>
      <c r="R949" t="s">
        <v>489</v>
      </c>
      <c r="S949" t="s">
        <v>474</v>
      </c>
      <c r="T949">
        <f ca="1">OFFSET('Calculations 2'!$C$45,W949,X949)*OFFSET($M$6,W949,0)</f>
        <v>2504.2715933197301</v>
      </c>
      <c r="V949">
        <f t="shared" si="44"/>
        <v>943</v>
      </c>
      <c r="W949">
        <f t="shared" si="45"/>
        <v>19</v>
      </c>
      <c r="X949">
        <f t="shared" si="46"/>
        <v>28</v>
      </c>
      <c r="AC949" t="s">
        <v>472</v>
      </c>
      <c r="AD949" t="s">
        <v>489</v>
      </c>
      <c r="AE949" t="s">
        <v>474</v>
      </c>
      <c r="AF949">
        <f ca="1">OFFSET('Calculations 2'!$CE$45,W949,0)*OFFSET($AA$6,X949,0)*OFFSET($M$6,W949,)</f>
        <v>0</v>
      </c>
      <c r="AY949" t="s">
        <v>472</v>
      </c>
      <c r="AZ949" t="s">
        <v>489</v>
      </c>
      <c r="BA949" t="s">
        <v>474</v>
      </c>
      <c r="BB949">
        <v>0</v>
      </c>
      <c r="BE949" t="s">
        <v>472</v>
      </c>
      <c r="BF949" t="s">
        <v>489</v>
      </c>
      <c r="BG949" t="s">
        <v>474</v>
      </c>
      <c r="BH949">
        <v>0</v>
      </c>
      <c r="CT949" t="s">
        <v>472</v>
      </c>
      <c r="CU949" t="s">
        <v>474</v>
      </c>
      <c r="CV949">
        <f ca="1">OFFSET('Calculations 2'!$AJ$12,W949,X949)</f>
        <v>0</v>
      </c>
    </row>
    <row r="950" spans="17:100">
      <c r="Q950" t="s">
        <v>238</v>
      </c>
      <c r="R950" t="s">
        <v>489</v>
      </c>
      <c r="S950" t="s">
        <v>474</v>
      </c>
      <c r="T950">
        <f ca="1">OFFSET('Calculations 2'!$C$45,W950,X950)*OFFSET($M$6,W950,0)</f>
        <v>559.28771237474177</v>
      </c>
      <c r="V950">
        <f t="shared" si="44"/>
        <v>944</v>
      </c>
      <c r="W950">
        <f t="shared" si="45"/>
        <v>20</v>
      </c>
      <c r="X950">
        <f t="shared" si="46"/>
        <v>28</v>
      </c>
      <c r="AC950" t="s">
        <v>238</v>
      </c>
      <c r="AD950" t="s">
        <v>489</v>
      </c>
      <c r="AE950" t="s">
        <v>474</v>
      </c>
      <c r="AF950">
        <f ca="1">OFFSET('Calculations 2'!$CE$45,W950,0)*OFFSET($AA$6,X950,0)*OFFSET($M$6,W950,)</f>
        <v>0</v>
      </c>
      <c r="AY950" t="s">
        <v>238</v>
      </c>
      <c r="AZ950" t="s">
        <v>489</v>
      </c>
      <c r="BA950" t="s">
        <v>474</v>
      </c>
      <c r="BB950">
        <v>0</v>
      </c>
      <c r="BE950" t="s">
        <v>238</v>
      </c>
      <c r="BF950" t="s">
        <v>489</v>
      </c>
      <c r="BG950" t="s">
        <v>474</v>
      </c>
      <c r="BH950">
        <v>0</v>
      </c>
      <c r="CT950" t="s">
        <v>238</v>
      </c>
      <c r="CU950" t="s">
        <v>474</v>
      </c>
      <c r="CV950">
        <f ca="1">OFFSET('Calculations 2'!$AJ$12,W950,X950)</f>
        <v>0</v>
      </c>
    </row>
    <row r="951" spans="17:100">
      <c r="Q951" t="s">
        <v>247</v>
      </c>
      <c r="R951" t="s">
        <v>489</v>
      </c>
      <c r="S951" t="s">
        <v>474</v>
      </c>
      <c r="T951">
        <f ca="1">OFFSET('Calculations 2'!$C$45,W951,X951)*OFFSET($M$6,W951,0)</f>
        <v>0</v>
      </c>
      <c r="V951">
        <f t="shared" si="44"/>
        <v>945</v>
      </c>
      <c r="W951">
        <f t="shared" si="45"/>
        <v>21</v>
      </c>
      <c r="X951">
        <f t="shared" si="46"/>
        <v>28</v>
      </c>
      <c r="AC951" t="s">
        <v>247</v>
      </c>
      <c r="AD951" t="s">
        <v>489</v>
      </c>
      <c r="AE951" t="s">
        <v>474</v>
      </c>
      <c r="AF951">
        <f ca="1">OFFSET('Calculations 2'!$CE$45,W951,0)*OFFSET($AA$6,X951,0)*OFFSET($M$6,W951,)</f>
        <v>0</v>
      </c>
      <c r="AY951" t="s">
        <v>247</v>
      </c>
      <c r="AZ951" t="s">
        <v>489</v>
      </c>
      <c r="BA951" t="s">
        <v>474</v>
      </c>
      <c r="BB951">
        <v>0</v>
      </c>
      <c r="BE951" t="s">
        <v>247</v>
      </c>
      <c r="BF951" t="s">
        <v>489</v>
      </c>
      <c r="BG951" t="s">
        <v>474</v>
      </c>
      <c r="BH951">
        <v>0</v>
      </c>
      <c r="CT951" t="s">
        <v>247</v>
      </c>
      <c r="CU951" t="s">
        <v>474</v>
      </c>
      <c r="CV951">
        <f ca="1">OFFSET('Calculations 2'!$AJ$12,W951,X951)</f>
        <v>0</v>
      </c>
    </row>
    <row r="952" spans="17:100">
      <c r="Q952" t="s">
        <v>218</v>
      </c>
      <c r="R952" t="s">
        <v>489</v>
      </c>
      <c r="S952" t="s">
        <v>474</v>
      </c>
      <c r="T952">
        <f ca="1">OFFSET('Calculations 2'!$C$45,W952,X952)*OFFSET($M$6,W952,0)</f>
        <v>294.04842799317868</v>
      </c>
      <c r="V952">
        <f t="shared" si="44"/>
        <v>946</v>
      </c>
      <c r="W952">
        <f t="shared" si="45"/>
        <v>22</v>
      </c>
      <c r="X952">
        <f t="shared" si="46"/>
        <v>28</v>
      </c>
      <c r="AC952" t="s">
        <v>218</v>
      </c>
      <c r="AD952" t="s">
        <v>489</v>
      </c>
      <c r="AE952" t="s">
        <v>474</v>
      </c>
      <c r="AF952">
        <f ca="1">OFFSET('Calculations 2'!$CE$45,W952,0)*OFFSET($AA$6,X952,0)*OFFSET($M$6,W952,)</f>
        <v>0</v>
      </c>
      <c r="AY952" t="s">
        <v>218</v>
      </c>
      <c r="AZ952" t="s">
        <v>489</v>
      </c>
      <c r="BA952" t="s">
        <v>474</v>
      </c>
      <c r="BB952">
        <v>0</v>
      </c>
      <c r="BE952" t="s">
        <v>218</v>
      </c>
      <c r="BF952" t="s">
        <v>489</v>
      </c>
      <c r="BG952" t="s">
        <v>474</v>
      </c>
      <c r="BH952">
        <v>0</v>
      </c>
      <c r="CT952" t="s">
        <v>218</v>
      </c>
      <c r="CU952" t="s">
        <v>474</v>
      </c>
      <c r="CV952">
        <f ca="1">OFFSET('Calculations 2'!$AJ$12,W952,X952)</f>
        <v>0</v>
      </c>
    </row>
    <row r="953" spans="17:100">
      <c r="Q953" t="s">
        <v>257</v>
      </c>
      <c r="R953" t="s">
        <v>489</v>
      </c>
      <c r="S953" t="s">
        <v>474</v>
      </c>
      <c r="T953">
        <f ca="1">OFFSET('Calculations 2'!$C$45,W953,X953)*OFFSET($M$6,W953,0)</f>
        <v>0</v>
      </c>
      <c r="V953">
        <f t="shared" si="44"/>
        <v>947</v>
      </c>
      <c r="W953">
        <f t="shared" si="45"/>
        <v>23</v>
      </c>
      <c r="X953">
        <f t="shared" si="46"/>
        <v>28</v>
      </c>
      <c r="AC953" t="s">
        <v>257</v>
      </c>
      <c r="AD953" t="s">
        <v>489</v>
      </c>
      <c r="AE953" t="s">
        <v>474</v>
      </c>
      <c r="AF953">
        <f ca="1">OFFSET('Calculations 2'!$CE$45,W953,0)*OFFSET($AA$6,X953,0)*OFFSET($M$6,W953,)</f>
        <v>0</v>
      </c>
      <c r="AY953" t="s">
        <v>257</v>
      </c>
      <c r="AZ953" t="s">
        <v>489</v>
      </c>
      <c r="BA953" t="s">
        <v>474</v>
      </c>
      <c r="BB953">
        <v>0</v>
      </c>
      <c r="BE953" t="s">
        <v>257</v>
      </c>
      <c r="BF953" t="s">
        <v>489</v>
      </c>
      <c r="BG953" t="s">
        <v>474</v>
      </c>
      <c r="BH953">
        <v>0</v>
      </c>
      <c r="CT953" t="s">
        <v>257</v>
      </c>
      <c r="CU953" t="s">
        <v>474</v>
      </c>
      <c r="CV953">
        <f ca="1">OFFSET('Calculations 2'!$AJ$12,W953,X953)</f>
        <v>0</v>
      </c>
    </row>
    <row r="954" spans="17:100">
      <c r="Q954" t="s">
        <v>220</v>
      </c>
      <c r="R954" t="s">
        <v>489</v>
      </c>
      <c r="S954" t="s">
        <v>474</v>
      </c>
      <c r="T954">
        <f ca="1">OFFSET('Calculations 2'!$C$45,W954,X954)*OFFSET($M$6,W954,0)</f>
        <v>1083.447536888172</v>
      </c>
      <c r="V954">
        <f t="shared" si="44"/>
        <v>948</v>
      </c>
      <c r="W954">
        <f t="shared" si="45"/>
        <v>24</v>
      </c>
      <c r="X954">
        <f t="shared" si="46"/>
        <v>28</v>
      </c>
      <c r="AC954" t="s">
        <v>220</v>
      </c>
      <c r="AD954" t="s">
        <v>489</v>
      </c>
      <c r="AE954" t="s">
        <v>474</v>
      </c>
      <c r="AF954">
        <f ca="1">OFFSET('Calculations 2'!$CE$45,W954,0)*OFFSET($AA$6,X954,0)*OFFSET($M$6,W954,)</f>
        <v>0</v>
      </c>
      <c r="AY954" t="s">
        <v>220</v>
      </c>
      <c r="AZ954" t="s">
        <v>489</v>
      </c>
      <c r="BA954" t="s">
        <v>474</v>
      </c>
      <c r="BB954">
        <v>0</v>
      </c>
      <c r="BE954" t="s">
        <v>220</v>
      </c>
      <c r="BF954" t="s">
        <v>489</v>
      </c>
      <c r="BG954" t="s">
        <v>474</v>
      </c>
      <c r="BH954">
        <v>0</v>
      </c>
      <c r="CT954" t="s">
        <v>220</v>
      </c>
      <c r="CU954" t="s">
        <v>474</v>
      </c>
      <c r="CV954">
        <f ca="1">OFFSET('Calculations 2'!$AJ$12,W954,X954)</f>
        <v>0</v>
      </c>
    </row>
    <row r="955" spans="17:100">
      <c r="Q955" t="s">
        <v>235</v>
      </c>
      <c r="R955" t="s">
        <v>489</v>
      </c>
      <c r="S955" t="s">
        <v>474</v>
      </c>
      <c r="T955">
        <f ca="1">OFFSET('Calculations 2'!$C$45,W955,X955)*OFFSET($M$6,W955,0)</f>
        <v>3719.6512446557617</v>
      </c>
      <c r="V955">
        <f t="shared" si="44"/>
        <v>949</v>
      </c>
      <c r="W955">
        <f t="shared" si="45"/>
        <v>25</v>
      </c>
      <c r="X955">
        <f t="shared" si="46"/>
        <v>28</v>
      </c>
      <c r="AC955" t="s">
        <v>235</v>
      </c>
      <c r="AD955" t="s">
        <v>489</v>
      </c>
      <c r="AE955" t="s">
        <v>474</v>
      </c>
      <c r="AF955">
        <f ca="1">OFFSET('Calculations 2'!$CE$45,W955,0)*OFFSET($AA$6,X955,0)*OFFSET($M$6,W955,)</f>
        <v>0</v>
      </c>
      <c r="AY955" t="s">
        <v>235</v>
      </c>
      <c r="AZ955" t="s">
        <v>489</v>
      </c>
      <c r="BA955" t="s">
        <v>474</v>
      </c>
      <c r="BB955">
        <v>0</v>
      </c>
      <c r="BE955" t="s">
        <v>235</v>
      </c>
      <c r="BF955" t="s">
        <v>489</v>
      </c>
      <c r="BG955" t="s">
        <v>474</v>
      </c>
      <c r="BH955">
        <v>0</v>
      </c>
      <c r="CT955" t="s">
        <v>235</v>
      </c>
      <c r="CU955" t="s">
        <v>474</v>
      </c>
      <c r="CV955">
        <f ca="1">OFFSET('Calculations 2'!$AJ$12,W955,X955)</f>
        <v>0</v>
      </c>
    </row>
    <row r="956" spans="17:100">
      <c r="Q956" t="s">
        <v>473</v>
      </c>
      <c r="R956" t="s">
        <v>489</v>
      </c>
      <c r="S956" t="s">
        <v>474</v>
      </c>
      <c r="T956">
        <f ca="1">OFFSET('Calculations 2'!$C$45,W956,X956)*OFFSET($M$6,W956,0)</f>
        <v>262.6309976476474</v>
      </c>
      <c r="V956">
        <f t="shared" si="44"/>
        <v>950</v>
      </c>
      <c r="W956">
        <f t="shared" si="45"/>
        <v>26</v>
      </c>
      <c r="X956">
        <f t="shared" si="46"/>
        <v>28</v>
      </c>
      <c r="AC956" t="s">
        <v>473</v>
      </c>
      <c r="AD956" t="s">
        <v>489</v>
      </c>
      <c r="AE956" t="s">
        <v>474</v>
      </c>
      <c r="AF956">
        <f ca="1">OFFSET('Calculations 2'!$CE$45,W956,0)*OFFSET($AA$6,X956,0)*OFFSET($M$6,W956,)</f>
        <v>0</v>
      </c>
      <c r="AY956" t="s">
        <v>473</v>
      </c>
      <c r="AZ956" t="s">
        <v>489</v>
      </c>
      <c r="BA956" t="s">
        <v>474</v>
      </c>
      <c r="BB956">
        <v>0</v>
      </c>
      <c r="BE956" t="s">
        <v>473</v>
      </c>
      <c r="BF956" t="s">
        <v>489</v>
      </c>
      <c r="BG956" t="s">
        <v>474</v>
      </c>
      <c r="BH956">
        <v>0</v>
      </c>
      <c r="CT956" t="s">
        <v>473</v>
      </c>
      <c r="CU956" t="s">
        <v>474</v>
      </c>
      <c r="CV956">
        <f ca="1">OFFSET('Calculations 2'!$AJ$12,W956,X956)</f>
        <v>0</v>
      </c>
    </row>
    <row r="957" spans="17:100">
      <c r="Q957" t="s">
        <v>233</v>
      </c>
      <c r="R957" t="s">
        <v>489</v>
      </c>
      <c r="S957" t="s">
        <v>474</v>
      </c>
      <c r="T957">
        <f ca="1">OFFSET('Calculations 2'!$C$45,W957,X957)*OFFSET($M$6,W957,0)</f>
        <v>740.6669836897288</v>
      </c>
      <c r="V957">
        <f t="shared" si="44"/>
        <v>951</v>
      </c>
      <c r="W957">
        <f t="shared" si="45"/>
        <v>27</v>
      </c>
      <c r="X957">
        <f t="shared" si="46"/>
        <v>28</v>
      </c>
      <c r="AC957" t="s">
        <v>233</v>
      </c>
      <c r="AD957" t="s">
        <v>489</v>
      </c>
      <c r="AE957" t="s">
        <v>474</v>
      </c>
      <c r="AF957">
        <f ca="1">OFFSET('Calculations 2'!$CE$45,W957,0)*OFFSET($AA$6,X957,0)*OFFSET($M$6,W957,)</f>
        <v>0</v>
      </c>
      <c r="AY957" t="s">
        <v>233</v>
      </c>
      <c r="AZ957" t="s">
        <v>489</v>
      </c>
      <c r="BA957" t="s">
        <v>474</v>
      </c>
      <c r="BB957">
        <v>0</v>
      </c>
      <c r="BE957" t="s">
        <v>233</v>
      </c>
      <c r="BF957" t="s">
        <v>489</v>
      </c>
      <c r="BG957" t="s">
        <v>474</v>
      </c>
      <c r="BH957">
        <v>0</v>
      </c>
      <c r="CT957" t="s">
        <v>233</v>
      </c>
      <c r="CU957" t="s">
        <v>474</v>
      </c>
      <c r="CV957">
        <f ca="1">OFFSET('Calculations 2'!$AJ$12,W957,X957)</f>
        <v>0</v>
      </c>
    </row>
    <row r="958" spans="17:100">
      <c r="Q958" t="s">
        <v>474</v>
      </c>
      <c r="R958" t="s">
        <v>489</v>
      </c>
      <c r="S958" t="s">
        <v>474</v>
      </c>
      <c r="T958">
        <f ca="1">OFFSET('Calculations 2'!$C$45,W958,X958)*OFFSET($M$6,W958,0)</f>
        <v>736.89616587267665</v>
      </c>
      <c r="V958">
        <f t="shared" si="44"/>
        <v>952</v>
      </c>
      <c r="W958">
        <f t="shared" si="45"/>
        <v>28</v>
      </c>
      <c r="X958">
        <f t="shared" si="46"/>
        <v>28</v>
      </c>
      <c r="AC958" t="s">
        <v>474</v>
      </c>
      <c r="AD958" t="s">
        <v>489</v>
      </c>
      <c r="AE958" t="s">
        <v>474</v>
      </c>
      <c r="AF958">
        <f ca="1">OFFSET('Calculations 2'!$CE$45,W958,0)*OFFSET($AA$6,X958,0)*OFFSET($M$6,W958,)</f>
        <v>0</v>
      </c>
      <c r="AY958" t="s">
        <v>474</v>
      </c>
      <c r="AZ958" t="s">
        <v>489</v>
      </c>
      <c r="BA958" t="s">
        <v>474</v>
      </c>
      <c r="BB958">
        <v>0</v>
      </c>
      <c r="BE958" t="s">
        <v>474</v>
      </c>
      <c r="BF958" t="s">
        <v>489</v>
      </c>
      <c r="BG958" t="s">
        <v>474</v>
      </c>
      <c r="BH958">
        <v>0</v>
      </c>
      <c r="CT958" t="s">
        <v>474</v>
      </c>
      <c r="CU958" t="s">
        <v>474</v>
      </c>
      <c r="CV958">
        <f ca="1">OFFSET('Calculations 2'!$AJ$12,W958,X958)</f>
        <v>48821.366518956798</v>
      </c>
    </row>
    <row r="959" spans="17:100">
      <c r="Q959" t="s">
        <v>223</v>
      </c>
      <c r="R959" t="s">
        <v>489</v>
      </c>
      <c r="S959" t="s">
        <v>474</v>
      </c>
      <c r="T959">
        <f ca="1">OFFSET('Calculations 2'!$C$45,W959,X959)*OFFSET($M$6,W959,0)</f>
        <v>209.57345405691186</v>
      </c>
      <c r="V959">
        <f t="shared" si="44"/>
        <v>953</v>
      </c>
      <c r="W959">
        <f t="shared" si="45"/>
        <v>29</v>
      </c>
      <c r="X959">
        <f t="shared" si="46"/>
        <v>28</v>
      </c>
      <c r="AC959" t="s">
        <v>223</v>
      </c>
      <c r="AD959" t="s">
        <v>489</v>
      </c>
      <c r="AE959" t="s">
        <v>474</v>
      </c>
      <c r="AF959">
        <f ca="1">OFFSET('Calculations 2'!$CE$45,W959,0)*OFFSET($AA$6,X959,0)*OFFSET($M$6,W959,)</f>
        <v>0</v>
      </c>
      <c r="AY959" t="s">
        <v>223</v>
      </c>
      <c r="AZ959" t="s">
        <v>489</v>
      </c>
      <c r="BA959" t="s">
        <v>474</v>
      </c>
      <c r="BB959">
        <v>0</v>
      </c>
      <c r="BE959" t="s">
        <v>223</v>
      </c>
      <c r="BF959" t="s">
        <v>489</v>
      </c>
      <c r="BG959" t="s">
        <v>474</v>
      </c>
      <c r="BH959">
        <v>0</v>
      </c>
      <c r="CT959" t="s">
        <v>223</v>
      </c>
      <c r="CU959" t="s">
        <v>474</v>
      </c>
      <c r="CV959">
        <f ca="1">OFFSET('Calculations 2'!$AJ$12,W959,X959)</f>
        <v>0</v>
      </c>
    </row>
    <row r="960" spans="17:100">
      <c r="Q960" t="s">
        <v>475</v>
      </c>
      <c r="R960" t="s">
        <v>489</v>
      </c>
      <c r="S960" t="s">
        <v>474</v>
      </c>
      <c r="T960">
        <f ca="1">OFFSET('Calculations 2'!$C$45,W960,X960)*OFFSET($M$6,W960,0)</f>
        <v>0</v>
      </c>
      <c r="V960">
        <f t="shared" si="44"/>
        <v>954</v>
      </c>
      <c r="W960">
        <f t="shared" si="45"/>
        <v>30</v>
      </c>
      <c r="X960">
        <f t="shared" si="46"/>
        <v>28</v>
      </c>
      <c r="AC960" t="s">
        <v>475</v>
      </c>
      <c r="AD960" t="s">
        <v>489</v>
      </c>
      <c r="AE960" t="s">
        <v>474</v>
      </c>
      <c r="AF960">
        <f ca="1">OFFSET('Calculations 2'!$CE$45,W960,0)*OFFSET($AA$6,X960,0)*OFFSET($M$6,W960,)</f>
        <v>0</v>
      </c>
      <c r="AY960" t="s">
        <v>475</v>
      </c>
      <c r="AZ960" t="s">
        <v>489</v>
      </c>
      <c r="BA960" t="s">
        <v>474</v>
      </c>
      <c r="BB960">
        <v>0</v>
      </c>
      <c r="BE960" t="s">
        <v>475</v>
      </c>
      <c r="BF960" t="s">
        <v>489</v>
      </c>
      <c r="BG960" t="s">
        <v>474</v>
      </c>
      <c r="BH960">
        <v>0</v>
      </c>
      <c r="CT960" t="s">
        <v>475</v>
      </c>
      <c r="CU960" t="s">
        <v>474</v>
      </c>
      <c r="CV960">
        <f ca="1">OFFSET('Calculations 2'!$AJ$12,W960,X960)</f>
        <v>0</v>
      </c>
    </row>
    <row r="961" spans="17:100">
      <c r="Q961" t="s">
        <v>476</v>
      </c>
      <c r="R961" t="s">
        <v>489</v>
      </c>
      <c r="S961" t="s">
        <v>474</v>
      </c>
      <c r="T961">
        <f ca="1">OFFSET('Calculations 2'!$C$45,W961,X961)*OFFSET($M$6,W961,0)</f>
        <v>28.088886834106376</v>
      </c>
      <c r="V961">
        <f t="shared" si="44"/>
        <v>955</v>
      </c>
      <c r="W961">
        <f t="shared" si="45"/>
        <v>31</v>
      </c>
      <c r="X961">
        <f t="shared" si="46"/>
        <v>28</v>
      </c>
      <c r="AC961" t="s">
        <v>476</v>
      </c>
      <c r="AD961" t="s">
        <v>489</v>
      </c>
      <c r="AE961" t="s">
        <v>474</v>
      </c>
      <c r="AF961">
        <f ca="1">OFFSET('Calculations 2'!$CE$45,W961,0)*OFFSET($AA$6,X961,0)*OFFSET($M$6,W961,)</f>
        <v>0</v>
      </c>
      <c r="AY961" t="s">
        <v>476</v>
      </c>
      <c r="AZ961" t="s">
        <v>489</v>
      </c>
      <c r="BA961" t="s">
        <v>474</v>
      </c>
      <c r="BB961">
        <v>0</v>
      </c>
      <c r="BE961" t="s">
        <v>476</v>
      </c>
      <c r="BF961" t="s">
        <v>489</v>
      </c>
      <c r="BG961" t="s">
        <v>474</v>
      </c>
      <c r="BH961">
        <v>0</v>
      </c>
      <c r="CT961" t="s">
        <v>476</v>
      </c>
      <c r="CU961" t="s">
        <v>474</v>
      </c>
      <c r="CV961">
        <f ca="1">OFFSET('Calculations 2'!$AJ$12,W961,X961)</f>
        <v>0</v>
      </c>
    </row>
    <row r="962" spans="17:100">
      <c r="Q962" t="s">
        <v>222</v>
      </c>
      <c r="R962" t="s">
        <v>489</v>
      </c>
      <c r="S962" t="s">
        <v>474</v>
      </c>
      <c r="T962">
        <f ca="1">OFFSET('Calculations 2'!$C$45,W962,X962)*OFFSET($M$6,W962,0)</f>
        <v>0</v>
      </c>
      <c r="V962">
        <f t="shared" si="44"/>
        <v>956</v>
      </c>
      <c r="W962">
        <f t="shared" si="45"/>
        <v>32</v>
      </c>
      <c r="X962">
        <f t="shared" si="46"/>
        <v>28</v>
      </c>
      <c r="AC962" t="s">
        <v>222</v>
      </c>
      <c r="AD962" t="s">
        <v>489</v>
      </c>
      <c r="AE962" t="s">
        <v>474</v>
      </c>
      <c r="AF962">
        <f ca="1">OFFSET('Calculations 2'!$CE$45,W962,0)*OFFSET($AA$6,X962,0)*OFFSET($M$6,W962,)</f>
        <v>0</v>
      </c>
      <c r="AY962" t="s">
        <v>222</v>
      </c>
      <c r="AZ962" t="s">
        <v>489</v>
      </c>
      <c r="BA962" t="s">
        <v>474</v>
      </c>
      <c r="BB962">
        <v>0</v>
      </c>
      <c r="BE962" t="s">
        <v>222</v>
      </c>
      <c r="BF962" t="s">
        <v>489</v>
      </c>
      <c r="BG962" t="s">
        <v>474</v>
      </c>
      <c r="BH962">
        <v>0</v>
      </c>
      <c r="CT962" t="s">
        <v>222</v>
      </c>
      <c r="CU962" t="s">
        <v>474</v>
      </c>
      <c r="CV962">
        <f ca="1">OFFSET('Calculations 2'!$AJ$12,W962,X962)</f>
        <v>0</v>
      </c>
    </row>
    <row r="963" spans="17:100">
      <c r="Q963" t="s">
        <v>217</v>
      </c>
      <c r="R963" t="s">
        <v>489</v>
      </c>
      <c r="S963" t="s">
        <v>223</v>
      </c>
      <c r="T963">
        <f ca="1">OFFSET('Calculations 2'!$C$45,W963,X963)*OFFSET($M$6,W963,0)</f>
        <v>0</v>
      </c>
      <c r="V963">
        <f t="shared" si="44"/>
        <v>957</v>
      </c>
      <c r="W963">
        <f t="shared" si="45"/>
        <v>0</v>
      </c>
      <c r="X963">
        <f t="shared" si="46"/>
        <v>29</v>
      </c>
      <c r="AC963" t="s">
        <v>217</v>
      </c>
      <c r="AD963" t="s">
        <v>489</v>
      </c>
      <c r="AE963" t="s">
        <v>223</v>
      </c>
      <c r="AF963">
        <f ca="1">OFFSET('Calculations 2'!$CE$45,W963,0)*OFFSET($AA$6,X963,0)*OFFSET($M$6,W963,)</f>
        <v>0.16151616573908398</v>
      </c>
      <c r="AY963" t="s">
        <v>217</v>
      </c>
      <c r="AZ963" t="s">
        <v>489</v>
      </c>
      <c r="BA963" t="s">
        <v>223</v>
      </c>
      <c r="BB963">
        <v>0</v>
      </c>
      <c r="BE963" t="s">
        <v>217</v>
      </c>
      <c r="BF963" t="s">
        <v>489</v>
      </c>
      <c r="BG963" t="s">
        <v>223</v>
      </c>
      <c r="BH963">
        <v>0</v>
      </c>
      <c r="CT963" t="s">
        <v>217</v>
      </c>
      <c r="CU963" t="s">
        <v>223</v>
      </c>
      <c r="CV963">
        <f ca="1">OFFSET('Calculations 2'!$AJ$12,W963,X963)</f>
        <v>0</v>
      </c>
    </row>
    <row r="964" spans="17:100">
      <c r="Q964" t="s">
        <v>232</v>
      </c>
      <c r="R964" t="s">
        <v>489</v>
      </c>
      <c r="S964" t="s">
        <v>223</v>
      </c>
      <c r="T964">
        <f ca="1">OFFSET('Calculations 2'!$C$45,W964,X964)*OFFSET($M$6,W964,0)</f>
        <v>0</v>
      </c>
      <c r="V964">
        <f t="shared" si="44"/>
        <v>958</v>
      </c>
      <c r="W964">
        <f t="shared" si="45"/>
        <v>1</v>
      </c>
      <c r="X964">
        <f t="shared" si="46"/>
        <v>29</v>
      </c>
      <c r="AC964" t="s">
        <v>232</v>
      </c>
      <c r="AD964" t="s">
        <v>489</v>
      </c>
      <c r="AE964" t="s">
        <v>223</v>
      </c>
      <c r="AF964">
        <f ca="1">OFFSET('Calculations 2'!$CE$45,W964,0)*OFFSET($AA$6,X964,0)*OFFSET($M$6,W964,)</f>
        <v>0.28175174236403117</v>
      </c>
      <c r="AY964" t="s">
        <v>232</v>
      </c>
      <c r="AZ964" t="s">
        <v>489</v>
      </c>
      <c r="BA964" t="s">
        <v>223</v>
      </c>
      <c r="BB964">
        <v>0</v>
      </c>
      <c r="BE964" t="s">
        <v>232</v>
      </c>
      <c r="BF964" t="s">
        <v>489</v>
      </c>
      <c r="BG964" t="s">
        <v>223</v>
      </c>
      <c r="BH964">
        <v>0</v>
      </c>
      <c r="CT964" t="s">
        <v>232</v>
      </c>
      <c r="CU964" t="s">
        <v>223</v>
      </c>
      <c r="CV964">
        <f ca="1">OFFSET('Calculations 2'!$AJ$12,W964,X964)</f>
        <v>0</v>
      </c>
    </row>
    <row r="965" spans="17:100">
      <c r="Q965" t="s">
        <v>226</v>
      </c>
      <c r="R965" t="s">
        <v>489</v>
      </c>
      <c r="S965" t="s">
        <v>223</v>
      </c>
      <c r="T965">
        <f ca="1">OFFSET('Calculations 2'!$C$45,W965,X965)*OFFSET($M$6,W965,0)</f>
        <v>2.0183938953295439</v>
      </c>
      <c r="V965">
        <f t="shared" si="44"/>
        <v>959</v>
      </c>
      <c r="W965">
        <f t="shared" si="45"/>
        <v>2</v>
      </c>
      <c r="X965">
        <f t="shared" si="46"/>
        <v>29</v>
      </c>
      <c r="AC965" t="s">
        <v>226</v>
      </c>
      <c r="AD965" t="s">
        <v>489</v>
      </c>
      <c r="AE965" t="s">
        <v>223</v>
      </c>
      <c r="AF965">
        <f ca="1">OFFSET('Calculations 2'!$CE$45,W965,0)*OFFSET($AA$6,X965,0)*OFFSET($M$6,W965,)</f>
        <v>0.47441060642254651</v>
      </c>
      <c r="AY965" t="s">
        <v>226</v>
      </c>
      <c r="AZ965" t="s">
        <v>489</v>
      </c>
      <c r="BA965" t="s">
        <v>223</v>
      </c>
      <c r="BB965">
        <v>0</v>
      </c>
      <c r="BE965" t="s">
        <v>226</v>
      </c>
      <c r="BF965" t="s">
        <v>489</v>
      </c>
      <c r="BG965" t="s">
        <v>223</v>
      </c>
      <c r="BH965">
        <v>0</v>
      </c>
      <c r="CT965" t="s">
        <v>226</v>
      </c>
      <c r="CU965" t="s">
        <v>223</v>
      </c>
      <c r="CV965">
        <f ca="1">OFFSET('Calculations 2'!$AJ$12,W965,X965)</f>
        <v>0</v>
      </c>
    </row>
    <row r="966" spans="17:100">
      <c r="Q966" t="s">
        <v>243</v>
      </c>
      <c r="R966" t="s">
        <v>489</v>
      </c>
      <c r="S966" t="s">
        <v>223</v>
      </c>
      <c r="T966">
        <f ca="1">OFFSET('Calculations 2'!$C$45,W966,X966)*OFFSET($M$6,W966,0)</f>
        <v>1.8707338228670258</v>
      </c>
      <c r="V966">
        <f t="shared" si="44"/>
        <v>960</v>
      </c>
      <c r="W966">
        <f t="shared" si="45"/>
        <v>3</v>
      </c>
      <c r="X966">
        <f t="shared" si="46"/>
        <v>29</v>
      </c>
      <c r="AC966" t="s">
        <v>243</v>
      </c>
      <c r="AD966" t="s">
        <v>489</v>
      </c>
      <c r="AE966" t="s">
        <v>223</v>
      </c>
      <c r="AF966">
        <f ca="1">OFFSET('Calculations 2'!$CE$45,W966,0)*OFFSET($AA$6,X966,0)*OFFSET($M$6,W966,)</f>
        <v>2.4711361143958559</v>
      </c>
      <c r="AY966" t="s">
        <v>243</v>
      </c>
      <c r="AZ966" t="s">
        <v>489</v>
      </c>
      <c r="BA966" t="s">
        <v>223</v>
      </c>
      <c r="BB966">
        <v>0</v>
      </c>
      <c r="BE966" t="s">
        <v>243</v>
      </c>
      <c r="BF966" t="s">
        <v>489</v>
      </c>
      <c r="BG966" t="s">
        <v>223</v>
      </c>
      <c r="BH966">
        <v>0</v>
      </c>
      <c r="CT966" t="s">
        <v>243</v>
      </c>
      <c r="CU966" t="s">
        <v>223</v>
      </c>
      <c r="CV966">
        <f ca="1">OFFSET('Calculations 2'!$AJ$12,W966,X966)</f>
        <v>0</v>
      </c>
    </row>
    <row r="967" spans="17:100">
      <c r="Q967" t="s">
        <v>228</v>
      </c>
      <c r="R967" t="s">
        <v>489</v>
      </c>
      <c r="S967" t="s">
        <v>223</v>
      </c>
      <c r="T967">
        <f ca="1">OFFSET('Calculations 2'!$C$45,W967,X967)*OFFSET($M$6,W967,0)</f>
        <v>0</v>
      </c>
      <c r="V967">
        <f t="shared" si="44"/>
        <v>961</v>
      </c>
      <c r="W967">
        <f t="shared" si="45"/>
        <v>4</v>
      </c>
      <c r="X967">
        <f t="shared" si="46"/>
        <v>29</v>
      </c>
      <c r="AC967" t="s">
        <v>228</v>
      </c>
      <c r="AD967" t="s">
        <v>489</v>
      </c>
      <c r="AE967" t="s">
        <v>223</v>
      </c>
      <c r="AF967">
        <f ca="1">OFFSET('Calculations 2'!$CE$45,W967,0)*OFFSET($AA$6,X967,0)*OFFSET($M$6,W967,)</f>
        <v>1.7534499142499126E-2</v>
      </c>
      <c r="AY967" t="s">
        <v>228</v>
      </c>
      <c r="AZ967" t="s">
        <v>489</v>
      </c>
      <c r="BA967" t="s">
        <v>223</v>
      </c>
      <c r="BB967">
        <v>0</v>
      </c>
      <c r="BE967" t="s">
        <v>228</v>
      </c>
      <c r="BF967" t="s">
        <v>489</v>
      </c>
      <c r="BG967" t="s">
        <v>223</v>
      </c>
      <c r="BH967">
        <v>0</v>
      </c>
      <c r="CT967" t="s">
        <v>228</v>
      </c>
      <c r="CU967" t="s">
        <v>223</v>
      </c>
      <c r="CV967">
        <f ca="1">OFFSET('Calculations 2'!$AJ$12,W967,X967)</f>
        <v>0</v>
      </c>
    </row>
    <row r="968" spans="17:100">
      <c r="Q968" t="s">
        <v>246</v>
      </c>
      <c r="R968" t="s">
        <v>489</v>
      </c>
      <c r="S968" t="s">
        <v>223</v>
      </c>
      <c r="T968">
        <f ca="1">OFFSET('Calculations 2'!$C$45,W968,X968)*OFFSET($M$6,W968,0)</f>
        <v>0</v>
      </c>
      <c r="V968">
        <f t="shared" ref="V968:V1031" si="47">V967+1</f>
        <v>962</v>
      </c>
      <c r="W968">
        <f t="shared" ref="W968:W1031" si="48">MOD(V968,$V$3)</f>
        <v>5</v>
      </c>
      <c r="X968">
        <f t="shared" ref="X968:X1031" si="49">FLOOR(V968/$V$3,1)</f>
        <v>29</v>
      </c>
      <c r="AC968" t="s">
        <v>246</v>
      </c>
      <c r="AD968" t="s">
        <v>489</v>
      </c>
      <c r="AE968" t="s">
        <v>223</v>
      </c>
      <c r="AF968">
        <f ca="1">OFFSET('Calculations 2'!$CE$45,W968,0)*OFFSET($AA$6,X968,0)*OFFSET($M$6,W968,)</f>
        <v>0.10794215135794159</v>
      </c>
      <c r="AY968" t="s">
        <v>246</v>
      </c>
      <c r="AZ968" t="s">
        <v>489</v>
      </c>
      <c r="BA968" t="s">
        <v>223</v>
      </c>
      <c r="BB968">
        <v>0</v>
      </c>
      <c r="BE968" t="s">
        <v>246</v>
      </c>
      <c r="BF968" t="s">
        <v>489</v>
      </c>
      <c r="BG968" t="s">
        <v>223</v>
      </c>
      <c r="BH968">
        <v>0</v>
      </c>
      <c r="CT968" t="s">
        <v>246</v>
      </c>
      <c r="CU968" t="s">
        <v>223</v>
      </c>
      <c r="CV968">
        <f ca="1">OFFSET('Calculations 2'!$AJ$12,W968,X968)</f>
        <v>0</v>
      </c>
    </row>
    <row r="969" spans="17:100">
      <c r="Q969" t="s">
        <v>239</v>
      </c>
      <c r="R969" t="s">
        <v>489</v>
      </c>
      <c r="S969" t="s">
        <v>223</v>
      </c>
      <c r="T969">
        <f ca="1">OFFSET('Calculations 2'!$C$45,W969,X969)*OFFSET($M$6,W969,0)</f>
        <v>382.08369470538963</v>
      </c>
      <c r="V969">
        <f t="shared" si="47"/>
        <v>963</v>
      </c>
      <c r="W969">
        <f t="shared" si="48"/>
        <v>6</v>
      </c>
      <c r="X969">
        <f t="shared" si="49"/>
        <v>29</v>
      </c>
      <c r="AC969" t="s">
        <v>239</v>
      </c>
      <c r="AD969" t="s">
        <v>489</v>
      </c>
      <c r="AE969" t="s">
        <v>223</v>
      </c>
      <c r="AF969">
        <f ca="1">OFFSET('Calculations 2'!$CE$45,W969,0)*OFFSET($AA$6,X969,0)*OFFSET($M$6,W969,)</f>
        <v>2.1605292082068823</v>
      </c>
      <c r="AY969" t="s">
        <v>239</v>
      </c>
      <c r="AZ969" t="s">
        <v>489</v>
      </c>
      <c r="BA969" t="s">
        <v>223</v>
      </c>
      <c r="BB969">
        <v>0</v>
      </c>
      <c r="BE969" t="s">
        <v>239</v>
      </c>
      <c r="BF969" t="s">
        <v>489</v>
      </c>
      <c r="BG969" t="s">
        <v>223</v>
      </c>
      <c r="BH969">
        <v>0</v>
      </c>
      <c r="CT969" t="s">
        <v>239</v>
      </c>
      <c r="CU969" t="s">
        <v>223</v>
      </c>
      <c r="CV969">
        <f ca="1">OFFSET('Calculations 2'!$AJ$12,W969,X969)</f>
        <v>0</v>
      </c>
    </row>
    <row r="970" spans="17:100">
      <c r="Q970" t="s">
        <v>466</v>
      </c>
      <c r="R970" t="s">
        <v>489</v>
      </c>
      <c r="S970" t="s">
        <v>223</v>
      </c>
      <c r="T970">
        <f ca="1">OFFSET('Calculations 2'!$C$45,W970,X970)*OFFSET($M$6,W970,0)</f>
        <v>22.263995261071159</v>
      </c>
      <c r="V970">
        <f t="shared" si="47"/>
        <v>964</v>
      </c>
      <c r="W970">
        <f t="shared" si="48"/>
        <v>7</v>
      </c>
      <c r="X970">
        <f t="shared" si="49"/>
        <v>29</v>
      </c>
      <c r="AC970" t="s">
        <v>466</v>
      </c>
      <c r="AD970" t="s">
        <v>489</v>
      </c>
      <c r="AE970" t="s">
        <v>223</v>
      </c>
      <c r="AF970">
        <f ca="1">OFFSET('Calculations 2'!$CE$45,W970,0)*OFFSET($AA$6,X970,0)*OFFSET($M$6,W970,)</f>
        <v>0.32922283988798051</v>
      </c>
      <c r="AY970" t="s">
        <v>466</v>
      </c>
      <c r="AZ970" t="s">
        <v>489</v>
      </c>
      <c r="BA970" t="s">
        <v>223</v>
      </c>
      <c r="BB970">
        <v>0</v>
      </c>
      <c r="BE970" t="s">
        <v>466</v>
      </c>
      <c r="BF970" t="s">
        <v>489</v>
      </c>
      <c r="BG970" t="s">
        <v>223</v>
      </c>
      <c r="BH970">
        <v>0</v>
      </c>
      <c r="CT970" t="s">
        <v>466</v>
      </c>
      <c r="CU970" t="s">
        <v>223</v>
      </c>
      <c r="CV970">
        <f ca="1">OFFSET('Calculations 2'!$AJ$12,W970,X970)</f>
        <v>0</v>
      </c>
    </row>
    <row r="971" spans="17:100">
      <c r="Q971" t="s">
        <v>219</v>
      </c>
      <c r="R971" t="s">
        <v>489</v>
      </c>
      <c r="S971" t="s">
        <v>223</v>
      </c>
      <c r="T971">
        <f ca="1">OFFSET('Calculations 2'!$C$45,W971,X971)*OFFSET($M$6,W971,0)</f>
        <v>0.73521707622500321</v>
      </c>
      <c r="V971">
        <f t="shared" si="47"/>
        <v>965</v>
      </c>
      <c r="W971">
        <f t="shared" si="48"/>
        <v>8</v>
      </c>
      <c r="X971">
        <f t="shared" si="49"/>
        <v>29</v>
      </c>
      <c r="AC971" t="s">
        <v>219</v>
      </c>
      <c r="AD971" t="s">
        <v>489</v>
      </c>
      <c r="AE971" t="s">
        <v>223</v>
      </c>
      <c r="AF971">
        <f ca="1">OFFSET('Calculations 2'!$CE$45,W971,0)*OFFSET($AA$6,X971,0)*OFFSET($M$6,W971,)</f>
        <v>2.0501378989693251</v>
      </c>
      <c r="AY971" t="s">
        <v>219</v>
      </c>
      <c r="AZ971" t="s">
        <v>489</v>
      </c>
      <c r="BA971" t="s">
        <v>223</v>
      </c>
      <c r="BB971">
        <v>0</v>
      </c>
      <c r="BE971" t="s">
        <v>219</v>
      </c>
      <c r="BF971" t="s">
        <v>489</v>
      </c>
      <c r="BG971" t="s">
        <v>223</v>
      </c>
      <c r="BH971">
        <v>0</v>
      </c>
      <c r="CT971" t="s">
        <v>219</v>
      </c>
      <c r="CU971" t="s">
        <v>223</v>
      </c>
      <c r="CV971">
        <f ca="1">OFFSET('Calculations 2'!$AJ$12,W971,X971)</f>
        <v>0</v>
      </c>
    </row>
    <row r="972" spans="17:100">
      <c r="Q972" t="s">
        <v>242</v>
      </c>
      <c r="R972" t="s">
        <v>489</v>
      </c>
      <c r="S972" t="s">
        <v>223</v>
      </c>
      <c r="T972">
        <f ca="1">OFFSET('Calculations 2'!$C$45,W972,X972)*OFFSET($M$6,W972,0)</f>
        <v>0</v>
      </c>
      <c r="V972">
        <f t="shared" si="47"/>
        <v>966</v>
      </c>
      <c r="W972">
        <f t="shared" si="48"/>
        <v>9</v>
      </c>
      <c r="X972">
        <f t="shared" si="49"/>
        <v>29</v>
      </c>
      <c r="AC972" t="s">
        <v>242</v>
      </c>
      <c r="AD972" t="s">
        <v>489</v>
      </c>
      <c r="AE972" t="s">
        <v>223</v>
      </c>
      <c r="AF972">
        <f ca="1">OFFSET('Calculations 2'!$CE$45,W972,0)*OFFSET($AA$6,X972,0)*OFFSET($M$6,W972,)</f>
        <v>3.2092931873153345</v>
      </c>
      <c r="AY972" t="s">
        <v>242</v>
      </c>
      <c r="AZ972" t="s">
        <v>489</v>
      </c>
      <c r="BA972" t="s">
        <v>223</v>
      </c>
      <c r="BB972">
        <v>0</v>
      </c>
      <c r="BE972" t="s">
        <v>242</v>
      </c>
      <c r="BF972" t="s">
        <v>489</v>
      </c>
      <c r="BG972" t="s">
        <v>223</v>
      </c>
      <c r="BH972">
        <v>0</v>
      </c>
      <c r="CT972" t="s">
        <v>242</v>
      </c>
      <c r="CU972" t="s">
        <v>223</v>
      </c>
      <c r="CV972">
        <f ca="1">OFFSET('Calculations 2'!$AJ$12,W972,X972)</f>
        <v>0</v>
      </c>
    </row>
    <row r="973" spans="17:100">
      <c r="Q973" t="s">
        <v>467</v>
      </c>
      <c r="R973" t="s">
        <v>489</v>
      </c>
      <c r="S973" t="s">
        <v>223</v>
      </c>
      <c r="T973">
        <f ca="1">OFFSET('Calculations 2'!$C$45,W973,X973)*OFFSET($M$6,W973,0)</f>
        <v>7.2355631108489069E-2</v>
      </c>
      <c r="V973">
        <f t="shared" si="47"/>
        <v>967</v>
      </c>
      <c r="W973">
        <f t="shared" si="48"/>
        <v>10</v>
      </c>
      <c r="X973">
        <f t="shared" si="49"/>
        <v>29</v>
      </c>
      <c r="AC973" t="s">
        <v>467</v>
      </c>
      <c r="AD973" t="s">
        <v>489</v>
      </c>
      <c r="AE973" t="s">
        <v>223</v>
      </c>
      <c r="AF973">
        <f ca="1">OFFSET('Calculations 2'!$CE$45,W973,0)*OFFSET($AA$6,X973,0)*OFFSET($M$6,W973,)</f>
        <v>2.9730112312142714</v>
      </c>
      <c r="AY973" t="s">
        <v>467</v>
      </c>
      <c r="AZ973" t="s">
        <v>489</v>
      </c>
      <c r="BA973" t="s">
        <v>223</v>
      </c>
      <c r="BB973">
        <v>0</v>
      </c>
      <c r="BE973" t="s">
        <v>467</v>
      </c>
      <c r="BF973" t="s">
        <v>489</v>
      </c>
      <c r="BG973" t="s">
        <v>223</v>
      </c>
      <c r="BH973">
        <v>0</v>
      </c>
      <c r="CT973" t="s">
        <v>467</v>
      </c>
      <c r="CU973" t="s">
        <v>223</v>
      </c>
      <c r="CV973">
        <f ca="1">OFFSET('Calculations 2'!$AJ$12,W973,X973)</f>
        <v>0</v>
      </c>
    </row>
    <row r="974" spans="17:100">
      <c r="Q974" t="s">
        <v>231</v>
      </c>
      <c r="R974" t="s">
        <v>489</v>
      </c>
      <c r="S974" t="s">
        <v>223</v>
      </c>
      <c r="T974">
        <f ca="1">OFFSET('Calculations 2'!$C$45,W974,X974)*OFFSET($M$6,W974,0)</f>
        <v>0</v>
      </c>
      <c r="V974">
        <f t="shared" si="47"/>
        <v>968</v>
      </c>
      <c r="W974">
        <f t="shared" si="48"/>
        <v>11</v>
      </c>
      <c r="X974">
        <f t="shared" si="49"/>
        <v>29</v>
      </c>
      <c r="AC974" t="s">
        <v>231</v>
      </c>
      <c r="AD974" t="s">
        <v>489</v>
      </c>
      <c r="AE974" t="s">
        <v>223</v>
      </c>
      <c r="AF974">
        <f ca="1">OFFSET('Calculations 2'!$CE$45,W974,0)*OFFSET($AA$6,X974,0)*OFFSET($M$6,W974,)</f>
        <v>8.6955438380439887</v>
      </c>
      <c r="AY974" t="s">
        <v>231</v>
      </c>
      <c r="AZ974" t="s">
        <v>489</v>
      </c>
      <c r="BA974" t="s">
        <v>223</v>
      </c>
      <c r="BB974">
        <v>0</v>
      </c>
      <c r="BE974" t="s">
        <v>231</v>
      </c>
      <c r="BF974" t="s">
        <v>489</v>
      </c>
      <c r="BG974" t="s">
        <v>223</v>
      </c>
      <c r="BH974">
        <v>0</v>
      </c>
      <c r="CT974" t="s">
        <v>231</v>
      </c>
      <c r="CU974" t="s">
        <v>223</v>
      </c>
      <c r="CV974">
        <f ca="1">OFFSET('Calculations 2'!$AJ$12,W974,X974)</f>
        <v>0</v>
      </c>
    </row>
    <row r="975" spans="17:100">
      <c r="Q975" t="s">
        <v>468</v>
      </c>
      <c r="R975" t="s">
        <v>489</v>
      </c>
      <c r="S975" t="s">
        <v>223</v>
      </c>
      <c r="T975">
        <f ca="1">OFFSET('Calculations 2'!$C$45,W975,X975)*OFFSET($M$6,W975,0)</f>
        <v>0.87791445080573471</v>
      </c>
      <c r="V975">
        <f t="shared" si="47"/>
        <v>969</v>
      </c>
      <c r="W975">
        <f t="shared" si="48"/>
        <v>12</v>
      </c>
      <c r="X975">
        <f t="shared" si="49"/>
        <v>29</v>
      </c>
      <c r="AC975" t="s">
        <v>468</v>
      </c>
      <c r="AD975" t="s">
        <v>489</v>
      </c>
      <c r="AE975" t="s">
        <v>223</v>
      </c>
      <c r="AF975">
        <f ca="1">OFFSET('Calculations 2'!$CE$45,W975,0)*OFFSET($AA$6,X975,0)*OFFSET($M$6,W975,)</f>
        <v>12.586114306859479</v>
      </c>
      <c r="AY975" t="s">
        <v>468</v>
      </c>
      <c r="AZ975" t="s">
        <v>489</v>
      </c>
      <c r="BA975" t="s">
        <v>223</v>
      </c>
      <c r="BB975">
        <v>0</v>
      </c>
      <c r="BE975" t="s">
        <v>468</v>
      </c>
      <c r="BF975" t="s">
        <v>489</v>
      </c>
      <c r="BG975" t="s">
        <v>223</v>
      </c>
      <c r="BH975">
        <v>0</v>
      </c>
      <c r="CT975" t="s">
        <v>468</v>
      </c>
      <c r="CU975" t="s">
        <v>223</v>
      </c>
      <c r="CV975">
        <f ca="1">OFFSET('Calculations 2'!$AJ$12,W975,X975)</f>
        <v>0</v>
      </c>
    </row>
    <row r="976" spans="17:100">
      <c r="Q976" t="s">
        <v>469</v>
      </c>
      <c r="R976" t="s">
        <v>489</v>
      </c>
      <c r="S976" t="s">
        <v>223</v>
      </c>
      <c r="T976">
        <f ca="1">OFFSET('Calculations 2'!$C$45,W976,X976)*OFFSET($M$6,W976,0)</f>
        <v>6.1889660845754471E-3</v>
      </c>
      <c r="V976">
        <f t="shared" si="47"/>
        <v>970</v>
      </c>
      <c r="W976">
        <f t="shared" si="48"/>
        <v>13</v>
      </c>
      <c r="X976">
        <f t="shared" si="49"/>
        <v>29</v>
      </c>
      <c r="AC976" t="s">
        <v>469</v>
      </c>
      <c r="AD976" t="s">
        <v>489</v>
      </c>
      <c r="AE976" t="s">
        <v>223</v>
      </c>
      <c r="AF976">
        <f ca="1">OFFSET('Calculations 2'!$CE$45,W976,0)*OFFSET($AA$6,X976,0)*OFFSET($M$6,W976,)</f>
        <v>2.618184857837226</v>
      </c>
      <c r="AY976" t="s">
        <v>469</v>
      </c>
      <c r="AZ976" t="s">
        <v>489</v>
      </c>
      <c r="BA976" t="s">
        <v>223</v>
      </c>
      <c r="BB976">
        <v>0</v>
      </c>
      <c r="BE976" t="s">
        <v>469</v>
      </c>
      <c r="BF976" t="s">
        <v>489</v>
      </c>
      <c r="BG976" t="s">
        <v>223</v>
      </c>
      <c r="BH976">
        <v>0</v>
      </c>
      <c r="CT976" t="s">
        <v>469</v>
      </c>
      <c r="CU976" t="s">
        <v>223</v>
      </c>
      <c r="CV976">
        <f ca="1">OFFSET('Calculations 2'!$AJ$12,W976,X976)</f>
        <v>0</v>
      </c>
    </row>
    <row r="977" spans="17:100">
      <c r="Q977" t="s">
        <v>245</v>
      </c>
      <c r="R977" t="s">
        <v>489</v>
      </c>
      <c r="S977" t="s">
        <v>223</v>
      </c>
      <c r="T977">
        <f ca="1">OFFSET('Calculations 2'!$C$45,W977,X977)*OFFSET($M$6,W977,0)</f>
        <v>3.8972509020241811E-2</v>
      </c>
      <c r="V977">
        <f t="shared" si="47"/>
        <v>971</v>
      </c>
      <c r="W977">
        <f t="shared" si="48"/>
        <v>14</v>
      </c>
      <c r="X977">
        <f t="shared" si="49"/>
        <v>29</v>
      </c>
      <c r="AC977" t="s">
        <v>245</v>
      </c>
      <c r="AD977" t="s">
        <v>489</v>
      </c>
      <c r="AE977" t="s">
        <v>223</v>
      </c>
      <c r="AF977">
        <f ca="1">OFFSET('Calculations 2'!$CE$45,W977,0)*OFFSET($AA$6,X977,0)*OFFSET($M$6,W977,)</f>
        <v>3.7819888763258964</v>
      </c>
      <c r="AY977" t="s">
        <v>245</v>
      </c>
      <c r="AZ977" t="s">
        <v>489</v>
      </c>
      <c r="BA977" t="s">
        <v>223</v>
      </c>
      <c r="BB977">
        <v>0</v>
      </c>
      <c r="BE977" t="s">
        <v>245</v>
      </c>
      <c r="BF977" t="s">
        <v>489</v>
      </c>
      <c r="BG977" t="s">
        <v>223</v>
      </c>
      <c r="BH977">
        <v>0</v>
      </c>
      <c r="CT977" t="s">
        <v>245</v>
      </c>
      <c r="CU977" t="s">
        <v>223</v>
      </c>
      <c r="CV977">
        <f ca="1">OFFSET('Calculations 2'!$AJ$12,W977,X977)</f>
        <v>0</v>
      </c>
    </row>
    <row r="978" spans="17:100">
      <c r="Q978" t="s">
        <v>470</v>
      </c>
      <c r="R978" t="s">
        <v>489</v>
      </c>
      <c r="S978" t="s">
        <v>223</v>
      </c>
      <c r="T978">
        <f ca="1">OFFSET('Calculations 2'!$C$45,W978,X978)*OFFSET($M$6,W978,0)</f>
        <v>5.4437236355955827</v>
      </c>
      <c r="V978">
        <f t="shared" si="47"/>
        <v>972</v>
      </c>
      <c r="W978">
        <f t="shared" si="48"/>
        <v>15</v>
      </c>
      <c r="X978">
        <f t="shared" si="49"/>
        <v>29</v>
      </c>
      <c r="AC978" t="s">
        <v>470</v>
      </c>
      <c r="AD978" t="s">
        <v>489</v>
      </c>
      <c r="AE978" t="s">
        <v>223</v>
      </c>
      <c r="AF978">
        <f ca="1">OFFSET('Calculations 2'!$CE$45,W978,0)*OFFSET($AA$6,X978,0)*OFFSET($M$6,W978,)</f>
        <v>10.298110551157439</v>
      </c>
      <c r="AY978" t="s">
        <v>470</v>
      </c>
      <c r="AZ978" t="s">
        <v>489</v>
      </c>
      <c r="BA978" t="s">
        <v>223</v>
      </c>
      <c r="BB978">
        <v>0</v>
      </c>
      <c r="BE978" t="s">
        <v>470</v>
      </c>
      <c r="BF978" t="s">
        <v>489</v>
      </c>
      <c r="BG978" t="s">
        <v>223</v>
      </c>
      <c r="BH978">
        <v>0</v>
      </c>
      <c r="CT978" t="s">
        <v>470</v>
      </c>
      <c r="CU978" t="s">
        <v>223</v>
      </c>
      <c r="CV978">
        <f ca="1">OFFSET('Calculations 2'!$AJ$12,W978,X978)</f>
        <v>0</v>
      </c>
    </row>
    <row r="979" spans="17:100">
      <c r="Q979" t="s">
        <v>471</v>
      </c>
      <c r="R979" t="s">
        <v>489</v>
      </c>
      <c r="S979" t="s">
        <v>223</v>
      </c>
      <c r="T979">
        <f ca="1">OFFSET('Calculations 2'!$C$45,W979,X979)*OFFSET($M$6,W979,0)</f>
        <v>178.30998777368671</v>
      </c>
      <c r="V979">
        <f t="shared" si="47"/>
        <v>973</v>
      </c>
      <c r="W979">
        <f t="shared" si="48"/>
        <v>16</v>
      </c>
      <c r="X979">
        <f t="shared" si="49"/>
        <v>29</v>
      </c>
      <c r="AC979" t="s">
        <v>471</v>
      </c>
      <c r="AD979" t="s">
        <v>489</v>
      </c>
      <c r="AE979" t="s">
        <v>223</v>
      </c>
      <c r="AF979">
        <f ca="1">OFFSET('Calculations 2'!$CE$45,W979,0)*OFFSET($AA$6,X979,0)*OFFSET($M$6,W979,)</f>
        <v>0</v>
      </c>
      <c r="AY979" t="s">
        <v>471</v>
      </c>
      <c r="AZ979" t="s">
        <v>489</v>
      </c>
      <c r="BA979" t="s">
        <v>223</v>
      </c>
      <c r="BB979">
        <v>0</v>
      </c>
      <c r="BE979" t="s">
        <v>471</v>
      </c>
      <c r="BF979" t="s">
        <v>489</v>
      </c>
      <c r="BG979" t="s">
        <v>223</v>
      </c>
      <c r="BH979">
        <v>0</v>
      </c>
      <c r="CT979" t="s">
        <v>471</v>
      </c>
      <c r="CU979" t="s">
        <v>223</v>
      </c>
      <c r="CV979">
        <f ca="1">OFFSET('Calculations 2'!$AJ$12,W979,X979)</f>
        <v>0</v>
      </c>
    </row>
    <row r="980" spans="17:100">
      <c r="Q980" t="s">
        <v>221</v>
      </c>
      <c r="R980" t="s">
        <v>489</v>
      </c>
      <c r="S980" t="s">
        <v>223</v>
      </c>
      <c r="T980">
        <f ca="1">OFFSET('Calculations 2'!$C$45,W980,X980)*OFFSET($M$6,W980,0)</f>
        <v>285.30666440584713</v>
      </c>
      <c r="V980">
        <f t="shared" si="47"/>
        <v>974</v>
      </c>
      <c r="W980">
        <f t="shared" si="48"/>
        <v>17</v>
      </c>
      <c r="X980">
        <f t="shared" si="49"/>
        <v>29</v>
      </c>
      <c r="AC980" t="s">
        <v>221</v>
      </c>
      <c r="AD980" t="s">
        <v>489</v>
      </c>
      <c r="AE980" t="s">
        <v>223</v>
      </c>
      <c r="AF980">
        <f ca="1">OFFSET('Calculations 2'!$CE$45,W980,0)*OFFSET($AA$6,X980,0)*OFFSET($M$6,W980,)</f>
        <v>342.08717225540499</v>
      </c>
      <c r="AY980" t="s">
        <v>221</v>
      </c>
      <c r="AZ980" t="s">
        <v>489</v>
      </c>
      <c r="BA980" t="s">
        <v>223</v>
      </c>
      <c r="BB980">
        <v>0</v>
      </c>
      <c r="BE980" t="s">
        <v>221</v>
      </c>
      <c r="BF980" t="s">
        <v>489</v>
      </c>
      <c r="BG980" t="s">
        <v>223</v>
      </c>
      <c r="BH980">
        <v>0</v>
      </c>
      <c r="CT980" t="s">
        <v>221</v>
      </c>
      <c r="CU980" t="s">
        <v>223</v>
      </c>
      <c r="CV980">
        <f ca="1">OFFSET('Calculations 2'!$AJ$12,W980,X980)</f>
        <v>0</v>
      </c>
    </row>
    <row r="981" spans="17:100">
      <c r="Q981" t="s">
        <v>244</v>
      </c>
      <c r="R981" t="s">
        <v>489</v>
      </c>
      <c r="S981" t="s">
        <v>223</v>
      </c>
      <c r="T981">
        <f ca="1">OFFSET('Calculations 2'!$C$45,W981,X981)*OFFSET($M$6,W981,0)</f>
        <v>241.12273023096333</v>
      </c>
      <c r="V981">
        <f t="shared" si="47"/>
        <v>975</v>
      </c>
      <c r="W981">
        <f t="shared" si="48"/>
        <v>18</v>
      </c>
      <c r="X981">
        <f t="shared" si="49"/>
        <v>29</v>
      </c>
      <c r="AC981" t="s">
        <v>244</v>
      </c>
      <c r="AD981" t="s">
        <v>489</v>
      </c>
      <c r="AE981" t="s">
        <v>223</v>
      </c>
      <c r="AF981">
        <f ca="1">OFFSET('Calculations 2'!$CE$45,W981,0)*OFFSET($AA$6,X981,0)*OFFSET($M$6,W981,)</f>
        <v>54.697457931016807</v>
      </c>
      <c r="AY981" t="s">
        <v>244</v>
      </c>
      <c r="AZ981" t="s">
        <v>489</v>
      </c>
      <c r="BA981" t="s">
        <v>223</v>
      </c>
      <c r="BB981">
        <v>0</v>
      </c>
      <c r="BE981" t="s">
        <v>244</v>
      </c>
      <c r="BF981" t="s">
        <v>489</v>
      </c>
      <c r="BG981" t="s">
        <v>223</v>
      </c>
      <c r="BH981">
        <v>0</v>
      </c>
      <c r="CT981" t="s">
        <v>244</v>
      </c>
      <c r="CU981" t="s">
        <v>223</v>
      </c>
      <c r="CV981">
        <f ca="1">OFFSET('Calculations 2'!$AJ$12,W981,X981)</f>
        <v>0</v>
      </c>
    </row>
    <row r="982" spans="17:100">
      <c r="Q982" t="s">
        <v>472</v>
      </c>
      <c r="R982" t="s">
        <v>489</v>
      </c>
      <c r="S982" t="s">
        <v>223</v>
      </c>
      <c r="T982">
        <f ca="1">OFFSET('Calculations 2'!$C$45,W982,X982)*OFFSET($M$6,W982,0)</f>
        <v>14.592941857270212</v>
      </c>
      <c r="V982">
        <f t="shared" si="47"/>
        <v>976</v>
      </c>
      <c r="W982">
        <f t="shared" si="48"/>
        <v>19</v>
      </c>
      <c r="X982">
        <f t="shared" si="49"/>
        <v>29</v>
      </c>
      <c r="AC982" t="s">
        <v>472</v>
      </c>
      <c r="AD982" t="s">
        <v>489</v>
      </c>
      <c r="AE982" t="s">
        <v>223</v>
      </c>
      <c r="AF982">
        <f ca="1">OFFSET('Calculations 2'!$CE$45,W982,0)*OFFSET($AA$6,X982,0)*OFFSET($M$6,W982,)</f>
        <v>0</v>
      </c>
      <c r="AY982" t="s">
        <v>472</v>
      </c>
      <c r="AZ982" t="s">
        <v>489</v>
      </c>
      <c r="BA982" t="s">
        <v>223</v>
      </c>
      <c r="BB982">
        <v>0</v>
      </c>
      <c r="BE982" t="s">
        <v>472</v>
      </c>
      <c r="BF982" t="s">
        <v>489</v>
      </c>
      <c r="BG982" t="s">
        <v>223</v>
      </c>
      <c r="BH982">
        <v>0</v>
      </c>
      <c r="CT982" t="s">
        <v>472</v>
      </c>
      <c r="CU982" t="s">
        <v>223</v>
      </c>
      <c r="CV982">
        <f ca="1">OFFSET('Calculations 2'!$AJ$12,W982,X982)</f>
        <v>0</v>
      </c>
    </row>
    <row r="983" spans="17:100">
      <c r="Q983" t="s">
        <v>238</v>
      </c>
      <c r="R983" t="s">
        <v>489</v>
      </c>
      <c r="S983" t="s">
        <v>223</v>
      </c>
      <c r="T983">
        <f ca="1">OFFSET('Calculations 2'!$C$45,W983,X983)*OFFSET($M$6,W983,0)</f>
        <v>525.122853268516</v>
      </c>
      <c r="V983">
        <f t="shared" si="47"/>
        <v>977</v>
      </c>
      <c r="W983">
        <f t="shared" si="48"/>
        <v>20</v>
      </c>
      <c r="X983">
        <f t="shared" si="49"/>
        <v>29</v>
      </c>
      <c r="AC983" t="s">
        <v>238</v>
      </c>
      <c r="AD983" t="s">
        <v>489</v>
      </c>
      <c r="AE983" t="s">
        <v>223</v>
      </c>
      <c r="AF983">
        <f ca="1">OFFSET('Calculations 2'!$CE$45,W983,0)*OFFSET($AA$6,X983,0)*OFFSET($M$6,W983,)</f>
        <v>0</v>
      </c>
      <c r="AY983" t="s">
        <v>238</v>
      </c>
      <c r="AZ983" t="s">
        <v>489</v>
      </c>
      <c r="BA983" t="s">
        <v>223</v>
      </c>
      <c r="BB983">
        <v>0</v>
      </c>
      <c r="BE983" t="s">
        <v>238</v>
      </c>
      <c r="BF983" t="s">
        <v>489</v>
      </c>
      <c r="BG983" t="s">
        <v>223</v>
      </c>
      <c r="BH983">
        <v>0</v>
      </c>
      <c r="CT983" t="s">
        <v>238</v>
      </c>
      <c r="CU983" t="s">
        <v>223</v>
      </c>
      <c r="CV983">
        <f ca="1">OFFSET('Calculations 2'!$AJ$12,W983,X983)</f>
        <v>0</v>
      </c>
    </row>
    <row r="984" spans="17:100">
      <c r="Q984" t="s">
        <v>247</v>
      </c>
      <c r="R984" t="s">
        <v>489</v>
      </c>
      <c r="S984" t="s">
        <v>223</v>
      </c>
      <c r="T984">
        <f ca="1">OFFSET('Calculations 2'!$C$45,W984,X984)*OFFSET($M$6,W984,0)</f>
        <v>0</v>
      </c>
      <c r="V984">
        <f t="shared" si="47"/>
        <v>978</v>
      </c>
      <c r="W984">
        <f t="shared" si="48"/>
        <v>21</v>
      </c>
      <c r="X984">
        <f t="shared" si="49"/>
        <v>29</v>
      </c>
      <c r="AC984" t="s">
        <v>247</v>
      </c>
      <c r="AD984" t="s">
        <v>489</v>
      </c>
      <c r="AE984" t="s">
        <v>223</v>
      </c>
      <c r="AF984">
        <f ca="1">OFFSET('Calculations 2'!$CE$45,W984,0)*OFFSET($AA$6,X984,0)*OFFSET($M$6,W984,)</f>
        <v>0</v>
      </c>
      <c r="AY984" t="s">
        <v>247</v>
      </c>
      <c r="AZ984" t="s">
        <v>489</v>
      </c>
      <c r="BA984" t="s">
        <v>223</v>
      </c>
      <c r="BB984">
        <v>0</v>
      </c>
      <c r="BE984" t="s">
        <v>247</v>
      </c>
      <c r="BF984" t="s">
        <v>489</v>
      </c>
      <c r="BG984" t="s">
        <v>223</v>
      </c>
      <c r="BH984">
        <v>0</v>
      </c>
      <c r="CT984" t="s">
        <v>247</v>
      </c>
      <c r="CU984" t="s">
        <v>223</v>
      </c>
      <c r="CV984">
        <f ca="1">OFFSET('Calculations 2'!$AJ$12,W984,X984)</f>
        <v>0</v>
      </c>
    </row>
    <row r="985" spans="17:100">
      <c r="Q985" t="s">
        <v>218</v>
      </c>
      <c r="R985" t="s">
        <v>489</v>
      </c>
      <c r="S985" t="s">
        <v>223</v>
      </c>
      <c r="T985">
        <f ca="1">OFFSET('Calculations 2'!$C$45,W985,X985)*OFFSET($M$6,W985,0)</f>
        <v>26.962664577082766</v>
      </c>
      <c r="V985">
        <f t="shared" si="47"/>
        <v>979</v>
      </c>
      <c r="W985">
        <f t="shared" si="48"/>
        <v>22</v>
      </c>
      <c r="X985">
        <f t="shared" si="49"/>
        <v>29</v>
      </c>
      <c r="AC985" t="s">
        <v>218</v>
      </c>
      <c r="AD985" t="s">
        <v>489</v>
      </c>
      <c r="AE985" t="s">
        <v>223</v>
      </c>
      <c r="AF985">
        <f ca="1">OFFSET('Calculations 2'!$CE$45,W985,0)*OFFSET($AA$6,X985,0)*OFFSET($M$6,W985,)</f>
        <v>0</v>
      </c>
      <c r="AY985" t="s">
        <v>218</v>
      </c>
      <c r="AZ985" t="s">
        <v>489</v>
      </c>
      <c r="BA985" t="s">
        <v>223</v>
      </c>
      <c r="BB985">
        <v>0</v>
      </c>
      <c r="BE985" t="s">
        <v>218</v>
      </c>
      <c r="BF985" t="s">
        <v>489</v>
      </c>
      <c r="BG985" t="s">
        <v>223</v>
      </c>
      <c r="BH985">
        <v>0</v>
      </c>
      <c r="CT985" t="s">
        <v>218</v>
      </c>
      <c r="CU985" t="s">
        <v>223</v>
      </c>
      <c r="CV985">
        <f ca="1">OFFSET('Calculations 2'!$AJ$12,W985,X985)</f>
        <v>0</v>
      </c>
    </row>
    <row r="986" spans="17:100">
      <c r="Q986" t="s">
        <v>257</v>
      </c>
      <c r="R986" t="s">
        <v>489</v>
      </c>
      <c r="S986" t="s">
        <v>223</v>
      </c>
      <c r="T986">
        <f ca="1">OFFSET('Calculations 2'!$C$45,W986,X986)*OFFSET($M$6,W986,0)</f>
        <v>5.380602524324348</v>
      </c>
      <c r="V986">
        <f t="shared" si="47"/>
        <v>980</v>
      </c>
      <c r="W986">
        <f t="shared" si="48"/>
        <v>23</v>
      </c>
      <c r="X986">
        <f t="shared" si="49"/>
        <v>29</v>
      </c>
      <c r="AC986" t="s">
        <v>257</v>
      </c>
      <c r="AD986" t="s">
        <v>489</v>
      </c>
      <c r="AE986" t="s">
        <v>223</v>
      </c>
      <c r="AF986">
        <f ca="1">OFFSET('Calculations 2'!$CE$45,W986,0)*OFFSET($AA$6,X986,0)*OFFSET($M$6,W986,)</f>
        <v>0</v>
      </c>
      <c r="AY986" t="s">
        <v>257</v>
      </c>
      <c r="AZ986" t="s">
        <v>489</v>
      </c>
      <c r="BA986" t="s">
        <v>223</v>
      </c>
      <c r="BB986">
        <v>0</v>
      </c>
      <c r="BE986" t="s">
        <v>257</v>
      </c>
      <c r="BF986" t="s">
        <v>489</v>
      </c>
      <c r="BG986" t="s">
        <v>223</v>
      </c>
      <c r="BH986">
        <v>0</v>
      </c>
      <c r="CT986" t="s">
        <v>257</v>
      </c>
      <c r="CU986" t="s">
        <v>223</v>
      </c>
      <c r="CV986">
        <f ca="1">OFFSET('Calculations 2'!$AJ$12,W986,X986)</f>
        <v>0</v>
      </c>
    </row>
    <row r="987" spans="17:100">
      <c r="Q987" t="s">
        <v>220</v>
      </c>
      <c r="R987" t="s">
        <v>489</v>
      </c>
      <c r="S987" t="s">
        <v>223</v>
      </c>
      <c r="T987">
        <f ca="1">OFFSET('Calculations 2'!$C$45,W987,X987)*OFFSET($M$6,W987,0)</f>
        <v>92.806437151635379</v>
      </c>
      <c r="V987">
        <f t="shared" si="47"/>
        <v>981</v>
      </c>
      <c r="W987">
        <f t="shared" si="48"/>
        <v>24</v>
      </c>
      <c r="X987">
        <f t="shared" si="49"/>
        <v>29</v>
      </c>
      <c r="AC987" t="s">
        <v>220</v>
      </c>
      <c r="AD987" t="s">
        <v>489</v>
      </c>
      <c r="AE987" t="s">
        <v>223</v>
      </c>
      <c r="AF987">
        <f ca="1">OFFSET('Calculations 2'!$CE$45,W987,0)*OFFSET($AA$6,X987,0)*OFFSET($M$6,W987,)</f>
        <v>0</v>
      </c>
      <c r="AY987" t="s">
        <v>220</v>
      </c>
      <c r="AZ987" t="s">
        <v>489</v>
      </c>
      <c r="BA987" t="s">
        <v>223</v>
      </c>
      <c r="BB987">
        <v>0</v>
      </c>
      <c r="BE987" t="s">
        <v>220</v>
      </c>
      <c r="BF987" t="s">
        <v>489</v>
      </c>
      <c r="BG987" t="s">
        <v>223</v>
      </c>
      <c r="BH987">
        <v>0</v>
      </c>
      <c r="CT987" t="s">
        <v>220</v>
      </c>
      <c r="CU987" t="s">
        <v>223</v>
      </c>
      <c r="CV987">
        <f ca="1">OFFSET('Calculations 2'!$AJ$12,W987,X987)</f>
        <v>0</v>
      </c>
    </row>
    <row r="988" spans="17:100">
      <c r="Q988" t="s">
        <v>235</v>
      </c>
      <c r="R988" t="s">
        <v>489</v>
      </c>
      <c r="S988" t="s">
        <v>223</v>
      </c>
      <c r="T988">
        <f ca="1">OFFSET('Calculations 2'!$C$45,W988,X988)*OFFSET($M$6,W988,0)</f>
        <v>769.36020051400124</v>
      </c>
      <c r="V988">
        <f t="shared" si="47"/>
        <v>982</v>
      </c>
      <c r="W988">
        <f t="shared" si="48"/>
        <v>25</v>
      </c>
      <c r="X988">
        <f t="shared" si="49"/>
        <v>29</v>
      </c>
      <c r="AC988" t="s">
        <v>235</v>
      </c>
      <c r="AD988" t="s">
        <v>489</v>
      </c>
      <c r="AE988" t="s">
        <v>223</v>
      </c>
      <c r="AF988">
        <f ca="1">OFFSET('Calculations 2'!$CE$45,W988,0)*OFFSET($AA$6,X988,0)*OFFSET($M$6,W988,)</f>
        <v>0</v>
      </c>
      <c r="AY988" t="s">
        <v>235</v>
      </c>
      <c r="AZ988" t="s">
        <v>489</v>
      </c>
      <c r="BA988" t="s">
        <v>223</v>
      </c>
      <c r="BB988">
        <v>0</v>
      </c>
      <c r="BE988" t="s">
        <v>235</v>
      </c>
      <c r="BF988" t="s">
        <v>489</v>
      </c>
      <c r="BG988" t="s">
        <v>223</v>
      </c>
      <c r="BH988">
        <v>0</v>
      </c>
      <c r="CT988" t="s">
        <v>235</v>
      </c>
      <c r="CU988" t="s">
        <v>223</v>
      </c>
      <c r="CV988">
        <f ca="1">OFFSET('Calculations 2'!$AJ$12,W988,X988)</f>
        <v>0</v>
      </c>
    </row>
    <row r="989" spans="17:100">
      <c r="Q989" t="s">
        <v>473</v>
      </c>
      <c r="R989" t="s">
        <v>489</v>
      </c>
      <c r="S989" t="s">
        <v>223</v>
      </c>
      <c r="T989">
        <f ca="1">OFFSET('Calculations 2'!$C$45,W989,X989)*OFFSET($M$6,W989,0)</f>
        <v>204.97099794745975</v>
      </c>
      <c r="V989">
        <f t="shared" si="47"/>
        <v>983</v>
      </c>
      <c r="W989">
        <f t="shared" si="48"/>
        <v>26</v>
      </c>
      <c r="X989">
        <f t="shared" si="49"/>
        <v>29</v>
      </c>
      <c r="AC989" t="s">
        <v>473</v>
      </c>
      <c r="AD989" t="s">
        <v>489</v>
      </c>
      <c r="AE989" t="s">
        <v>223</v>
      </c>
      <c r="AF989">
        <f ca="1">OFFSET('Calculations 2'!$CE$45,W989,0)*OFFSET($AA$6,X989,0)*OFFSET($M$6,W989,)</f>
        <v>0</v>
      </c>
      <c r="AY989" t="s">
        <v>473</v>
      </c>
      <c r="AZ989" t="s">
        <v>489</v>
      </c>
      <c r="BA989" t="s">
        <v>223</v>
      </c>
      <c r="BB989">
        <v>0</v>
      </c>
      <c r="BE989" t="s">
        <v>473</v>
      </c>
      <c r="BF989" t="s">
        <v>489</v>
      </c>
      <c r="BG989" t="s">
        <v>223</v>
      </c>
      <c r="BH989">
        <v>0</v>
      </c>
      <c r="CT989" t="s">
        <v>473</v>
      </c>
      <c r="CU989" t="s">
        <v>223</v>
      </c>
      <c r="CV989">
        <f ca="1">OFFSET('Calculations 2'!$AJ$12,W989,X989)</f>
        <v>0</v>
      </c>
    </row>
    <row r="990" spans="17:100">
      <c r="Q990" t="s">
        <v>233</v>
      </c>
      <c r="R990" t="s">
        <v>489</v>
      </c>
      <c r="S990" t="s">
        <v>223</v>
      </c>
      <c r="T990">
        <f ca="1">OFFSET('Calculations 2'!$C$45,W990,X990)*OFFSET($M$6,W990,0)</f>
        <v>513.38974186426412</v>
      </c>
      <c r="V990">
        <f t="shared" si="47"/>
        <v>984</v>
      </c>
      <c r="W990">
        <f t="shared" si="48"/>
        <v>27</v>
      </c>
      <c r="X990">
        <f t="shared" si="49"/>
        <v>29</v>
      </c>
      <c r="AC990" t="s">
        <v>233</v>
      </c>
      <c r="AD990" t="s">
        <v>489</v>
      </c>
      <c r="AE990" t="s">
        <v>223</v>
      </c>
      <c r="AF990">
        <f ca="1">OFFSET('Calculations 2'!$CE$45,W990,0)*OFFSET($AA$6,X990,0)*OFFSET($M$6,W990,)</f>
        <v>0</v>
      </c>
      <c r="AY990" t="s">
        <v>233</v>
      </c>
      <c r="AZ990" t="s">
        <v>489</v>
      </c>
      <c r="BA990" t="s">
        <v>223</v>
      </c>
      <c r="BB990">
        <v>0</v>
      </c>
      <c r="BE990" t="s">
        <v>233</v>
      </c>
      <c r="BF990" t="s">
        <v>489</v>
      </c>
      <c r="BG990" t="s">
        <v>223</v>
      </c>
      <c r="BH990">
        <v>0</v>
      </c>
      <c r="CT990" t="s">
        <v>233</v>
      </c>
      <c r="CU990" t="s">
        <v>223</v>
      </c>
      <c r="CV990">
        <f ca="1">OFFSET('Calculations 2'!$AJ$12,W990,X990)</f>
        <v>0</v>
      </c>
    </row>
    <row r="991" spans="17:100">
      <c r="Q991" t="s">
        <v>474</v>
      </c>
      <c r="R991" t="s">
        <v>489</v>
      </c>
      <c r="S991" t="s">
        <v>223</v>
      </c>
      <c r="T991">
        <f ca="1">OFFSET('Calculations 2'!$C$45,W991,X991)*OFFSET($M$6,W991,0)</f>
        <v>358.51317874398075</v>
      </c>
      <c r="V991">
        <f t="shared" si="47"/>
        <v>985</v>
      </c>
      <c r="W991">
        <f t="shared" si="48"/>
        <v>28</v>
      </c>
      <c r="X991">
        <f t="shared" si="49"/>
        <v>29</v>
      </c>
      <c r="AC991" t="s">
        <v>474</v>
      </c>
      <c r="AD991" t="s">
        <v>489</v>
      </c>
      <c r="AE991" t="s">
        <v>223</v>
      </c>
      <c r="AF991">
        <f ca="1">OFFSET('Calculations 2'!$CE$45,W991,0)*OFFSET($AA$6,X991,0)*OFFSET($M$6,W991,)</f>
        <v>0</v>
      </c>
      <c r="AY991" t="s">
        <v>474</v>
      </c>
      <c r="AZ991" t="s">
        <v>489</v>
      </c>
      <c r="BA991" t="s">
        <v>223</v>
      </c>
      <c r="BB991">
        <v>0</v>
      </c>
      <c r="BE991" t="s">
        <v>474</v>
      </c>
      <c r="BF991" t="s">
        <v>489</v>
      </c>
      <c r="BG991" t="s">
        <v>223</v>
      </c>
      <c r="BH991">
        <v>0</v>
      </c>
      <c r="CT991" t="s">
        <v>474</v>
      </c>
      <c r="CU991" t="s">
        <v>223</v>
      </c>
      <c r="CV991">
        <f ca="1">OFFSET('Calculations 2'!$AJ$12,W991,X991)</f>
        <v>0</v>
      </c>
    </row>
    <row r="992" spans="17:100">
      <c r="Q992" t="s">
        <v>223</v>
      </c>
      <c r="R992" t="s">
        <v>489</v>
      </c>
      <c r="S992" t="s">
        <v>223</v>
      </c>
      <c r="T992">
        <f ca="1">OFFSET('Calculations 2'!$C$45,W992,X992)*OFFSET($M$6,W992,0)</f>
        <v>35.69483078692631</v>
      </c>
      <c r="V992">
        <f t="shared" si="47"/>
        <v>986</v>
      </c>
      <c r="W992">
        <f t="shared" si="48"/>
        <v>29</v>
      </c>
      <c r="X992">
        <f t="shared" si="49"/>
        <v>29</v>
      </c>
      <c r="AC992" t="s">
        <v>223</v>
      </c>
      <c r="AD992" t="s">
        <v>489</v>
      </c>
      <c r="AE992" t="s">
        <v>223</v>
      </c>
      <c r="AF992">
        <f ca="1">OFFSET('Calculations 2'!$CE$45,W992,0)*OFFSET($AA$6,X992,0)*OFFSET($M$6,W992,)</f>
        <v>0</v>
      </c>
      <c r="AY992" t="s">
        <v>223</v>
      </c>
      <c r="AZ992" t="s">
        <v>489</v>
      </c>
      <c r="BA992" t="s">
        <v>223</v>
      </c>
      <c r="BB992">
        <v>0</v>
      </c>
      <c r="BE992" t="s">
        <v>223</v>
      </c>
      <c r="BF992" t="s">
        <v>489</v>
      </c>
      <c r="BG992" t="s">
        <v>223</v>
      </c>
      <c r="BH992">
        <v>0</v>
      </c>
      <c r="CT992" t="s">
        <v>223</v>
      </c>
      <c r="CU992" t="s">
        <v>223</v>
      </c>
      <c r="CV992">
        <f ca="1">OFFSET('Calculations 2'!$AJ$12,W992,X992)</f>
        <v>12497.736973482994</v>
      </c>
    </row>
    <row r="993" spans="17:100">
      <c r="Q993" t="s">
        <v>475</v>
      </c>
      <c r="R993" t="s">
        <v>489</v>
      </c>
      <c r="S993" t="s">
        <v>223</v>
      </c>
      <c r="T993">
        <f ca="1">OFFSET('Calculations 2'!$C$45,W993,X993)*OFFSET($M$6,W993,0)</f>
        <v>1.3208688367088743</v>
      </c>
      <c r="V993">
        <f t="shared" si="47"/>
        <v>987</v>
      </c>
      <c r="W993">
        <f t="shared" si="48"/>
        <v>30</v>
      </c>
      <c r="X993">
        <f t="shared" si="49"/>
        <v>29</v>
      </c>
      <c r="AC993" t="s">
        <v>475</v>
      </c>
      <c r="AD993" t="s">
        <v>489</v>
      </c>
      <c r="AE993" t="s">
        <v>223</v>
      </c>
      <c r="AF993">
        <f ca="1">OFFSET('Calculations 2'!$CE$45,W993,0)*OFFSET($AA$6,X993,0)*OFFSET($M$6,W993,)</f>
        <v>0</v>
      </c>
      <c r="AY993" t="s">
        <v>475</v>
      </c>
      <c r="AZ993" t="s">
        <v>489</v>
      </c>
      <c r="BA993" t="s">
        <v>223</v>
      </c>
      <c r="BB993">
        <v>0</v>
      </c>
      <c r="BE993" t="s">
        <v>475</v>
      </c>
      <c r="BF993" t="s">
        <v>489</v>
      </c>
      <c r="BG993" t="s">
        <v>223</v>
      </c>
      <c r="BH993">
        <v>0</v>
      </c>
      <c r="CT993" t="s">
        <v>475</v>
      </c>
      <c r="CU993" t="s">
        <v>223</v>
      </c>
      <c r="CV993">
        <f ca="1">OFFSET('Calculations 2'!$AJ$12,W993,X993)</f>
        <v>0</v>
      </c>
    </row>
    <row r="994" spans="17:100">
      <c r="Q994" t="s">
        <v>476</v>
      </c>
      <c r="R994" t="s">
        <v>489</v>
      </c>
      <c r="S994" t="s">
        <v>223</v>
      </c>
      <c r="T994">
        <f ca="1">OFFSET('Calculations 2'!$C$45,W994,X994)*OFFSET($M$6,W994,0)</f>
        <v>8.9625838526444568</v>
      </c>
      <c r="V994">
        <f t="shared" si="47"/>
        <v>988</v>
      </c>
      <c r="W994">
        <f t="shared" si="48"/>
        <v>31</v>
      </c>
      <c r="X994">
        <f t="shared" si="49"/>
        <v>29</v>
      </c>
      <c r="AC994" t="s">
        <v>476</v>
      </c>
      <c r="AD994" t="s">
        <v>489</v>
      </c>
      <c r="AE994" t="s">
        <v>223</v>
      </c>
      <c r="AF994">
        <f ca="1">OFFSET('Calculations 2'!$CE$45,W994,0)*OFFSET($AA$6,X994,0)*OFFSET($M$6,W994,)</f>
        <v>0</v>
      </c>
      <c r="AY994" t="s">
        <v>476</v>
      </c>
      <c r="AZ994" t="s">
        <v>489</v>
      </c>
      <c r="BA994" t="s">
        <v>223</v>
      </c>
      <c r="BB994">
        <v>0</v>
      </c>
      <c r="BE994" t="s">
        <v>476</v>
      </c>
      <c r="BF994" t="s">
        <v>489</v>
      </c>
      <c r="BG994" t="s">
        <v>223</v>
      </c>
      <c r="BH994">
        <v>0</v>
      </c>
      <c r="CT994" t="s">
        <v>476</v>
      </c>
      <c r="CU994" t="s">
        <v>223</v>
      </c>
      <c r="CV994">
        <f ca="1">OFFSET('Calculations 2'!$AJ$12,W994,X994)</f>
        <v>0</v>
      </c>
    </row>
    <row r="995" spans="17:100">
      <c r="Q995" t="s">
        <v>222</v>
      </c>
      <c r="R995" t="s">
        <v>489</v>
      </c>
      <c r="S995" t="s">
        <v>223</v>
      </c>
      <c r="T995">
        <f ca="1">OFFSET('Calculations 2'!$C$45,W995,X995)*OFFSET($M$6,W995,0)</f>
        <v>0</v>
      </c>
      <c r="V995">
        <f t="shared" si="47"/>
        <v>989</v>
      </c>
      <c r="W995">
        <f t="shared" si="48"/>
        <v>32</v>
      </c>
      <c r="X995">
        <f t="shared" si="49"/>
        <v>29</v>
      </c>
      <c r="AC995" t="s">
        <v>222</v>
      </c>
      <c r="AD995" t="s">
        <v>489</v>
      </c>
      <c r="AE995" t="s">
        <v>223</v>
      </c>
      <c r="AF995">
        <f ca="1">OFFSET('Calculations 2'!$CE$45,W995,0)*OFFSET($AA$6,X995,0)*OFFSET($M$6,W995,)</f>
        <v>0</v>
      </c>
      <c r="AY995" t="s">
        <v>222</v>
      </c>
      <c r="AZ995" t="s">
        <v>489</v>
      </c>
      <c r="BA995" t="s">
        <v>223</v>
      </c>
      <c r="BB995">
        <v>0</v>
      </c>
      <c r="BE995" t="s">
        <v>222</v>
      </c>
      <c r="BF995" t="s">
        <v>489</v>
      </c>
      <c r="BG995" t="s">
        <v>223</v>
      </c>
      <c r="BH995">
        <v>0</v>
      </c>
      <c r="CT995" t="s">
        <v>222</v>
      </c>
      <c r="CU995" t="s">
        <v>223</v>
      </c>
      <c r="CV995">
        <f ca="1">OFFSET('Calculations 2'!$AJ$12,W995,X995)</f>
        <v>0</v>
      </c>
    </row>
    <row r="996" spans="17:100">
      <c r="Q996" t="s">
        <v>217</v>
      </c>
      <c r="R996" t="s">
        <v>489</v>
      </c>
      <c r="S996" t="s">
        <v>475</v>
      </c>
      <c r="T996">
        <f ca="1">OFFSET('Calculations 2'!$C$45,W996,X996)*OFFSET($M$6,W996,0)</f>
        <v>2.5282806274302074</v>
      </c>
      <c r="V996">
        <f t="shared" si="47"/>
        <v>990</v>
      </c>
      <c r="W996">
        <f t="shared" si="48"/>
        <v>0</v>
      </c>
      <c r="X996">
        <f t="shared" si="49"/>
        <v>30</v>
      </c>
      <c r="AC996" t="s">
        <v>217</v>
      </c>
      <c r="AD996" t="s">
        <v>489</v>
      </c>
      <c r="AE996" t="s">
        <v>475</v>
      </c>
      <c r="AF996">
        <f ca="1">OFFSET('Calculations 2'!$CE$45,W996,0)*OFFSET($AA$6,X996,0)*OFFSET($M$6,W996,)</f>
        <v>0.10585849699441592</v>
      </c>
      <c r="AY996" t="s">
        <v>217</v>
      </c>
      <c r="AZ996" t="s">
        <v>489</v>
      </c>
      <c r="BA996" t="s">
        <v>475</v>
      </c>
      <c r="BB996">
        <v>0</v>
      </c>
      <c r="BE996" t="s">
        <v>217</v>
      </c>
      <c r="BF996" t="s">
        <v>489</v>
      </c>
      <c r="BG996" t="s">
        <v>475</v>
      </c>
      <c r="BH996">
        <v>0</v>
      </c>
      <c r="CT996" t="s">
        <v>217</v>
      </c>
      <c r="CU996" t="s">
        <v>475</v>
      </c>
      <c r="CV996">
        <f ca="1">OFFSET('Calculations 2'!$AJ$12,W996,X996)</f>
        <v>0</v>
      </c>
    </row>
    <row r="997" spans="17:100">
      <c r="Q997" t="s">
        <v>232</v>
      </c>
      <c r="R997" t="s">
        <v>489</v>
      </c>
      <c r="S997" t="s">
        <v>475</v>
      </c>
      <c r="T997">
        <f ca="1">OFFSET('Calculations 2'!$C$45,W997,X997)*OFFSET($M$6,W997,0)</f>
        <v>0</v>
      </c>
      <c r="V997">
        <f t="shared" si="47"/>
        <v>991</v>
      </c>
      <c r="W997">
        <f t="shared" si="48"/>
        <v>1</v>
      </c>
      <c r="X997">
        <f t="shared" si="49"/>
        <v>30</v>
      </c>
      <c r="AC997" t="s">
        <v>232</v>
      </c>
      <c r="AD997" t="s">
        <v>489</v>
      </c>
      <c r="AE997" t="s">
        <v>475</v>
      </c>
      <c r="AF997">
        <f ca="1">OFFSET('Calculations 2'!$CE$45,W997,0)*OFFSET($AA$6,X997,0)*OFFSET($M$6,W997,)</f>
        <v>0.18466149091475698</v>
      </c>
      <c r="AY997" t="s">
        <v>232</v>
      </c>
      <c r="AZ997" t="s">
        <v>489</v>
      </c>
      <c r="BA997" t="s">
        <v>475</v>
      </c>
      <c r="BB997">
        <v>0</v>
      </c>
      <c r="BE997" t="s">
        <v>232</v>
      </c>
      <c r="BF997" t="s">
        <v>489</v>
      </c>
      <c r="BG997" t="s">
        <v>475</v>
      </c>
      <c r="BH997">
        <v>0</v>
      </c>
      <c r="CT997" t="s">
        <v>232</v>
      </c>
      <c r="CU997" t="s">
        <v>475</v>
      </c>
      <c r="CV997">
        <f ca="1">OFFSET('Calculations 2'!$AJ$12,W997,X997)</f>
        <v>0</v>
      </c>
    </row>
    <row r="998" spans="17:100">
      <c r="Q998" t="s">
        <v>226</v>
      </c>
      <c r="R998" t="s">
        <v>489</v>
      </c>
      <c r="S998" t="s">
        <v>475</v>
      </c>
      <c r="T998">
        <f ca="1">OFFSET('Calculations 2'!$C$45,W998,X998)*OFFSET($M$6,W998,0)</f>
        <v>91.956079625190426</v>
      </c>
      <c r="V998">
        <f t="shared" si="47"/>
        <v>992</v>
      </c>
      <c r="W998">
        <f t="shared" si="48"/>
        <v>2</v>
      </c>
      <c r="X998">
        <f t="shared" si="49"/>
        <v>30</v>
      </c>
      <c r="AC998" t="s">
        <v>226</v>
      </c>
      <c r="AD998" t="s">
        <v>489</v>
      </c>
      <c r="AE998" t="s">
        <v>475</v>
      </c>
      <c r="AF998">
        <f ca="1">OFFSET('Calculations 2'!$CE$45,W998,0)*OFFSET($AA$6,X998,0)*OFFSET($M$6,W998,)</f>
        <v>0.31093106701918038</v>
      </c>
      <c r="AY998" t="s">
        <v>226</v>
      </c>
      <c r="AZ998" t="s">
        <v>489</v>
      </c>
      <c r="BA998" t="s">
        <v>475</v>
      </c>
      <c r="BB998">
        <v>0</v>
      </c>
      <c r="BE998" t="s">
        <v>226</v>
      </c>
      <c r="BF998" t="s">
        <v>489</v>
      </c>
      <c r="BG998" t="s">
        <v>475</v>
      </c>
      <c r="BH998">
        <v>0</v>
      </c>
      <c r="CT998" t="s">
        <v>226</v>
      </c>
      <c r="CU998" t="s">
        <v>475</v>
      </c>
      <c r="CV998">
        <f ca="1">OFFSET('Calculations 2'!$AJ$12,W998,X998)</f>
        <v>0</v>
      </c>
    </row>
    <row r="999" spans="17:100">
      <c r="Q999" t="s">
        <v>243</v>
      </c>
      <c r="R999" t="s">
        <v>489</v>
      </c>
      <c r="S999" t="s">
        <v>475</v>
      </c>
      <c r="T999">
        <f ca="1">OFFSET('Calculations 2'!$C$45,W999,X999)*OFFSET($M$6,W999,0)</f>
        <v>2.5529934078989638</v>
      </c>
      <c r="V999">
        <f t="shared" si="47"/>
        <v>993</v>
      </c>
      <c r="W999">
        <f t="shared" si="48"/>
        <v>3</v>
      </c>
      <c r="X999">
        <f t="shared" si="49"/>
        <v>30</v>
      </c>
      <c r="AC999" t="s">
        <v>243</v>
      </c>
      <c r="AD999" t="s">
        <v>489</v>
      </c>
      <c r="AE999" t="s">
        <v>475</v>
      </c>
      <c r="AF999">
        <f ca="1">OFFSET('Calculations 2'!$CE$45,W999,0)*OFFSET($AA$6,X999,0)*OFFSET($M$6,W999,)</f>
        <v>1.6195948791970742</v>
      </c>
      <c r="AY999" t="s">
        <v>243</v>
      </c>
      <c r="AZ999" t="s">
        <v>489</v>
      </c>
      <c r="BA999" t="s">
        <v>475</v>
      </c>
      <c r="BB999">
        <v>0</v>
      </c>
      <c r="BE999" t="s">
        <v>243</v>
      </c>
      <c r="BF999" t="s">
        <v>489</v>
      </c>
      <c r="BG999" t="s">
        <v>475</v>
      </c>
      <c r="BH999">
        <v>0</v>
      </c>
      <c r="CT999" t="s">
        <v>243</v>
      </c>
      <c r="CU999" t="s">
        <v>475</v>
      </c>
      <c r="CV999">
        <f ca="1">OFFSET('Calculations 2'!$AJ$12,W999,X999)</f>
        <v>0</v>
      </c>
    </row>
    <row r="1000" spans="17:100">
      <c r="Q1000" t="s">
        <v>228</v>
      </c>
      <c r="R1000" t="s">
        <v>489</v>
      </c>
      <c r="S1000" t="s">
        <v>475</v>
      </c>
      <c r="T1000">
        <f ca="1">OFFSET('Calculations 2'!$C$45,W1000,X1000)*OFFSET($M$6,W1000,0)</f>
        <v>0</v>
      </c>
      <c r="V1000">
        <f t="shared" si="47"/>
        <v>994</v>
      </c>
      <c r="W1000">
        <f t="shared" si="48"/>
        <v>4</v>
      </c>
      <c r="X1000">
        <f t="shared" si="49"/>
        <v>30</v>
      </c>
      <c r="AC1000" t="s">
        <v>228</v>
      </c>
      <c r="AD1000" t="s">
        <v>489</v>
      </c>
      <c r="AE1000" t="s">
        <v>475</v>
      </c>
      <c r="AF1000">
        <f ca="1">OFFSET('Calculations 2'!$CE$45,W1000,0)*OFFSET($AA$6,X1000,0)*OFFSET($M$6,W1000,)</f>
        <v>1.1492197801261149E-2</v>
      </c>
      <c r="AY1000" t="s">
        <v>228</v>
      </c>
      <c r="AZ1000" t="s">
        <v>489</v>
      </c>
      <c r="BA1000" t="s">
        <v>475</v>
      </c>
      <c r="BB1000">
        <v>0</v>
      </c>
      <c r="BE1000" t="s">
        <v>228</v>
      </c>
      <c r="BF1000" t="s">
        <v>489</v>
      </c>
      <c r="BG1000" t="s">
        <v>475</v>
      </c>
      <c r="BH1000">
        <v>0</v>
      </c>
      <c r="CT1000" t="s">
        <v>228</v>
      </c>
      <c r="CU1000" t="s">
        <v>475</v>
      </c>
      <c r="CV1000">
        <f ca="1">OFFSET('Calculations 2'!$AJ$12,W1000,X1000)</f>
        <v>0</v>
      </c>
    </row>
    <row r="1001" spans="17:100">
      <c r="Q1001" t="s">
        <v>246</v>
      </c>
      <c r="R1001" t="s">
        <v>489</v>
      </c>
      <c r="S1001" t="s">
        <v>475</v>
      </c>
      <c r="T1001">
        <f ca="1">OFFSET('Calculations 2'!$C$45,W1001,X1001)*OFFSET($M$6,W1001,0)</f>
        <v>0</v>
      </c>
      <c r="V1001">
        <f t="shared" si="47"/>
        <v>995</v>
      </c>
      <c r="W1001">
        <f t="shared" si="48"/>
        <v>5</v>
      </c>
      <c r="X1001">
        <f t="shared" si="49"/>
        <v>30</v>
      </c>
      <c r="AC1001" t="s">
        <v>246</v>
      </c>
      <c r="AD1001" t="s">
        <v>489</v>
      </c>
      <c r="AE1001" t="s">
        <v>475</v>
      </c>
      <c r="AF1001">
        <f ca="1">OFFSET('Calculations 2'!$CE$45,W1001,0)*OFFSET($AA$6,X1001,0)*OFFSET($M$6,W1001,)</f>
        <v>7.074582196034894E-2</v>
      </c>
      <c r="AY1001" t="s">
        <v>246</v>
      </c>
      <c r="AZ1001" t="s">
        <v>489</v>
      </c>
      <c r="BA1001" t="s">
        <v>475</v>
      </c>
      <c r="BB1001">
        <v>0</v>
      </c>
      <c r="BE1001" t="s">
        <v>246</v>
      </c>
      <c r="BF1001" t="s">
        <v>489</v>
      </c>
      <c r="BG1001" t="s">
        <v>475</v>
      </c>
      <c r="BH1001">
        <v>0</v>
      </c>
      <c r="CT1001" t="s">
        <v>246</v>
      </c>
      <c r="CU1001" t="s">
        <v>475</v>
      </c>
      <c r="CV1001">
        <f ca="1">OFFSET('Calculations 2'!$AJ$12,W1001,X1001)</f>
        <v>0</v>
      </c>
    </row>
    <row r="1002" spans="17:100">
      <c r="Q1002" t="s">
        <v>239</v>
      </c>
      <c r="R1002" t="s">
        <v>489</v>
      </c>
      <c r="S1002" t="s">
        <v>475</v>
      </c>
      <c r="T1002">
        <f ca="1">OFFSET('Calculations 2'!$C$45,W1002,X1002)*OFFSET($M$6,W1002,0)</f>
        <v>44.848880449409435</v>
      </c>
      <c r="V1002">
        <f t="shared" si="47"/>
        <v>996</v>
      </c>
      <c r="W1002">
        <f t="shared" si="48"/>
        <v>6</v>
      </c>
      <c r="X1002">
        <f t="shared" si="49"/>
        <v>30</v>
      </c>
      <c r="AC1002" t="s">
        <v>239</v>
      </c>
      <c r="AD1002" t="s">
        <v>489</v>
      </c>
      <c r="AE1002" t="s">
        <v>475</v>
      </c>
      <c r="AF1002">
        <f ca="1">OFFSET('Calculations 2'!$CE$45,W1002,0)*OFFSET($AA$6,X1002,0)*OFFSET($M$6,W1002,)</f>
        <v>1.4160215706381909</v>
      </c>
      <c r="AY1002" t="s">
        <v>239</v>
      </c>
      <c r="AZ1002" t="s">
        <v>489</v>
      </c>
      <c r="BA1002" t="s">
        <v>475</v>
      </c>
      <c r="BB1002">
        <v>0</v>
      </c>
      <c r="BE1002" t="s">
        <v>239</v>
      </c>
      <c r="BF1002" t="s">
        <v>489</v>
      </c>
      <c r="BG1002" t="s">
        <v>475</v>
      </c>
      <c r="BH1002">
        <v>0</v>
      </c>
      <c r="CT1002" t="s">
        <v>239</v>
      </c>
      <c r="CU1002" t="s">
        <v>475</v>
      </c>
      <c r="CV1002">
        <f ca="1">OFFSET('Calculations 2'!$AJ$12,W1002,X1002)</f>
        <v>0</v>
      </c>
    </row>
    <row r="1003" spans="17:100">
      <c r="Q1003" t="s">
        <v>466</v>
      </c>
      <c r="R1003" t="s">
        <v>489</v>
      </c>
      <c r="S1003" t="s">
        <v>475</v>
      </c>
      <c r="T1003">
        <f ca="1">OFFSET('Calculations 2'!$C$45,W1003,X1003)*OFFSET($M$6,W1003,0)</f>
        <v>22.218551506956661</v>
      </c>
      <c r="V1003">
        <f t="shared" si="47"/>
        <v>997</v>
      </c>
      <c r="W1003">
        <f t="shared" si="48"/>
        <v>7</v>
      </c>
      <c r="X1003">
        <f t="shared" si="49"/>
        <v>30</v>
      </c>
      <c r="AC1003" t="s">
        <v>466</v>
      </c>
      <c r="AD1003" t="s">
        <v>489</v>
      </c>
      <c r="AE1003" t="s">
        <v>475</v>
      </c>
      <c r="AF1003">
        <f ca="1">OFFSET('Calculations 2'!$CE$45,W1003,0)*OFFSET($AA$6,X1003,0)*OFFSET($M$6,W1003,)</f>
        <v>0.21577428393807851</v>
      </c>
      <c r="AY1003" t="s">
        <v>466</v>
      </c>
      <c r="AZ1003" t="s">
        <v>489</v>
      </c>
      <c r="BA1003" t="s">
        <v>475</v>
      </c>
      <c r="BB1003">
        <v>0</v>
      </c>
      <c r="BE1003" t="s">
        <v>466</v>
      </c>
      <c r="BF1003" t="s">
        <v>489</v>
      </c>
      <c r="BG1003" t="s">
        <v>475</v>
      </c>
      <c r="BH1003">
        <v>0</v>
      </c>
      <c r="CT1003" t="s">
        <v>466</v>
      </c>
      <c r="CU1003" t="s">
        <v>475</v>
      </c>
      <c r="CV1003">
        <f ca="1">OFFSET('Calculations 2'!$AJ$12,W1003,X1003)</f>
        <v>0</v>
      </c>
    </row>
    <row r="1004" spans="17:100">
      <c r="Q1004" t="s">
        <v>219</v>
      </c>
      <c r="R1004" t="s">
        <v>489</v>
      </c>
      <c r="S1004" t="s">
        <v>475</v>
      </c>
      <c r="T1004">
        <f ca="1">OFFSET('Calculations 2'!$C$45,W1004,X1004)*OFFSET($M$6,W1004,0)</f>
        <v>190.58401478992346</v>
      </c>
      <c r="V1004">
        <f t="shared" si="47"/>
        <v>998</v>
      </c>
      <c r="W1004">
        <f t="shared" si="48"/>
        <v>8</v>
      </c>
      <c r="X1004">
        <f t="shared" si="49"/>
        <v>30</v>
      </c>
      <c r="AC1004" t="s">
        <v>219</v>
      </c>
      <c r="AD1004" t="s">
        <v>489</v>
      </c>
      <c r="AE1004" t="s">
        <v>475</v>
      </c>
      <c r="AF1004">
        <f ca="1">OFFSET('Calculations 2'!$CE$45,W1004,0)*OFFSET($AA$6,X1004,0)*OFFSET($M$6,W1004,)</f>
        <v>1.3436705584428472</v>
      </c>
      <c r="AY1004" t="s">
        <v>219</v>
      </c>
      <c r="AZ1004" t="s">
        <v>489</v>
      </c>
      <c r="BA1004" t="s">
        <v>475</v>
      </c>
      <c r="BB1004">
        <v>0</v>
      </c>
      <c r="BE1004" t="s">
        <v>219</v>
      </c>
      <c r="BF1004" t="s">
        <v>489</v>
      </c>
      <c r="BG1004" t="s">
        <v>475</v>
      </c>
      <c r="BH1004">
        <v>0</v>
      </c>
      <c r="CT1004" t="s">
        <v>219</v>
      </c>
      <c r="CU1004" t="s">
        <v>475</v>
      </c>
      <c r="CV1004">
        <f ca="1">OFFSET('Calculations 2'!$AJ$12,W1004,X1004)</f>
        <v>0</v>
      </c>
    </row>
    <row r="1005" spans="17:100">
      <c r="Q1005" t="s">
        <v>242</v>
      </c>
      <c r="R1005" t="s">
        <v>489</v>
      </c>
      <c r="S1005" t="s">
        <v>475</v>
      </c>
      <c r="T1005">
        <f ca="1">OFFSET('Calculations 2'!$C$45,W1005,X1005)*OFFSET($M$6,W1005,0)</f>
        <v>1.2868332321225471</v>
      </c>
      <c r="V1005">
        <f t="shared" si="47"/>
        <v>999</v>
      </c>
      <c r="W1005">
        <f t="shared" si="48"/>
        <v>9</v>
      </c>
      <c r="X1005">
        <f t="shared" si="49"/>
        <v>30</v>
      </c>
      <c r="AC1005" t="s">
        <v>242</v>
      </c>
      <c r="AD1005" t="s">
        <v>489</v>
      </c>
      <c r="AE1005" t="s">
        <v>475</v>
      </c>
      <c r="AF1005">
        <f ca="1">OFFSET('Calculations 2'!$CE$45,W1005,0)*OFFSET($AA$6,X1005,0)*OFFSET($M$6,W1005,)</f>
        <v>2.1033866899269209</v>
      </c>
      <c r="AY1005" t="s">
        <v>242</v>
      </c>
      <c r="AZ1005" t="s">
        <v>489</v>
      </c>
      <c r="BA1005" t="s">
        <v>475</v>
      </c>
      <c r="BB1005">
        <v>0</v>
      </c>
      <c r="BE1005" t="s">
        <v>242</v>
      </c>
      <c r="BF1005" t="s">
        <v>489</v>
      </c>
      <c r="BG1005" t="s">
        <v>475</v>
      </c>
      <c r="BH1005">
        <v>0</v>
      </c>
      <c r="CT1005" t="s">
        <v>242</v>
      </c>
      <c r="CU1005" t="s">
        <v>475</v>
      </c>
      <c r="CV1005">
        <f ca="1">OFFSET('Calculations 2'!$AJ$12,W1005,X1005)</f>
        <v>0</v>
      </c>
    </row>
    <row r="1006" spans="17:100">
      <c r="Q1006" t="s">
        <v>467</v>
      </c>
      <c r="R1006" t="s">
        <v>489</v>
      </c>
      <c r="S1006" t="s">
        <v>475</v>
      </c>
      <c r="T1006">
        <f ca="1">OFFSET('Calculations 2'!$C$45,W1006,X1006)*OFFSET($M$6,W1006,0)</f>
        <v>26.810017822838599</v>
      </c>
      <c r="V1006">
        <f t="shared" si="47"/>
        <v>1000</v>
      </c>
      <c r="W1006">
        <f t="shared" si="48"/>
        <v>10</v>
      </c>
      <c r="X1006">
        <f t="shared" si="49"/>
        <v>30</v>
      </c>
      <c r="AC1006" t="s">
        <v>467</v>
      </c>
      <c r="AD1006" t="s">
        <v>489</v>
      </c>
      <c r="AE1006" t="s">
        <v>475</v>
      </c>
      <c r="AF1006">
        <f ca="1">OFFSET('Calculations 2'!$CE$45,W1006,0)*OFFSET($AA$6,X1006,0)*OFFSET($M$6,W1006,)</f>
        <v>1.9485263226980165</v>
      </c>
      <c r="AY1006" t="s">
        <v>467</v>
      </c>
      <c r="AZ1006" t="s">
        <v>489</v>
      </c>
      <c r="BA1006" t="s">
        <v>475</v>
      </c>
      <c r="BB1006">
        <v>0</v>
      </c>
      <c r="BE1006" t="s">
        <v>467</v>
      </c>
      <c r="BF1006" t="s">
        <v>489</v>
      </c>
      <c r="BG1006" t="s">
        <v>475</v>
      </c>
      <c r="BH1006">
        <v>0</v>
      </c>
      <c r="CT1006" t="s">
        <v>467</v>
      </c>
      <c r="CU1006" t="s">
        <v>475</v>
      </c>
      <c r="CV1006">
        <f ca="1">OFFSET('Calculations 2'!$AJ$12,W1006,X1006)</f>
        <v>0</v>
      </c>
    </row>
    <row r="1007" spans="17:100">
      <c r="Q1007" t="s">
        <v>231</v>
      </c>
      <c r="R1007" t="s">
        <v>489</v>
      </c>
      <c r="S1007" t="s">
        <v>475</v>
      </c>
      <c r="T1007">
        <f ca="1">OFFSET('Calculations 2'!$C$45,W1007,X1007)*OFFSET($M$6,W1007,0)</f>
        <v>0</v>
      </c>
      <c r="V1007">
        <f t="shared" si="47"/>
        <v>1001</v>
      </c>
      <c r="W1007">
        <f t="shared" si="48"/>
        <v>11</v>
      </c>
      <c r="X1007">
        <f t="shared" si="49"/>
        <v>30</v>
      </c>
      <c r="AC1007" t="s">
        <v>231</v>
      </c>
      <c r="AD1007" t="s">
        <v>489</v>
      </c>
      <c r="AE1007" t="s">
        <v>475</v>
      </c>
      <c r="AF1007">
        <f ca="1">OFFSET('Calculations 2'!$CE$45,W1007,0)*OFFSET($AA$6,X1007,0)*OFFSET($M$6,W1007,)</f>
        <v>5.6991026070503592</v>
      </c>
      <c r="AY1007" t="s">
        <v>231</v>
      </c>
      <c r="AZ1007" t="s">
        <v>489</v>
      </c>
      <c r="BA1007" t="s">
        <v>475</v>
      </c>
      <c r="BB1007">
        <v>0</v>
      </c>
      <c r="BE1007" t="s">
        <v>231</v>
      </c>
      <c r="BF1007" t="s">
        <v>489</v>
      </c>
      <c r="BG1007" t="s">
        <v>475</v>
      </c>
      <c r="BH1007">
        <v>0</v>
      </c>
      <c r="CT1007" t="s">
        <v>231</v>
      </c>
      <c r="CU1007" t="s">
        <v>475</v>
      </c>
      <c r="CV1007">
        <f ca="1">OFFSET('Calculations 2'!$AJ$12,W1007,X1007)</f>
        <v>0</v>
      </c>
    </row>
    <row r="1008" spans="17:100">
      <c r="Q1008" t="s">
        <v>468</v>
      </c>
      <c r="R1008" t="s">
        <v>489</v>
      </c>
      <c r="S1008" t="s">
        <v>475</v>
      </c>
      <c r="T1008">
        <f ca="1">OFFSET('Calculations 2'!$C$45,W1008,X1008)*OFFSET($M$6,W1008,0)</f>
        <v>4.1753334871627574</v>
      </c>
      <c r="V1008">
        <f t="shared" si="47"/>
        <v>1002</v>
      </c>
      <c r="W1008">
        <f t="shared" si="48"/>
        <v>12</v>
      </c>
      <c r="X1008">
        <f t="shared" si="49"/>
        <v>30</v>
      </c>
      <c r="AC1008" t="s">
        <v>468</v>
      </c>
      <c r="AD1008" t="s">
        <v>489</v>
      </c>
      <c r="AE1008" t="s">
        <v>475</v>
      </c>
      <c r="AF1008">
        <f ca="1">OFFSET('Calculations 2'!$CE$45,W1008,0)*OFFSET($AA$6,X1008,0)*OFFSET($M$6,W1008,)</f>
        <v>8.2490018099882096</v>
      </c>
      <c r="AY1008" t="s">
        <v>468</v>
      </c>
      <c r="AZ1008" t="s">
        <v>489</v>
      </c>
      <c r="BA1008" t="s">
        <v>475</v>
      </c>
      <c r="BB1008">
        <v>0</v>
      </c>
      <c r="BE1008" t="s">
        <v>468</v>
      </c>
      <c r="BF1008" t="s">
        <v>489</v>
      </c>
      <c r="BG1008" t="s">
        <v>475</v>
      </c>
      <c r="BH1008">
        <v>0</v>
      </c>
      <c r="CT1008" t="s">
        <v>468</v>
      </c>
      <c r="CU1008" t="s">
        <v>475</v>
      </c>
      <c r="CV1008">
        <f ca="1">OFFSET('Calculations 2'!$AJ$12,W1008,X1008)</f>
        <v>0</v>
      </c>
    </row>
    <row r="1009" spans="17:100">
      <c r="Q1009" t="s">
        <v>469</v>
      </c>
      <c r="R1009" t="s">
        <v>489</v>
      </c>
      <c r="S1009" t="s">
        <v>475</v>
      </c>
      <c r="T1009">
        <f ca="1">OFFSET('Calculations 2'!$C$45,W1009,X1009)*OFFSET($M$6,W1009,0)</f>
        <v>0.13526049585797695</v>
      </c>
      <c r="V1009">
        <f t="shared" si="47"/>
        <v>1003</v>
      </c>
      <c r="W1009">
        <f t="shared" si="48"/>
        <v>13</v>
      </c>
      <c r="X1009">
        <f t="shared" si="49"/>
        <v>30</v>
      </c>
      <c r="AC1009" t="s">
        <v>469</v>
      </c>
      <c r="AD1009" t="s">
        <v>489</v>
      </c>
      <c r="AE1009" t="s">
        <v>475</v>
      </c>
      <c r="AF1009">
        <f ca="1">OFFSET('Calculations 2'!$CE$45,W1009,0)*OFFSET($AA$6,X1009,0)*OFFSET($M$6,W1009,)</f>
        <v>1.7159713557831211</v>
      </c>
      <c r="AY1009" t="s">
        <v>469</v>
      </c>
      <c r="AZ1009" t="s">
        <v>489</v>
      </c>
      <c r="BA1009" t="s">
        <v>475</v>
      </c>
      <c r="BB1009">
        <v>0</v>
      </c>
      <c r="BE1009" t="s">
        <v>469</v>
      </c>
      <c r="BF1009" t="s">
        <v>489</v>
      </c>
      <c r="BG1009" t="s">
        <v>475</v>
      </c>
      <c r="BH1009">
        <v>0</v>
      </c>
      <c r="CT1009" t="s">
        <v>469</v>
      </c>
      <c r="CU1009" t="s">
        <v>475</v>
      </c>
      <c r="CV1009">
        <f ca="1">OFFSET('Calculations 2'!$AJ$12,W1009,X1009)</f>
        <v>0</v>
      </c>
    </row>
    <row r="1010" spans="17:100">
      <c r="Q1010" t="s">
        <v>245</v>
      </c>
      <c r="R1010" t="s">
        <v>489</v>
      </c>
      <c r="S1010" t="s">
        <v>475</v>
      </c>
      <c r="T1010">
        <f ca="1">OFFSET('Calculations 2'!$C$45,W1010,X1010)*OFFSET($M$6,W1010,0)</f>
        <v>0.8775665572261161</v>
      </c>
      <c r="V1010">
        <f t="shared" si="47"/>
        <v>1004</v>
      </c>
      <c r="W1010">
        <f t="shared" si="48"/>
        <v>14</v>
      </c>
      <c r="X1010">
        <f t="shared" si="49"/>
        <v>30</v>
      </c>
      <c r="AC1010" t="s">
        <v>245</v>
      </c>
      <c r="AD1010" t="s">
        <v>489</v>
      </c>
      <c r="AE1010" t="s">
        <v>475</v>
      </c>
      <c r="AF1010">
        <f ca="1">OFFSET('Calculations 2'!$CE$45,W1010,0)*OFFSET($AA$6,X1010,0)*OFFSET($M$6,W1010,)</f>
        <v>2.4787342880848273</v>
      </c>
      <c r="AY1010" t="s">
        <v>245</v>
      </c>
      <c r="AZ1010" t="s">
        <v>489</v>
      </c>
      <c r="BA1010" t="s">
        <v>475</v>
      </c>
      <c r="BB1010">
        <v>0</v>
      </c>
      <c r="BE1010" t="s">
        <v>245</v>
      </c>
      <c r="BF1010" t="s">
        <v>489</v>
      </c>
      <c r="BG1010" t="s">
        <v>475</v>
      </c>
      <c r="BH1010">
        <v>0</v>
      </c>
      <c r="CT1010" t="s">
        <v>245</v>
      </c>
      <c r="CU1010" t="s">
        <v>475</v>
      </c>
      <c r="CV1010">
        <f ca="1">OFFSET('Calculations 2'!$AJ$12,W1010,X1010)</f>
        <v>0</v>
      </c>
    </row>
    <row r="1011" spans="17:100">
      <c r="Q1011" t="s">
        <v>470</v>
      </c>
      <c r="R1011" t="s">
        <v>489</v>
      </c>
      <c r="S1011" t="s">
        <v>475</v>
      </c>
      <c r="T1011">
        <f ca="1">OFFSET('Calculations 2'!$C$45,W1011,X1011)*OFFSET($M$6,W1011,0)</f>
        <v>42.388889926369018</v>
      </c>
      <c r="V1011">
        <f t="shared" si="47"/>
        <v>1005</v>
      </c>
      <c r="W1011">
        <f t="shared" si="48"/>
        <v>15</v>
      </c>
      <c r="X1011">
        <f t="shared" si="49"/>
        <v>30</v>
      </c>
      <c r="AC1011" t="s">
        <v>470</v>
      </c>
      <c r="AD1011" t="s">
        <v>489</v>
      </c>
      <c r="AE1011" t="s">
        <v>475</v>
      </c>
      <c r="AF1011">
        <f ca="1">OFFSET('Calculations 2'!$CE$45,W1011,0)*OFFSET($AA$6,X1011,0)*OFFSET($M$6,W1011,)</f>
        <v>6.7494327879780007</v>
      </c>
      <c r="AY1011" t="s">
        <v>470</v>
      </c>
      <c r="AZ1011" t="s">
        <v>489</v>
      </c>
      <c r="BA1011" t="s">
        <v>475</v>
      </c>
      <c r="BB1011">
        <v>0</v>
      </c>
      <c r="BE1011" t="s">
        <v>470</v>
      </c>
      <c r="BF1011" t="s">
        <v>489</v>
      </c>
      <c r="BG1011" t="s">
        <v>475</v>
      </c>
      <c r="BH1011">
        <v>0</v>
      </c>
      <c r="CT1011" t="s">
        <v>470</v>
      </c>
      <c r="CU1011" t="s">
        <v>475</v>
      </c>
      <c r="CV1011">
        <f ca="1">OFFSET('Calculations 2'!$AJ$12,W1011,X1011)</f>
        <v>0</v>
      </c>
    </row>
    <row r="1012" spans="17:100">
      <c r="Q1012" t="s">
        <v>471</v>
      </c>
      <c r="R1012" t="s">
        <v>489</v>
      </c>
      <c r="S1012" t="s">
        <v>475</v>
      </c>
      <c r="T1012">
        <f ca="1">OFFSET('Calculations 2'!$C$45,W1012,X1012)*OFFSET($M$6,W1012,0)</f>
        <v>257.88615026759044</v>
      </c>
      <c r="V1012">
        <f t="shared" si="47"/>
        <v>1006</v>
      </c>
      <c r="W1012">
        <f t="shared" si="48"/>
        <v>16</v>
      </c>
      <c r="X1012">
        <f t="shared" si="49"/>
        <v>30</v>
      </c>
      <c r="AC1012" t="s">
        <v>471</v>
      </c>
      <c r="AD1012" t="s">
        <v>489</v>
      </c>
      <c r="AE1012" t="s">
        <v>475</v>
      </c>
      <c r="AF1012">
        <f ca="1">OFFSET('Calculations 2'!$CE$45,W1012,0)*OFFSET($AA$6,X1012,0)*OFFSET($M$6,W1012,)</f>
        <v>0</v>
      </c>
      <c r="AY1012" t="s">
        <v>471</v>
      </c>
      <c r="AZ1012" t="s">
        <v>489</v>
      </c>
      <c r="BA1012" t="s">
        <v>475</v>
      </c>
      <c r="BB1012">
        <v>0</v>
      </c>
      <c r="BE1012" t="s">
        <v>471</v>
      </c>
      <c r="BF1012" t="s">
        <v>489</v>
      </c>
      <c r="BG1012" t="s">
        <v>475</v>
      </c>
      <c r="BH1012">
        <v>0</v>
      </c>
      <c r="CT1012" t="s">
        <v>471</v>
      </c>
      <c r="CU1012" t="s">
        <v>475</v>
      </c>
      <c r="CV1012">
        <f ca="1">OFFSET('Calculations 2'!$AJ$12,W1012,X1012)</f>
        <v>0</v>
      </c>
    </row>
    <row r="1013" spans="17:100">
      <c r="Q1013" t="s">
        <v>221</v>
      </c>
      <c r="R1013" t="s">
        <v>489</v>
      </c>
      <c r="S1013" t="s">
        <v>475</v>
      </c>
      <c r="T1013">
        <f ca="1">OFFSET('Calculations 2'!$C$45,W1013,X1013)*OFFSET($M$6,W1013,0)</f>
        <v>288.31597839295802</v>
      </c>
      <c r="V1013">
        <f t="shared" si="47"/>
        <v>1007</v>
      </c>
      <c r="W1013">
        <f t="shared" si="48"/>
        <v>17</v>
      </c>
      <c r="X1013">
        <f t="shared" si="49"/>
        <v>30</v>
      </c>
      <c r="AC1013" t="s">
        <v>221</v>
      </c>
      <c r="AD1013" t="s">
        <v>489</v>
      </c>
      <c r="AE1013" t="s">
        <v>475</v>
      </c>
      <c r="AF1013">
        <f ca="1">OFFSET('Calculations 2'!$CE$45,W1013,0)*OFFSET($AA$6,X1013,0)*OFFSET($M$6,W1013,)</f>
        <v>224.20563124638477</v>
      </c>
      <c r="AY1013" t="s">
        <v>221</v>
      </c>
      <c r="AZ1013" t="s">
        <v>489</v>
      </c>
      <c r="BA1013" t="s">
        <v>475</v>
      </c>
      <c r="BB1013">
        <v>0</v>
      </c>
      <c r="BE1013" t="s">
        <v>221</v>
      </c>
      <c r="BF1013" t="s">
        <v>489</v>
      </c>
      <c r="BG1013" t="s">
        <v>475</v>
      </c>
      <c r="BH1013">
        <v>0</v>
      </c>
      <c r="CT1013" t="s">
        <v>221</v>
      </c>
      <c r="CU1013" t="s">
        <v>475</v>
      </c>
      <c r="CV1013">
        <f ca="1">OFFSET('Calculations 2'!$AJ$12,W1013,X1013)</f>
        <v>0</v>
      </c>
    </row>
    <row r="1014" spans="17:100">
      <c r="Q1014" t="s">
        <v>244</v>
      </c>
      <c r="R1014" t="s">
        <v>489</v>
      </c>
      <c r="S1014" t="s">
        <v>475</v>
      </c>
      <c r="T1014">
        <f ca="1">OFFSET('Calculations 2'!$C$45,W1014,X1014)*OFFSET($M$6,W1014,0)</f>
        <v>282.93304121154273</v>
      </c>
      <c r="V1014">
        <f t="shared" si="47"/>
        <v>1008</v>
      </c>
      <c r="W1014">
        <f t="shared" si="48"/>
        <v>18</v>
      </c>
      <c r="X1014">
        <f t="shared" si="49"/>
        <v>30</v>
      </c>
      <c r="AC1014" t="s">
        <v>244</v>
      </c>
      <c r="AD1014" t="s">
        <v>489</v>
      </c>
      <c r="AE1014" t="s">
        <v>475</v>
      </c>
      <c r="AF1014">
        <f ca="1">OFFSET('Calculations 2'!$CE$45,W1014,0)*OFFSET($AA$6,X1014,0)*OFFSET($M$6,W1014,)</f>
        <v>35.848985514838859</v>
      </c>
      <c r="AY1014" t="s">
        <v>244</v>
      </c>
      <c r="AZ1014" t="s">
        <v>489</v>
      </c>
      <c r="BA1014" t="s">
        <v>475</v>
      </c>
      <c r="BB1014">
        <v>0</v>
      </c>
      <c r="BE1014" t="s">
        <v>244</v>
      </c>
      <c r="BF1014" t="s">
        <v>489</v>
      </c>
      <c r="BG1014" t="s">
        <v>475</v>
      </c>
      <c r="BH1014">
        <v>0</v>
      </c>
      <c r="CT1014" t="s">
        <v>244</v>
      </c>
      <c r="CU1014" t="s">
        <v>475</v>
      </c>
      <c r="CV1014">
        <f ca="1">OFFSET('Calculations 2'!$AJ$12,W1014,X1014)</f>
        <v>0</v>
      </c>
    </row>
    <row r="1015" spans="17:100">
      <c r="Q1015" t="s">
        <v>472</v>
      </c>
      <c r="R1015" t="s">
        <v>489</v>
      </c>
      <c r="S1015" t="s">
        <v>475</v>
      </c>
      <c r="T1015">
        <f ca="1">OFFSET('Calculations 2'!$C$45,W1015,X1015)*OFFSET($M$6,W1015,0)</f>
        <v>26.962491246004365</v>
      </c>
      <c r="V1015">
        <f t="shared" si="47"/>
        <v>1009</v>
      </c>
      <c r="W1015">
        <f t="shared" si="48"/>
        <v>19</v>
      </c>
      <c r="X1015">
        <f t="shared" si="49"/>
        <v>30</v>
      </c>
      <c r="AC1015" t="s">
        <v>472</v>
      </c>
      <c r="AD1015" t="s">
        <v>489</v>
      </c>
      <c r="AE1015" t="s">
        <v>475</v>
      </c>
      <c r="AF1015">
        <f ca="1">OFFSET('Calculations 2'!$CE$45,W1015,0)*OFFSET($AA$6,X1015,0)*OFFSET($M$6,W1015,)</f>
        <v>0</v>
      </c>
      <c r="AY1015" t="s">
        <v>472</v>
      </c>
      <c r="AZ1015" t="s">
        <v>489</v>
      </c>
      <c r="BA1015" t="s">
        <v>475</v>
      </c>
      <c r="BB1015">
        <v>0</v>
      </c>
      <c r="BE1015" t="s">
        <v>472</v>
      </c>
      <c r="BF1015" t="s">
        <v>489</v>
      </c>
      <c r="BG1015" t="s">
        <v>475</v>
      </c>
      <c r="BH1015">
        <v>0</v>
      </c>
      <c r="CT1015" t="s">
        <v>472</v>
      </c>
      <c r="CU1015" t="s">
        <v>475</v>
      </c>
      <c r="CV1015">
        <f ca="1">OFFSET('Calculations 2'!$AJ$12,W1015,X1015)</f>
        <v>0</v>
      </c>
    </row>
    <row r="1016" spans="17:100">
      <c r="Q1016" t="s">
        <v>238</v>
      </c>
      <c r="R1016" t="s">
        <v>489</v>
      </c>
      <c r="S1016" t="s">
        <v>475</v>
      </c>
      <c r="T1016">
        <f ca="1">OFFSET('Calculations 2'!$C$45,W1016,X1016)*OFFSET($M$6,W1016,0)</f>
        <v>132.80170577846974</v>
      </c>
      <c r="V1016">
        <f t="shared" si="47"/>
        <v>1010</v>
      </c>
      <c r="W1016">
        <f t="shared" si="48"/>
        <v>20</v>
      </c>
      <c r="X1016">
        <f t="shared" si="49"/>
        <v>30</v>
      </c>
      <c r="AC1016" t="s">
        <v>238</v>
      </c>
      <c r="AD1016" t="s">
        <v>489</v>
      </c>
      <c r="AE1016" t="s">
        <v>475</v>
      </c>
      <c r="AF1016">
        <f ca="1">OFFSET('Calculations 2'!$CE$45,W1016,0)*OFFSET($AA$6,X1016,0)*OFFSET($M$6,W1016,)</f>
        <v>0</v>
      </c>
      <c r="AY1016" t="s">
        <v>238</v>
      </c>
      <c r="AZ1016" t="s">
        <v>489</v>
      </c>
      <c r="BA1016" t="s">
        <v>475</v>
      </c>
      <c r="BB1016">
        <v>0</v>
      </c>
      <c r="BE1016" t="s">
        <v>238</v>
      </c>
      <c r="BF1016" t="s">
        <v>489</v>
      </c>
      <c r="BG1016" t="s">
        <v>475</v>
      </c>
      <c r="BH1016">
        <v>0</v>
      </c>
      <c r="CT1016" t="s">
        <v>238</v>
      </c>
      <c r="CU1016" t="s">
        <v>475</v>
      </c>
      <c r="CV1016">
        <f ca="1">OFFSET('Calculations 2'!$AJ$12,W1016,X1016)</f>
        <v>0</v>
      </c>
    </row>
    <row r="1017" spans="17:100">
      <c r="Q1017" t="s">
        <v>247</v>
      </c>
      <c r="R1017" t="s">
        <v>489</v>
      </c>
      <c r="S1017" t="s">
        <v>475</v>
      </c>
      <c r="T1017">
        <f ca="1">OFFSET('Calculations 2'!$C$45,W1017,X1017)*OFFSET($M$6,W1017,0)</f>
        <v>0</v>
      </c>
      <c r="V1017">
        <f t="shared" si="47"/>
        <v>1011</v>
      </c>
      <c r="W1017">
        <f t="shared" si="48"/>
        <v>21</v>
      </c>
      <c r="X1017">
        <f t="shared" si="49"/>
        <v>30</v>
      </c>
      <c r="AC1017" t="s">
        <v>247</v>
      </c>
      <c r="AD1017" t="s">
        <v>489</v>
      </c>
      <c r="AE1017" t="s">
        <v>475</v>
      </c>
      <c r="AF1017">
        <f ca="1">OFFSET('Calculations 2'!$CE$45,W1017,0)*OFFSET($AA$6,X1017,0)*OFFSET($M$6,W1017,)</f>
        <v>0</v>
      </c>
      <c r="AY1017" t="s">
        <v>247</v>
      </c>
      <c r="AZ1017" t="s">
        <v>489</v>
      </c>
      <c r="BA1017" t="s">
        <v>475</v>
      </c>
      <c r="BB1017">
        <v>0</v>
      </c>
      <c r="BE1017" t="s">
        <v>247</v>
      </c>
      <c r="BF1017" t="s">
        <v>489</v>
      </c>
      <c r="BG1017" t="s">
        <v>475</v>
      </c>
      <c r="BH1017">
        <v>0</v>
      </c>
      <c r="CT1017" t="s">
        <v>247</v>
      </c>
      <c r="CU1017" t="s">
        <v>475</v>
      </c>
      <c r="CV1017">
        <f ca="1">OFFSET('Calculations 2'!$AJ$12,W1017,X1017)</f>
        <v>0</v>
      </c>
    </row>
    <row r="1018" spans="17:100">
      <c r="Q1018" t="s">
        <v>218</v>
      </c>
      <c r="R1018" t="s">
        <v>489</v>
      </c>
      <c r="S1018" t="s">
        <v>475</v>
      </c>
      <c r="T1018">
        <f ca="1">OFFSET('Calculations 2'!$C$45,W1018,X1018)*OFFSET($M$6,W1018,0)</f>
        <v>47.390507798544839</v>
      </c>
      <c r="V1018">
        <f t="shared" si="47"/>
        <v>1012</v>
      </c>
      <c r="W1018">
        <f t="shared" si="48"/>
        <v>22</v>
      </c>
      <c r="X1018">
        <f t="shared" si="49"/>
        <v>30</v>
      </c>
      <c r="AC1018" t="s">
        <v>218</v>
      </c>
      <c r="AD1018" t="s">
        <v>489</v>
      </c>
      <c r="AE1018" t="s">
        <v>475</v>
      </c>
      <c r="AF1018">
        <f ca="1">OFFSET('Calculations 2'!$CE$45,W1018,0)*OFFSET($AA$6,X1018,0)*OFFSET($M$6,W1018,)</f>
        <v>0</v>
      </c>
      <c r="AY1018" t="s">
        <v>218</v>
      </c>
      <c r="AZ1018" t="s">
        <v>489</v>
      </c>
      <c r="BA1018" t="s">
        <v>475</v>
      </c>
      <c r="BB1018">
        <v>0</v>
      </c>
      <c r="BE1018" t="s">
        <v>218</v>
      </c>
      <c r="BF1018" t="s">
        <v>489</v>
      </c>
      <c r="BG1018" t="s">
        <v>475</v>
      </c>
      <c r="BH1018">
        <v>0</v>
      </c>
      <c r="CT1018" t="s">
        <v>218</v>
      </c>
      <c r="CU1018" t="s">
        <v>475</v>
      </c>
      <c r="CV1018">
        <f ca="1">OFFSET('Calculations 2'!$AJ$12,W1018,X1018)</f>
        <v>0</v>
      </c>
    </row>
    <row r="1019" spans="17:100">
      <c r="Q1019" t="s">
        <v>257</v>
      </c>
      <c r="R1019" t="s">
        <v>489</v>
      </c>
      <c r="S1019" t="s">
        <v>475</v>
      </c>
      <c r="T1019">
        <f ca="1">OFFSET('Calculations 2'!$C$45,W1019,X1019)*OFFSET($M$6,W1019,0)</f>
        <v>13.593884839607684</v>
      </c>
      <c r="V1019">
        <f t="shared" si="47"/>
        <v>1013</v>
      </c>
      <c r="W1019">
        <f t="shared" si="48"/>
        <v>23</v>
      </c>
      <c r="X1019">
        <f t="shared" si="49"/>
        <v>30</v>
      </c>
      <c r="AC1019" t="s">
        <v>257</v>
      </c>
      <c r="AD1019" t="s">
        <v>489</v>
      </c>
      <c r="AE1019" t="s">
        <v>475</v>
      </c>
      <c r="AF1019">
        <f ca="1">OFFSET('Calculations 2'!$CE$45,W1019,0)*OFFSET($AA$6,X1019,0)*OFFSET($M$6,W1019,)</f>
        <v>0</v>
      </c>
      <c r="AY1019" t="s">
        <v>257</v>
      </c>
      <c r="AZ1019" t="s">
        <v>489</v>
      </c>
      <c r="BA1019" t="s">
        <v>475</v>
      </c>
      <c r="BB1019">
        <v>0</v>
      </c>
      <c r="BE1019" t="s">
        <v>257</v>
      </c>
      <c r="BF1019" t="s">
        <v>489</v>
      </c>
      <c r="BG1019" t="s">
        <v>475</v>
      </c>
      <c r="BH1019">
        <v>0</v>
      </c>
      <c r="CT1019" t="s">
        <v>257</v>
      </c>
      <c r="CU1019" t="s">
        <v>475</v>
      </c>
      <c r="CV1019">
        <f ca="1">OFFSET('Calculations 2'!$AJ$12,W1019,X1019)</f>
        <v>0</v>
      </c>
    </row>
    <row r="1020" spans="17:100">
      <c r="Q1020" t="s">
        <v>220</v>
      </c>
      <c r="R1020" t="s">
        <v>489</v>
      </c>
      <c r="S1020" t="s">
        <v>475</v>
      </c>
      <c r="T1020">
        <f ca="1">OFFSET('Calculations 2'!$C$45,W1020,X1020)*OFFSET($M$6,W1020,0)</f>
        <v>278.63542798438192</v>
      </c>
      <c r="V1020">
        <f t="shared" si="47"/>
        <v>1014</v>
      </c>
      <c r="W1020">
        <f t="shared" si="48"/>
        <v>24</v>
      </c>
      <c r="X1020">
        <f t="shared" si="49"/>
        <v>30</v>
      </c>
      <c r="AC1020" t="s">
        <v>220</v>
      </c>
      <c r="AD1020" t="s">
        <v>489</v>
      </c>
      <c r="AE1020" t="s">
        <v>475</v>
      </c>
      <c r="AF1020">
        <f ca="1">OFFSET('Calculations 2'!$CE$45,W1020,0)*OFFSET($AA$6,X1020,0)*OFFSET($M$6,W1020,)</f>
        <v>0</v>
      </c>
      <c r="AY1020" t="s">
        <v>220</v>
      </c>
      <c r="AZ1020" t="s">
        <v>489</v>
      </c>
      <c r="BA1020" t="s">
        <v>475</v>
      </c>
      <c r="BB1020">
        <v>0</v>
      </c>
      <c r="BE1020" t="s">
        <v>220</v>
      </c>
      <c r="BF1020" t="s">
        <v>489</v>
      </c>
      <c r="BG1020" t="s">
        <v>475</v>
      </c>
      <c r="BH1020">
        <v>0</v>
      </c>
      <c r="CT1020" t="s">
        <v>220</v>
      </c>
      <c r="CU1020" t="s">
        <v>475</v>
      </c>
      <c r="CV1020">
        <f ca="1">OFFSET('Calculations 2'!$AJ$12,W1020,X1020)</f>
        <v>0</v>
      </c>
    </row>
    <row r="1021" spans="17:100">
      <c r="Q1021" t="s">
        <v>235</v>
      </c>
      <c r="R1021" t="s">
        <v>489</v>
      </c>
      <c r="S1021" t="s">
        <v>475</v>
      </c>
      <c r="T1021">
        <f ca="1">OFFSET('Calculations 2'!$C$45,W1021,X1021)*OFFSET($M$6,W1021,0)</f>
        <v>745.04037716750975</v>
      </c>
      <c r="V1021">
        <f t="shared" si="47"/>
        <v>1015</v>
      </c>
      <c r="W1021">
        <f t="shared" si="48"/>
        <v>25</v>
      </c>
      <c r="X1021">
        <f t="shared" si="49"/>
        <v>30</v>
      </c>
      <c r="AC1021" t="s">
        <v>235</v>
      </c>
      <c r="AD1021" t="s">
        <v>489</v>
      </c>
      <c r="AE1021" t="s">
        <v>475</v>
      </c>
      <c r="AF1021">
        <f ca="1">OFFSET('Calculations 2'!$CE$45,W1021,0)*OFFSET($AA$6,X1021,0)*OFFSET($M$6,W1021,)</f>
        <v>0</v>
      </c>
      <c r="AY1021" t="s">
        <v>235</v>
      </c>
      <c r="AZ1021" t="s">
        <v>489</v>
      </c>
      <c r="BA1021" t="s">
        <v>475</v>
      </c>
      <c r="BB1021">
        <v>0</v>
      </c>
      <c r="BE1021" t="s">
        <v>235</v>
      </c>
      <c r="BF1021" t="s">
        <v>489</v>
      </c>
      <c r="BG1021" t="s">
        <v>475</v>
      </c>
      <c r="BH1021">
        <v>0</v>
      </c>
      <c r="CT1021" t="s">
        <v>235</v>
      </c>
      <c r="CU1021" t="s">
        <v>475</v>
      </c>
      <c r="CV1021">
        <f ca="1">OFFSET('Calculations 2'!$AJ$12,W1021,X1021)</f>
        <v>0</v>
      </c>
    </row>
    <row r="1022" spans="17:100">
      <c r="Q1022" t="s">
        <v>473</v>
      </c>
      <c r="R1022" t="s">
        <v>489</v>
      </c>
      <c r="S1022" t="s">
        <v>475</v>
      </c>
      <c r="T1022">
        <f ca="1">OFFSET('Calculations 2'!$C$45,W1022,X1022)*OFFSET($M$6,W1022,0)</f>
        <v>239.7579675232227</v>
      </c>
      <c r="V1022">
        <f t="shared" si="47"/>
        <v>1016</v>
      </c>
      <c r="W1022">
        <f t="shared" si="48"/>
        <v>26</v>
      </c>
      <c r="X1022">
        <f t="shared" si="49"/>
        <v>30</v>
      </c>
      <c r="AC1022" t="s">
        <v>473</v>
      </c>
      <c r="AD1022" t="s">
        <v>489</v>
      </c>
      <c r="AE1022" t="s">
        <v>475</v>
      </c>
      <c r="AF1022">
        <f ca="1">OFFSET('Calculations 2'!$CE$45,W1022,0)*OFFSET($AA$6,X1022,0)*OFFSET($M$6,W1022,)</f>
        <v>0</v>
      </c>
      <c r="AY1022" t="s">
        <v>473</v>
      </c>
      <c r="AZ1022" t="s">
        <v>489</v>
      </c>
      <c r="BA1022" t="s">
        <v>475</v>
      </c>
      <c r="BB1022">
        <v>0</v>
      </c>
      <c r="BE1022" t="s">
        <v>473</v>
      </c>
      <c r="BF1022" t="s">
        <v>489</v>
      </c>
      <c r="BG1022" t="s">
        <v>475</v>
      </c>
      <c r="BH1022">
        <v>0</v>
      </c>
      <c r="CT1022" t="s">
        <v>473</v>
      </c>
      <c r="CU1022" t="s">
        <v>475</v>
      </c>
      <c r="CV1022">
        <f ca="1">OFFSET('Calculations 2'!$AJ$12,W1022,X1022)</f>
        <v>0</v>
      </c>
    </row>
    <row r="1023" spans="17:100">
      <c r="Q1023" t="s">
        <v>233</v>
      </c>
      <c r="R1023" t="s">
        <v>489</v>
      </c>
      <c r="S1023" t="s">
        <v>475</v>
      </c>
      <c r="T1023">
        <f ca="1">OFFSET('Calculations 2'!$C$45,W1023,X1023)*OFFSET($M$6,W1023,0)</f>
        <v>806.83091232117033</v>
      </c>
      <c r="V1023">
        <f t="shared" si="47"/>
        <v>1017</v>
      </c>
      <c r="W1023">
        <f t="shared" si="48"/>
        <v>27</v>
      </c>
      <c r="X1023">
        <f t="shared" si="49"/>
        <v>30</v>
      </c>
      <c r="AC1023" t="s">
        <v>233</v>
      </c>
      <c r="AD1023" t="s">
        <v>489</v>
      </c>
      <c r="AE1023" t="s">
        <v>475</v>
      </c>
      <c r="AF1023">
        <f ca="1">OFFSET('Calculations 2'!$CE$45,W1023,0)*OFFSET($AA$6,X1023,0)*OFFSET($M$6,W1023,)</f>
        <v>0</v>
      </c>
      <c r="AY1023" t="s">
        <v>233</v>
      </c>
      <c r="AZ1023" t="s">
        <v>489</v>
      </c>
      <c r="BA1023" t="s">
        <v>475</v>
      </c>
      <c r="BB1023">
        <v>0</v>
      </c>
      <c r="BE1023" t="s">
        <v>233</v>
      </c>
      <c r="BF1023" t="s">
        <v>489</v>
      </c>
      <c r="BG1023" t="s">
        <v>475</v>
      </c>
      <c r="BH1023">
        <v>0</v>
      </c>
      <c r="CT1023" t="s">
        <v>233</v>
      </c>
      <c r="CU1023" t="s">
        <v>475</v>
      </c>
      <c r="CV1023">
        <f ca="1">OFFSET('Calculations 2'!$AJ$12,W1023,X1023)</f>
        <v>0</v>
      </c>
    </row>
    <row r="1024" spans="17:100">
      <c r="Q1024" t="s">
        <v>474</v>
      </c>
      <c r="R1024" t="s">
        <v>489</v>
      </c>
      <c r="S1024" t="s">
        <v>475</v>
      </c>
      <c r="T1024">
        <f ca="1">OFFSET('Calculations 2'!$C$45,W1024,X1024)*OFFSET($M$6,W1024,0)</f>
        <v>282.11911724798671</v>
      </c>
      <c r="V1024">
        <f t="shared" si="47"/>
        <v>1018</v>
      </c>
      <c r="W1024">
        <f t="shared" si="48"/>
        <v>28</v>
      </c>
      <c r="X1024">
        <f t="shared" si="49"/>
        <v>30</v>
      </c>
      <c r="AC1024" t="s">
        <v>474</v>
      </c>
      <c r="AD1024" t="s">
        <v>489</v>
      </c>
      <c r="AE1024" t="s">
        <v>475</v>
      </c>
      <c r="AF1024">
        <f ca="1">OFFSET('Calculations 2'!$CE$45,W1024,0)*OFFSET($AA$6,X1024,0)*OFFSET($M$6,W1024,)</f>
        <v>0</v>
      </c>
      <c r="AY1024" t="s">
        <v>474</v>
      </c>
      <c r="AZ1024" t="s">
        <v>489</v>
      </c>
      <c r="BA1024" t="s">
        <v>475</v>
      </c>
      <c r="BB1024">
        <v>0</v>
      </c>
      <c r="BE1024" t="s">
        <v>474</v>
      </c>
      <c r="BF1024" t="s">
        <v>489</v>
      </c>
      <c r="BG1024" t="s">
        <v>475</v>
      </c>
      <c r="BH1024">
        <v>0</v>
      </c>
      <c r="CT1024" t="s">
        <v>474</v>
      </c>
      <c r="CU1024" t="s">
        <v>475</v>
      </c>
      <c r="CV1024">
        <f ca="1">OFFSET('Calculations 2'!$AJ$12,W1024,X1024)</f>
        <v>0</v>
      </c>
    </row>
    <row r="1025" spans="17:100">
      <c r="Q1025" t="s">
        <v>223</v>
      </c>
      <c r="R1025" t="s">
        <v>489</v>
      </c>
      <c r="S1025" t="s">
        <v>475</v>
      </c>
      <c r="T1025">
        <f ca="1">OFFSET('Calculations 2'!$C$45,W1025,X1025)*OFFSET($M$6,W1025,0)</f>
        <v>0.10572106881247796</v>
      </c>
      <c r="V1025">
        <f t="shared" si="47"/>
        <v>1019</v>
      </c>
      <c r="W1025">
        <f t="shared" si="48"/>
        <v>29</v>
      </c>
      <c r="X1025">
        <f t="shared" si="49"/>
        <v>30</v>
      </c>
      <c r="AC1025" t="s">
        <v>223</v>
      </c>
      <c r="AD1025" t="s">
        <v>489</v>
      </c>
      <c r="AE1025" t="s">
        <v>475</v>
      </c>
      <c r="AF1025">
        <f ca="1">OFFSET('Calculations 2'!$CE$45,W1025,0)*OFFSET($AA$6,X1025,0)*OFFSET($M$6,W1025,)</f>
        <v>0</v>
      </c>
      <c r="AY1025" t="s">
        <v>223</v>
      </c>
      <c r="AZ1025" t="s">
        <v>489</v>
      </c>
      <c r="BA1025" t="s">
        <v>475</v>
      </c>
      <c r="BB1025">
        <v>0</v>
      </c>
      <c r="BE1025" t="s">
        <v>223</v>
      </c>
      <c r="BF1025" t="s">
        <v>489</v>
      </c>
      <c r="BG1025" t="s">
        <v>475</v>
      </c>
      <c r="BH1025">
        <v>0</v>
      </c>
      <c r="CT1025" t="s">
        <v>223</v>
      </c>
      <c r="CU1025" t="s">
        <v>475</v>
      </c>
      <c r="CV1025">
        <f ca="1">OFFSET('Calculations 2'!$AJ$12,W1025,X1025)</f>
        <v>0</v>
      </c>
    </row>
    <row r="1026" spans="17:100">
      <c r="Q1026" t="s">
        <v>475</v>
      </c>
      <c r="R1026" t="s">
        <v>489</v>
      </c>
      <c r="S1026" t="s">
        <v>475</v>
      </c>
      <c r="T1026">
        <f ca="1">OFFSET('Calculations 2'!$C$45,W1026,X1026)*OFFSET($M$6,W1026,0)</f>
        <v>4.5908994290480196</v>
      </c>
      <c r="V1026">
        <f t="shared" si="47"/>
        <v>1020</v>
      </c>
      <c r="W1026">
        <f t="shared" si="48"/>
        <v>30</v>
      </c>
      <c r="X1026">
        <f t="shared" si="49"/>
        <v>30</v>
      </c>
      <c r="AC1026" t="s">
        <v>475</v>
      </c>
      <c r="AD1026" t="s">
        <v>489</v>
      </c>
      <c r="AE1026" t="s">
        <v>475</v>
      </c>
      <c r="AF1026">
        <f ca="1">OFFSET('Calculations 2'!$CE$45,W1026,0)*OFFSET($AA$6,X1026,0)*OFFSET($M$6,W1026,)</f>
        <v>0</v>
      </c>
      <c r="AY1026" t="s">
        <v>475</v>
      </c>
      <c r="AZ1026" t="s">
        <v>489</v>
      </c>
      <c r="BA1026" t="s">
        <v>475</v>
      </c>
      <c r="BB1026">
        <v>0</v>
      </c>
      <c r="BE1026" t="s">
        <v>475</v>
      </c>
      <c r="BF1026" t="s">
        <v>489</v>
      </c>
      <c r="BG1026" t="s">
        <v>475</v>
      </c>
      <c r="BH1026">
        <v>0</v>
      </c>
      <c r="CT1026" t="s">
        <v>475</v>
      </c>
      <c r="CU1026" t="s">
        <v>475</v>
      </c>
      <c r="CV1026">
        <f ca="1">OFFSET('Calculations 2'!$AJ$12,W1026,X1026)</f>
        <v>11654.900466501786</v>
      </c>
    </row>
    <row r="1027" spans="17:100">
      <c r="Q1027" t="s">
        <v>476</v>
      </c>
      <c r="R1027" t="s">
        <v>489</v>
      </c>
      <c r="S1027" t="s">
        <v>475</v>
      </c>
      <c r="T1027">
        <f ca="1">OFFSET('Calculations 2'!$C$45,W1027,X1027)*OFFSET($M$6,W1027,0)</f>
        <v>110.35368670031438</v>
      </c>
      <c r="V1027">
        <f t="shared" si="47"/>
        <v>1021</v>
      </c>
      <c r="W1027">
        <f t="shared" si="48"/>
        <v>31</v>
      </c>
      <c r="X1027">
        <f t="shared" si="49"/>
        <v>30</v>
      </c>
      <c r="AC1027" t="s">
        <v>476</v>
      </c>
      <c r="AD1027" t="s">
        <v>489</v>
      </c>
      <c r="AE1027" t="s">
        <v>475</v>
      </c>
      <c r="AF1027">
        <f ca="1">OFFSET('Calculations 2'!$CE$45,W1027,0)*OFFSET($AA$6,X1027,0)*OFFSET($M$6,W1027,)</f>
        <v>0</v>
      </c>
      <c r="AY1027" t="s">
        <v>476</v>
      </c>
      <c r="AZ1027" t="s">
        <v>489</v>
      </c>
      <c r="BA1027" t="s">
        <v>475</v>
      </c>
      <c r="BB1027">
        <v>0</v>
      </c>
      <c r="BE1027" t="s">
        <v>476</v>
      </c>
      <c r="BF1027" t="s">
        <v>489</v>
      </c>
      <c r="BG1027" t="s">
        <v>475</v>
      </c>
      <c r="BH1027">
        <v>0</v>
      </c>
      <c r="CT1027" t="s">
        <v>476</v>
      </c>
      <c r="CU1027" t="s">
        <v>475</v>
      </c>
      <c r="CV1027">
        <f ca="1">OFFSET('Calculations 2'!$AJ$12,W1027,X1027)</f>
        <v>0</v>
      </c>
    </row>
    <row r="1028" spans="17:100">
      <c r="Q1028" t="s">
        <v>222</v>
      </c>
      <c r="R1028" t="s">
        <v>489</v>
      </c>
      <c r="S1028" t="s">
        <v>475</v>
      </c>
      <c r="T1028">
        <f ca="1">OFFSET('Calculations 2'!$C$45,W1028,X1028)*OFFSET($M$6,W1028,0)</f>
        <v>0</v>
      </c>
      <c r="V1028">
        <f t="shared" si="47"/>
        <v>1022</v>
      </c>
      <c r="W1028">
        <f t="shared" si="48"/>
        <v>32</v>
      </c>
      <c r="X1028">
        <f t="shared" si="49"/>
        <v>30</v>
      </c>
      <c r="AC1028" t="s">
        <v>222</v>
      </c>
      <c r="AD1028" t="s">
        <v>489</v>
      </c>
      <c r="AE1028" t="s">
        <v>475</v>
      </c>
      <c r="AF1028">
        <f ca="1">OFFSET('Calculations 2'!$CE$45,W1028,0)*OFFSET($AA$6,X1028,0)*OFFSET($M$6,W1028,)</f>
        <v>0</v>
      </c>
      <c r="AY1028" t="s">
        <v>222</v>
      </c>
      <c r="AZ1028" t="s">
        <v>489</v>
      </c>
      <c r="BA1028" t="s">
        <v>475</v>
      </c>
      <c r="BB1028">
        <v>0</v>
      </c>
      <c r="BE1028" t="s">
        <v>222</v>
      </c>
      <c r="BF1028" t="s">
        <v>489</v>
      </c>
      <c r="BG1028" t="s">
        <v>475</v>
      </c>
      <c r="BH1028">
        <v>0</v>
      </c>
      <c r="CT1028" t="s">
        <v>222</v>
      </c>
      <c r="CU1028" t="s">
        <v>475</v>
      </c>
      <c r="CV1028">
        <f ca="1">OFFSET('Calculations 2'!$AJ$12,W1028,X1028)</f>
        <v>0</v>
      </c>
    </row>
    <row r="1029" spans="17:100">
      <c r="Q1029" t="s">
        <v>217</v>
      </c>
      <c r="R1029" t="s">
        <v>489</v>
      </c>
      <c r="S1029" t="s">
        <v>476</v>
      </c>
      <c r="T1029">
        <f ca="1">OFFSET('Calculations 2'!$C$45,W1029,X1029)*OFFSET($M$6,W1029,0)</f>
        <v>0</v>
      </c>
      <c r="V1029">
        <f t="shared" si="47"/>
        <v>1023</v>
      </c>
      <c r="W1029">
        <f t="shared" si="48"/>
        <v>0</v>
      </c>
      <c r="X1029">
        <f t="shared" si="49"/>
        <v>31</v>
      </c>
      <c r="AC1029" t="s">
        <v>217</v>
      </c>
      <c r="AD1029" t="s">
        <v>489</v>
      </c>
      <c r="AE1029" t="s">
        <v>476</v>
      </c>
      <c r="AF1029">
        <f ca="1">OFFSET('Calculations 2'!$CE$45,W1029,0)*OFFSET($AA$6,X1029,0)*OFFSET($M$6,W1029,)</f>
        <v>2.7254315165696485E-2</v>
      </c>
      <c r="AY1029" t="s">
        <v>217</v>
      </c>
      <c r="AZ1029" t="s">
        <v>489</v>
      </c>
      <c r="BA1029" t="s">
        <v>476</v>
      </c>
      <c r="BB1029">
        <v>0</v>
      </c>
      <c r="BE1029" t="s">
        <v>217</v>
      </c>
      <c r="BF1029" t="s">
        <v>489</v>
      </c>
      <c r="BG1029" t="s">
        <v>476</v>
      </c>
      <c r="BH1029">
        <v>0</v>
      </c>
      <c r="CT1029" t="s">
        <v>217</v>
      </c>
      <c r="CU1029" t="s">
        <v>476</v>
      </c>
      <c r="CV1029">
        <f ca="1">OFFSET('Calculations 2'!$AJ$12,W1029,X1029)</f>
        <v>0</v>
      </c>
    </row>
    <row r="1030" spans="17:100">
      <c r="Q1030" t="s">
        <v>232</v>
      </c>
      <c r="R1030" t="s">
        <v>489</v>
      </c>
      <c r="S1030" t="s">
        <v>476</v>
      </c>
      <c r="T1030">
        <f ca="1">OFFSET('Calculations 2'!$C$45,W1030,X1030)*OFFSET($M$6,W1030,0)</f>
        <v>0</v>
      </c>
      <c r="V1030">
        <f t="shared" si="47"/>
        <v>1024</v>
      </c>
      <c r="W1030">
        <f t="shared" si="48"/>
        <v>1</v>
      </c>
      <c r="X1030">
        <f t="shared" si="49"/>
        <v>31</v>
      </c>
      <c r="AC1030" t="s">
        <v>232</v>
      </c>
      <c r="AD1030" t="s">
        <v>489</v>
      </c>
      <c r="AE1030" t="s">
        <v>476</v>
      </c>
      <c r="AF1030">
        <f ca="1">OFFSET('Calculations 2'!$CE$45,W1030,0)*OFFSET($AA$6,X1030,0)*OFFSET($M$6,W1030,)</f>
        <v>4.7542923952752406E-2</v>
      </c>
      <c r="AY1030" t="s">
        <v>232</v>
      </c>
      <c r="AZ1030" t="s">
        <v>489</v>
      </c>
      <c r="BA1030" t="s">
        <v>476</v>
      </c>
      <c r="BB1030">
        <v>0</v>
      </c>
      <c r="BE1030" t="s">
        <v>232</v>
      </c>
      <c r="BF1030" t="s">
        <v>489</v>
      </c>
      <c r="BG1030" t="s">
        <v>476</v>
      </c>
      <c r="BH1030">
        <v>0</v>
      </c>
      <c r="CT1030" t="s">
        <v>232</v>
      </c>
      <c r="CU1030" t="s">
        <v>476</v>
      </c>
      <c r="CV1030">
        <f ca="1">OFFSET('Calculations 2'!$AJ$12,W1030,X1030)</f>
        <v>0</v>
      </c>
    </row>
    <row r="1031" spans="17:100">
      <c r="Q1031" t="s">
        <v>226</v>
      </c>
      <c r="R1031" t="s">
        <v>489</v>
      </c>
      <c r="S1031" t="s">
        <v>476</v>
      </c>
      <c r="T1031">
        <f ca="1">OFFSET('Calculations 2'!$C$45,W1031,X1031)*OFFSET($M$6,W1031,0)</f>
        <v>137.49993491516219</v>
      </c>
      <c r="V1031">
        <f t="shared" si="47"/>
        <v>1025</v>
      </c>
      <c r="W1031">
        <f t="shared" si="48"/>
        <v>2</v>
      </c>
      <c r="X1031">
        <f t="shared" si="49"/>
        <v>31</v>
      </c>
      <c r="AC1031" t="s">
        <v>226</v>
      </c>
      <c r="AD1031" t="s">
        <v>489</v>
      </c>
      <c r="AE1031" t="s">
        <v>476</v>
      </c>
      <c r="AF1031">
        <f ca="1">OFFSET('Calculations 2'!$CE$45,W1031,0)*OFFSET($AA$6,X1031,0)*OFFSET($M$6,W1031,)</f>
        <v>8.0052272948803141E-2</v>
      </c>
      <c r="AY1031" t="s">
        <v>226</v>
      </c>
      <c r="AZ1031" t="s">
        <v>489</v>
      </c>
      <c r="BA1031" t="s">
        <v>476</v>
      </c>
      <c r="BB1031">
        <v>0</v>
      </c>
      <c r="BE1031" t="s">
        <v>226</v>
      </c>
      <c r="BF1031" t="s">
        <v>489</v>
      </c>
      <c r="BG1031" t="s">
        <v>476</v>
      </c>
      <c r="BH1031">
        <v>0</v>
      </c>
      <c r="CT1031" t="s">
        <v>226</v>
      </c>
      <c r="CU1031" t="s">
        <v>476</v>
      </c>
      <c r="CV1031">
        <f ca="1">OFFSET('Calculations 2'!$AJ$12,W1031,X1031)</f>
        <v>0</v>
      </c>
    </row>
    <row r="1032" spans="17:100">
      <c r="Q1032" t="s">
        <v>243</v>
      </c>
      <c r="R1032" t="s">
        <v>489</v>
      </c>
      <c r="S1032" t="s">
        <v>476</v>
      </c>
      <c r="T1032">
        <f ca="1">OFFSET('Calculations 2'!$C$45,W1032,X1032)*OFFSET($M$6,W1032,0)</f>
        <v>7.0958291390869608</v>
      </c>
      <c r="V1032">
        <f t="shared" ref="V1032:V1094" si="50">V1031+1</f>
        <v>1026</v>
      </c>
      <c r="W1032">
        <f t="shared" ref="W1032:W1094" si="51">MOD(V1032,$V$3)</f>
        <v>3</v>
      </c>
      <c r="X1032">
        <f t="shared" ref="X1032:X1094" si="52">FLOOR(V1032/$V$3,1)</f>
        <v>31</v>
      </c>
      <c r="AC1032" t="s">
        <v>243</v>
      </c>
      <c r="AD1032" t="s">
        <v>489</v>
      </c>
      <c r="AE1032" t="s">
        <v>476</v>
      </c>
      <c r="AF1032">
        <f ca="1">OFFSET('Calculations 2'!$CE$45,W1032,0)*OFFSET($AA$6,X1032,0)*OFFSET($M$6,W1032,)</f>
        <v>0.41698069150475137</v>
      </c>
      <c r="AY1032" t="s">
        <v>243</v>
      </c>
      <c r="AZ1032" t="s">
        <v>489</v>
      </c>
      <c r="BA1032" t="s">
        <v>476</v>
      </c>
      <c r="BB1032">
        <v>0</v>
      </c>
      <c r="BE1032" t="s">
        <v>243</v>
      </c>
      <c r="BF1032" t="s">
        <v>489</v>
      </c>
      <c r="BG1032" t="s">
        <v>476</v>
      </c>
      <c r="BH1032">
        <v>0</v>
      </c>
      <c r="CT1032" t="s">
        <v>243</v>
      </c>
      <c r="CU1032" t="s">
        <v>476</v>
      </c>
      <c r="CV1032">
        <f ca="1">OFFSET('Calculations 2'!$AJ$12,W1032,X1032)</f>
        <v>0</v>
      </c>
    </row>
    <row r="1033" spans="17:100">
      <c r="Q1033" t="s">
        <v>228</v>
      </c>
      <c r="R1033" t="s">
        <v>489</v>
      </c>
      <c r="S1033" t="s">
        <v>476</v>
      </c>
      <c r="T1033">
        <f ca="1">OFFSET('Calculations 2'!$C$45,W1033,X1033)*OFFSET($M$6,W1033,0)</f>
        <v>3.1526971614777473E-3</v>
      </c>
      <c r="V1033">
        <f t="shared" si="50"/>
        <v>1027</v>
      </c>
      <c r="W1033">
        <f t="shared" si="51"/>
        <v>4</v>
      </c>
      <c r="X1033">
        <f t="shared" si="52"/>
        <v>31</v>
      </c>
      <c r="AC1033" t="s">
        <v>228</v>
      </c>
      <c r="AD1033" t="s">
        <v>489</v>
      </c>
      <c r="AE1033" t="s">
        <v>476</v>
      </c>
      <c r="AF1033">
        <f ca="1">OFFSET('Calculations 2'!$CE$45,W1033,0)*OFFSET($AA$6,X1033,0)*OFFSET($M$6,W1033,)</f>
        <v>2.9587797835313838E-3</v>
      </c>
      <c r="AY1033" t="s">
        <v>228</v>
      </c>
      <c r="AZ1033" t="s">
        <v>489</v>
      </c>
      <c r="BA1033" t="s">
        <v>476</v>
      </c>
      <c r="BB1033">
        <v>0</v>
      </c>
      <c r="BE1033" t="s">
        <v>228</v>
      </c>
      <c r="BF1033" t="s">
        <v>489</v>
      </c>
      <c r="BG1033" t="s">
        <v>476</v>
      </c>
      <c r="BH1033">
        <v>0</v>
      </c>
      <c r="CT1033" t="s">
        <v>228</v>
      </c>
      <c r="CU1033" t="s">
        <v>476</v>
      </c>
      <c r="CV1033">
        <f ca="1">OFFSET('Calculations 2'!$AJ$12,W1033,X1033)</f>
        <v>0</v>
      </c>
    </row>
    <row r="1034" spans="17:100">
      <c r="Q1034" t="s">
        <v>246</v>
      </c>
      <c r="R1034" t="s">
        <v>489</v>
      </c>
      <c r="S1034" t="s">
        <v>476</v>
      </c>
      <c r="T1034">
        <f ca="1">OFFSET('Calculations 2'!$C$45,W1034,X1034)*OFFSET($M$6,W1034,0)</f>
        <v>0.82053641317012305</v>
      </c>
      <c r="V1034">
        <f t="shared" si="50"/>
        <v>1028</v>
      </c>
      <c r="W1034">
        <f t="shared" si="51"/>
        <v>5</v>
      </c>
      <c r="X1034">
        <f t="shared" si="52"/>
        <v>31</v>
      </c>
      <c r="AC1034" t="s">
        <v>246</v>
      </c>
      <c r="AD1034" t="s">
        <v>489</v>
      </c>
      <c r="AE1034" t="s">
        <v>476</v>
      </c>
      <c r="AF1034">
        <f ca="1">OFFSET('Calculations 2'!$CE$45,W1034,0)*OFFSET($AA$6,X1034,0)*OFFSET($M$6,W1034,)</f>
        <v>1.8214210319510878E-2</v>
      </c>
      <c r="AY1034" t="s">
        <v>246</v>
      </c>
      <c r="AZ1034" t="s">
        <v>489</v>
      </c>
      <c r="BA1034" t="s">
        <v>476</v>
      </c>
      <c r="BB1034">
        <v>0</v>
      </c>
      <c r="BE1034" t="s">
        <v>246</v>
      </c>
      <c r="BF1034" t="s">
        <v>489</v>
      </c>
      <c r="BG1034" t="s">
        <v>476</v>
      </c>
      <c r="BH1034">
        <v>0</v>
      </c>
      <c r="CT1034" t="s">
        <v>246</v>
      </c>
      <c r="CU1034" t="s">
        <v>476</v>
      </c>
      <c r="CV1034">
        <f ca="1">OFFSET('Calculations 2'!$AJ$12,W1034,X1034)</f>
        <v>0</v>
      </c>
    </row>
    <row r="1035" spans="17:100">
      <c r="Q1035" t="s">
        <v>239</v>
      </c>
      <c r="R1035" t="s">
        <v>489</v>
      </c>
      <c r="S1035" t="s">
        <v>476</v>
      </c>
      <c r="T1035">
        <f ca="1">OFFSET('Calculations 2'!$C$45,W1035,X1035)*OFFSET($M$6,W1035,0)</f>
        <v>19.732327153512994</v>
      </c>
      <c r="V1035">
        <f t="shared" si="50"/>
        <v>1029</v>
      </c>
      <c r="W1035">
        <f t="shared" si="51"/>
        <v>6</v>
      </c>
      <c r="X1035">
        <f t="shared" si="52"/>
        <v>31</v>
      </c>
      <c r="AC1035" t="s">
        <v>239</v>
      </c>
      <c r="AD1035" t="s">
        <v>489</v>
      </c>
      <c r="AE1035" t="s">
        <v>476</v>
      </c>
      <c r="AF1035">
        <f ca="1">OFFSET('Calculations 2'!$CE$45,W1035,0)*OFFSET($AA$6,X1035,0)*OFFSET($M$6,W1035,)</f>
        <v>0.36456873338786955</v>
      </c>
      <c r="AY1035" t="s">
        <v>239</v>
      </c>
      <c r="AZ1035" t="s">
        <v>489</v>
      </c>
      <c r="BA1035" t="s">
        <v>476</v>
      </c>
      <c r="BB1035">
        <v>0</v>
      </c>
      <c r="BE1035" t="s">
        <v>239</v>
      </c>
      <c r="BF1035" t="s">
        <v>489</v>
      </c>
      <c r="BG1035" t="s">
        <v>476</v>
      </c>
      <c r="BH1035">
        <v>0</v>
      </c>
      <c r="CT1035" t="s">
        <v>239</v>
      </c>
      <c r="CU1035" t="s">
        <v>476</v>
      </c>
      <c r="CV1035">
        <f ca="1">OFFSET('Calculations 2'!$AJ$12,W1035,X1035)</f>
        <v>0</v>
      </c>
    </row>
    <row r="1036" spans="17:100">
      <c r="Q1036" t="s">
        <v>466</v>
      </c>
      <c r="R1036" t="s">
        <v>489</v>
      </c>
      <c r="S1036" t="s">
        <v>476</v>
      </c>
      <c r="T1036">
        <f ca="1">OFFSET('Calculations 2'!$C$45,W1036,X1036)*OFFSET($M$6,W1036,0)</f>
        <v>100.61282389659317</v>
      </c>
      <c r="V1036">
        <f t="shared" si="50"/>
        <v>1030</v>
      </c>
      <c r="W1036">
        <f t="shared" si="51"/>
        <v>7</v>
      </c>
      <c r="X1036">
        <f t="shared" si="52"/>
        <v>31</v>
      </c>
      <c r="AC1036" t="s">
        <v>466</v>
      </c>
      <c r="AD1036" t="s">
        <v>489</v>
      </c>
      <c r="AE1036" t="s">
        <v>476</v>
      </c>
      <c r="AF1036">
        <f ca="1">OFFSET('Calculations 2'!$CE$45,W1036,0)*OFFSET($AA$6,X1036,0)*OFFSET($M$6,W1036,)</f>
        <v>5.5553219685436181E-2</v>
      </c>
      <c r="AY1036" t="s">
        <v>466</v>
      </c>
      <c r="AZ1036" t="s">
        <v>489</v>
      </c>
      <c r="BA1036" t="s">
        <v>476</v>
      </c>
      <c r="BB1036">
        <v>0</v>
      </c>
      <c r="BE1036" t="s">
        <v>466</v>
      </c>
      <c r="BF1036" t="s">
        <v>489</v>
      </c>
      <c r="BG1036" t="s">
        <v>476</v>
      </c>
      <c r="BH1036">
        <v>0</v>
      </c>
      <c r="CT1036" t="s">
        <v>466</v>
      </c>
      <c r="CU1036" t="s">
        <v>476</v>
      </c>
      <c r="CV1036">
        <f ca="1">OFFSET('Calculations 2'!$AJ$12,W1036,X1036)</f>
        <v>0</v>
      </c>
    </row>
    <row r="1037" spans="17:100">
      <c r="Q1037" t="s">
        <v>219</v>
      </c>
      <c r="R1037" t="s">
        <v>489</v>
      </c>
      <c r="S1037" t="s">
        <v>476</v>
      </c>
      <c r="T1037">
        <f ca="1">OFFSET('Calculations 2'!$C$45,W1037,X1037)*OFFSET($M$6,W1037,0)</f>
        <v>47.118943714230959</v>
      </c>
      <c r="V1037">
        <f t="shared" si="50"/>
        <v>1031</v>
      </c>
      <c r="W1037">
        <f t="shared" si="51"/>
        <v>8</v>
      </c>
      <c r="X1037">
        <f t="shared" si="52"/>
        <v>31</v>
      </c>
      <c r="AC1037" t="s">
        <v>219</v>
      </c>
      <c r="AD1037" t="s">
        <v>489</v>
      </c>
      <c r="AE1037" t="s">
        <v>476</v>
      </c>
      <c r="AF1037">
        <f ca="1">OFFSET('Calculations 2'!$CE$45,W1037,0)*OFFSET($AA$6,X1037,0)*OFFSET($M$6,W1037,)</f>
        <v>0.34594125099471729</v>
      </c>
      <c r="AY1037" t="s">
        <v>219</v>
      </c>
      <c r="AZ1037" t="s">
        <v>489</v>
      </c>
      <c r="BA1037" t="s">
        <v>476</v>
      </c>
      <c r="BB1037">
        <v>0</v>
      </c>
      <c r="BE1037" t="s">
        <v>219</v>
      </c>
      <c r="BF1037" t="s">
        <v>489</v>
      </c>
      <c r="BG1037" t="s">
        <v>476</v>
      </c>
      <c r="BH1037">
        <v>0</v>
      </c>
      <c r="CT1037" t="s">
        <v>219</v>
      </c>
      <c r="CU1037" t="s">
        <v>476</v>
      </c>
      <c r="CV1037">
        <f ca="1">OFFSET('Calculations 2'!$AJ$12,W1037,X1037)</f>
        <v>0</v>
      </c>
    </row>
    <row r="1038" spans="17:100">
      <c r="Q1038" t="s">
        <v>242</v>
      </c>
      <c r="R1038" t="s">
        <v>489</v>
      </c>
      <c r="S1038" t="s">
        <v>476</v>
      </c>
      <c r="T1038">
        <f ca="1">OFFSET('Calculations 2'!$C$45,W1038,X1038)*OFFSET($M$6,W1038,0)</f>
        <v>6.4456158795754259</v>
      </c>
      <c r="V1038">
        <f t="shared" si="50"/>
        <v>1032</v>
      </c>
      <c r="W1038">
        <f t="shared" si="51"/>
        <v>9</v>
      </c>
      <c r="X1038">
        <f t="shared" si="52"/>
        <v>31</v>
      </c>
      <c r="AC1038" t="s">
        <v>242</v>
      </c>
      <c r="AD1038" t="s">
        <v>489</v>
      </c>
      <c r="AE1038" t="s">
        <v>476</v>
      </c>
      <c r="AF1038">
        <f ca="1">OFFSET('Calculations 2'!$CE$45,W1038,0)*OFFSET($AA$6,X1038,0)*OFFSET($M$6,W1038,)</f>
        <v>0.54153766953278581</v>
      </c>
      <c r="AY1038" t="s">
        <v>242</v>
      </c>
      <c r="AZ1038" t="s">
        <v>489</v>
      </c>
      <c r="BA1038" t="s">
        <v>476</v>
      </c>
      <c r="BB1038">
        <v>0</v>
      </c>
      <c r="BE1038" t="s">
        <v>242</v>
      </c>
      <c r="BF1038" t="s">
        <v>489</v>
      </c>
      <c r="BG1038" t="s">
        <v>476</v>
      </c>
      <c r="BH1038">
        <v>0</v>
      </c>
      <c r="CT1038" t="s">
        <v>242</v>
      </c>
      <c r="CU1038" t="s">
        <v>476</v>
      </c>
      <c r="CV1038">
        <f ca="1">OFFSET('Calculations 2'!$AJ$12,W1038,X1038)</f>
        <v>0</v>
      </c>
    </row>
    <row r="1039" spans="17:100">
      <c r="Q1039" t="s">
        <v>467</v>
      </c>
      <c r="R1039" t="s">
        <v>489</v>
      </c>
      <c r="S1039" t="s">
        <v>476</v>
      </c>
      <c r="T1039">
        <f ca="1">OFFSET('Calculations 2'!$C$45,W1039,X1039)*OFFSET($M$6,W1039,0)</f>
        <v>0</v>
      </c>
      <c r="V1039">
        <f t="shared" si="50"/>
        <v>1033</v>
      </c>
      <c r="W1039">
        <f t="shared" si="51"/>
        <v>10</v>
      </c>
      <c r="X1039">
        <f t="shared" si="52"/>
        <v>31</v>
      </c>
      <c r="AC1039" t="s">
        <v>467</v>
      </c>
      <c r="AD1039" t="s">
        <v>489</v>
      </c>
      <c r="AE1039" t="s">
        <v>476</v>
      </c>
      <c r="AF1039">
        <f ca="1">OFFSET('Calculations 2'!$CE$45,W1039,0)*OFFSET($AA$6,X1039,0)*OFFSET($M$6,W1039,)</f>
        <v>0.50166733909200234</v>
      </c>
      <c r="AY1039" t="s">
        <v>467</v>
      </c>
      <c r="AZ1039" t="s">
        <v>489</v>
      </c>
      <c r="BA1039" t="s">
        <v>476</v>
      </c>
      <c r="BB1039">
        <v>0</v>
      </c>
      <c r="BE1039" t="s">
        <v>467</v>
      </c>
      <c r="BF1039" t="s">
        <v>489</v>
      </c>
      <c r="BG1039" t="s">
        <v>476</v>
      </c>
      <c r="BH1039">
        <v>0</v>
      </c>
      <c r="CT1039" t="s">
        <v>467</v>
      </c>
      <c r="CU1039" t="s">
        <v>476</v>
      </c>
      <c r="CV1039">
        <f ca="1">OFFSET('Calculations 2'!$AJ$12,W1039,X1039)</f>
        <v>0</v>
      </c>
    </row>
    <row r="1040" spans="17:100">
      <c r="Q1040" t="s">
        <v>231</v>
      </c>
      <c r="R1040" t="s">
        <v>489</v>
      </c>
      <c r="S1040" t="s">
        <v>476</v>
      </c>
      <c r="T1040">
        <f ca="1">OFFSET('Calculations 2'!$C$45,W1040,X1040)*OFFSET($M$6,W1040,0)</f>
        <v>0.1424192426329817</v>
      </c>
      <c r="V1040">
        <f t="shared" si="50"/>
        <v>1034</v>
      </c>
      <c r="W1040">
        <f t="shared" si="51"/>
        <v>11</v>
      </c>
      <c r="X1040">
        <f t="shared" si="52"/>
        <v>31</v>
      </c>
      <c r="AC1040" t="s">
        <v>231</v>
      </c>
      <c r="AD1040" t="s">
        <v>489</v>
      </c>
      <c r="AE1040" t="s">
        <v>476</v>
      </c>
      <c r="AF1040">
        <f ca="1">OFFSET('Calculations 2'!$CE$45,W1040,0)*OFFSET($AA$6,X1040,0)*OFFSET($M$6,W1040,)</f>
        <v>1.4672902320008043</v>
      </c>
      <c r="AY1040" t="s">
        <v>231</v>
      </c>
      <c r="AZ1040" t="s">
        <v>489</v>
      </c>
      <c r="BA1040" t="s">
        <v>476</v>
      </c>
      <c r="BB1040">
        <v>0</v>
      </c>
      <c r="BE1040" t="s">
        <v>231</v>
      </c>
      <c r="BF1040" t="s">
        <v>489</v>
      </c>
      <c r="BG1040" t="s">
        <v>476</v>
      </c>
      <c r="BH1040">
        <v>0</v>
      </c>
      <c r="CT1040" t="s">
        <v>231</v>
      </c>
      <c r="CU1040" t="s">
        <v>476</v>
      </c>
      <c r="CV1040">
        <f ca="1">OFFSET('Calculations 2'!$AJ$12,W1040,X1040)</f>
        <v>0</v>
      </c>
    </row>
    <row r="1041" spans="17:100">
      <c r="Q1041" t="s">
        <v>468</v>
      </c>
      <c r="R1041" t="s">
        <v>489</v>
      </c>
      <c r="S1041" t="s">
        <v>476</v>
      </c>
      <c r="T1041">
        <f ca="1">OFFSET('Calculations 2'!$C$45,W1041,X1041)*OFFSET($M$6,W1041,0)</f>
        <v>5.2848572312155193</v>
      </c>
      <c r="V1041">
        <f t="shared" si="50"/>
        <v>1035</v>
      </c>
      <c r="W1041">
        <f t="shared" si="51"/>
        <v>12</v>
      </c>
      <c r="X1041">
        <f t="shared" si="52"/>
        <v>31</v>
      </c>
      <c r="AC1041" t="s">
        <v>468</v>
      </c>
      <c r="AD1041" t="s">
        <v>489</v>
      </c>
      <c r="AE1041" t="s">
        <v>476</v>
      </c>
      <c r="AF1041">
        <f ca="1">OFFSET('Calculations 2'!$CE$45,W1041,0)*OFFSET($AA$6,X1041,0)*OFFSET($M$6,W1041,)</f>
        <v>2.1237869563147003</v>
      </c>
      <c r="AY1041" t="s">
        <v>468</v>
      </c>
      <c r="AZ1041" t="s">
        <v>489</v>
      </c>
      <c r="BA1041" t="s">
        <v>476</v>
      </c>
      <c r="BB1041">
        <v>0</v>
      </c>
      <c r="BE1041" t="s">
        <v>468</v>
      </c>
      <c r="BF1041" t="s">
        <v>489</v>
      </c>
      <c r="BG1041" t="s">
        <v>476</v>
      </c>
      <c r="BH1041">
        <v>0</v>
      </c>
      <c r="CT1041" t="s">
        <v>468</v>
      </c>
      <c r="CU1041" t="s">
        <v>476</v>
      </c>
      <c r="CV1041">
        <f ca="1">OFFSET('Calculations 2'!$AJ$12,W1041,X1041)</f>
        <v>0</v>
      </c>
    </row>
    <row r="1042" spans="17:100">
      <c r="Q1042" t="s">
        <v>469</v>
      </c>
      <c r="R1042" t="s">
        <v>489</v>
      </c>
      <c r="S1042" t="s">
        <v>476</v>
      </c>
      <c r="T1042">
        <f ca="1">OFFSET('Calculations 2'!$C$45,W1042,X1042)*OFFSET($M$6,W1042,0)</f>
        <v>3.0046910906935939E-2</v>
      </c>
      <c r="V1042">
        <f t="shared" si="50"/>
        <v>1036</v>
      </c>
      <c r="W1042">
        <f t="shared" si="51"/>
        <v>13</v>
      </c>
      <c r="X1042">
        <f t="shared" si="52"/>
        <v>31</v>
      </c>
      <c r="AC1042" t="s">
        <v>469</v>
      </c>
      <c r="AD1042" t="s">
        <v>489</v>
      </c>
      <c r="AE1042" t="s">
        <v>476</v>
      </c>
      <c r="AF1042">
        <f ca="1">OFFSET('Calculations 2'!$CE$45,W1042,0)*OFFSET($AA$6,X1042,0)*OFFSET($M$6,W1042,)</f>
        <v>0.44179376690269551</v>
      </c>
      <c r="AY1042" t="s">
        <v>469</v>
      </c>
      <c r="AZ1042" t="s">
        <v>489</v>
      </c>
      <c r="BA1042" t="s">
        <v>476</v>
      </c>
      <c r="BB1042">
        <v>0</v>
      </c>
      <c r="BE1042" t="s">
        <v>469</v>
      </c>
      <c r="BF1042" t="s">
        <v>489</v>
      </c>
      <c r="BG1042" t="s">
        <v>476</v>
      </c>
      <c r="BH1042">
        <v>0</v>
      </c>
      <c r="CT1042" t="s">
        <v>469</v>
      </c>
      <c r="CU1042" t="s">
        <v>476</v>
      </c>
      <c r="CV1042">
        <f ca="1">OFFSET('Calculations 2'!$AJ$12,W1042,X1042)</f>
        <v>0</v>
      </c>
    </row>
    <row r="1043" spans="17:100">
      <c r="Q1043" t="s">
        <v>245</v>
      </c>
      <c r="R1043" t="s">
        <v>489</v>
      </c>
      <c r="S1043" t="s">
        <v>476</v>
      </c>
      <c r="T1043">
        <f ca="1">OFFSET('Calculations 2'!$C$45,W1043,X1043)*OFFSET($M$6,W1043,0)</f>
        <v>5.7868438610369815</v>
      </c>
      <c r="V1043">
        <f t="shared" si="50"/>
        <v>1037</v>
      </c>
      <c r="W1043">
        <f t="shared" si="51"/>
        <v>14</v>
      </c>
      <c r="X1043">
        <f t="shared" si="52"/>
        <v>31</v>
      </c>
      <c r="AC1043" t="s">
        <v>245</v>
      </c>
      <c r="AD1043" t="s">
        <v>489</v>
      </c>
      <c r="AE1043" t="s">
        <v>476</v>
      </c>
      <c r="AF1043">
        <f ca="1">OFFSET('Calculations 2'!$CE$45,W1043,0)*OFFSET($AA$6,X1043,0)*OFFSET($M$6,W1043,)</f>
        <v>0.63817461439156653</v>
      </c>
      <c r="AY1043" t="s">
        <v>245</v>
      </c>
      <c r="AZ1043" t="s">
        <v>489</v>
      </c>
      <c r="BA1043" t="s">
        <v>476</v>
      </c>
      <c r="BB1043">
        <v>0</v>
      </c>
      <c r="BE1043" t="s">
        <v>245</v>
      </c>
      <c r="BF1043" t="s">
        <v>489</v>
      </c>
      <c r="BG1043" t="s">
        <v>476</v>
      </c>
      <c r="BH1043">
        <v>0</v>
      </c>
      <c r="CT1043" t="s">
        <v>245</v>
      </c>
      <c r="CU1043" t="s">
        <v>476</v>
      </c>
      <c r="CV1043">
        <f ca="1">OFFSET('Calculations 2'!$AJ$12,W1043,X1043)</f>
        <v>0</v>
      </c>
    </row>
    <row r="1044" spans="17:100">
      <c r="Q1044" t="s">
        <v>470</v>
      </c>
      <c r="R1044" t="s">
        <v>489</v>
      </c>
      <c r="S1044" t="s">
        <v>476</v>
      </c>
      <c r="T1044">
        <f ca="1">OFFSET('Calculations 2'!$C$45,W1044,X1044)*OFFSET($M$6,W1044,0)</f>
        <v>9.3898752377081767</v>
      </c>
      <c r="V1044">
        <f t="shared" si="50"/>
        <v>1038</v>
      </c>
      <c r="W1044">
        <f t="shared" si="51"/>
        <v>15</v>
      </c>
      <c r="X1044">
        <f t="shared" si="52"/>
        <v>31</v>
      </c>
      <c r="AC1044" t="s">
        <v>470</v>
      </c>
      <c r="AD1044" t="s">
        <v>489</v>
      </c>
      <c r="AE1044" t="s">
        <v>476</v>
      </c>
      <c r="AF1044">
        <f ca="1">OFFSET('Calculations 2'!$CE$45,W1044,0)*OFFSET($AA$6,X1044,0)*OFFSET($M$6,W1044,)</f>
        <v>1.7377081067279978</v>
      </c>
      <c r="AY1044" t="s">
        <v>470</v>
      </c>
      <c r="AZ1044" t="s">
        <v>489</v>
      </c>
      <c r="BA1044" t="s">
        <v>476</v>
      </c>
      <c r="BB1044">
        <v>0</v>
      </c>
      <c r="BE1044" t="s">
        <v>470</v>
      </c>
      <c r="BF1044" t="s">
        <v>489</v>
      </c>
      <c r="BG1044" t="s">
        <v>476</v>
      </c>
      <c r="BH1044">
        <v>0</v>
      </c>
      <c r="CT1044" t="s">
        <v>470</v>
      </c>
      <c r="CU1044" t="s">
        <v>476</v>
      </c>
      <c r="CV1044">
        <f ca="1">OFFSET('Calculations 2'!$AJ$12,W1044,X1044)</f>
        <v>0</v>
      </c>
    </row>
    <row r="1045" spans="17:100">
      <c r="Q1045" t="s">
        <v>471</v>
      </c>
      <c r="R1045" t="s">
        <v>489</v>
      </c>
      <c r="S1045" t="s">
        <v>476</v>
      </c>
      <c r="T1045">
        <f ca="1">OFFSET('Calculations 2'!$C$45,W1045,X1045)*OFFSET($M$6,W1045,0)</f>
        <v>399.86513320823207</v>
      </c>
      <c r="V1045">
        <f t="shared" si="50"/>
        <v>1039</v>
      </c>
      <c r="W1045">
        <f t="shared" si="51"/>
        <v>16</v>
      </c>
      <c r="X1045">
        <f t="shared" si="52"/>
        <v>31</v>
      </c>
      <c r="AC1045" t="s">
        <v>471</v>
      </c>
      <c r="AD1045" t="s">
        <v>489</v>
      </c>
      <c r="AE1045" t="s">
        <v>476</v>
      </c>
      <c r="AF1045">
        <f ca="1">OFFSET('Calculations 2'!$CE$45,W1045,0)*OFFSET($AA$6,X1045,0)*OFFSET($M$6,W1045,)</f>
        <v>0</v>
      </c>
      <c r="AY1045" t="s">
        <v>471</v>
      </c>
      <c r="AZ1045" t="s">
        <v>489</v>
      </c>
      <c r="BA1045" t="s">
        <v>476</v>
      </c>
      <c r="BB1045">
        <v>0</v>
      </c>
      <c r="BE1045" t="s">
        <v>471</v>
      </c>
      <c r="BF1045" t="s">
        <v>489</v>
      </c>
      <c r="BG1045" t="s">
        <v>476</v>
      </c>
      <c r="BH1045">
        <v>0</v>
      </c>
      <c r="CT1045" t="s">
        <v>471</v>
      </c>
      <c r="CU1045" t="s">
        <v>476</v>
      </c>
      <c r="CV1045">
        <f ca="1">OFFSET('Calculations 2'!$AJ$12,W1045,X1045)</f>
        <v>0</v>
      </c>
    </row>
    <row r="1046" spans="17:100">
      <c r="Q1046" t="s">
        <v>221</v>
      </c>
      <c r="R1046" t="s">
        <v>489</v>
      </c>
      <c r="S1046" t="s">
        <v>476</v>
      </c>
      <c r="T1046">
        <f ca="1">OFFSET('Calculations 2'!$C$45,W1046,X1046)*OFFSET($M$6,W1046,0)</f>
        <v>523.06018530237088</v>
      </c>
      <c r="V1046">
        <f t="shared" si="50"/>
        <v>1040</v>
      </c>
      <c r="W1046">
        <f t="shared" si="51"/>
        <v>17</v>
      </c>
      <c r="X1046">
        <f t="shared" si="52"/>
        <v>31</v>
      </c>
      <c r="AC1046" t="s">
        <v>221</v>
      </c>
      <c r="AD1046" t="s">
        <v>489</v>
      </c>
      <c r="AE1046" t="s">
        <v>476</v>
      </c>
      <c r="AF1046">
        <f ca="1">OFFSET('Calculations 2'!$CE$45,W1046,0)*OFFSET($AA$6,X1046,0)*OFFSET($M$6,W1046,)</f>
        <v>57.723953290544394</v>
      </c>
      <c r="AY1046" t="s">
        <v>221</v>
      </c>
      <c r="AZ1046" t="s">
        <v>489</v>
      </c>
      <c r="BA1046" t="s">
        <v>476</v>
      </c>
      <c r="BB1046">
        <v>0</v>
      </c>
      <c r="BE1046" t="s">
        <v>221</v>
      </c>
      <c r="BF1046" t="s">
        <v>489</v>
      </c>
      <c r="BG1046" t="s">
        <v>476</v>
      </c>
      <c r="BH1046">
        <v>0</v>
      </c>
      <c r="CT1046" t="s">
        <v>221</v>
      </c>
      <c r="CU1046" t="s">
        <v>476</v>
      </c>
      <c r="CV1046">
        <f ca="1">OFFSET('Calculations 2'!$AJ$12,W1046,X1046)</f>
        <v>0</v>
      </c>
    </row>
    <row r="1047" spans="17:100">
      <c r="Q1047" t="s">
        <v>244</v>
      </c>
      <c r="R1047" t="s">
        <v>489</v>
      </c>
      <c r="S1047" t="s">
        <v>476</v>
      </c>
      <c r="T1047">
        <f ca="1">OFFSET('Calculations 2'!$C$45,W1047,X1047)*OFFSET($M$6,W1047,0)</f>
        <v>423.16343290597058</v>
      </c>
      <c r="V1047">
        <f t="shared" si="50"/>
        <v>1041</v>
      </c>
      <c r="W1047">
        <f t="shared" si="51"/>
        <v>18</v>
      </c>
      <c r="X1047">
        <f t="shared" si="52"/>
        <v>31</v>
      </c>
      <c r="AC1047" t="s">
        <v>244</v>
      </c>
      <c r="AD1047" t="s">
        <v>489</v>
      </c>
      <c r="AE1047" t="s">
        <v>476</v>
      </c>
      <c r="AF1047">
        <f ca="1">OFFSET('Calculations 2'!$CE$45,W1047,0)*OFFSET($AA$6,X1047,0)*OFFSET($M$6,W1047,)</f>
        <v>9.2296752488696825</v>
      </c>
      <c r="AY1047" t="s">
        <v>244</v>
      </c>
      <c r="AZ1047" t="s">
        <v>489</v>
      </c>
      <c r="BA1047" t="s">
        <v>476</v>
      </c>
      <c r="BB1047">
        <v>0</v>
      </c>
      <c r="BE1047" t="s">
        <v>244</v>
      </c>
      <c r="BF1047" t="s">
        <v>489</v>
      </c>
      <c r="BG1047" t="s">
        <v>476</v>
      </c>
      <c r="BH1047">
        <v>0</v>
      </c>
      <c r="CT1047" t="s">
        <v>244</v>
      </c>
      <c r="CU1047" t="s">
        <v>476</v>
      </c>
      <c r="CV1047">
        <f ca="1">OFFSET('Calculations 2'!$AJ$12,W1047,X1047)</f>
        <v>0</v>
      </c>
    </row>
    <row r="1048" spans="17:100">
      <c r="Q1048" t="s">
        <v>472</v>
      </c>
      <c r="R1048" t="s">
        <v>489</v>
      </c>
      <c r="S1048" t="s">
        <v>476</v>
      </c>
      <c r="T1048">
        <f ca="1">OFFSET('Calculations 2'!$C$45,W1048,X1048)*OFFSET($M$6,W1048,0)</f>
        <v>4.0571292655176672</v>
      </c>
      <c r="V1048">
        <f t="shared" si="50"/>
        <v>1042</v>
      </c>
      <c r="W1048">
        <f t="shared" si="51"/>
        <v>19</v>
      </c>
      <c r="X1048">
        <f t="shared" si="52"/>
        <v>31</v>
      </c>
      <c r="AC1048" t="s">
        <v>472</v>
      </c>
      <c r="AD1048" t="s">
        <v>489</v>
      </c>
      <c r="AE1048" t="s">
        <v>476</v>
      </c>
      <c r="AF1048">
        <f ca="1">OFFSET('Calculations 2'!$CE$45,W1048,0)*OFFSET($AA$6,X1048,0)*OFFSET($M$6,W1048,)</f>
        <v>0</v>
      </c>
      <c r="AY1048" t="s">
        <v>472</v>
      </c>
      <c r="AZ1048" t="s">
        <v>489</v>
      </c>
      <c r="BA1048" t="s">
        <v>476</v>
      </c>
      <c r="BB1048">
        <v>0</v>
      </c>
      <c r="BE1048" t="s">
        <v>472</v>
      </c>
      <c r="BF1048" t="s">
        <v>489</v>
      </c>
      <c r="BG1048" t="s">
        <v>476</v>
      </c>
      <c r="BH1048">
        <v>0</v>
      </c>
      <c r="CT1048" t="s">
        <v>472</v>
      </c>
      <c r="CU1048" t="s">
        <v>476</v>
      </c>
      <c r="CV1048">
        <f ca="1">OFFSET('Calculations 2'!$AJ$12,W1048,X1048)</f>
        <v>0</v>
      </c>
    </row>
    <row r="1049" spans="17:100">
      <c r="Q1049" t="s">
        <v>238</v>
      </c>
      <c r="R1049" t="s">
        <v>489</v>
      </c>
      <c r="S1049" t="s">
        <v>476</v>
      </c>
      <c r="T1049">
        <f ca="1">OFFSET('Calculations 2'!$C$45,W1049,X1049)*OFFSET($M$6,W1049,0)</f>
        <v>27.100820525749356</v>
      </c>
      <c r="V1049">
        <f t="shared" si="50"/>
        <v>1043</v>
      </c>
      <c r="W1049">
        <f t="shared" si="51"/>
        <v>20</v>
      </c>
      <c r="X1049">
        <f t="shared" si="52"/>
        <v>31</v>
      </c>
      <c r="AC1049" t="s">
        <v>238</v>
      </c>
      <c r="AD1049" t="s">
        <v>489</v>
      </c>
      <c r="AE1049" t="s">
        <v>476</v>
      </c>
      <c r="AF1049">
        <f ca="1">OFFSET('Calculations 2'!$CE$45,W1049,0)*OFFSET($AA$6,X1049,0)*OFFSET($M$6,W1049,)</f>
        <v>0</v>
      </c>
      <c r="AY1049" t="s">
        <v>238</v>
      </c>
      <c r="AZ1049" t="s">
        <v>489</v>
      </c>
      <c r="BA1049" t="s">
        <v>476</v>
      </c>
      <c r="BB1049">
        <v>0</v>
      </c>
      <c r="BE1049" t="s">
        <v>238</v>
      </c>
      <c r="BF1049" t="s">
        <v>489</v>
      </c>
      <c r="BG1049" t="s">
        <v>476</v>
      </c>
      <c r="BH1049">
        <v>0</v>
      </c>
      <c r="CT1049" t="s">
        <v>238</v>
      </c>
      <c r="CU1049" t="s">
        <v>476</v>
      </c>
      <c r="CV1049">
        <f ca="1">OFFSET('Calculations 2'!$AJ$12,W1049,X1049)</f>
        <v>0</v>
      </c>
    </row>
    <row r="1050" spans="17:100">
      <c r="Q1050" t="s">
        <v>247</v>
      </c>
      <c r="R1050" t="s">
        <v>489</v>
      </c>
      <c r="S1050" t="s">
        <v>476</v>
      </c>
      <c r="T1050">
        <f ca="1">OFFSET('Calculations 2'!$C$45,W1050,X1050)*OFFSET($M$6,W1050,0)</f>
        <v>0</v>
      </c>
      <c r="V1050">
        <f t="shared" si="50"/>
        <v>1044</v>
      </c>
      <c r="W1050">
        <f t="shared" si="51"/>
        <v>21</v>
      </c>
      <c r="X1050">
        <f t="shared" si="52"/>
        <v>31</v>
      </c>
      <c r="AC1050" t="s">
        <v>247</v>
      </c>
      <c r="AD1050" t="s">
        <v>489</v>
      </c>
      <c r="AE1050" t="s">
        <v>476</v>
      </c>
      <c r="AF1050">
        <f ca="1">OFFSET('Calculations 2'!$CE$45,W1050,0)*OFFSET($AA$6,X1050,0)*OFFSET($M$6,W1050,)</f>
        <v>0</v>
      </c>
      <c r="AY1050" t="s">
        <v>247</v>
      </c>
      <c r="AZ1050" t="s">
        <v>489</v>
      </c>
      <c r="BA1050" t="s">
        <v>476</v>
      </c>
      <c r="BB1050">
        <v>0</v>
      </c>
      <c r="BE1050" t="s">
        <v>247</v>
      </c>
      <c r="BF1050" t="s">
        <v>489</v>
      </c>
      <c r="BG1050" t="s">
        <v>476</v>
      </c>
      <c r="BH1050">
        <v>0</v>
      </c>
      <c r="CT1050" t="s">
        <v>247</v>
      </c>
      <c r="CU1050" t="s">
        <v>476</v>
      </c>
      <c r="CV1050">
        <f ca="1">OFFSET('Calculations 2'!$AJ$12,W1050,X1050)</f>
        <v>0</v>
      </c>
    </row>
    <row r="1051" spans="17:100">
      <c r="Q1051" t="s">
        <v>218</v>
      </c>
      <c r="R1051" t="s">
        <v>489</v>
      </c>
      <c r="S1051" t="s">
        <v>476</v>
      </c>
      <c r="T1051">
        <f ca="1">OFFSET('Calculations 2'!$C$45,W1051,X1051)*OFFSET($M$6,W1051,0)</f>
        <v>21.589262245976073</v>
      </c>
      <c r="V1051">
        <f t="shared" si="50"/>
        <v>1045</v>
      </c>
      <c r="W1051">
        <f t="shared" si="51"/>
        <v>22</v>
      </c>
      <c r="X1051">
        <f t="shared" si="52"/>
        <v>31</v>
      </c>
      <c r="AC1051" t="s">
        <v>218</v>
      </c>
      <c r="AD1051" t="s">
        <v>489</v>
      </c>
      <c r="AE1051" t="s">
        <v>476</v>
      </c>
      <c r="AF1051">
        <f ca="1">OFFSET('Calculations 2'!$CE$45,W1051,0)*OFFSET($AA$6,X1051,0)*OFFSET($M$6,W1051,)</f>
        <v>0</v>
      </c>
      <c r="AY1051" t="s">
        <v>218</v>
      </c>
      <c r="AZ1051" t="s">
        <v>489</v>
      </c>
      <c r="BA1051" t="s">
        <v>476</v>
      </c>
      <c r="BB1051">
        <v>0</v>
      </c>
      <c r="BE1051" t="s">
        <v>218</v>
      </c>
      <c r="BF1051" t="s">
        <v>489</v>
      </c>
      <c r="BG1051" t="s">
        <v>476</v>
      </c>
      <c r="BH1051">
        <v>0</v>
      </c>
      <c r="CT1051" t="s">
        <v>218</v>
      </c>
      <c r="CU1051" t="s">
        <v>476</v>
      </c>
      <c r="CV1051">
        <f ca="1">OFFSET('Calculations 2'!$AJ$12,W1051,X1051)</f>
        <v>0</v>
      </c>
    </row>
    <row r="1052" spans="17:100">
      <c r="Q1052" t="s">
        <v>257</v>
      </c>
      <c r="R1052" t="s">
        <v>489</v>
      </c>
      <c r="S1052" t="s">
        <v>476</v>
      </c>
      <c r="T1052">
        <f ca="1">OFFSET('Calculations 2'!$C$45,W1052,X1052)*OFFSET($M$6,W1052,0)</f>
        <v>1.3588219106175483</v>
      </c>
      <c r="V1052">
        <f t="shared" si="50"/>
        <v>1046</v>
      </c>
      <c r="W1052">
        <f t="shared" si="51"/>
        <v>23</v>
      </c>
      <c r="X1052">
        <f t="shared" si="52"/>
        <v>31</v>
      </c>
      <c r="AC1052" t="s">
        <v>257</v>
      </c>
      <c r="AD1052" t="s">
        <v>489</v>
      </c>
      <c r="AE1052" t="s">
        <v>476</v>
      </c>
      <c r="AF1052">
        <f ca="1">OFFSET('Calculations 2'!$CE$45,W1052,0)*OFFSET($AA$6,X1052,0)*OFFSET($M$6,W1052,)</f>
        <v>0</v>
      </c>
      <c r="AY1052" t="s">
        <v>257</v>
      </c>
      <c r="AZ1052" t="s">
        <v>489</v>
      </c>
      <c r="BA1052" t="s">
        <v>476</v>
      </c>
      <c r="BB1052">
        <v>0</v>
      </c>
      <c r="BE1052" t="s">
        <v>257</v>
      </c>
      <c r="BF1052" t="s">
        <v>489</v>
      </c>
      <c r="BG1052" t="s">
        <v>476</v>
      </c>
      <c r="BH1052">
        <v>0</v>
      </c>
      <c r="CT1052" t="s">
        <v>257</v>
      </c>
      <c r="CU1052" t="s">
        <v>476</v>
      </c>
      <c r="CV1052">
        <f ca="1">OFFSET('Calculations 2'!$AJ$12,W1052,X1052)</f>
        <v>0</v>
      </c>
    </row>
    <row r="1053" spans="17:100">
      <c r="Q1053" t="s">
        <v>220</v>
      </c>
      <c r="R1053" t="s">
        <v>489</v>
      </c>
      <c r="S1053" t="s">
        <v>476</v>
      </c>
      <c r="T1053">
        <f ca="1">OFFSET('Calculations 2'!$C$45,W1053,X1053)*OFFSET($M$6,W1053,0)</f>
        <v>250.38004599826553</v>
      </c>
      <c r="V1053">
        <f t="shared" si="50"/>
        <v>1047</v>
      </c>
      <c r="W1053">
        <f t="shared" si="51"/>
        <v>24</v>
      </c>
      <c r="X1053">
        <f t="shared" si="52"/>
        <v>31</v>
      </c>
      <c r="AC1053" t="s">
        <v>220</v>
      </c>
      <c r="AD1053" t="s">
        <v>489</v>
      </c>
      <c r="AE1053" t="s">
        <v>476</v>
      </c>
      <c r="AF1053">
        <f ca="1">OFFSET('Calculations 2'!$CE$45,W1053,0)*OFFSET($AA$6,X1053,0)*OFFSET($M$6,W1053,)</f>
        <v>0</v>
      </c>
      <c r="AY1053" t="s">
        <v>220</v>
      </c>
      <c r="AZ1053" t="s">
        <v>489</v>
      </c>
      <c r="BA1053" t="s">
        <v>476</v>
      </c>
      <c r="BB1053">
        <v>0</v>
      </c>
      <c r="BE1053" t="s">
        <v>220</v>
      </c>
      <c r="BF1053" t="s">
        <v>489</v>
      </c>
      <c r="BG1053" t="s">
        <v>476</v>
      </c>
      <c r="BH1053">
        <v>0</v>
      </c>
      <c r="CT1053" t="s">
        <v>220</v>
      </c>
      <c r="CU1053" t="s">
        <v>476</v>
      </c>
      <c r="CV1053">
        <f ca="1">OFFSET('Calculations 2'!$AJ$12,W1053,X1053)</f>
        <v>0</v>
      </c>
    </row>
    <row r="1054" spans="17:100">
      <c r="Q1054" t="s">
        <v>235</v>
      </c>
      <c r="R1054" t="s">
        <v>489</v>
      </c>
      <c r="S1054" t="s">
        <v>476</v>
      </c>
      <c r="T1054">
        <f ca="1">OFFSET('Calculations 2'!$C$45,W1054,X1054)*OFFSET($M$6,W1054,0)</f>
        <v>1025.9139598440879</v>
      </c>
      <c r="V1054">
        <f t="shared" si="50"/>
        <v>1048</v>
      </c>
      <c r="W1054">
        <f t="shared" si="51"/>
        <v>25</v>
      </c>
      <c r="X1054">
        <f t="shared" si="52"/>
        <v>31</v>
      </c>
      <c r="AC1054" t="s">
        <v>235</v>
      </c>
      <c r="AD1054" t="s">
        <v>489</v>
      </c>
      <c r="AE1054" t="s">
        <v>476</v>
      </c>
      <c r="AF1054">
        <f ca="1">OFFSET('Calculations 2'!$CE$45,W1054,0)*OFFSET($AA$6,X1054,0)*OFFSET($M$6,W1054,)</f>
        <v>0</v>
      </c>
      <c r="AY1054" t="s">
        <v>235</v>
      </c>
      <c r="AZ1054" t="s">
        <v>489</v>
      </c>
      <c r="BA1054" t="s">
        <v>476</v>
      </c>
      <c r="BB1054">
        <v>0</v>
      </c>
      <c r="BE1054" t="s">
        <v>235</v>
      </c>
      <c r="BF1054" t="s">
        <v>489</v>
      </c>
      <c r="BG1054" t="s">
        <v>476</v>
      </c>
      <c r="BH1054">
        <v>0</v>
      </c>
      <c r="CT1054" t="s">
        <v>235</v>
      </c>
      <c r="CU1054" t="s">
        <v>476</v>
      </c>
      <c r="CV1054">
        <f ca="1">OFFSET('Calculations 2'!$AJ$12,W1054,X1054)</f>
        <v>0</v>
      </c>
    </row>
    <row r="1055" spans="17:100">
      <c r="Q1055" t="s">
        <v>473</v>
      </c>
      <c r="R1055" t="s">
        <v>489</v>
      </c>
      <c r="S1055" t="s">
        <v>476</v>
      </c>
      <c r="T1055">
        <f ca="1">OFFSET('Calculations 2'!$C$45,W1055,X1055)*OFFSET($M$6,W1055,0)</f>
        <v>173.93145329775624</v>
      </c>
      <c r="V1055">
        <f t="shared" si="50"/>
        <v>1049</v>
      </c>
      <c r="W1055">
        <f t="shared" si="51"/>
        <v>26</v>
      </c>
      <c r="X1055">
        <f t="shared" si="52"/>
        <v>31</v>
      </c>
      <c r="AC1055" t="s">
        <v>473</v>
      </c>
      <c r="AD1055" t="s">
        <v>489</v>
      </c>
      <c r="AE1055" t="s">
        <v>476</v>
      </c>
      <c r="AF1055">
        <f ca="1">OFFSET('Calculations 2'!$CE$45,W1055,0)*OFFSET($AA$6,X1055,0)*OFFSET($M$6,W1055,)</f>
        <v>0</v>
      </c>
      <c r="AY1055" t="s">
        <v>473</v>
      </c>
      <c r="AZ1055" t="s">
        <v>489</v>
      </c>
      <c r="BA1055" t="s">
        <v>476</v>
      </c>
      <c r="BB1055">
        <v>0</v>
      </c>
      <c r="BE1055" t="s">
        <v>473</v>
      </c>
      <c r="BF1055" t="s">
        <v>489</v>
      </c>
      <c r="BG1055" t="s">
        <v>476</v>
      </c>
      <c r="BH1055">
        <v>0</v>
      </c>
      <c r="CT1055" t="s">
        <v>473</v>
      </c>
      <c r="CU1055" t="s">
        <v>476</v>
      </c>
      <c r="CV1055">
        <f ca="1">OFFSET('Calculations 2'!$AJ$12,W1055,X1055)</f>
        <v>0</v>
      </c>
    </row>
    <row r="1056" spans="17:100">
      <c r="Q1056" t="s">
        <v>233</v>
      </c>
      <c r="R1056" t="s">
        <v>489</v>
      </c>
      <c r="S1056" t="s">
        <v>476</v>
      </c>
      <c r="T1056">
        <f ca="1">OFFSET('Calculations 2'!$C$45,W1056,X1056)*OFFSET($M$6,W1056,0)</f>
        <v>569.04841854775498</v>
      </c>
      <c r="V1056">
        <f t="shared" si="50"/>
        <v>1050</v>
      </c>
      <c r="W1056">
        <f t="shared" si="51"/>
        <v>27</v>
      </c>
      <c r="X1056">
        <f t="shared" si="52"/>
        <v>31</v>
      </c>
      <c r="AC1056" t="s">
        <v>233</v>
      </c>
      <c r="AD1056" t="s">
        <v>489</v>
      </c>
      <c r="AE1056" t="s">
        <v>476</v>
      </c>
      <c r="AF1056">
        <f ca="1">OFFSET('Calculations 2'!$CE$45,W1056,0)*OFFSET($AA$6,X1056,0)*OFFSET($M$6,W1056,)</f>
        <v>0</v>
      </c>
      <c r="AY1056" t="s">
        <v>233</v>
      </c>
      <c r="AZ1056" t="s">
        <v>489</v>
      </c>
      <c r="BA1056" t="s">
        <v>476</v>
      </c>
      <c r="BB1056">
        <v>0</v>
      </c>
      <c r="BE1056" t="s">
        <v>233</v>
      </c>
      <c r="BF1056" t="s">
        <v>489</v>
      </c>
      <c r="BG1056" t="s">
        <v>476</v>
      </c>
      <c r="BH1056">
        <v>0</v>
      </c>
      <c r="CT1056" t="s">
        <v>233</v>
      </c>
      <c r="CU1056" t="s">
        <v>476</v>
      </c>
      <c r="CV1056">
        <f ca="1">OFFSET('Calculations 2'!$AJ$12,W1056,X1056)</f>
        <v>0</v>
      </c>
    </row>
    <row r="1057" spans="17:100">
      <c r="Q1057" t="s">
        <v>474</v>
      </c>
      <c r="R1057" t="s">
        <v>489</v>
      </c>
      <c r="S1057" t="s">
        <v>476</v>
      </c>
      <c r="T1057">
        <f ca="1">OFFSET('Calculations 2'!$C$45,W1057,X1057)*OFFSET($M$6,W1057,0)</f>
        <v>29.037873227119224</v>
      </c>
      <c r="V1057">
        <f t="shared" si="50"/>
        <v>1051</v>
      </c>
      <c r="W1057">
        <f t="shared" si="51"/>
        <v>28</v>
      </c>
      <c r="X1057">
        <f t="shared" si="52"/>
        <v>31</v>
      </c>
      <c r="AC1057" t="s">
        <v>474</v>
      </c>
      <c r="AD1057" t="s">
        <v>489</v>
      </c>
      <c r="AE1057" t="s">
        <v>476</v>
      </c>
      <c r="AF1057">
        <f ca="1">OFFSET('Calculations 2'!$CE$45,W1057,0)*OFFSET($AA$6,X1057,0)*OFFSET($M$6,W1057,)</f>
        <v>0</v>
      </c>
      <c r="AY1057" t="s">
        <v>474</v>
      </c>
      <c r="AZ1057" t="s">
        <v>489</v>
      </c>
      <c r="BA1057" t="s">
        <v>476</v>
      </c>
      <c r="BB1057">
        <v>0</v>
      </c>
      <c r="BE1057" t="s">
        <v>474</v>
      </c>
      <c r="BF1057" t="s">
        <v>489</v>
      </c>
      <c r="BG1057" t="s">
        <v>476</v>
      </c>
      <c r="BH1057">
        <v>0</v>
      </c>
      <c r="CT1057" t="s">
        <v>474</v>
      </c>
      <c r="CU1057" t="s">
        <v>476</v>
      </c>
      <c r="CV1057">
        <f ca="1">OFFSET('Calculations 2'!$AJ$12,W1057,X1057)</f>
        <v>0</v>
      </c>
    </row>
    <row r="1058" spans="17:100">
      <c r="Q1058" t="s">
        <v>223</v>
      </c>
      <c r="R1058" t="s">
        <v>489</v>
      </c>
      <c r="S1058" t="s">
        <v>476</v>
      </c>
      <c r="T1058">
        <f ca="1">OFFSET('Calculations 2'!$C$45,W1058,X1058)*OFFSET($M$6,W1058,0)</f>
        <v>8.2419029968325237</v>
      </c>
      <c r="V1058">
        <f t="shared" si="50"/>
        <v>1052</v>
      </c>
      <c r="W1058">
        <f t="shared" si="51"/>
        <v>29</v>
      </c>
      <c r="X1058">
        <f t="shared" si="52"/>
        <v>31</v>
      </c>
      <c r="AC1058" t="s">
        <v>223</v>
      </c>
      <c r="AD1058" t="s">
        <v>489</v>
      </c>
      <c r="AE1058" t="s">
        <v>476</v>
      </c>
      <c r="AF1058">
        <f ca="1">OFFSET('Calculations 2'!$CE$45,W1058,0)*OFFSET($AA$6,X1058,0)*OFFSET($M$6,W1058,)</f>
        <v>0</v>
      </c>
      <c r="AY1058" t="s">
        <v>223</v>
      </c>
      <c r="AZ1058" t="s">
        <v>489</v>
      </c>
      <c r="BA1058" t="s">
        <v>476</v>
      </c>
      <c r="BB1058">
        <v>0</v>
      </c>
      <c r="BE1058" t="s">
        <v>223</v>
      </c>
      <c r="BF1058" t="s">
        <v>489</v>
      </c>
      <c r="BG1058" t="s">
        <v>476</v>
      </c>
      <c r="BH1058">
        <v>0</v>
      </c>
      <c r="CT1058" t="s">
        <v>223</v>
      </c>
      <c r="CU1058" t="s">
        <v>476</v>
      </c>
      <c r="CV1058">
        <f ca="1">OFFSET('Calculations 2'!$AJ$12,W1058,X1058)</f>
        <v>0</v>
      </c>
    </row>
    <row r="1059" spans="17:100">
      <c r="Q1059" t="s">
        <v>475</v>
      </c>
      <c r="R1059" t="s">
        <v>489</v>
      </c>
      <c r="S1059" t="s">
        <v>476</v>
      </c>
      <c r="T1059">
        <f ca="1">OFFSET('Calculations 2'!$C$45,W1059,X1059)*OFFSET($M$6,W1059,0)</f>
        <v>7.9391602757226529</v>
      </c>
      <c r="V1059">
        <f t="shared" si="50"/>
        <v>1053</v>
      </c>
      <c r="W1059">
        <f t="shared" si="51"/>
        <v>30</v>
      </c>
      <c r="X1059">
        <f t="shared" si="52"/>
        <v>31</v>
      </c>
      <c r="AC1059" t="s">
        <v>475</v>
      </c>
      <c r="AD1059" t="s">
        <v>489</v>
      </c>
      <c r="AE1059" t="s">
        <v>476</v>
      </c>
      <c r="AF1059">
        <f ca="1">OFFSET('Calculations 2'!$CE$45,W1059,0)*OFFSET($AA$6,X1059,0)*OFFSET($M$6,W1059,)</f>
        <v>0</v>
      </c>
      <c r="AY1059" t="s">
        <v>475</v>
      </c>
      <c r="AZ1059" t="s">
        <v>489</v>
      </c>
      <c r="BA1059" t="s">
        <v>476</v>
      </c>
      <c r="BB1059">
        <v>0</v>
      </c>
      <c r="BE1059" t="s">
        <v>475</v>
      </c>
      <c r="BF1059" t="s">
        <v>489</v>
      </c>
      <c r="BG1059" t="s">
        <v>476</v>
      </c>
      <c r="BH1059">
        <v>0</v>
      </c>
      <c r="CT1059" t="s">
        <v>475</v>
      </c>
      <c r="CU1059" t="s">
        <v>476</v>
      </c>
      <c r="CV1059">
        <f ca="1">OFFSET('Calculations 2'!$AJ$12,W1059,X1059)</f>
        <v>0</v>
      </c>
    </row>
    <row r="1060" spans="17:100">
      <c r="Q1060" t="s">
        <v>476</v>
      </c>
      <c r="R1060" t="s">
        <v>489</v>
      </c>
      <c r="S1060" t="s">
        <v>476</v>
      </c>
      <c r="T1060">
        <f ca="1">OFFSET('Calculations 2'!$C$45,W1060,X1060)*OFFSET($M$6,W1060,0)</f>
        <v>94.110320417754195</v>
      </c>
      <c r="V1060">
        <f t="shared" si="50"/>
        <v>1054</v>
      </c>
      <c r="W1060">
        <f t="shared" si="51"/>
        <v>31</v>
      </c>
      <c r="X1060">
        <f t="shared" si="52"/>
        <v>31</v>
      </c>
      <c r="AC1060" t="s">
        <v>476</v>
      </c>
      <c r="AD1060" t="s">
        <v>489</v>
      </c>
      <c r="AE1060" t="s">
        <v>476</v>
      </c>
      <c r="AF1060">
        <f ca="1">OFFSET('Calculations 2'!$CE$45,W1060,0)*OFFSET($AA$6,X1060,0)*OFFSET($M$6,W1060,)</f>
        <v>0</v>
      </c>
      <c r="AY1060" t="s">
        <v>476</v>
      </c>
      <c r="AZ1060" t="s">
        <v>489</v>
      </c>
      <c r="BA1060" t="s">
        <v>476</v>
      </c>
      <c r="BB1060">
        <v>0</v>
      </c>
      <c r="BE1060" t="s">
        <v>476</v>
      </c>
      <c r="BF1060" t="s">
        <v>489</v>
      </c>
      <c r="BG1060" t="s">
        <v>476</v>
      </c>
      <c r="BH1060">
        <v>0</v>
      </c>
      <c r="CT1060" t="s">
        <v>476</v>
      </c>
      <c r="CU1060" t="s">
        <v>476</v>
      </c>
      <c r="CV1060">
        <f ca="1">OFFSET('Calculations 2'!$AJ$12,W1060,X1060)</f>
        <v>7820.8397258647346</v>
      </c>
    </row>
    <row r="1061" spans="17:100">
      <c r="Q1061" t="s">
        <v>222</v>
      </c>
      <c r="R1061" t="s">
        <v>489</v>
      </c>
      <c r="S1061" t="s">
        <v>476</v>
      </c>
      <c r="T1061">
        <f ca="1">OFFSET('Calculations 2'!$C$45,W1061,X1061)*OFFSET($M$6,W1061,0)</f>
        <v>0</v>
      </c>
      <c r="V1061">
        <f t="shared" si="50"/>
        <v>1055</v>
      </c>
      <c r="W1061">
        <f t="shared" si="51"/>
        <v>32</v>
      </c>
      <c r="X1061">
        <f t="shared" si="52"/>
        <v>31</v>
      </c>
      <c r="AC1061" t="s">
        <v>222</v>
      </c>
      <c r="AD1061" t="s">
        <v>489</v>
      </c>
      <c r="AE1061" t="s">
        <v>476</v>
      </c>
      <c r="AF1061">
        <f ca="1">OFFSET('Calculations 2'!$CE$45,W1061,0)*OFFSET($AA$6,X1061,0)*OFFSET($M$6,W1061,)</f>
        <v>0</v>
      </c>
      <c r="AY1061" t="s">
        <v>222</v>
      </c>
      <c r="AZ1061" t="s">
        <v>489</v>
      </c>
      <c r="BA1061" t="s">
        <v>476</v>
      </c>
      <c r="BB1061">
        <v>0</v>
      </c>
      <c r="BE1061" t="s">
        <v>222</v>
      </c>
      <c r="BF1061" t="s">
        <v>489</v>
      </c>
      <c r="BG1061" t="s">
        <v>476</v>
      </c>
      <c r="BH1061">
        <v>0</v>
      </c>
      <c r="CT1061" t="s">
        <v>222</v>
      </c>
      <c r="CU1061" t="s">
        <v>476</v>
      </c>
      <c r="CV1061">
        <f ca="1">OFFSET('Calculations 2'!$AJ$12,W1061,X1061)</f>
        <v>0</v>
      </c>
    </row>
    <row r="1062" spans="17:100">
      <c r="Q1062" t="s">
        <v>217</v>
      </c>
      <c r="R1062" t="s">
        <v>489</v>
      </c>
      <c r="S1062" t="s">
        <v>222</v>
      </c>
      <c r="T1062">
        <f ca="1">OFFSET('Calculations 2'!$C$45,W1062,X1062)*OFFSET($M$6,W1062,0)</f>
        <v>0</v>
      </c>
      <c r="V1062">
        <f t="shared" si="50"/>
        <v>1056</v>
      </c>
      <c r="W1062">
        <f t="shared" si="51"/>
        <v>0</v>
      </c>
      <c r="X1062">
        <f t="shared" si="52"/>
        <v>32</v>
      </c>
      <c r="AC1062" t="s">
        <v>217</v>
      </c>
      <c r="AD1062" t="s">
        <v>489</v>
      </c>
      <c r="AE1062" t="s">
        <v>222</v>
      </c>
      <c r="AF1062">
        <f ca="1">OFFSET('Calculations 2'!$CE$45,W1062,0)*OFFSET($AA$6,X1062,0)*OFFSET($M$6,W1062,)</f>
        <v>3.1523360320198323E-5</v>
      </c>
      <c r="AY1062" t="s">
        <v>217</v>
      </c>
      <c r="AZ1062" t="s">
        <v>489</v>
      </c>
      <c r="BA1062" t="s">
        <v>222</v>
      </c>
      <c r="BB1062">
        <v>0</v>
      </c>
      <c r="BE1062" t="s">
        <v>217</v>
      </c>
      <c r="BF1062" t="s">
        <v>489</v>
      </c>
      <c r="BG1062" t="s">
        <v>222</v>
      </c>
      <c r="BH1062">
        <v>0</v>
      </c>
      <c r="CT1062" t="s">
        <v>217</v>
      </c>
      <c r="CU1062" t="s">
        <v>222</v>
      </c>
      <c r="CV1062">
        <f ca="1">OFFSET('Calculations 2'!$AJ$12,W1062,X1062)</f>
        <v>0</v>
      </c>
    </row>
    <row r="1063" spans="17:100">
      <c r="Q1063" t="s">
        <v>232</v>
      </c>
      <c r="R1063" t="s">
        <v>489</v>
      </c>
      <c r="S1063" t="s">
        <v>222</v>
      </c>
      <c r="T1063">
        <f ca="1">OFFSET('Calculations 2'!$C$45,W1063,X1063)*OFFSET($M$6,W1063,0)</f>
        <v>0</v>
      </c>
      <c r="V1063">
        <f t="shared" si="50"/>
        <v>1057</v>
      </c>
      <c r="W1063">
        <f t="shared" si="51"/>
        <v>1</v>
      </c>
      <c r="X1063">
        <f t="shared" si="52"/>
        <v>32</v>
      </c>
      <c r="AC1063" t="s">
        <v>232</v>
      </c>
      <c r="AD1063" t="s">
        <v>489</v>
      </c>
      <c r="AE1063" t="s">
        <v>222</v>
      </c>
      <c r="AF1063">
        <f ca="1">OFFSET('Calculations 2'!$CE$45,W1063,0)*OFFSET($AA$6,X1063,0)*OFFSET($M$6,W1063,)</f>
        <v>5.4989924102908641E-5</v>
      </c>
      <c r="AY1063" t="s">
        <v>232</v>
      </c>
      <c r="AZ1063" t="s">
        <v>489</v>
      </c>
      <c r="BA1063" t="s">
        <v>222</v>
      </c>
      <c r="BB1063">
        <v>0</v>
      </c>
      <c r="BE1063" t="s">
        <v>232</v>
      </c>
      <c r="BF1063" t="s">
        <v>489</v>
      </c>
      <c r="BG1063" t="s">
        <v>222</v>
      </c>
      <c r="BH1063">
        <v>0</v>
      </c>
      <c r="CT1063" t="s">
        <v>232</v>
      </c>
      <c r="CU1063" t="s">
        <v>222</v>
      </c>
      <c r="CV1063">
        <f ca="1">OFFSET('Calculations 2'!$AJ$12,W1063,X1063)</f>
        <v>0</v>
      </c>
    </row>
    <row r="1064" spans="17:100">
      <c r="Q1064" t="s">
        <v>226</v>
      </c>
      <c r="R1064" t="s">
        <v>489</v>
      </c>
      <c r="S1064" t="s">
        <v>222</v>
      </c>
      <c r="T1064">
        <f ca="1">OFFSET('Calculations 2'!$C$45,W1064,X1064)*OFFSET($M$6,W1064,0)</f>
        <v>0</v>
      </c>
      <c r="V1064">
        <f t="shared" si="50"/>
        <v>1058</v>
      </c>
      <c r="W1064">
        <f t="shared" si="51"/>
        <v>2</v>
      </c>
      <c r="X1064">
        <f t="shared" si="52"/>
        <v>32</v>
      </c>
      <c r="AC1064" t="s">
        <v>226</v>
      </c>
      <c r="AD1064" t="s">
        <v>489</v>
      </c>
      <c r="AE1064" t="s">
        <v>222</v>
      </c>
      <c r="AF1064">
        <f ca="1">OFFSET('Calculations 2'!$CE$45,W1064,0)*OFFSET($AA$6,X1064,0)*OFFSET($M$6,W1064,)</f>
        <v>9.2591453106559741E-5</v>
      </c>
      <c r="AY1064" t="s">
        <v>226</v>
      </c>
      <c r="AZ1064" t="s">
        <v>489</v>
      </c>
      <c r="BA1064" t="s">
        <v>222</v>
      </c>
      <c r="BB1064">
        <v>0</v>
      </c>
      <c r="BE1064" t="s">
        <v>226</v>
      </c>
      <c r="BF1064" t="s">
        <v>489</v>
      </c>
      <c r="BG1064" t="s">
        <v>222</v>
      </c>
      <c r="BH1064">
        <v>0</v>
      </c>
      <c r="CT1064" t="s">
        <v>226</v>
      </c>
      <c r="CU1064" t="s">
        <v>222</v>
      </c>
      <c r="CV1064">
        <f ca="1">OFFSET('Calculations 2'!$AJ$12,W1064,X1064)</f>
        <v>0</v>
      </c>
    </row>
    <row r="1065" spans="17:100">
      <c r="Q1065" t="s">
        <v>243</v>
      </c>
      <c r="R1065" t="s">
        <v>489</v>
      </c>
      <c r="S1065" t="s">
        <v>222</v>
      </c>
      <c r="T1065">
        <f ca="1">OFFSET('Calculations 2'!$C$45,W1065,X1065)*OFFSET($M$6,W1065,0)</f>
        <v>0</v>
      </c>
      <c r="V1065">
        <f t="shared" si="50"/>
        <v>1059</v>
      </c>
      <c r="W1065">
        <f t="shared" si="51"/>
        <v>3</v>
      </c>
      <c r="X1065">
        <f t="shared" si="52"/>
        <v>32</v>
      </c>
      <c r="AC1065" t="s">
        <v>243</v>
      </c>
      <c r="AD1065" t="s">
        <v>489</v>
      </c>
      <c r="AE1065" t="s">
        <v>222</v>
      </c>
      <c r="AF1065">
        <f ca="1">OFFSET('Calculations 2'!$CE$45,W1065,0)*OFFSET($AA$6,X1065,0)*OFFSET($M$6,W1065,)</f>
        <v>4.8229546422117278E-4</v>
      </c>
      <c r="AY1065" t="s">
        <v>243</v>
      </c>
      <c r="AZ1065" t="s">
        <v>489</v>
      </c>
      <c r="BA1065" t="s">
        <v>222</v>
      </c>
      <c r="BB1065">
        <v>0</v>
      </c>
      <c r="BE1065" t="s">
        <v>243</v>
      </c>
      <c r="BF1065" t="s">
        <v>489</v>
      </c>
      <c r="BG1065" t="s">
        <v>222</v>
      </c>
      <c r="BH1065">
        <v>0</v>
      </c>
      <c r="CT1065" t="s">
        <v>243</v>
      </c>
      <c r="CU1065" t="s">
        <v>222</v>
      </c>
      <c r="CV1065">
        <f ca="1">OFFSET('Calculations 2'!$AJ$12,W1065,X1065)</f>
        <v>0</v>
      </c>
    </row>
    <row r="1066" spans="17:100">
      <c r="Q1066" t="s">
        <v>228</v>
      </c>
      <c r="R1066" t="s">
        <v>489</v>
      </c>
      <c r="S1066" t="s">
        <v>222</v>
      </c>
      <c r="T1066">
        <f ca="1">OFFSET('Calculations 2'!$C$45,W1066,X1066)*OFFSET($M$6,W1066,0)</f>
        <v>0</v>
      </c>
      <c r="V1066">
        <f t="shared" si="50"/>
        <v>1060</v>
      </c>
      <c r="W1066">
        <f t="shared" si="51"/>
        <v>4</v>
      </c>
      <c r="X1066">
        <f t="shared" si="52"/>
        <v>32</v>
      </c>
      <c r="AC1066" t="s">
        <v>228</v>
      </c>
      <c r="AD1066" t="s">
        <v>489</v>
      </c>
      <c r="AE1066" t="s">
        <v>222</v>
      </c>
      <c r="AF1066">
        <f ca="1">OFFSET('Calculations 2'!$CE$45,W1066,0)*OFFSET($AA$6,X1066,0)*OFFSET($M$6,W1066,)</f>
        <v>3.4222353655678313E-6</v>
      </c>
      <c r="AY1066" t="s">
        <v>228</v>
      </c>
      <c r="AZ1066" t="s">
        <v>489</v>
      </c>
      <c r="BA1066" t="s">
        <v>222</v>
      </c>
      <c r="BB1066">
        <v>0</v>
      </c>
      <c r="BE1066" t="s">
        <v>228</v>
      </c>
      <c r="BF1066" t="s">
        <v>489</v>
      </c>
      <c r="BG1066" t="s">
        <v>222</v>
      </c>
      <c r="BH1066">
        <v>0</v>
      </c>
      <c r="CT1066" t="s">
        <v>228</v>
      </c>
      <c r="CU1066" t="s">
        <v>222</v>
      </c>
      <c r="CV1066">
        <f ca="1">OFFSET('Calculations 2'!$AJ$12,W1066,X1066)</f>
        <v>0</v>
      </c>
    </row>
    <row r="1067" spans="17:100">
      <c r="Q1067" t="s">
        <v>246</v>
      </c>
      <c r="R1067" t="s">
        <v>489</v>
      </c>
      <c r="S1067" t="s">
        <v>222</v>
      </c>
      <c r="T1067">
        <f ca="1">OFFSET('Calculations 2'!$C$45,W1067,X1067)*OFFSET($M$6,W1067,0)</f>
        <v>0</v>
      </c>
      <c r="V1067">
        <f t="shared" si="50"/>
        <v>1061</v>
      </c>
      <c r="W1067">
        <f t="shared" si="51"/>
        <v>5</v>
      </c>
      <c r="X1067">
        <f t="shared" si="52"/>
        <v>32</v>
      </c>
      <c r="AC1067" t="s">
        <v>246</v>
      </c>
      <c r="AD1067" t="s">
        <v>489</v>
      </c>
      <c r="AE1067" t="s">
        <v>222</v>
      </c>
      <c r="AF1067">
        <f ca="1">OFFSET('Calculations 2'!$CE$45,W1067,0)*OFFSET($AA$6,X1067,0)*OFFSET($M$6,W1067,)</f>
        <v>2.1067236925934441E-5</v>
      </c>
      <c r="AY1067" t="s">
        <v>246</v>
      </c>
      <c r="AZ1067" t="s">
        <v>489</v>
      </c>
      <c r="BA1067" t="s">
        <v>222</v>
      </c>
      <c r="BB1067">
        <v>0</v>
      </c>
      <c r="BE1067" t="s">
        <v>246</v>
      </c>
      <c r="BF1067" t="s">
        <v>489</v>
      </c>
      <c r="BG1067" t="s">
        <v>222</v>
      </c>
      <c r="BH1067">
        <v>0</v>
      </c>
      <c r="CT1067" t="s">
        <v>246</v>
      </c>
      <c r="CU1067" t="s">
        <v>222</v>
      </c>
      <c r="CV1067">
        <f ca="1">OFFSET('Calculations 2'!$AJ$12,W1067,X1067)</f>
        <v>0</v>
      </c>
    </row>
    <row r="1068" spans="17:100">
      <c r="Q1068" t="s">
        <v>239</v>
      </c>
      <c r="R1068" t="s">
        <v>489</v>
      </c>
      <c r="S1068" t="s">
        <v>222</v>
      </c>
      <c r="T1068">
        <f ca="1">OFFSET('Calculations 2'!$C$45,W1068,X1068)*OFFSET($M$6,W1068,0)</f>
        <v>0</v>
      </c>
      <c r="V1068">
        <f t="shared" si="50"/>
        <v>1062</v>
      </c>
      <c r="W1068">
        <f t="shared" si="51"/>
        <v>6</v>
      </c>
      <c r="X1068">
        <f t="shared" si="52"/>
        <v>32</v>
      </c>
      <c r="AC1068" t="s">
        <v>239</v>
      </c>
      <c r="AD1068" t="s">
        <v>489</v>
      </c>
      <c r="AE1068" t="s">
        <v>222</v>
      </c>
      <c r="AF1068">
        <f ca="1">OFFSET('Calculations 2'!$CE$45,W1068,0)*OFFSET($AA$6,X1068,0)*OFFSET($M$6,W1068,)</f>
        <v>4.2167383308640321E-4</v>
      </c>
      <c r="AY1068" t="s">
        <v>239</v>
      </c>
      <c r="AZ1068" t="s">
        <v>489</v>
      </c>
      <c r="BA1068" t="s">
        <v>222</v>
      </c>
      <c r="BB1068">
        <v>0</v>
      </c>
      <c r="BE1068" t="s">
        <v>239</v>
      </c>
      <c r="BF1068" t="s">
        <v>489</v>
      </c>
      <c r="BG1068" t="s">
        <v>222</v>
      </c>
      <c r="BH1068">
        <v>0</v>
      </c>
      <c r="CT1068" t="s">
        <v>239</v>
      </c>
      <c r="CU1068" t="s">
        <v>222</v>
      </c>
      <c r="CV1068">
        <f ca="1">OFFSET('Calculations 2'!$AJ$12,W1068,X1068)</f>
        <v>0</v>
      </c>
    </row>
    <row r="1069" spans="17:100">
      <c r="Q1069" t="s">
        <v>466</v>
      </c>
      <c r="R1069" t="s">
        <v>489</v>
      </c>
      <c r="S1069" t="s">
        <v>222</v>
      </c>
      <c r="T1069">
        <f ca="1">OFFSET('Calculations 2'!$C$45,W1069,X1069)*OFFSET($M$6,W1069,0)</f>
        <v>0</v>
      </c>
      <c r="V1069">
        <f t="shared" si="50"/>
        <v>1063</v>
      </c>
      <c r="W1069">
        <f t="shared" si="51"/>
        <v>7</v>
      </c>
      <c r="X1069">
        <f t="shared" si="52"/>
        <v>32</v>
      </c>
      <c r="AC1069" t="s">
        <v>466</v>
      </c>
      <c r="AD1069" t="s">
        <v>489</v>
      </c>
      <c r="AE1069" t="s">
        <v>222</v>
      </c>
      <c r="AF1069">
        <f ca="1">OFFSET('Calculations 2'!$CE$45,W1069,0)*OFFSET($AA$6,X1069,0)*OFFSET($M$6,W1069,)</f>
        <v>6.4254931758304069E-5</v>
      </c>
      <c r="AY1069" t="s">
        <v>466</v>
      </c>
      <c r="AZ1069" t="s">
        <v>489</v>
      </c>
      <c r="BA1069" t="s">
        <v>222</v>
      </c>
      <c r="BB1069">
        <v>0</v>
      </c>
      <c r="BE1069" t="s">
        <v>466</v>
      </c>
      <c r="BF1069" t="s">
        <v>489</v>
      </c>
      <c r="BG1069" t="s">
        <v>222</v>
      </c>
      <c r="BH1069">
        <v>0</v>
      </c>
      <c r="CT1069" t="s">
        <v>466</v>
      </c>
      <c r="CU1069" t="s">
        <v>222</v>
      </c>
      <c r="CV1069">
        <f ca="1">OFFSET('Calculations 2'!$AJ$12,W1069,X1069)</f>
        <v>0</v>
      </c>
    </row>
    <row r="1070" spans="17:100">
      <c r="Q1070" t="s">
        <v>219</v>
      </c>
      <c r="R1070" t="s">
        <v>489</v>
      </c>
      <c r="S1070" t="s">
        <v>222</v>
      </c>
      <c r="T1070">
        <f ca="1">OFFSET('Calculations 2'!$C$45,W1070,X1070)*OFFSET($M$6,W1070,0)</f>
        <v>0</v>
      </c>
      <c r="V1070">
        <f t="shared" si="50"/>
        <v>1064</v>
      </c>
      <c r="W1070">
        <f t="shared" si="51"/>
        <v>8</v>
      </c>
      <c r="X1070">
        <f t="shared" si="52"/>
        <v>32</v>
      </c>
      <c r="AC1070" t="s">
        <v>219</v>
      </c>
      <c r="AD1070" t="s">
        <v>489</v>
      </c>
      <c r="AE1070" t="s">
        <v>222</v>
      </c>
      <c r="AF1070">
        <f ca="1">OFFSET('Calculations 2'!$CE$45,W1070,0)*OFFSET($AA$6,X1070,0)*OFFSET($M$6,W1070,)</f>
        <v>4.0012859022238272E-4</v>
      </c>
      <c r="AY1070" t="s">
        <v>219</v>
      </c>
      <c r="AZ1070" t="s">
        <v>489</v>
      </c>
      <c r="BA1070" t="s">
        <v>222</v>
      </c>
      <c r="BB1070">
        <v>0</v>
      </c>
      <c r="BE1070" t="s">
        <v>219</v>
      </c>
      <c r="BF1070" t="s">
        <v>489</v>
      </c>
      <c r="BG1070" t="s">
        <v>222</v>
      </c>
      <c r="BH1070">
        <v>0</v>
      </c>
      <c r="CT1070" t="s">
        <v>219</v>
      </c>
      <c r="CU1070" t="s">
        <v>222</v>
      </c>
      <c r="CV1070">
        <f ca="1">OFFSET('Calculations 2'!$AJ$12,W1070,X1070)</f>
        <v>0</v>
      </c>
    </row>
    <row r="1071" spans="17:100">
      <c r="Q1071" t="s">
        <v>242</v>
      </c>
      <c r="R1071" t="s">
        <v>489</v>
      </c>
      <c r="S1071" t="s">
        <v>222</v>
      </c>
      <c r="T1071">
        <f ca="1">OFFSET('Calculations 2'!$C$45,W1071,X1071)*OFFSET($M$6,W1071,0)</f>
        <v>0</v>
      </c>
      <c r="V1071">
        <f t="shared" si="50"/>
        <v>1065</v>
      </c>
      <c r="W1071">
        <f t="shared" si="51"/>
        <v>9</v>
      </c>
      <c r="X1071">
        <f t="shared" si="52"/>
        <v>32</v>
      </c>
      <c r="AC1071" t="s">
        <v>242</v>
      </c>
      <c r="AD1071" t="s">
        <v>489</v>
      </c>
      <c r="AE1071" t="s">
        <v>222</v>
      </c>
      <c r="AF1071">
        <f ca="1">OFFSET('Calculations 2'!$CE$45,W1071,0)*OFFSET($AA$6,X1071,0)*OFFSET($M$6,W1071,)</f>
        <v>6.2636272384231236E-4</v>
      </c>
      <c r="AY1071" t="s">
        <v>242</v>
      </c>
      <c r="AZ1071" t="s">
        <v>489</v>
      </c>
      <c r="BA1071" t="s">
        <v>222</v>
      </c>
      <c r="BB1071">
        <v>0</v>
      </c>
      <c r="BE1071" t="s">
        <v>242</v>
      </c>
      <c r="BF1071" t="s">
        <v>489</v>
      </c>
      <c r="BG1071" t="s">
        <v>222</v>
      </c>
      <c r="BH1071">
        <v>0</v>
      </c>
      <c r="CT1071" t="s">
        <v>242</v>
      </c>
      <c r="CU1071" t="s">
        <v>222</v>
      </c>
      <c r="CV1071">
        <f ca="1">OFFSET('Calculations 2'!$AJ$12,W1071,X1071)</f>
        <v>0</v>
      </c>
    </row>
    <row r="1072" spans="17:100">
      <c r="Q1072" t="s">
        <v>467</v>
      </c>
      <c r="R1072" t="s">
        <v>489</v>
      </c>
      <c r="S1072" t="s">
        <v>222</v>
      </c>
      <c r="T1072">
        <f ca="1">OFFSET('Calculations 2'!$C$45,W1072,X1072)*OFFSET($M$6,W1072,0)</f>
        <v>0</v>
      </c>
      <c r="V1072">
        <f t="shared" si="50"/>
        <v>1066</v>
      </c>
      <c r="W1072">
        <f t="shared" si="51"/>
        <v>10</v>
      </c>
      <c r="X1072">
        <f t="shared" si="52"/>
        <v>32</v>
      </c>
      <c r="AC1072" t="s">
        <v>467</v>
      </c>
      <c r="AD1072" t="s">
        <v>489</v>
      </c>
      <c r="AE1072" t="s">
        <v>222</v>
      </c>
      <c r="AF1072">
        <f ca="1">OFFSET('Calculations 2'!$CE$45,W1072,0)*OFFSET($AA$6,X1072,0)*OFFSET($M$6,W1072,)</f>
        <v>5.8024720837516477E-4</v>
      </c>
      <c r="AY1072" t="s">
        <v>467</v>
      </c>
      <c r="AZ1072" t="s">
        <v>489</v>
      </c>
      <c r="BA1072" t="s">
        <v>222</v>
      </c>
      <c r="BB1072">
        <v>0</v>
      </c>
      <c r="BE1072" t="s">
        <v>467</v>
      </c>
      <c r="BF1072" t="s">
        <v>489</v>
      </c>
      <c r="BG1072" t="s">
        <v>222</v>
      </c>
      <c r="BH1072">
        <v>0</v>
      </c>
      <c r="CT1072" t="s">
        <v>467</v>
      </c>
      <c r="CU1072" t="s">
        <v>222</v>
      </c>
      <c r="CV1072">
        <f ca="1">OFFSET('Calculations 2'!$AJ$12,W1072,X1072)</f>
        <v>0</v>
      </c>
    </row>
    <row r="1073" spans="17:100">
      <c r="Q1073" t="s">
        <v>231</v>
      </c>
      <c r="R1073" t="s">
        <v>489</v>
      </c>
      <c r="S1073" t="s">
        <v>222</v>
      </c>
      <c r="T1073">
        <f ca="1">OFFSET('Calculations 2'!$C$45,W1073,X1073)*OFFSET($M$6,W1073,0)</f>
        <v>0</v>
      </c>
      <c r="V1073">
        <f t="shared" si="50"/>
        <v>1067</v>
      </c>
      <c r="W1073">
        <f t="shared" si="51"/>
        <v>11</v>
      </c>
      <c r="X1073">
        <f t="shared" si="52"/>
        <v>32</v>
      </c>
      <c r="AC1073" t="s">
        <v>231</v>
      </c>
      <c r="AD1073" t="s">
        <v>489</v>
      </c>
      <c r="AE1073" t="s">
        <v>222</v>
      </c>
      <c r="AF1073">
        <f ca="1">OFFSET('Calculations 2'!$CE$45,W1073,0)*OFFSET($AA$6,X1073,0)*OFFSET($M$6,W1073,)</f>
        <v>1.6971227637334297E-3</v>
      </c>
      <c r="AY1073" t="s">
        <v>231</v>
      </c>
      <c r="AZ1073" t="s">
        <v>489</v>
      </c>
      <c r="BA1073" t="s">
        <v>222</v>
      </c>
      <c r="BB1073">
        <v>0</v>
      </c>
      <c r="BE1073" t="s">
        <v>231</v>
      </c>
      <c r="BF1073" t="s">
        <v>489</v>
      </c>
      <c r="BG1073" t="s">
        <v>222</v>
      </c>
      <c r="BH1073">
        <v>0</v>
      </c>
      <c r="CT1073" t="s">
        <v>231</v>
      </c>
      <c r="CU1073" t="s">
        <v>222</v>
      </c>
      <c r="CV1073">
        <f ca="1">OFFSET('Calculations 2'!$AJ$12,W1073,X1073)</f>
        <v>0</v>
      </c>
    </row>
    <row r="1074" spans="17:100">
      <c r="Q1074" t="s">
        <v>468</v>
      </c>
      <c r="R1074" t="s">
        <v>489</v>
      </c>
      <c r="S1074" t="s">
        <v>222</v>
      </c>
      <c r="T1074">
        <f ca="1">OFFSET('Calculations 2'!$C$45,W1074,X1074)*OFFSET($M$6,W1074,0)</f>
        <v>0</v>
      </c>
      <c r="V1074">
        <f t="shared" si="50"/>
        <v>1068</v>
      </c>
      <c r="W1074">
        <f t="shared" si="51"/>
        <v>12</v>
      </c>
      <c r="X1074">
        <f t="shared" si="52"/>
        <v>32</v>
      </c>
      <c r="AC1074" t="s">
        <v>468</v>
      </c>
      <c r="AD1074" t="s">
        <v>489</v>
      </c>
      <c r="AE1074" t="s">
        <v>222</v>
      </c>
      <c r="AF1074">
        <f ca="1">OFFSET('Calculations 2'!$CE$45,W1074,0)*OFFSET($AA$6,X1074,0)*OFFSET($M$6,W1074,)</f>
        <v>2.4564514301761101E-3</v>
      </c>
      <c r="AY1074" t="s">
        <v>468</v>
      </c>
      <c r="AZ1074" t="s">
        <v>489</v>
      </c>
      <c r="BA1074" t="s">
        <v>222</v>
      </c>
      <c r="BB1074">
        <v>0</v>
      </c>
      <c r="BE1074" t="s">
        <v>468</v>
      </c>
      <c r="BF1074" t="s">
        <v>489</v>
      </c>
      <c r="BG1074" t="s">
        <v>222</v>
      </c>
      <c r="BH1074">
        <v>0</v>
      </c>
      <c r="CT1074" t="s">
        <v>468</v>
      </c>
      <c r="CU1074" t="s">
        <v>222</v>
      </c>
      <c r="CV1074">
        <f ca="1">OFFSET('Calculations 2'!$AJ$12,W1074,X1074)</f>
        <v>0</v>
      </c>
    </row>
    <row r="1075" spans="17:100">
      <c r="Q1075" t="s">
        <v>469</v>
      </c>
      <c r="R1075" t="s">
        <v>489</v>
      </c>
      <c r="S1075" t="s">
        <v>222</v>
      </c>
      <c r="T1075">
        <f ca="1">OFFSET('Calculations 2'!$C$45,W1075,X1075)*OFFSET($M$6,W1075,0)</f>
        <v>0</v>
      </c>
      <c r="V1075">
        <f t="shared" si="50"/>
        <v>1069</v>
      </c>
      <c r="W1075">
        <f t="shared" si="51"/>
        <v>13</v>
      </c>
      <c r="X1075">
        <f t="shared" si="52"/>
        <v>32</v>
      </c>
      <c r="AC1075" t="s">
        <v>469</v>
      </c>
      <c r="AD1075" t="s">
        <v>489</v>
      </c>
      <c r="AE1075" t="s">
        <v>222</v>
      </c>
      <c r="AF1075">
        <f ca="1">OFFSET('Calculations 2'!$CE$45,W1075,0)*OFFSET($AA$6,X1075,0)*OFFSET($M$6,W1075,)</f>
        <v>5.1099519531572408E-4</v>
      </c>
      <c r="AY1075" t="s">
        <v>469</v>
      </c>
      <c r="AZ1075" t="s">
        <v>489</v>
      </c>
      <c r="BA1075" t="s">
        <v>222</v>
      </c>
      <c r="BB1075">
        <v>0</v>
      </c>
      <c r="BE1075" t="s">
        <v>469</v>
      </c>
      <c r="BF1075" t="s">
        <v>489</v>
      </c>
      <c r="BG1075" t="s">
        <v>222</v>
      </c>
      <c r="BH1075">
        <v>0</v>
      </c>
      <c r="CT1075" t="s">
        <v>469</v>
      </c>
      <c r="CU1075" t="s">
        <v>222</v>
      </c>
      <c r="CV1075">
        <f ca="1">OFFSET('Calculations 2'!$AJ$12,W1075,X1075)</f>
        <v>0</v>
      </c>
    </row>
    <row r="1076" spans="17:100">
      <c r="Q1076" t="s">
        <v>245</v>
      </c>
      <c r="R1076" t="s">
        <v>489</v>
      </c>
      <c r="S1076" t="s">
        <v>222</v>
      </c>
      <c r="T1076">
        <f ca="1">OFFSET('Calculations 2'!$C$45,W1076,X1076)*OFFSET($M$6,W1076,0)</f>
        <v>0</v>
      </c>
      <c r="V1076">
        <f t="shared" si="50"/>
        <v>1070</v>
      </c>
      <c r="W1076">
        <f t="shared" si="51"/>
        <v>14</v>
      </c>
      <c r="X1076">
        <f t="shared" si="52"/>
        <v>32</v>
      </c>
      <c r="AC1076" t="s">
        <v>245</v>
      </c>
      <c r="AD1076" t="s">
        <v>489</v>
      </c>
      <c r="AE1076" t="s">
        <v>222</v>
      </c>
      <c r="AF1076">
        <f ca="1">OFFSET('Calculations 2'!$CE$45,W1076,0)*OFFSET($AA$6,X1076,0)*OFFSET($M$6,W1076,)</f>
        <v>7.3813662880033235E-4</v>
      </c>
      <c r="AY1076" t="s">
        <v>245</v>
      </c>
      <c r="AZ1076" t="s">
        <v>489</v>
      </c>
      <c r="BA1076" t="s">
        <v>222</v>
      </c>
      <c r="BB1076">
        <v>0</v>
      </c>
      <c r="BE1076" t="s">
        <v>245</v>
      </c>
      <c r="BF1076" t="s">
        <v>489</v>
      </c>
      <c r="BG1076" t="s">
        <v>222</v>
      </c>
      <c r="BH1076">
        <v>0</v>
      </c>
      <c r="CT1076" t="s">
        <v>245</v>
      </c>
      <c r="CU1076" t="s">
        <v>222</v>
      </c>
      <c r="CV1076">
        <f ca="1">OFFSET('Calculations 2'!$AJ$12,W1076,X1076)</f>
        <v>0</v>
      </c>
    </row>
    <row r="1077" spans="17:100">
      <c r="Q1077" t="s">
        <v>470</v>
      </c>
      <c r="R1077" t="s">
        <v>489</v>
      </c>
      <c r="S1077" t="s">
        <v>222</v>
      </c>
      <c r="T1077">
        <f ca="1">OFFSET('Calculations 2'!$C$45,W1077,X1077)*OFFSET($M$6,W1077,0)</f>
        <v>0</v>
      </c>
      <c r="V1077">
        <f t="shared" si="50"/>
        <v>1071</v>
      </c>
      <c r="W1077">
        <f t="shared" si="51"/>
        <v>15</v>
      </c>
      <c r="X1077">
        <f t="shared" si="52"/>
        <v>32</v>
      </c>
      <c r="AC1077" t="s">
        <v>470</v>
      </c>
      <c r="AD1077" t="s">
        <v>489</v>
      </c>
      <c r="AE1077" t="s">
        <v>222</v>
      </c>
      <c r="AF1077">
        <f ca="1">OFFSET('Calculations 2'!$CE$45,W1077,0)*OFFSET($AA$6,X1077,0)*OFFSET($M$6,W1077,)</f>
        <v>2.0098981921462073E-3</v>
      </c>
      <c r="AY1077" t="s">
        <v>470</v>
      </c>
      <c r="AZ1077" t="s">
        <v>489</v>
      </c>
      <c r="BA1077" t="s">
        <v>222</v>
      </c>
      <c r="BB1077">
        <v>0</v>
      </c>
      <c r="BE1077" t="s">
        <v>470</v>
      </c>
      <c r="BF1077" t="s">
        <v>489</v>
      </c>
      <c r="BG1077" t="s">
        <v>222</v>
      </c>
      <c r="BH1077">
        <v>0</v>
      </c>
      <c r="CT1077" t="s">
        <v>470</v>
      </c>
      <c r="CU1077" t="s">
        <v>222</v>
      </c>
      <c r="CV1077">
        <f ca="1">OFFSET('Calculations 2'!$AJ$12,W1077,X1077)</f>
        <v>0</v>
      </c>
    </row>
    <row r="1078" spans="17:100">
      <c r="Q1078" t="s">
        <v>471</v>
      </c>
      <c r="R1078" t="s">
        <v>489</v>
      </c>
      <c r="S1078" t="s">
        <v>222</v>
      </c>
      <c r="T1078">
        <f ca="1">OFFSET('Calculations 2'!$C$45,W1078,X1078)*OFFSET($M$6,W1078,0)</f>
        <v>0</v>
      </c>
      <c r="V1078">
        <f t="shared" si="50"/>
        <v>1072</v>
      </c>
      <c r="W1078">
        <f t="shared" si="51"/>
        <v>16</v>
      </c>
      <c r="X1078">
        <f t="shared" si="52"/>
        <v>32</v>
      </c>
      <c r="AC1078" t="s">
        <v>471</v>
      </c>
      <c r="AD1078" t="s">
        <v>489</v>
      </c>
      <c r="AE1078" t="s">
        <v>222</v>
      </c>
      <c r="AF1078">
        <f ca="1">OFFSET('Calculations 2'!$CE$45,W1078,0)*OFFSET($AA$6,X1078,0)*OFFSET($M$6,W1078,)</f>
        <v>0</v>
      </c>
      <c r="AY1078" t="s">
        <v>471</v>
      </c>
      <c r="AZ1078" t="s">
        <v>489</v>
      </c>
      <c r="BA1078" t="s">
        <v>222</v>
      </c>
      <c r="BB1078">
        <v>0</v>
      </c>
      <c r="BE1078" t="s">
        <v>471</v>
      </c>
      <c r="BF1078" t="s">
        <v>489</v>
      </c>
      <c r="BG1078" t="s">
        <v>222</v>
      </c>
      <c r="BH1078">
        <v>0</v>
      </c>
      <c r="CT1078" t="s">
        <v>471</v>
      </c>
      <c r="CU1078" t="s">
        <v>222</v>
      </c>
      <c r="CV1078">
        <f ca="1">OFFSET('Calculations 2'!$AJ$12,W1078,X1078)</f>
        <v>0</v>
      </c>
    </row>
    <row r="1079" spans="17:100">
      <c r="Q1079" t="s">
        <v>221</v>
      </c>
      <c r="R1079" t="s">
        <v>489</v>
      </c>
      <c r="S1079" t="s">
        <v>222</v>
      </c>
      <c r="T1079">
        <f ca="1">OFFSET('Calculations 2'!$C$45,W1079,X1079)*OFFSET($M$6,W1079,0)</f>
        <v>0</v>
      </c>
      <c r="V1079">
        <f t="shared" si="50"/>
        <v>1073</v>
      </c>
      <c r="W1079">
        <f t="shared" si="51"/>
        <v>17</v>
      </c>
      <c r="X1079">
        <f t="shared" si="52"/>
        <v>32</v>
      </c>
      <c r="AC1079" t="s">
        <v>221</v>
      </c>
      <c r="AD1079" t="s">
        <v>489</v>
      </c>
      <c r="AE1079" t="s">
        <v>222</v>
      </c>
      <c r="AF1079">
        <f ca="1">OFFSET('Calculations 2'!$CE$45,W1079,0)*OFFSET($AA$6,X1079,0)*OFFSET($M$6,W1079,)</f>
        <v>6.6765683438431297E-2</v>
      </c>
      <c r="AY1079" t="s">
        <v>221</v>
      </c>
      <c r="AZ1079" t="s">
        <v>489</v>
      </c>
      <c r="BA1079" t="s">
        <v>222</v>
      </c>
      <c r="BB1079">
        <v>0</v>
      </c>
      <c r="BE1079" t="s">
        <v>221</v>
      </c>
      <c r="BF1079" t="s">
        <v>489</v>
      </c>
      <c r="BG1079" t="s">
        <v>222</v>
      </c>
      <c r="BH1079">
        <v>0</v>
      </c>
      <c r="CT1079" t="s">
        <v>221</v>
      </c>
      <c r="CU1079" t="s">
        <v>222</v>
      </c>
      <c r="CV1079">
        <f ca="1">OFFSET('Calculations 2'!$AJ$12,W1079,X1079)</f>
        <v>0</v>
      </c>
    </row>
    <row r="1080" spans="17:100">
      <c r="Q1080" t="s">
        <v>244</v>
      </c>
      <c r="R1080" t="s">
        <v>489</v>
      </c>
      <c r="S1080" t="s">
        <v>222</v>
      </c>
      <c r="T1080">
        <f ca="1">OFFSET('Calculations 2'!$C$45,W1080,X1080)*OFFSET($M$6,W1080,0)</f>
        <v>0</v>
      </c>
      <c r="V1080">
        <f t="shared" si="50"/>
        <v>1074</v>
      </c>
      <c r="W1080">
        <f t="shared" si="51"/>
        <v>18</v>
      </c>
      <c r="X1080">
        <f t="shared" si="52"/>
        <v>32</v>
      </c>
      <c r="AC1080" t="s">
        <v>244</v>
      </c>
      <c r="AD1080" t="s">
        <v>489</v>
      </c>
      <c r="AE1080" t="s">
        <v>222</v>
      </c>
      <c r="AF1080">
        <f ca="1">OFFSET('Calculations 2'!$CE$45,W1080,0)*OFFSET($AA$6,X1080,0)*OFFSET($M$6,W1080,)</f>
        <v>1.0675387612554597E-2</v>
      </c>
      <c r="AY1080" t="s">
        <v>244</v>
      </c>
      <c r="AZ1080" t="s">
        <v>489</v>
      </c>
      <c r="BA1080" t="s">
        <v>222</v>
      </c>
      <c r="BB1080">
        <v>0</v>
      </c>
      <c r="BE1080" t="s">
        <v>244</v>
      </c>
      <c r="BF1080" t="s">
        <v>489</v>
      </c>
      <c r="BG1080" t="s">
        <v>222</v>
      </c>
      <c r="BH1080">
        <v>0</v>
      </c>
      <c r="CT1080" t="s">
        <v>244</v>
      </c>
      <c r="CU1080" t="s">
        <v>222</v>
      </c>
      <c r="CV1080">
        <f ca="1">OFFSET('Calculations 2'!$AJ$12,W1080,X1080)</f>
        <v>0</v>
      </c>
    </row>
    <row r="1081" spans="17:100">
      <c r="Q1081" t="s">
        <v>472</v>
      </c>
      <c r="R1081" t="s">
        <v>489</v>
      </c>
      <c r="S1081" t="s">
        <v>222</v>
      </c>
      <c r="T1081">
        <f ca="1">OFFSET('Calculations 2'!$C$45,W1081,X1081)*OFFSET($M$6,W1081,0)</f>
        <v>0</v>
      </c>
      <c r="V1081">
        <f t="shared" si="50"/>
        <v>1075</v>
      </c>
      <c r="W1081">
        <f t="shared" si="51"/>
        <v>19</v>
      </c>
      <c r="X1081">
        <f t="shared" si="52"/>
        <v>32</v>
      </c>
      <c r="AC1081" t="s">
        <v>472</v>
      </c>
      <c r="AD1081" t="s">
        <v>489</v>
      </c>
      <c r="AE1081" t="s">
        <v>222</v>
      </c>
      <c r="AF1081">
        <f ca="1">OFFSET('Calculations 2'!$CE$45,W1081,0)*OFFSET($AA$6,X1081,0)*OFFSET($M$6,W1081,)</f>
        <v>0</v>
      </c>
      <c r="AY1081" t="s">
        <v>472</v>
      </c>
      <c r="AZ1081" t="s">
        <v>489</v>
      </c>
      <c r="BA1081" t="s">
        <v>222</v>
      </c>
      <c r="BB1081">
        <v>0</v>
      </c>
      <c r="BE1081" t="s">
        <v>472</v>
      </c>
      <c r="BF1081" t="s">
        <v>489</v>
      </c>
      <c r="BG1081" t="s">
        <v>222</v>
      </c>
      <c r="BH1081">
        <v>0</v>
      </c>
      <c r="CT1081" t="s">
        <v>472</v>
      </c>
      <c r="CU1081" t="s">
        <v>222</v>
      </c>
      <c r="CV1081">
        <f ca="1">OFFSET('Calculations 2'!$AJ$12,W1081,X1081)</f>
        <v>0</v>
      </c>
    </row>
    <row r="1082" spans="17:100">
      <c r="Q1082" t="s">
        <v>238</v>
      </c>
      <c r="R1082" t="s">
        <v>489</v>
      </c>
      <c r="S1082" t="s">
        <v>222</v>
      </c>
      <c r="T1082">
        <f ca="1">OFFSET('Calculations 2'!$C$45,W1082,X1082)*OFFSET($M$6,W1082,0)</f>
        <v>0</v>
      </c>
      <c r="V1082">
        <f t="shared" si="50"/>
        <v>1076</v>
      </c>
      <c r="W1082">
        <f t="shared" si="51"/>
        <v>20</v>
      </c>
      <c r="X1082">
        <f t="shared" si="52"/>
        <v>32</v>
      </c>
      <c r="AC1082" t="s">
        <v>238</v>
      </c>
      <c r="AD1082" t="s">
        <v>489</v>
      </c>
      <c r="AE1082" t="s">
        <v>222</v>
      </c>
      <c r="AF1082">
        <f ca="1">OFFSET('Calculations 2'!$CE$45,W1082,0)*OFFSET($AA$6,X1082,0)*OFFSET($M$6,W1082,)</f>
        <v>0</v>
      </c>
      <c r="AY1082" t="s">
        <v>238</v>
      </c>
      <c r="AZ1082" t="s">
        <v>489</v>
      </c>
      <c r="BA1082" t="s">
        <v>222</v>
      </c>
      <c r="BB1082">
        <v>0</v>
      </c>
      <c r="BE1082" t="s">
        <v>238</v>
      </c>
      <c r="BF1082" t="s">
        <v>489</v>
      </c>
      <c r="BG1082" t="s">
        <v>222</v>
      </c>
      <c r="BH1082">
        <v>0</v>
      </c>
      <c r="CT1082" t="s">
        <v>238</v>
      </c>
      <c r="CU1082" t="s">
        <v>222</v>
      </c>
      <c r="CV1082">
        <f ca="1">OFFSET('Calculations 2'!$AJ$12,W1082,X1082)</f>
        <v>0</v>
      </c>
    </row>
    <row r="1083" spans="17:100">
      <c r="Q1083" t="s">
        <v>247</v>
      </c>
      <c r="R1083" t="s">
        <v>489</v>
      </c>
      <c r="S1083" t="s">
        <v>222</v>
      </c>
      <c r="T1083">
        <f ca="1">OFFSET('Calculations 2'!$C$45,W1083,X1083)*OFFSET($M$6,W1083,0)</f>
        <v>0</v>
      </c>
      <c r="V1083">
        <f t="shared" si="50"/>
        <v>1077</v>
      </c>
      <c r="W1083">
        <f t="shared" si="51"/>
        <v>21</v>
      </c>
      <c r="X1083">
        <f t="shared" si="52"/>
        <v>32</v>
      </c>
      <c r="AC1083" t="s">
        <v>247</v>
      </c>
      <c r="AD1083" t="s">
        <v>489</v>
      </c>
      <c r="AE1083" t="s">
        <v>222</v>
      </c>
      <c r="AF1083">
        <f ca="1">OFFSET('Calculations 2'!$CE$45,W1083,0)*OFFSET($AA$6,X1083,0)*OFFSET($M$6,W1083,)</f>
        <v>0</v>
      </c>
      <c r="AY1083" t="s">
        <v>247</v>
      </c>
      <c r="AZ1083" t="s">
        <v>489</v>
      </c>
      <c r="BA1083" t="s">
        <v>222</v>
      </c>
      <c r="BB1083">
        <v>0</v>
      </c>
      <c r="BE1083" t="s">
        <v>247</v>
      </c>
      <c r="BF1083" t="s">
        <v>489</v>
      </c>
      <c r="BG1083" t="s">
        <v>222</v>
      </c>
      <c r="BH1083">
        <v>0</v>
      </c>
      <c r="CT1083" t="s">
        <v>247</v>
      </c>
      <c r="CU1083" t="s">
        <v>222</v>
      </c>
      <c r="CV1083">
        <f ca="1">OFFSET('Calculations 2'!$AJ$12,W1083,X1083)</f>
        <v>0</v>
      </c>
    </row>
    <row r="1084" spans="17:100">
      <c r="Q1084" t="s">
        <v>218</v>
      </c>
      <c r="R1084" t="s">
        <v>489</v>
      </c>
      <c r="S1084" t="s">
        <v>222</v>
      </c>
      <c r="T1084">
        <f ca="1">OFFSET('Calculations 2'!$C$45,W1084,X1084)*OFFSET($M$6,W1084,0)</f>
        <v>0</v>
      </c>
      <c r="V1084">
        <f t="shared" si="50"/>
        <v>1078</v>
      </c>
      <c r="W1084">
        <f t="shared" si="51"/>
        <v>22</v>
      </c>
      <c r="X1084">
        <f t="shared" si="52"/>
        <v>32</v>
      </c>
      <c r="AC1084" t="s">
        <v>218</v>
      </c>
      <c r="AD1084" t="s">
        <v>489</v>
      </c>
      <c r="AE1084" t="s">
        <v>222</v>
      </c>
      <c r="AF1084">
        <f ca="1">OFFSET('Calculations 2'!$CE$45,W1084,0)*OFFSET($AA$6,X1084,0)*OFFSET($M$6,W1084,)</f>
        <v>0</v>
      </c>
      <c r="AY1084" t="s">
        <v>218</v>
      </c>
      <c r="AZ1084" t="s">
        <v>489</v>
      </c>
      <c r="BA1084" t="s">
        <v>222</v>
      </c>
      <c r="BB1084">
        <v>0</v>
      </c>
      <c r="BE1084" t="s">
        <v>218</v>
      </c>
      <c r="BF1084" t="s">
        <v>489</v>
      </c>
      <c r="BG1084" t="s">
        <v>222</v>
      </c>
      <c r="BH1084">
        <v>0</v>
      </c>
      <c r="CT1084" t="s">
        <v>218</v>
      </c>
      <c r="CU1084" t="s">
        <v>222</v>
      </c>
      <c r="CV1084">
        <f ca="1">OFFSET('Calculations 2'!$AJ$12,W1084,X1084)</f>
        <v>0</v>
      </c>
    </row>
    <row r="1085" spans="17:100">
      <c r="Q1085" t="s">
        <v>257</v>
      </c>
      <c r="R1085" t="s">
        <v>489</v>
      </c>
      <c r="S1085" t="s">
        <v>222</v>
      </c>
      <c r="T1085">
        <f ca="1">OFFSET('Calculations 2'!$C$45,W1085,X1085)*OFFSET($M$6,W1085,0)</f>
        <v>0</v>
      </c>
      <c r="V1085">
        <f t="shared" si="50"/>
        <v>1079</v>
      </c>
      <c r="W1085">
        <f t="shared" si="51"/>
        <v>23</v>
      </c>
      <c r="X1085">
        <f t="shared" si="52"/>
        <v>32</v>
      </c>
      <c r="AC1085" t="s">
        <v>257</v>
      </c>
      <c r="AD1085" t="s">
        <v>489</v>
      </c>
      <c r="AE1085" t="s">
        <v>222</v>
      </c>
      <c r="AF1085">
        <f ca="1">OFFSET('Calculations 2'!$CE$45,W1085,0)*OFFSET($AA$6,X1085,0)*OFFSET($M$6,W1085,)</f>
        <v>0</v>
      </c>
      <c r="AY1085" t="s">
        <v>257</v>
      </c>
      <c r="AZ1085" t="s">
        <v>489</v>
      </c>
      <c r="BA1085" t="s">
        <v>222</v>
      </c>
      <c r="BB1085">
        <v>0</v>
      </c>
      <c r="BE1085" t="s">
        <v>257</v>
      </c>
      <c r="BF1085" t="s">
        <v>489</v>
      </c>
      <c r="BG1085" t="s">
        <v>222</v>
      </c>
      <c r="BH1085">
        <v>0</v>
      </c>
      <c r="CT1085" t="s">
        <v>257</v>
      </c>
      <c r="CU1085" t="s">
        <v>222</v>
      </c>
      <c r="CV1085">
        <f ca="1">OFFSET('Calculations 2'!$AJ$12,W1085,X1085)</f>
        <v>0</v>
      </c>
    </row>
    <row r="1086" spans="17:100">
      <c r="Q1086" t="s">
        <v>220</v>
      </c>
      <c r="R1086" t="s">
        <v>489</v>
      </c>
      <c r="S1086" t="s">
        <v>222</v>
      </c>
      <c r="T1086">
        <f ca="1">OFFSET('Calculations 2'!$C$45,W1086,X1086)*OFFSET($M$6,W1086,0)</f>
        <v>0</v>
      </c>
      <c r="V1086">
        <f t="shared" si="50"/>
        <v>1080</v>
      </c>
      <c r="W1086">
        <f t="shared" si="51"/>
        <v>24</v>
      </c>
      <c r="X1086">
        <f t="shared" si="52"/>
        <v>32</v>
      </c>
      <c r="AC1086" t="s">
        <v>220</v>
      </c>
      <c r="AD1086" t="s">
        <v>489</v>
      </c>
      <c r="AE1086" t="s">
        <v>222</v>
      </c>
      <c r="AF1086">
        <f ca="1">OFFSET('Calculations 2'!$CE$45,W1086,0)*OFFSET($AA$6,X1086,0)*OFFSET($M$6,W1086,)</f>
        <v>0</v>
      </c>
      <c r="AY1086" t="s">
        <v>220</v>
      </c>
      <c r="AZ1086" t="s">
        <v>489</v>
      </c>
      <c r="BA1086" t="s">
        <v>222</v>
      </c>
      <c r="BB1086">
        <v>0</v>
      </c>
      <c r="BE1086" t="s">
        <v>220</v>
      </c>
      <c r="BF1086" t="s">
        <v>489</v>
      </c>
      <c r="BG1086" t="s">
        <v>222</v>
      </c>
      <c r="BH1086">
        <v>0</v>
      </c>
      <c r="CT1086" t="s">
        <v>220</v>
      </c>
      <c r="CU1086" t="s">
        <v>222</v>
      </c>
      <c r="CV1086">
        <f ca="1">OFFSET('Calculations 2'!$AJ$12,W1086,X1086)</f>
        <v>0</v>
      </c>
    </row>
    <row r="1087" spans="17:100">
      <c r="Q1087" t="s">
        <v>235</v>
      </c>
      <c r="R1087" t="s">
        <v>489</v>
      </c>
      <c r="S1087" t="s">
        <v>222</v>
      </c>
      <c r="T1087">
        <f ca="1">OFFSET('Calculations 2'!$C$45,W1087,X1087)*OFFSET($M$6,W1087,0)</f>
        <v>0</v>
      </c>
      <c r="V1087">
        <f t="shared" si="50"/>
        <v>1081</v>
      </c>
      <c r="W1087">
        <f t="shared" si="51"/>
        <v>25</v>
      </c>
      <c r="X1087">
        <f t="shared" si="52"/>
        <v>32</v>
      </c>
      <c r="AC1087" t="s">
        <v>235</v>
      </c>
      <c r="AD1087" t="s">
        <v>489</v>
      </c>
      <c r="AE1087" t="s">
        <v>222</v>
      </c>
      <c r="AF1087">
        <f ca="1">OFFSET('Calculations 2'!$CE$45,W1087,0)*OFFSET($AA$6,X1087,0)*OFFSET($M$6,W1087,)</f>
        <v>0</v>
      </c>
      <c r="AY1087" t="s">
        <v>235</v>
      </c>
      <c r="AZ1087" t="s">
        <v>489</v>
      </c>
      <c r="BA1087" t="s">
        <v>222</v>
      </c>
      <c r="BB1087">
        <v>0</v>
      </c>
      <c r="BE1087" t="s">
        <v>235</v>
      </c>
      <c r="BF1087" t="s">
        <v>489</v>
      </c>
      <c r="BG1087" t="s">
        <v>222</v>
      </c>
      <c r="BH1087">
        <v>0</v>
      </c>
      <c r="CT1087" t="s">
        <v>235</v>
      </c>
      <c r="CU1087" t="s">
        <v>222</v>
      </c>
      <c r="CV1087">
        <f ca="1">OFFSET('Calculations 2'!$AJ$12,W1087,X1087)</f>
        <v>0</v>
      </c>
    </row>
    <row r="1088" spans="17:100">
      <c r="Q1088" t="s">
        <v>473</v>
      </c>
      <c r="R1088" t="s">
        <v>489</v>
      </c>
      <c r="S1088" t="s">
        <v>222</v>
      </c>
      <c r="T1088">
        <f ca="1">OFFSET('Calculations 2'!$C$45,W1088,X1088)*OFFSET($M$6,W1088,0)</f>
        <v>0</v>
      </c>
      <c r="V1088">
        <f t="shared" si="50"/>
        <v>1082</v>
      </c>
      <c r="W1088">
        <f t="shared" si="51"/>
        <v>26</v>
      </c>
      <c r="X1088">
        <f t="shared" si="52"/>
        <v>32</v>
      </c>
      <c r="AC1088" t="s">
        <v>473</v>
      </c>
      <c r="AD1088" t="s">
        <v>489</v>
      </c>
      <c r="AE1088" t="s">
        <v>222</v>
      </c>
      <c r="AF1088">
        <f ca="1">OFFSET('Calculations 2'!$CE$45,W1088,0)*OFFSET($AA$6,X1088,0)*OFFSET($M$6,W1088,)</f>
        <v>0</v>
      </c>
      <c r="AY1088" t="s">
        <v>473</v>
      </c>
      <c r="AZ1088" t="s">
        <v>489</v>
      </c>
      <c r="BA1088" t="s">
        <v>222</v>
      </c>
      <c r="BB1088">
        <v>0</v>
      </c>
      <c r="BE1088" t="s">
        <v>473</v>
      </c>
      <c r="BF1088" t="s">
        <v>489</v>
      </c>
      <c r="BG1088" t="s">
        <v>222</v>
      </c>
      <c r="BH1088">
        <v>0</v>
      </c>
      <c r="CT1088" t="s">
        <v>473</v>
      </c>
      <c r="CU1088" t="s">
        <v>222</v>
      </c>
      <c r="CV1088">
        <f ca="1">OFFSET('Calculations 2'!$AJ$12,W1088,X1088)</f>
        <v>0</v>
      </c>
    </row>
    <row r="1089" spans="17:100">
      <c r="Q1089" t="s">
        <v>233</v>
      </c>
      <c r="R1089" t="s">
        <v>489</v>
      </c>
      <c r="S1089" t="s">
        <v>222</v>
      </c>
      <c r="T1089">
        <f ca="1">OFFSET('Calculations 2'!$C$45,W1089,X1089)*OFFSET($M$6,W1089,0)</f>
        <v>0</v>
      </c>
      <c r="V1089">
        <f t="shared" si="50"/>
        <v>1083</v>
      </c>
      <c r="W1089">
        <f t="shared" si="51"/>
        <v>27</v>
      </c>
      <c r="X1089">
        <f t="shared" si="52"/>
        <v>32</v>
      </c>
      <c r="AC1089" t="s">
        <v>233</v>
      </c>
      <c r="AD1089" t="s">
        <v>489</v>
      </c>
      <c r="AE1089" t="s">
        <v>222</v>
      </c>
      <c r="AF1089">
        <f ca="1">OFFSET('Calculations 2'!$CE$45,W1089,0)*OFFSET($AA$6,X1089,0)*OFFSET($M$6,W1089,)</f>
        <v>0</v>
      </c>
      <c r="AY1089" t="s">
        <v>233</v>
      </c>
      <c r="AZ1089" t="s">
        <v>489</v>
      </c>
      <c r="BA1089" t="s">
        <v>222</v>
      </c>
      <c r="BB1089">
        <v>0</v>
      </c>
      <c r="BE1089" t="s">
        <v>233</v>
      </c>
      <c r="BF1089" t="s">
        <v>489</v>
      </c>
      <c r="BG1089" t="s">
        <v>222</v>
      </c>
      <c r="BH1089">
        <v>0</v>
      </c>
      <c r="CT1089" t="s">
        <v>233</v>
      </c>
      <c r="CU1089" t="s">
        <v>222</v>
      </c>
      <c r="CV1089">
        <f ca="1">OFFSET('Calculations 2'!$AJ$12,W1089,X1089)</f>
        <v>0</v>
      </c>
    </row>
    <row r="1090" spans="17:100">
      <c r="Q1090" t="s">
        <v>474</v>
      </c>
      <c r="R1090" t="s">
        <v>489</v>
      </c>
      <c r="S1090" t="s">
        <v>222</v>
      </c>
      <c r="T1090">
        <f ca="1">OFFSET('Calculations 2'!$C$45,W1090,X1090)*OFFSET($M$6,W1090,0)</f>
        <v>0</v>
      </c>
      <c r="V1090">
        <f t="shared" si="50"/>
        <v>1084</v>
      </c>
      <c r="W1090">
        <f t="shared" si="51"/>
        <v>28</v>
      </c>
      <c r="X1090">
        <f t="shared" si="52"/>
        <v>32</v>
      </c>
      <c r="AC1090" t="s">
        <v>474</v>
      </c>
      <c r="AD1090" t="s">
        <v>489</v>
      </c>
      <c r="AE1090" t="s">
        <v>222</v>
      </c>
      <c r="AF1090">
        <f ca="1">OFFSET('Calculations 2'!$CE$45,W1090,0)*OFFSET($AA$6,X1090,0)*OFFSET($M$6,W1090,)</f>
        <v>0</v>
      </c>
      <c r="AY1090" t="s">
        <v>474</v>
      </c>
      <c r="AZ1090" t="s">
        <v>489</v>
      </c>
      <c r="BA1090" t="s">
        <v>222</v>
      </c>
      <c r="BB1090">
        <v>0</v>
      </c>
      <c r="BE1090" t="s">
        <v>474</v>
      </c>
      <c r="BF1090" t="s">
        <v>489</v>
      </c>
      <c r="BG1090" t="s">
        <v>222</v>
      </c>
      <c r="BH1090">
        <v>0</v>
      </c>
      <c r="CT1090" t="s">
        <v>474</v>
      </c>
      <c r="CU1090" t="s">
        <v>222</v>
      </c>
      <c r="CV1090">
        <f ca="1">OFFSET('Calculations 2'!$AJ$12,W1090,X1090)</f>
        <v>0</v>
      </c>
    </row>
    <row r="1091" spans="17:100">
      <c r="Q1091" t="s">
        <v>223</v>
      </c>
      <c r="R1091" t="s">
        <v>489</v>
      </c>
      <c r="S1091" t="s">
        <v>222</v>
      </c>
      <c r="T1091">
        <f ca="1">OFFSET('Calculations 2'!$C$45,W1091,X1091)*OFFSET($M$6,W1091,0)</f>
        <v>0</v>
      </c>
      <c r="V1091">
        <f t="shared" si="50"/>
        <v>1085</v>
      </c>
      <c r="W1091">
        <f t="shared" si="51"/>
        <v>29</v>
      </c>
      <c r="X1091">
        <f t="shared" si="52"/>
        <v>32</v>
      </c>
      <c r="AC1091" t="s">
        <v>223</v>
      </c>
      <c r="AD1091" t="s">
        <v>489</v>
      </c>
      <c r="AE1091" t="s">
        <v>222</v>
      </c>
      <c r="AF1091">
        <f ca="1">OFFSET('Calculations 2'!$CE$45,W1091,0)*OFFSET($AA$6,X1091,0)*OFFSET($M$6,W1091,)</f>
        <v>0</v>
      </c>
      <c r="AY1091" t="s">
        <v>223</v>
      </c>
      <c r="AZ1091" t="s">
        <v>489</v>
      </c>
      <c r="BA1091" t="s">
        <v>222</v>
      </c>
      <c r="BB1091">
        <v>0</v>
      </c>
      <c r="BE1091" t="s">
        <v>223</v>
      </c>
      <c r="BF1091" t="s">
        <v>489</v>
      </c>
      <c r="BG1091" t="s">
        <v>222</v>
      </c>
      <c r="BH1091">
        <v>0</v>
      </c>
      <c r="CT1091" t="s">
        <v>223</v>
      </c>
      <c r="CU1091" t="s">
        <v>222</v>
      </c>
      <c r="CV1091">
        <f ca="1">OFFSET('Calculations 2'!$AJ$12,W1091,X1091)</f>
        <v>0</v>
      </c>
    </row>
    <row r="1092" spans="17:100">
      <c r="Q1092" t="s">
        <v>475</v>
      </c>
      <c r="R1092" t="s">
        <v>489</v>
      </c>
      <c r="S1092" t="s">
        <v>222</v>
      </c>
      <c r="T1092">
        <f ca="1">OFFSET('Calculations 2'!$C$45,W1092,X1092)*OFFSET($M$6,W1092,0)</f>
        <v>0</v>
      </c>
      <c r="V1092">
        <f t="shared" si="50"/>
        <v>1086</v>
      </c>
      <c r="W1092">
        <f t="shared" si="51"/>
        <v>30</v>
      </c>
      <c r="X1092">
        <f t="shared" si="52"/>
        <v>32</v>
      </c>
      <c r="AC1092" t="s">
        <v>475</v>
      </c>
      <c r="AD1092" t="s">
        <v>489</v>
      </c>
      <c r="AE1092" t="s">
        <v>222</v>
      </c>
      <c r="AF1092">
        <f ca="1">OFFSET('Calculations 2'!$CE$45,W1092,0)*OFFSET($AA$6,X1092,0)*OFFSET($M$6,W1092,)</f>
        <v>0</v>
      </c>
      <c r="AY1092" t="s">
        <v>475</v>
      </c>
      <c r="AZ1092" t="s">
        <v>489</v>
      </c>
      <c r="BA1092" t="s">
        <v>222</v>
      </c>
      <c r="BB1092">
        <v>0</v>
      </c>
      <c r="BE1092" t="s">
        <v>475</v>
      </c>
      <c r="BF1092" t="s">
        <v>489</v>
      </c>
      <c r="BG1092" t="s">
        <v>222</v>
      </c>
      <c r="BH1092">
        <v>0</v>
      </c>
      <c r="CT1092" t="s">
        <v>475</v>
      </c>
      <c r="CU1092" t="s">
        <v>222</v>
      </c>
      <c r="CV1092">
        <f ca="1">OFFSET('Calculations 2'!$AJ$12,W1092,X1092)</f>
        <v>0</v>
      </c>
    </row>
    <row r="1093" spans="17:100">
      <c r="Q1093" t="s">
        <v>476</v>
      </c>
      <c r="R1093" t="s">
        <v>489</v>
      </c>
      <c r="S1093" t="s">
        <v>222</v>
      </c>
      <c r="T1093">
        <f ca="1">OFFSET('Calculations 2'!$C$45,W1093,X1093)*OFFSET($M$6,W1093,0)</f>
        <v>0</v>
      </c>
      <c r="V1093">
        <f t="shared" si="50"/>
        <v>1087</v>
      </c>
      <c r="W1093">
        <f t="shared" si="51"/>
        <v>31</v>
      </c>
      <c r="X1093">
        <f t="shared" si="52"/>
        <v>32</v>
      </c>
      <c r="AC1093" t="s">
        <v>476</v>
      </c>
      <c r="AD1093" t="s">
        <v>489</v>
      </c>
      <c r="AE1093" t="s">
        <v>222</v>
      </c>
      <c r="AF1093">
        <f ca="1">OFFSET('Calculations 2'!$CE$45,W1093,0)*OFFSET($AA$6,X1093,0)*OFFSET($M$6,W1093,)</f>
        <v>0</v>
      </c>
      <c r="AY1093" t="s">
        <v>476</v>
      </c>
      <c r="AZ1093" t="s">
        <v>489</v>
      </c>
      <c r="BA1093" t="s">
        <v>222</v>
      </c>
      <c r="BB1093">
        <v>0</v>
      </c>
      <c r="BE1093" t="s">
        <v>476</v>
      </c>
      <c r="BF1093" t="s">
        <v>489</v>
      </c>
      <c r="BG1093" t="s">
        <v>222</v>
      </c>
      <c r="BH1093">
        <v>0</v>
      </c>
      <c r="CT1093" t="s">
        <v>476</v>
      </c>
      <c r="CU1093" t="s">
        <v>222</v>
      </c>
      <c r="CV1093">
        <f ca="1">OFFSET('Calculations 2'!$AJ$12,W1093,X1093)</f>
        <v>0</v>
      </c>
    </row>
    <row r="1094" spans="17:100">
      <c r="Q1094" t="s">
        <v>222</v>
      </c>
      <c r="R1094" t="s">
        <v>489</v>
      </c>
      <c r="S1094" t="s">
        <v>222</v>
      </c>
      <c r="T1094">
        <f ca="1">OFFSET('Calculations 2'!$C$45,W1094,X1094)*OFFSET($M$6,W1094,0)</f>
        <v>0</v>
      </c>
      <c r="V1094">
        <f t="shared" si="50"/>
        <v>1088</v>
      </c>
      <c r="W1094">
        <f t="shared" si="51"/>
        <v>32</v>
      </c>
      <c r="X1094">
        <f t="shared" si="52"/>
        <v>32</v>
      </c>
      <c r="AC1094" t="s">
        <v>222</v>
      </c>
      <c r="AD1094" t="s">
        <v>489</v>
      </c>
      <c r="AE1094" t="s">
        <v>222</v>
      </c>
      <c r="AF1094">
        <f ca="1">OFFSET('Calculations 2'!$CE$45,W1094,0)*OFFSET($AA$6,X1094,0)*OFFSET($M$6,W1094,)</f>
        <v>0</v>
      </c>
      <c r="AY1094" t="s">
        <v>222</v>
      </c>
      <c r="AZ1094" t="s">
        <v>489</v>
      </c>
      <c r="BA1094" t="s">
        <v>222</v>
      </c>
      <c r="BB1094">
        <v>0</v>
      </c>
      <c r="BE1094" t="s">
        <v>222</v>
      </c>
      <c r="BF1094" t="s">
        <v>489</v>
      </c>
      <c r="BG1094" t="s">
        <v>222</v>
      </c>
      <c r="BH1094">
        <v>0</v>
      </c>
      <c r="CT1094" t="s">
        <v>222</v>
      </c>
      <c r="CU1094" t="s">
        <v>222</v>
      </c>
      <c r="CV1094">
        <f ca="1">OFFSET('Calculations 2'!$AJ$12,W1094,X1094)</f>
        <v>1945.3419233888926</v>
      </c>
    </row>
    <row r="1095" spans="17:100">
      <c r="Q1095" s="224" t="s">
        <v>217</v>
      </c>
      <c r="R1095" s="224" t="s">
        <v>490</v>
      </c>
      <c r="S1095" s="224" t="s">
        <v>217</v>
      </c>
      <c r="T1095" s="224">
        <f ca="1">OFFSET('Calculations 2'!$C$45,W1095,X1095)*OFFSET($N$6,W1095,0)</f>
        <v>133.18404470849964</v>
      </c>
      <c r="V1095">
        <v>0</v>
      </c>
      <c r="W1095">
        <f>MOD(V1095,$V$3)</f>
        <v>0</v>
      </c>
      <c r="X1095">
        <f>FLOOR(V1095/$V$3,1)</f>
        <v>0</v>
      </c>
      <c r="AC1095" s="224" t="s">
        <v>217</v>
      </c>
      <c r="AD1095" s="224" t="s">
        <v>490</v>
      </c>
      <c r="AE1095" s="224" t="s">
        <v>217</v>
      </c>
      <c r="AF1095">
        <f ca="1">OFFSET('Calculations 2'!$CE$45,W1095,0)*OFFSET($AA$6,X1095,0)*OFFSET($N$6,W1095,)</f>
        <v>0.51417857459948502</v>
      </c>
      <c r="AY1095" s="224" t="s">
        <v>217</v>
      </c>
      <c r="AZ1095" s="224" t="s">
        <v>490</v>
      </c>
      <c r="BA1095" s="224" t="s">
        <v>217</v>
      </c>
      <c r="BB1095">
        <v>0</v>
      </c>
      <c r="BE1095" s="224" t="s">
        <v>217</v>
      </c>
      <c r="BF1095" s="224" t="s">
        <v>490</v>
      </c>
      <c r="BG1095" s="224" t="s">
        <v>217</v>
      </c>
      <c r="BH1095">
        <v>0</v>
      </c>
    </row>
    <row r="1096" spans="17:100">
      <c r="Q1096" s="224" t="s">
        <v>232</v>
      </c>
      <c r="R1096" s="224" t="s">
        <v>490</v>
      </c>
      <c r="S1096" s="224" t="s">
        <v>217</v>
      </c>
      <c r="T1096" s="224">
        <f ca="1">OFFSET('Calculations 2'!$C$45,W1096,X1096)*OFFSET($N$6,W1096,0)</f>
        <v>0</v>
      </c>
      <c r="V1096">
        <f>V1095+1</f>
        <v>1</v>
      </c>
      <c r="W1096">
        <f>MOD(V1096,$V$3)</f>
        <v>1</v>
      </c>
      <c r="X1096">
        <f>FLOOR(V1096/$V$3,1)</f>
        <v>0</v>
      </c>
      <c r="AC1096" s="224" t="s">
        <v>232</v>
      </c>
      <c r="AD1096" s="224" t="s">
        <v>490</v>
      </c>
      <c r="AE1096" s="224" t="s">
        <v>217</v>
      </c>
      <c r="AF1096">
        <f ca="1">OFFSET('Calculations 2'!$CE$45,W1096,0)*OFFSET($AA$6,X1096,0)*OFFSET($N$6,W1096,)</f>
        <v>0.81118444580712135</v>
      </c>
      <c r="AY1096" s="224" t="s">
        <v>232</v>
      </c>
      <c r="AZ1096" s="224" t="s">
        <v>490</v>
      </c>
      <c r="BA1096" s="224" t="s">
        <v>217</v>
      </c>
      <c r="BB1096">
        <v>0</v>
      </c>
      <c r="BE1096" s="224" t="s">
        <v>232</v>
      </c>
      <c r="BF1096" s="224" t="s">
        <v>490</v>
      </c>
      <c r="BG1096" s="224" t="s">
        <v>217</v>
      </c>
      <c r="BH1096">
        <v>0</v>
      </c>
    </row>
    <row r="1097" spans="17:100">
      <c r="Q1097" s="224" t="s">
        <v>226</v>
      </c>
      <c r="R1097" s="224" t="s">
        <v>490</v>
      </c>
      <c r="S1097" s="224" t="s">
        <v>217</v>
      </c>
      <c r="T1097" s="224">
        <f ca="1">OFFSET('Calculations 2'!$C$45,W1097,X1097)*OFFSET($N$6,W1097,0)</f>
        <v>285.48164351833242</v>
      </c>
      <c r="V1097">
        <f t="shared" ref="V1097:V1160" si="53">V1096+1</f>
        <v>2</v>
      </c>
      <c r="W1097">
        <f t="shared" ref="W1097:W1160" si="54">MOD(V1097,$V$3)</f>
        <v>2</v>
      </c>
      <c r="X1097">
        <f t="shared" ref="X1097:X1160" si="55">FLOOR(V1097/$V$3,1)</f>
        <v>0</v>
      </c>
      <c r="AC1097" s="224" t="s">
        <v>226</v>
      </c>
      <c r="AD1097" s="224" t="s">
        <v>490</v>
      </c>
      <c r="AE1097" s="224" t="s">
        <v>217</v>
      </c>
      <c r="AF1097">
        <f ca="1">OFFSET('Calculations 2'!$CE$45,W1097,0)*OFFSET($AA$6,X1097,0)*OFFSET($N$6,W1097,)</f>
        <v>0.20298318834053797</v>
      </c>
      <c r="AY1097" s="224" t="s">
        <v>226</v>
      </c>
      <c r="AZ1097" s="224" t="s">
        <v>490</v>
      </c>
      <c r="BA1097" s="224" t="s">
        <v>217</v>
      </c>
      <c r="BB1097">
        <v>0</v>
      </c>
      <c r="BE1097" s="224" t="s">
        <v>226</v>
      </c>
      <c r="BF1097" s="224" t="s">
        <v>490</v>
      </c>
      <c r="BG1097" s="224" t="s">
        <v>217</v>
      </c>
      <c r="BH1097">
        <v>0</v>
      </c>
    </row>
    <row r="1098" spans="17:100">
      <c r="Q1098" s="224" t="s">
        <v>243</v>
      </c>
      <c r="R1098" s="224" t="s">
        <v>490</v>
      </c>
      <c r="S1098" s="224" t="s">
        <v>217</v>
      </c>
      <c r="T1098" s="224">
        <f ca="1">OFFSET('Calculations 2'!$C$45,W1098,X1098)*OFFSET($N$6,W1098,0)</f>
        <v>8.564839984063223</v>
      </c>
      <c r="V1098">
        <f t="shared" si="53"/>
        <v>3</v>
      </c>
      <c r="W1098">
        <f t="shared" si="54"/>
        <v>3</v>
      </c>
      <c r="X1098">
        <f t="shared" si="55"/>
        <v>0</v>
      </c>
      <c r="AC1098" s="224" t="s">
        <v>243</v>
      </c>
      <c r="AD1098" s="224" t="s">
        <v>490</v>
      </c>
      <c r="AE1098" s="224" t="s">
        <v>217</v>
      </c>
      <c r="AF1098">
        <f ca="1">OFFSET('Calculations 2'!$CE$45,W1098,0)*OFFSET($AA$6,X1098,0)*OFFSET($N$6,W1098,)</f>
        <v>3.983346354589925</v>
      </c>
      <c r="AY1098" s="224" t="s">
        <v>243</v>
      </c>
      <c r="AZ1098" s="224" t="s">
        <v>490</v>
      </c>
      <c r="BA1098" s="224" t="s">
        <v>217</v>
      </c>
      <c r="BB1098">
        <v>0</v>
      </c>
      <c r="BE1098" s="224" t="s">
        <v>243</v>
      </c>
      <c r="BF1098" s="224" t="s">
        <v>490</v>
      </c>
      <c r="BG1098" s="224" t="s">
        <v>217</v>
      </c>
      <c r="BH1098">
        <v>0</v>
      </c>
    </row>
    <row r="1099" spans="17:100">
      <c r="Q1099" s="224" t="s">
        <v>228</v>
      </c>
      <c r="R1099" s="224" t="s">
        <v>490</v>
      </c>
      <c r="S1099" s="224" t="s">
        <v>217</v>
      </c>
      <c r="T1099" s="224">
        <f ca="1">OFFSET('Calculations 2'!$C$45,W1099,X1099)*OFFSET($N$6,W1099,0)</f>
        <v>0</v>
      </c>
      <c r="V1099">
        <f t="shared" si="53"/>
        <v>4</v>
      </c>
      <c r="W1099">
        <f t="shared" si="54"/>
        <v>4</v>
      </c>
      <c r="X1099">
        <f t="shared" si="55"/>
        <v>0</v>
      </c>
      <c r="AC1099" s="224" t="s">
        <v>228</v>
      </c>
      <c r="AD1099" s="224" t="s">
        <v>490</v>
      </c>
      <c r="AE1099" s="224" t="s">
        <v>217</v>
      </c>
      <c r="AF1099">
        <f ca="1">OFFSET('Calculations 2'!$CE$45,W1099,0)*OFFSET($AA$6,X1099,0)*OFFSET($N$6,W1099,)</f>
        <v>2.075998513776081</v>
      </c>
      <c r="AY1099" s="224" t="s">
        <v>228</v>
      </c>
      <c r="AZ1099" s="224" t="s">
        <v>490</v>
      </c>
      <c r="BA1099" s="224" t="s">
        <v>217</v>
      </c>
      <c r="BB1099">
        <v>0</v>
      </c>
      <c r="BE1099" s="224" t="s">
        <v>228</v>
      </c>
      <c r="BF1099" s="224" t="s">
        <v>490</v>
      </c>
      <c r="BG1099" s="224" t="s">
        <v>217</v>
      </c>
      <c r="BH1099">
        <v>0</v>
      </c>
    </row>
    <row r="1100" spans="17:100">
      <c r="Q1100" s="224" t="s">
        <v>246</v>
      </c>
      <c r="R1100" s="224" t="s">
        <v>490</v>
      </c>
      <c r="S1100" s="224" t="s">
        <v>217</v>
      </c>
      <c r="T1100" s="224">
        <f ca="1">OFFSET('Calculations 2'!$C$45,W1100,X1100)*OFFSET($N$6,W1100,0)</f>
        <v>0</v>
      </c>
      <c r="V1100">
        <f t="shared" si="53"/>
        <v>5</v>
      </c>
      <c r="W1100">
        <f t="shared" si="54"/>
        <v>5</v>
      </c>
      <c r="X1100">
        <f t="shared" si="55"/>
        <v>0</v>
      </c>
      <c r="AC1100" s="224" t="s">
        <v>246</v>
      </c>
      <c r="AD1100" s="224" t="s">
        <v>490</v>
      </c>
      <c r="AE1100" s="224" t="s">
        <v>217</v>
      </c>
      <c r="AF1100">
        <f ca="1">OFFSET('Calculations 2'!$CE$45,W1100,0)*OFFSET($AA$6,X1100,0)*OFFSET($N$6,W1100,)</f>
        <v>3.715879971817667E-2</v>
      </c>
      <c r="AY1100" s="224" t="s">
        <v>246</v>
      </c>
      <c r="AZ1100" s="224" t="s">
        <v>490</v>
      </c>
      <c r="BA1100" s="224" t="s">
        <v>217</v>
      </c>
      <c r="BB1100">
        <v>0</v>
      </c>
      <c r="BE1100" s="224" t="s">
        <v>246</v>
      </c>
      <c r="BF1100" s="224" t="s">
        <v>490</v>
      </c>
      <c r="BG1100" s="224" t="s">
        <v>217</v>
      </c>
      <c r="BH1100">
        <v>0</v>
      </c>
    </row>
    <row r="1101" spans="17:100">
      <c r="Q1101" s="224" t="s">
        <v>239</v>
      </c>
      <c r="R1101" s="224" t="s">
        <v>490</v>
      </c>
      <c r="S1101" s="224" t="s">
        <v>217</v>
      </c>
      <c r="T1101" s="224">
        <f ca="1">OFFSET('Calculations 2'!$C$45,W1101,X1101)*OFFSET($N$6,W1101,0)</f>
        <v>0</v>
      </c>
      <c r="V1101">
        <f t="shared" si="53"/>
        <v>6</v>
      </c>
      <c r="W1101">
        <f t="shared" si="54"/>
        <v>6</v>
      </c>
      <c r="X1101">
        <f t="shared" si="55"/>
        <v>0</v>
      </c>
      <c r="AC1101" s="224" t="s">
        <v>239</v>
      </c>
      <c r="AD1101" s="224" t="s">
        <v>490</v>
      </c>
      <c r="AE1101" s="224" t="s">
        <v>217</v>
      </c>
      <c r="AF1101">
        <f ca="1">OFFSET('Calculations 2'!$CE$45,W1101,0)*OFFSET($AA$6,X1101,0)*OFFSET($N$6,W1101,)</f>
        <v>0.53508371120154163</v>
      </c>
      <c r="AY1101" s="224" t="s">
        <v>239</v>
      </c>
      <c r="AZ1101" s="224" t="s">
        <v>490</v>
      </c>
      <c r="BA1101" s="224" t="s">
        <v>217</v>
      </c>
      <c r="BB1101">
        <v>0</v>
      </c>
      <c r="BE1101" s="224" t="s">
        <v>239</v>
      </c>
      <c r="BF1101" s="224" t="s">
        <v>490</v>
      </c>
      <c r="BG1101" s="224" t="s">
        <v>217</v>
      </c>
      <c r="BH1101">
        <v>0</v>
      </c>
    </row>
    <row r="1102" spans="17:100">
      <c r="Q1102" s="224" t="s">
        <v>466</v>
      </c>
      <c r="R1102" s="224" t="s">
        <v>490</v>
      </c>
      <c r="S1102" s="224" t="s">
        <v>217</v>
      </c>
      <c r="T1102" s="224">
        <f ca="1">OFFSET('Calculations 2'!$C$45,W1102,X1102)*OFFSET($N$6,W1102,0)</f>
        <v>23.191184794943172</v>
      </c>
      <c r="V1102">
        <f t="shared" si="53"/>
        <v>7</v>
      </c>
      <c r="W1102">
        <f t="shared" si="54"/>
        <v>7</v>
      </c>
      <c r="X1102">
        <f t="shared" si="55"/>
        <v>0</v>
      </c>
      <c r="AC1102" s="224" t="s">
        <v>466</v>
      </c>
      <c r="AD1102" s="224" t="s">
        <v>490</v>
      </c>
      <c r="AE1102" s="224" t="s">
        <v>217</v>
      </c>
      <c r="AF1102">
        <f ca="1">OFFSET('Calculations 2'!$CE$45,W1102,0)*OFFSET($AA$6,X1102,0)*OFFSET($N$6,W1102,)</f>
        <v>0.13474032889692189</v>
      </c>
      <c r="AY1102" s="224" t="s">
        <v>466</v>
      </c>
      <c r="AZ1102" s="224" t="s">
        <v>490</v>
      </c>
      <c r="BA1102" s="224" t="s">
        <v>217</v>
      </c>
      <c r="BB1102">
        <v>0</v>
      </c>
      <c r="BE1102" s="224" t="s">
        <v>466</v>
      </c>
      <c r="BF1102" s="224" t="s">
        <v>490</v>
      </c>
      <c r="BG1102" s="224" t="s">
        <v>217</v>
      </c>
      <c r="BH1102">
        <v>0</v>
      </c>
    </row>
    <row r="1103" spans="17:100">
      <c r="Q1103" s="224" t="s">
        <v>219</v>
      </c>
      <c r="R1103" s="224" t="s">
        <v>490</v>
      </c>
      <c r="S1103" s="224" t="s">
        <v>217</v>
      </c>
      <c r="T1103" s="224">
        <f ca="1">OFFSET('Calculations 2'!$C$45,W1103,X1103)*OFFSET($N$6,W1103,0)</f>
        <v>5.0174661680520787</v>
      </c>
      <c r="V1103">
        <f t="shared" si="53"/>
        <v>8</v>
      </c>
      <c r="W1103">
        <f t="shared" si="54"/>
        <v>8</v>
      </c>
      <c r="X1103">
        <f t="shared" si="55"/>
        <v>0</v>
      </c>
      <c r="AC1103" s="224" t="s">
        <v>219</v>
      </c>
      <c r="AD1103" s="224" t="s">
        <v>490</v>
      </c>
      <c r="AE1103" s="224" t="s">
        <v>217</v>
      </c>
      <c r="AF1103">
        <f ca="1">OFFSET('Calculations 2'!$CE$45,W1103,0)*OFFSET($AA$6,X1103,0)*OFFSET($N$6,W1103,)</f>
        <v>1.8470656387937661</v>
      </c>
      <c r="AY1103" s="224" t="s">
        <v>219</v>
      </c>
      <c r="AZ1103" s="224" t="s">
        <v>490</v>
      </c>
      <c r="BA1103" s="224" t="s">
        <v>217</v>
      </c>
      <c r="BB1103">
        <v>0</v>
      </c>
      <c r="BE1103" s="224" t="s">
        <v>219</v>
      </c>
      <c r="BF1103" s="224" t="s">
        <v>490</v>
      </c>
      <c r="BG1103" s="224" t="s">
        <v>217</v>
      </c>
      <c r="BH1103">
        <v>0</v>
      </c>
    </row>
    <row r="1104" spans="17:100">
      <c r="Q1104" s="224" t="s">
        <v>242</v>
      </c>
      <c r="R1104" s="224" t="s">
        <v>490</v>
      </c>
      <c r="S1104" s="224" t="s">
        <v>217</v>
      </c>
      <c r="T1104" s="224">
        <f ca="1">OFFSET('Calculations 2'!$C$45,W1104,X1104)*OFFSET($N$6,W1104,0)</f>
        <v>0</v>
      </c>
      <c r="V1104">
        <f t="shared" si="53"/>
        <v>9</v>
      </c>
      <c r="W1104">
        <f t="shared" si="54"/>
        <v>9</v>
      </c>
      <c r="X1104">
        <f t="shared" si="55"/>
        <v>0</v>
      </c>
      <c r="AC1104" s="224" t="s">
        <v>242</v>
      </c>
      <c r="AD1104" s="224" t="s">
        <v>490</v>
      </c>
      <c r="AE1104" s="224" t="s">
        <v>217</v>
      </c>
      <c r="AF1104">
        <f ca="1">OFFSET('Calculations 2'!$CE$45,W1104,0)*OFFSET($AA$6,X1104,0)*OFFSET($N$6,W1104,)</f>
        <v>1.4146067657618988</v>
      </c>
      <c r="AY1104" s="224" t="s">
        <v>242</v>
      </c>
      <c r="AZ1104" s="224" t="s">
        <v>490</v>
      </c>
      <c r="BA1104" s="224" t="s">
        <v>217</v>
      </c>
      <c r="BB1104">
        <v>0</v>
      </c>
      <c r="BE1104" s="224" t="s">
        <v>242</v>
      </c>
      <c r="BF1104" s="224" t="s">
        <v>490</v>
      </c>
      <c r="BG1104" s="224" t="s">
        <v>217</v>
      </c>
      <c r="BH1104">
        <v>0</v>
      </c>
    </row>
    <row r="1105" spans="17:60">
      <c r="Q1105" s="224" t="s">
        <v>467</v>
      </c>
      <c r="R1105" s="224" t="s">
        <v>490</v>
      </c>
      <c r="S1105" s="224" t="s">
        <v>217</v>
      </c>
      <c r="T1105" s="224">
        <f ca="1">OFFSET('Calculations 2'!$C$45,W1105,X1105)*OFFSET($N$6,W1105,0)</f>
        <v>0</v>
      </c>
      <c r="V1105">
        <f t="shared" si="53"/>
        <v>10</v>
      </c>
      <c r="W1105">
        <f t="shared" si="54"/>
        <v>10</v>
      </c>
      <c r="X1105">
        <f t="shared" si="55"/>
        <v>0</v>
      </c>
      <c r="AC1105" s="224" t="s">
        <v>467</v>
      </c>
      <c r="AD1105" s="224" t="s">
        <v>490</v>
      </c>
      <c r="AE1105" s="224" t="s">
        <v>217</v>
      </c>
      <c r="AF1105">
        <f ca="1">OFFSET('Calculations 2'!$CE$45,W1105,0)*OFFSET($AA$6,X1105,0)*OFFSET($N$6,W1105,)</f>
        <v>0.53399616206734113</v>
      </c>
      <c r="AY1105" s="224" t="s">
        <v>467</v>
      </c>
      <c r="AZ1105" s="224" t="s">
        <v>490</v>
      </c>
      <c r="BA1105" s="224" t="s">
        <v>217</v>
      </c>
      <c r="BB1105">
        <v>0</v>
      </c>
      <c r="BE1105" s="224" t="s">
        <v>467</v>
      </c>
      <c r="BF1105" s="224" t="s">
        <v>490</v>
      </c>
      <c r="BG1105" s="224" t="s">
        <v>217</v>
      </c>
      <c r="BH1105">
        <v>0</v>
      </c>
    </row>
    <row r="1106" spans="17:60">
      <c r="Q1106" s="224" t="s">
        <v>231</v>
      </c>
      <c r="R1106" s="224" t="s">
        <v>490</v>
      </c>
      <c r="S1106" s="224" t="s">
        <v>217</v>
      </c>
      <c r="T1106" s="224">
        <f ca="1">OFFSET('Calculations 2'!$C$45,W1106,X1106)*OFFSET($N$6,W1106,0)</f>
        <v>0</v>
      </c>
      <c r="V1106">
        <f t="shared" si="53"/>
        <v>11</v>
      </c>
      <c r="W1106">
        <f t="shared" si="54"/>
        <v>11</v>
      </c>
      <c r="X1106">
        <f t="shared" si="55"/>
        <v>0</v>
      </c>
      <c r="AC1106" s="224" t="s">
        <v>231</v>
      </c>
      <c r="AD1106" s="224" t="s">
        <v>490</v>
      </c>
      <c r="AE1106" s="224" t="s">
        <v>217</v>
      </c>
      <c r="AF1106">
        <f ca="1">OFFSET('Calculations 2'!$CE$45,W1106,0)*OFFSET($AA$6,X1106,0)*OFFSET($N$6,W1106,)</f>
        <v>6.6841041539974873</v>
      </c>
      <c r="AY1106" s="224" t="s">
        <v>231</v>
      </c>
      <c r="AZ1106" s="224" t="s">
        <v>490</v>
      </c>
      <c r="BA1106" s="224" t="s">
        <v>217</v>
      </c>
      <c r="BB1106">
        <v>0</v>
      </c>
      <c r="BE1106" s="224" t="s">
        <v>231</v>
      </c>
      <c r="BF1106" s="224" t="s">
        <v>490</v>
      </c>
      <c r="BG1106" s="224" t="s">
        <v>217</v>
      </c>
      <c r="BH1106">
        <v>0</v>
      </c>
    </row>
    <row r="1107" spans="17:60">
      <c r="Q1107" s="224" t="s">
        <v>468</v>
      </c>
      <c r="R1107" s="224" t="s">
        <v>490</v>
      </c>
      <c r="S1107" s="224" t="s">
        <v>217</v>
      </c>
      <c r="T1107" s="224">
        <f ca="1">OFFSET('Calculations 2'!$C$45,W1107,X1107)*OFFSET($N$6,W1107,0)</f>
        <v>0</v>
      </c>
      <c r="V1107">
        <f t="shared" si="53"/>
        <v>12</v>
      </c>
      <c r="W1107">
        <f t="shared" si="54"/>
        <v>12</v>
      </c>
      <c r="X1107">
        <f t="shared" si="55"/>
        <v>0</v>
      </c>
      <c r="AC1107" s="224" t="s">
        <v>468</v>
      </c>
      <c r="AD1107" s="224" t="s">
        <v>490</v>
      </c>
      <c r="AE1107" s="224" t="s">
        <v>217</v>
      </c>
      <c r="AF1107">
        <f ca="1">OFFSET('Calculations 2'!$CE$45,W1107,0)*OFFSET($AA$6,X1107,0)*OFFSET($N$6,W1107,)</f>
        <v>25.605278367972598</v>
      </c>
      <c r="AY1107" s="224" t="s">
        <v>468</v>
      </c>
      <c r="AZ1107" s="224" t="s">
        <v>490</v>
      </c>
      <c r="BA1107" s="224" t="s">
        <v>217</v>
      </c>
      <c r="BB1107">
        <v>0</v>
      </c>
      <c r="BE1107" s="224" t="s">
        <v>468</v>
      </c>
      <c r="BF1107" s="224" t="s">
        <v>490</v>
      </c>
      <c r="BG1107" s="224" t="s">
        <v>217</v>
      </c>
      <c r="BH1107">
        <v>0</v>
      </c>
    </row>
    <row r="1108" spans="17:60">
      <c r="Q1108" s="224" t="s">
        <v>469</v>
      </c>
      <c r="R1108" s="224" t="s">
        <v>490</v>
      </c>
      <c r="S1108" s="224" t="s">
        <v>217</v>
      </c>
      <c r="T1108" s="224">
        <f ca="1">OFFSET('Calculations 2'!$C$45,W1108,X1108)*OFFSET($N$6,W1108,0)</f>
        <v>0</v>
      </c>
      <c r="V1108">
        <f t="shared" si="53"/>
        <v>13</v>
      </c>
      <c r="W1108">
        <f t="shared" si="54"/>
        <v>13</v>
      </c>
      <c r="X1108">
        <f t="shared" si="55"/>
        <v>0</v>
      </c>
      <c r="AC1108" s="224" t="s">
        <v>469</v>
      </c>
      <c r="AD1108" s="224" t="s">
        <v>490</v>
      </c>
      <c r="AE1108" s="224" t="s">
        <v>217</v>
      </c>
      <c r="AF1108">
        <f ca="1">OFFSET('Calculations 2'!$CE$45,W1108,0)*OFFSET($AA$6,X1108,0)*OFFSET($N$6,W1108,)</f>
        <v>13.728769171202378</v>
      </c>
      <c r="AY1108" s="224" t="s">
        <v>469</v>
      </c>
      <c r="AZ1108" s="224" t="s">
        <v>490</v>
      </c>
      <c r="BA1108" s="224" t="s">
        <v>217</v>
      </c>
      <c r="BB1108">
        <v>0</v>
      </c>
      <c r="BE1108" s="224" t="s">
        <v>469</v>
      </c>
      <c r="BF1108" s="224" t="s">
        <v>490</v>
      </c>
      <c r="BG1108" s="224" t="s">
        <v>217</v>
      </c>
      <c r="BH1108">
        <v>0</v>
      </c>
    </row>
    <row r="1109" spans="17:60">
      <c r="Q1109" s="224" t="s">
        <v>245</v>
      </c>
      <c r="R1109" s="224" t="s">
        <v>490</v>
      </c>
      <c r="S1109" s="224" t="s">
        <v>217</v>
      </c>
      <c r="T1109" s="224">
        <f ca="1">OFFSET('Calculations 2'!$C$45,W1109,X1109)*OFFSET($N$6,W1109,0)</f>
        <v>0</v>
      </c>
      <c r="V1109">
        <f t="shared" si="53"/>
        <v>14</v>
      </c>
      <c r="W1109">
        <f t="shared" si="54"/>
        <v>14</v>
      </c>
      <c r="X1109">
        <f t="shared" si="55"/>
        <v>0</v>
      </c>
      <c r="AC1109" s="224" t="s">
        <v>245</v>
      </c>
      <c r="AD1109" s="224" t="s">
        <v>490</v>
      </c>
      <c r="AE1109" s="224" t="s">
        <v>217</v>
      </c>
      <c r="AF1109">
        <f ca="1">OFFSET('Calculations 2'!$CE$45,W1109,0)*OFFSET($AA$6,X1109,0)*OFFSET($N$6,W1109,)</f>
        <v>21.909571429298669</v>
      </c>
      <c r="AY1109" s="224" t="s">
        <v>245</v>
      </c>
      <c r="AZ1109" s="224" t="s">
        <v>490</v>
      </c>
      <c r="BA1109" s="224" t="s">
        <v>217</v>
      </c>
      <c r="BB1109">
        <v>0</v>
      </c>
      <c r="BE1109" s="224" t="s">
        <v>245</v>
      </c>
      <c r="BF1109" s="224" t="s">
        <v>490</v>
      </c>
      <c r="BG1109" s="224" t="s">
        <v>217</v>
      </c>
      <c r="BH1109">
        <v>0</v>
      </c>
    </row>
    <row r="1110" spans="17:60">
      <c r="Q1110" s="224" t="s">
        <v>470</v>
      </c>
      <c r="R1110" s="224" t="s">
        <v>490</v>
      </c>
      <c r="S1110" s="224" t="s">
        <v>217</v>
      </c>
      <c r="T1110" s="224">
        <f ca="1">OFFSET('Calculations 2'!$C$45,W1110,X1110)*OFFSET($N$6,W1110,0)</f>
        <v>0</v>
      </c>
      <c r="V1110">
        <f t="shared" si="53"/>
        <v>15</v>
      </c>
      <c r="W1110">
        <f t="shared" si="54"/>
        <v>15</v>
      </c>
      <c r="X1110">
        <f t="shared" si="55"/>
        <v>0</v>
      </c>
      <c r="AC1110" s="224" t="s">
        <v>470</v>
      </c>
      <c r="AD1110" s="224" t="s">
        <v>490</v>
      </c>
      <c r="AE1110" s="224" t="s">
        <v>217</v>
      </c>
      <c r="AF1110">
        <f ca="1">OFFSET('Calculations 2'!$CE$45,W1110,0)*OFFSET($AA$6,X1110,0)*OFFSET($N$6,W1110,)</f>
        <v>8.3132509729521438</v>
      </c>
      <c r="AY1110" s="224" t="s">
        <v>470</v>
      </c>
      <c r="AZ1110" s="224" t="s">
        <v>490</v>
      </c>
      <c r="BA1110" s="224" t="s">
        <v>217</v>
      </c>
      <c r="BB1110">
        <v>0</v>
      </c>
      <c r="BE1110" s="224" t="s">
        <v>470</v>
      </c>
      <c r="BF1110" s="224" t="s">
        <v>490</v>
      </c>
      <c r="BG1110" s="224" t="s">
        <v>217</v>
      </c>
      <c r="BH1110">
        <v>0</v>
      </c>
    </row>
    <row r="1111" spans="17:60">
      <c r="Q1111" s="224" t="s">
        <v>471</v>
      </c>
      <c r="R1111" s="224" t="s">
        <v>490</v>
      </c>
      <c r="S1111" s="224" t="s">
        <v>217</v>
      </c>
      <c r="T1111" s="224">
        <f ca="1">OFFSET('Calculations 2'!$C$45,W1111,X1111)*OFFSET($N$6,W1111,0)</f>
        <v>0.1257110497324507</v>
      </c>
      <c r="V1111">
        <f t="shared" si="53"/>
        <v>16</v>
      </c>
      <c r="W1111">
        <f t="shared" si="54"/>
        <v>16</v>
      </c>
      <c r="X1111">
        <f t="shared" si="55"/>
        <v>0</v>
      </c>
      <c r="AC1111" s="224" t="s">
        <v>471</v>
      </c>
      <c r="AD1111" s="224" t="s">
        <v>490</v>
      </c>
      <c r="AE1111" s="224" t="s">
        <v>217</v>
      </c>
      <c r="AF1111">
        <f ca="1">OFFSET('Calculations 2'!$CE$45,W1111,0)*OFFSET($AA$6,X1111,0)*OFFSET($N$6,W1111,)</f>
        <v>0</v>
      </c>
      <c r="AY1111" s="224" t="s">
        <v>471</v>
      </c>
      <c r="AZ1111" s="224" t="s">
        <v>490</v>
      </c>
      <c r="BA1111" s="224" t="s">
        <v>217</v>
      </c>
      <c r="BB1111">
        <v>0</v>
      </c>
      <c r="BE1111" s="224" t="s">
        <v>471</v>
      </c>
      <c r="BF1111" s="224" t="s">
        <v>490</v>
      </c>
      <c r="BG1111" s="224" t="s">
        <v>217</v>
      </c>
      <c r="BH1111">
        <v>0</v>
      </c>
    </row>
    <row r="1112" spans="17:60">
      <c r="Q1112" s="224" t="s">
        <v>221</v>
      </c>
      <c r="R1112" s="224" t="s">
        <v>490</v>
      </c>
      <c r="S1112" s="224" t="s">
        <v>217</v>
      </c>
      <c r="T1112" s="224">
        <f ca="1">OFFSET('Calculations 2'!$C$45,W1112,X1112)*OFFSET($N$6,W1112,0)</f>
        <v>0</v>
      </c>
      <c r="V1112">
        <f t="shared" si="53"/>
        <v>17</v>
      </c>
      <c r="W1112">
        <f t="shared" si="54"/>
        <v>17</v>
      </c>
      <c r="X1112">
        <f t="shared" si="55"/>
        <v>0</v>
      </c>
      <c r="AC1112" s="224" t="s">
        <v>221</v>
      </c>
      <c r="AD1112" s="224" t="s">
        <v>490</v>
      </c>
      <c r="AE1112" s="224" t="s">
        <v>217</v>
      </c>
      <c r="AF1112">
        <f ca="1">OFFSET('Calculations 2'!$CE$45,W1112,0)*OFFSET($AA$6,X1112,0)*OFFSET($N$6,W1112,)</f>
        <v>1.6273667441250772</v>
      </c>
      <c r="AY1112" s="224" t="s">
        <v>221</v>
      </c>
      <c r="AZ1112" s="224" t="s">
        <v>490</v>
      </c>
      <c r="BA1112" s="224" t="s">
        <v>217</v>
      </c>
      <c r="BB1112">
        <v>0</v>
      </c>
      <c r="BE1112" s="224" t="s">
        <v>221</v>
      </c>
      <c r="BF1112" s="224" t="s">
        <v>490</v>
      </c>
      <c r="BG1112" s="224" t="s">
        <v>217</v>
      </c>
      <c r="BH1112">
        <v>0</v>
      </c>
    </row>
    <row r="1113" spans="17:60">
      <c r="Q1113" s="224" t="s">
        <v>244</v>
      </c>
      <c r="R1113" s="224" t="s">
        <v>490</v>
      </c>
      <c r="S1113" s="224" t="s">
        <v>217</v>
      </c>
      <c r="T1113" s="224">
        <f ca="1">OFFSET('Calculations 2'!$C$45,W1113,X1113)*OFFSET($N$6,W1113,0)</f>
        <v>0.96394709438912629</v>
      </c>
      <c r="V1113">
        <f t="shared" si="53"/>
        <v>18</v>
      </c>
      <c r="W1113">
        <f t="shared" si="54"/>
        <v>18</v>
      </c>
      <c r="X1113">
        <f t="shared" si="55"/>
        <v>0</v>
      </c>
      <c r="AC1113" s="224" t="s">
        <v>244</v>
      </c>
      <c r="AD1113" s="224" t="s">
        <v>490</v>
      </c>
      <c r="AE1113" s="224" t="s">
        <v>217</v>
      </c>
      <c r="AF1113">
        <f ca="1">OFFSET('Calculations 2'!$CE$45,W1113,0)*OFFSET($AA$6,X1113,0)*OFFSET($N$6,W1113,)</f>
        <v>0.14238354503922118</v>
      </c>
      <c r="AY1113" s="224" t="s">
        <v>244</v>
      </c>
      <c r="AZ1113" s="224" t="s">
        <v>490</v>
      </c>
      <c r="BA1113" s="224" t="s">
        <v>217</v>
      </c>
      <c r="BB1113">
        <v>0</v>
      </c>
      <c r="BE1113" s="224" t="s">
        <v>244</v>
      </c>
      <c r="BF1113" s="224" t="s">
        <v>490</v>
      </c>
      <c r="BG1113" s="224" t="s">
        <v>217</v>
      </c>
      <c r="BH1113">
        <v>0</v>
      </c>
    </row>
    <row r="1114" spans="17:60">
      <c r="Q1114" s="224" t="s">
        <v>472</v>
      </c>
      <c r="R1114" s="224" t="s">
        <v>490</v>
      </c>
      <c r="S1114" s="224" t="s">
        <v>217</v>
      </c>
      <c r="T1114" s="224">
        <f ca="1">OFFSET('Calculations 2'!$C$45,W1114,X1114)*OFFSET($N$6,W1114,0)</f>
        <v>0</v>
      </c>
      <c r="V1114">
        <f t="shared" si="53"/>
        <v>19</v>
      </c>
      <c r="W1114">
        <f t="shared" si="54"/>
        <v>19</v>
      </c>
      <c r="X1114">
        <f t="shared" si="55"/>
        <v>0</v>
      </c>
      <c r="AC1114" s="224" t="s">
        <v>472</v>
      </c>
      <c r="AD1114" s="224" t="s">
        <v>490</v>
      </c>
      <c r="AE1114" s="224" t="s">
        <v>217</v>
      </c>
      <c r="AF1114">
        <f ca="1">OFFSET('Calculations 2'!$CE$45,W1114,0)*OFFSET($AA$6,X1114,0)*OFFSET($N$6,W1114,)</f>
        <v>0</v>
      </c>
      <c r="AY1114" s="224" t="s">
        <v>472</v>
      </c>
      <c r="AZ1114" s="224" t="s">
        <v>490</v>
      </c>
      <c r="BA1114" s="224" t="s">
        <v>217</v>
      </c>
      <c r="BB1114">
        <v>0</v>
      </c>
      <c r="BE1114" s="224" t="s">
        <v>472</v>
      </c>
      <c r="BF1114" s="224" t="s">
        <v>490</v>
      </c>
      <c r="BG1114" s="224" t="s">
        <v>217</v>
      </c>
      <c r="BH1114">
        <v>0</v>
      </c>
    </row>
    <row r="1115" spans="17:60">
      <c r="Q1115" s="224" t="s">
        <v>238</v>
      </c>
      <c r="R1115" s="224" t="s">
        <v>490</v>
      </c>
      <c r="S1115" s="224" t="s">
        <v>217</v>
      </c>
      <c r="T1115" s="224">
        <f ca="1">OFFSET('Calculations 2'!$C$45,W1115,X1115)*OFFSET($N$6,W1115,0)</f>
        <v>0.25805140231770551</v>
      </c>
      <c r="V1115">
        <f t="shared" si="53"/>
        <v>20</v>
      </c>
      <c r="W1115">
        <f t="shared" si="54"/>
        <v>20</v>
      </c>
      <c r="X1115">
        <f t="shared" si="55"/>
        <v>0</v>
      </c>
      <c r="AC1115" s="224" t="s">
        <v>238</v>
      </c>
      <c r="AD1115" s="224" t="s">
        <v>490</v>
      </c>
      <c r="AE1115" s="224" t="s">
        <v>217</v>
      </c>
      <c r="AF1115">
        <f ca="1">OFFSET('Calculations 2'!$CE$45,W1115,0)*OFFSET($AA$6,X1115,0)*OFFSET($N$6,W1115,)</f>
        <v>0</v>
      </c>
      <c r="AY1115" s="224" t="s">
        <v>238</v>
      </c>
      <c r="AZ1115" s="224" t="s">
        <v>490</v>
      </c>
      <c r="BA1115" s="224" t="s">
        <v>217</v>
      </c>
      <c r="BB1115">
        <v>0</v>
      </c>
      <c r="BE1115" s="224" t="s">
        <v>238</v>
      </c>
      <c r="BF1115" s="224" t="s">
        <v>490</v>
      </c>
      <c r="BG1115" s="224" t="s">
        <v>217</v>
      </c>
      <c r="BH1115">
        <v>0</v>
      </c>
    </row>
    <row r="1116" spans="17:60">
      <c r="Q1116" s="224" t="s">
        <v>247</v>
      </c>
      <c r="R1116" s="224" t="s">
        <v>490</v>
      </c>
      <c r="S1116" s="224" t="s">
        <v>217</v>
      </c>
      <c r="T1116" s="224">
        <f ca="1">OFFSET('Calculations 2'!$C$45,W1116,X1116)*OFFSET($N$6,W1116,0)</f>
        <v>0</v>
      </c>
      <c r="V1116">
        <f t="shared" si="53"/>
        <v>21</v>
      </c>
      <c r="W1116">
        <f t="shared" si="54"/>
        <v>21</v>
      </c>
      <c r="X1116">
        <f t="shared" si="55"/>
        <v>0</v>
      </c>
      <c r="AC1116" s="224" t="s">
        <v>247</v>
      </c>
      <c r="AD1116" s="224" t="s">
        <v>490</v>
      </c>
      <c r="AE1116" s="224" t="s">
        <v>217</v>
      </c>
      <c r="AF1116">
        <f ca="1">OFFSET('Calculations 2'!$CE$45,W1116,0)*OFFSET($AA$6,X1116,0)*OFFSET($N$6,W1116,)</f>
        <v>0</v>
      </c>
      <c r="AY1116" s="224" t="s">
        <v>247</v>
      </c>
      <c r="AZ1116" s="224" t="s">
        <v>490</v>
      </c>
      <c r="BA1116" s="224" t="s">
        <v>217</v>
      </c>
      <c r="BB1116">
        <v>0</v>
      </c>
      <c r="BE1116" s="224" t="s">
        <v>247</v>
      </c>
      <c r="BF1116" s="224" t="s">
        <v>490</v>
      </c>
      <c r="BG1116" s="224" t="s">
        <v>217</v>
      </c>
      <c r="BH1116">
        <v>0</v>
      </c>
    </row>
    <row r="1117" spans="17:60">
      <c r="Q1117" s="224" t="s">
        <v>218</v>
      </c>
      <c r="R1117" s="224" t="s">
        <v>490</v>
      </c>
      <c r="S1117" s="224" t="s">
        <v>217</v>
      </c>
      <c r="T1117" s="224">
        <f ca="1">OFFSET('Calculations 2'!$C$45,W1117,X1117)*OFFSET($N$6,W1117,0)</f>
        <v>0</v>
      </c>
      <c r="V1117">
        <f t="shared" si="53"/>
        <v>22</v>
      </c>
      <c r="W1117">
        <f t="shared" si="54"/>
        <v>22</v>
      </c>
      <c r="X1117">
        <f t="shared" si="55"/>
        <v>0</v>
      </c>
      <c r="AC1117" s="224" t="s">
        <v>218</v>
      </c>
      <c r="AD1117" s="224" t="s">
        <v>490</v>
      </c>
      <c r="AE1117" s="224" t="s">
        <v>217</v>
      </c>
      <c r="AF1117">
        <f ca="1">OFFSET('Calculations 2'!$CE$45,W1117,0)*OFFSET($AA$6,X1117,0)*OFFSET($N$6,W1117,)</f>
        <v>0</v>
      </c>
      <c r="AY1117" s="224" t="s">
        <v>218</v>
      </c>
      <c r="AZ1117" s="224" t="s">
        <v>490</v>
      </c>
      <c r="BA1117" s="224" t="s">
        <v>217</v>
      </c>
      <c r="BB1117">
        <v>0</v>
      </c>
      <c r="BE1117" s="224" t="s">
        <v>218</v>
      </c>
      <c r="BF1117" s="224" t="s">
        <v>490</v>
      </c>
      <c r="BG1117" s="224" t="s">
        <v>217</v>
      </c>
      <c r="BH1117">
        <v>0</v>
      </c>
    </row>
    <row r="1118" spans="17:60">
      <c r="Q1118" s="224" t="s">
        <v>257</v>
      </c>
      <c r="R1118" s="224" t="s">
        <v>490</v>
      </c>
      <c r="S1118" s="224" t="s">
        <v>217</v>
      </c>
      <c r="T1118" s="224">
        <f ca="1">OFFSET('Calculations 2'!$C$45,W1118,X1118)*OFFSET($N$6,W1118,0)</f>
        <v>0</v>
      </c>
      <c r="V1118">
        <f t="shared" si="53"/>
        <v>23</v>
      </c>
      <c r="W1118">
        <f t="shared" si="54"/>
        <v>23</v>
      </c>
      <c r="X1118">
        <f t="shared" si="55"/>
        <v>0</v>
      </c>
      <c r="AC1118" s="224" t="s">
        <v>257</v>
      </c>
      <c r="AD1118" s="224" t="s">
        <v>490</v>
      </c>
      <c r="AE1118" s="224" t="s">
        <v>217</v>
      </c>
      <c r="AF1118">
        <f ca="1">OFFSET('Calculations 2'!$CE$45,W1118,0)*OFFSET($AA$6,X1118,0)*OFFSET($N$6,W1118,)</f>
        <v>0</v>
      </c>
      <c r="AY1118" s="224" t="s">
        <v>257</v>
      </c>
      <c r="AZ1118" s="224" t="s">
        <v>490</v>
      </c>
      <c r="BA1118" s="224" t="s">
        <v>217</v>
      </c>
      <c r="BB1118">
        <v>0</v>
      </c>
      <c r="BE1118" s="224" t="s">
        <v>257</v>
      </c>
      <c r="BF1118" s="224" t="s">
        <v>490</v>
      </c>
      <c r="BG1118" s="224" t="s">
        <v>217</v>
      </c>
      <c r="BH1118">
        <v>0</v>
      </c>
    </row>
    <row r="1119" spans="17:60">
      <c r="Q1119" s="224" t="s">
        <v>220</v>
      </c>
      <c r="R1119" s="224" t="s">
        <v>490</v>
      </c>
      <c r="S1119" s="224" t="s">
        <v>217</v>
      </c>
      <c r="T1119" s="224">
        <f ca="1">OFFSET('Calculations 2'!$C$45,W1119,X1119)*OFFSET($N$6,W1119,0)</f>
        <v>2.5392218615837348E-2</v>
      </c>
      <c r="V1119">
        <f t="shared" si="53"/>
        <v>24</v>
      </c>
      <c r="W1119">
        <f t="shared" si="54"/>
        <v>24</v>
      </c>
      <c r="X1119">
        <f t="shared" si="55"/>
        <v>0</v>
      </c>
      <c r="AC1119" s="224" t="s">
        <v>220</v>
      </c>
      <c r="AD1119" s="224" t="s">
        <v>490</v>
      </c>
      <c r="AE1119" s="224" t="s">
        <v>217</v>
      </c>
      <c r="AF1119">
        <f ca="1">OFFSET('Calculations 2'!$CE$45,W1119,0)*OFFSET($AA$6,X1119,0)*OFFSET($N$6,W1119,)</f>
        <v>0</v>
      </c>
      <c r="AY1119" s="224" t="s">
        <v>220</v>
      </c>
      <c r="AZ1119" s="224" t="s">
        <v>490</v>
      </c>
      <c r="BA1119" s="224" t="s">
        <v>217</v>
      </c>
      <c r="BB1119">
        <v>0</v>
      </c>
      <c r="BE1119" s="224" t="s">
        <v>220</v>
      </c>
      <c r="BF1119" s="224" t="s">
        <v>490</v>
      </c>
      <c r="BG1119" s="224" t="s">
        <v>217</v>
      </c>
      <c r="BH1119">
        <v>0</v>
      </c>
    </row>
    <row r="1120" spans="17:60">
      <c r="Q1120" s="224" t="s">
        <v>235</v>
      </c>
      <c r="R1120" s="224" t="s">
        <v>490</v>
      </c>
      <c r="S1120" s="224" t="s">
        <v>217</v>
      </c>
      <c r="T1120" s="224">
        <f ca="1">OFFSET('Calculations 2'!$C$45,W1120,X1120)*OFFSET($N$6,W1120,0)</f>
        <v>0.75741019838939416</v>
      </c>
      <c r="V1120">
        <f t="shared" si="53"/>
        <v>25</v>
      </c>
      <c r="W1120">
        <f t="shared" si="54"/>
        <v>25</v>
      </c>
      <c r="X1120">
        <f t="shared" si="55"/>
        <v>0</v>
      </c>
      <c r="AC1120" s="224" t="s">
        <v>235</v>
      </c>
      <c r="AD1120" s="224" t="s">
        <v>490</v>
      </c>
      <c r="AE1120" s="224" t="s">
        <v>217</v>
      </c>
      <c r="AF1120">
        <f ca="1">OFFSET('Calculations 2'!$CE$45,W1120,0)*OFFSET($AA$6,X1120,0)*OFFSET($N$6,W1120,)</f>
        <v>0</v>
      </c>
      <c r="AY1120" s="224" t="s">
        <v>235</v>
      </c>
      <c r="AZ1120" s="224" t="s">
        <v>490</v>
      </c>
      <c r="BA1120" s="224" t="s">
        <v>217</v>
      </c>
      <c r="BB1120">
        <v>0</v>
      </c>
      <c r="BE1120" s="224" t="s">
        <v>235</v>
      </c>
      <c r="BF1120" s="224" t="s">
        <v>490</v>
      </c>
      <c r="BG1120" s="224" t="s">
        <v>217</v>
      </c>
      <c r="BH1120">
        <v>0</v>
      </c>
    </row>
    <row r="1121" spans="17:60">
      <c r="Q1121" s="224" t="s">
        <v>473</v>
      </c>
      <c r="R1121" s="224" t="s">
        <v>490</v>
      </c>
      <c r="S1121" s="224" t="s">
        <v>217</v>
      </c>
      <c r="T1121" s="224">
        <f ca="1">OFFSET('Calculations 2'!$C$45,W1121,X1121)*OFFSET($N$6,W1121,0)</f>
        <v>0</v>
      </c>
      <c r="V1121">
        <f t="shared" si="53"/>
        <v>26</v>
      </c>
      <c r="W1121">
        <f t="shared" si="54"/>
        <v>26</v>
      </c>
      <c r="X1121">
        <f t="shared" si="55"/>
        <v>0</v>
      </c>
      <c r="AC1121" s="224" t="s">
        <v>473</v>
      </c>
      <c r="AD1121" s="224" t="s">
        <v>490</v>
      </c>
      <c r="AE1121" s="224" t="s">
        <v>217</v>
      </c>
      <c r="AF1121">
        <f ca="1">OFFSET('Calculations 2'!$CE$45,W1121,0)*OFFSET($AA$6,X1121,0)*OFFSET($N$6,W1121,)</f>
        <v>0</v>
      </c>
      <c r="AY1121" s="224" t="s">
        <v>473</v>
      </c>
      <c r="AZ1121" s="224" t="s">
        <v>490</v>
      </c>
      <c r="BA1121" s="224" t="s">
        <v>217</v>
      </c>
      <c r="BB1121">
        <v>0</v>
      </c>
      <c r="BE1121" s="224" t="s">
        <v>473</v>
      </c>
      <c r="BF1121" s="224" t="s">
        <v>490</v>
      </c>
      <c r="BG1121" s="224" t="s">
        <v>217</v>
      </c>
      <c r="BH1121">
        <v>0</v>
      </c>
    </row>
    <row r="1122" spans="17:60">
      <c r="Q1122" s="224" t="s">
        <v>233</v>
      </c>
      <c r="R1122" s="224" t="s">
        <v>490</v>
      </c>
      <c r="S1122" s="224" t="s">
        <v>217</v>
      </c>
      <c r="T1122" s="224">
        <f ca="1">OFFSET('Calculations 2'!$C$45,W1122,X1122)*OFFSET($N$6,W1122,0)</f>
        <v>0.15416451616606403</v>
      </c>
      <c r="V1122">
        <f t="shared" si="53"/>
        <v>27</v>
      </c>
      <c r="W1122">
        <f t="shared" si="54"/>
        <v>27</v>
      </c>
      <c r="X1122">
        <f t="shared" si="55"/>
        <v>0</v>
      </c>
      <c r="AC1122" s="224" t="s">
        <v>233</v>
      </c>
      <c r="AD1122" s="224" t="s">
        <v>490</v>
      </c>
      <c r="AE1122" s="224" t="s">
        <v>217</v>
      </c>
      <c r="AF1122">
        <f ca="1">OFFSET('Calculations 2'!$CE$45,W1122,0)*OFFSET($AA$6,X1122,0)*OFFSET($N$6,W1122,)</f>
        <v>0</v>
      </c>
      <c r="AY1122" s="224" t="s">
        <v>233</v>
      </c>
      <c r="AZ1122" s="224" t="s">
        <v>490</v>
      </c>
      <c r="BA1122" s="224" t="s">
        <v>217</v>
      </c>
      <c r="BB1122">
        <v>0</v>
      </c>
      <c r="BE1122" s="224" t="s">
        <v>233</v>
      </c>
      <c r="BF1122" s="224" t="s">
        <v>490</v>
      </c>
      <c r="BG1122" s="224" t="s">
        <v>217</v>
      </c>
      <c r="BH1122">
        <v>0</v>
      </c>
    </row>
    <row r="1123" spans="17:60">
      <c r="Q1123" s="224" t="s">
        <v>474</v>
      </c>
      <c r="R1123" s="224" t="s">
        <v>490</v>
      </c>
      <c r="S1123" s="224" t="s">
        <v>217</v>
      </c>
      <c r="T1123" s="224">
        <f ca="1">OFFSET('Calculations 2'!$C$45,W1123,X1123)*OFFSET($N$6,W1123,0)</f>
        <v>0</v>
      </c>
      <c r="V1123">
        <f t="shared" si="53"/>
        <v>28</v>
      </c>
      <c r="W1123">
        <f t="shared" si="54"/>
        <v>28</v>
      </c>
      <c r="X1123">
        <f t="shared" si="55"/>
        <v>0</v>
      </c>
      <c r="AC1123" s="224" t="s">
        <v>474</v>
      </c>
      <c r="AD1123" s="224" t="s">
        <v>490</v>
      </c>
      <c r="AE1123" s="224" t="s">
        <v>217</v>
      </c>
      <c r="AF1123">
        <f ca="1">OFFSET('Calculations 2'!$CE$45,W1123,0)*OFFSET($AA$6,X1123,0)*OFFSET($N$6,W1123,)</f>
        <v>0</v>
      </c>
      <c r="AY1123" s="224" t="s">
        <v>474</v>
      </c>
      <c r="AZ1123" s="224" t="s">
        <v>490</v>
      </c>
      <c r="BA1123" s="224" t="s">
        <v>217</v>
      </c>
      <c r="BB1123">
        <v>0</v>
      </c>
      <c r="BE1123" s="224" t="s">
        <v>474</v>
      </c>
      <c r="BF1123" s="224" t="s">
        <v>490</v>
      </c>
      <c r="BG1123" s="224" t="s">
        <v>217</v>
      </c>
      <c r="BH1123">
        <v>0</v>
      </c>
    </row>
    <row r="1124" spans="17:60">
      <c r="Q1124" s="224" t="s">
        <v>223</v>
      </c>
      <c r="R1124" s="224" t="s">
        <v>490</v>
      </c>
      <c r="S1124" s="224" t="s">
        <v>217</v>
      </c>
      <c r="T1124" s="224">
        <f ca="1">OFFSET('Calculations 2'!$C$45,W1124,X1124)*OFFSET($N$6,W1124,0)</f>
        <v>0</v>
      </c>
      <c r="V1124">
        <f t="shared" si="53"/>
        <v>29</v>
      </c>
      <c r="W1124">
        <f t="shared" si="54"/>
        <v>29</v>
      </c>
      <c r="X1124">
        <f t="shared" si="55"/>
        <v>0</v>
      </c>
      <c r="AC1124" s="224" t="s">
        <v>223</v>
      </c>
      <c r="AD1124" s="224" t="s">
        <v>490</v>
      </c>
      <c r="AE1124" s="224" t="s">
        <v>217</v>
      </c>
      <c r="AF1124">
        <f ca="1">OFFSET('Calculations 2'!$CE$45,W1124,0)*OFFSET($AA$6,X1124,0)*OFFSET($N$6,W1124,)</f>
        <v>0</v>
      </c>
      <c r="AY1124" s="224" t="s">
        <v>223</v>
      </c>
      <c r="AZ1124" s="224" t="s">
        <v>490</v>
      </c>
      <c r="BA1124" s="224" t="s">
        <v>217</v>
      </c>
      <c r="BB1124">
        <v>0</v>
      </c>
      <c r="BE1124" s="224" t="s">
        <v>223</v>
      </c>
      <c r="BF1124" s="224" t="s">
        <v>490</v>
      </c>
      <c r="BG1124" s="224" t="s">
        <v>217</v>
      </c>
      <c r="BH1124">
        <v>0</v>
      </c>
    </row>
    <row r="1125" spans="17:60">
      <c r="Q1125" s="224" t="s">
        <v>475</v>
      </c>
      <c r="R1125" s="224" t="s">
        <v>490</v>
      </c>
      <c r="S1125" s="224" t="s">
        <v>217</v>
      </c>
      <c r="T1125" s="224">
        <f ca="1">OFFSET('Calculations 2'!$C$45,W1125,X1125)*OFFSET($N$6,W1125,0)</f>
        <v>0</v>
      </c>
      <c r="V1125">
        <f t="shared" si="53"/>
        <v>30</v>
      </c>
      <c r="W1125">
        <f t="shared" si="54"/>
        <v>30</v>
      </c>
      <c r="X1125">
        <f t="shared" si="55"/>
        <v>0</v>
      </c>
      <c r="AC1125" s="224" t="s">
        <v>475</v>
      </c>
      <c r="AD1125" s="224" t="s">
        <v>490</v>
      </c>
      <c r="AE1125" s="224" t="s">
        <v>217</v>
      </c>
      <c r="AF1125">
        <f ca="1">OFFSET('Calculations 2'!$CE$45,W1125,0)*OFFSET($AA$6,X1125,0)*OFFSET($N$6,W1125,)</f>
        <v>0</v>
      </c>
      <c r="AY1125" s="224" t="s">
        <v>475</v>
      </c>
      <c r="AZ1125" s="224" t="s">
        <v>490</v>
      </c>
      <c r="BA1125" s="224" t="s">
        <v>217</v>
      </c>
      <c r="BB1125">
        <v>0</v>
      </c>
      <c r="BE1125" s="224" t="s">
        <v>475</v>
      </c>
      <c r="BF1125" s="224" t="s">
        <v>490</v>
      </c>
      <c r="BG1125" s="224" t="s">
        <v>217</v>
      </c>
      <c r="BH1125">
        <v>0</v>
      </c>
    </row>
    <row r="1126" spans="17:60">
      <c r="Q1126" s="224" t="s">
        <v>476</v>
      </c>
      <c r="R1126" s="224" t="s">
        <v>490</v>
      </c>
      <c r="S1126" s="224" t="s">
        <v>217</v>
      </c>
      <c r="T1126" s="224">
        <f ca="1">OFFSET('Calculations 2'!$C$45,W1126,X1126)*OFFSET($N$6,W1126,0)</f>
        <v>0</v>
      </c>
      <c r="V1126">
        <f t="shared" si="53"/>
        <v>31</v>
      </c>
      <c r="W1126">
        <f t="shared" si="54"/>
        <v>31</v>
      </c>
      <c r="X1126">
        <f t="shared" si="55"/>
        <v>0</v>
      </c>
      <c r="AC1126" s="224" t="s">
        <v>476</v>
      </c>
      <c r="AD1126" s="224" t="s">
        <v>490</v>
      </c>
      <c r="AE1126" s="224" t="s">
        <v>217</v>
      </c>
      <c r="AF1126">
        <f ca="1">OFFSET('Calculations 2'!$CE$45,W1126,0)*OFFSET($AA$6,X1126,0)*OFFSET($N$6,W1126,)</f>
        <v>0</v>
      </c>
      <c r="AY1126" s="224" t="s">
        <v>476</v>
      </c>
      <c r="AZ1126" s="224" t="s">
        <v>490</v>
      </c>
      <c r="BA1126" s="224" t="s">
        <v>217</v>
      </c>
      <c r="BB1126">
        <v>0</v>
      </c>
      <c r="BE1126" s="224" t="s">
        <v>476</v>
      </c>
      <c r="BF1126" s="224" t="s">
        <v>490</v>
      </c>
      <c r="BG1126" s="224" t="s">
        <v>217</v>
      </c>
      <c r="BH1126">
        <v>0</v>
      </c>
    </row>
    <row r="1127" spans="17:60">
      <c r="Q1127" s="224" t="s">
        <v>222</v>
      </c>
      <c r="R1127" s="224" t="s">
        <v>490</v>
      </c>
      <c r="S1127" s="224" t="s">
        <v>217</v>
      </c>
      <c r="T1127" s="224">
        <f ca="1">OFFSET('Calculations 2'!$C$45,W1127,X1127)*OFFSET($N$6,W1127,0)</f>
        <v>0</v>
      </c>
      <c r="V1127">
        <f t="shared" si="53"/>
        <v>32</v>
      </c>
      <c r="W1127">
        <f t="shared" si="54"/>
        <v>32</v>
      </c>
      <c r="X1127">
        <f t="shared" si="55"/>
        <v>0</v>
      </c>
      <c r="AC1127" s="224" t="s">
        <v>222</v>
      </c>
      <c r="AD1127" s="224" t="s">
        <v>490</v>
      </c>
      <c r="AE1127" s="224" t="s">
        <v>217</v>
      </c>
      <c r="AF1127">
        <f ca="1">OFFSET('Calculations 2'!$CE$45,W1127,0)*OFFSET($AA$6,X1127,0)*OFFSET($N$6,W1127,)</f>
        <v>0</v>
      </c>
      <c r="AY1127" s="224" t="s">
        <v>222</v>
      </c>
      <c r="AZ1127" s="224" t="s">
        <v>490</v>
      </c>
      <c r="BA1127" s="224" t="s">
        <v>217</v>
      </c>
      <c r="BB1127">
        <v>0</v>
      </c>
      <c r="BE1127" s="224" t="s">
        <v>222</v>
      </c>
      <c r="BF1127" s="224" t="s">
        <v>490</v>
      </c>
      <c r="BG1127" s="224" t="s">
        <v>217</v>
      </c>
      <c r="BH1127">
        <v>0</v>
      </c>
    </row>
    <row r="1128" spans="17:60">
      <c r="Q1128" s="224" t="s">
        <v>217</v>
      </c>
      <c r="R1128" s="224" t="s">
        <v>490</v>
      </c>
      <c r="S1128" s="224" t="s">
        <v>232</v>
      </c>
      <c r="T1128" s="224">
        <f ca="1">OFFSET('Calculations 2'!$C$45,W1128,X1128)*OFFSET($N$6,W1128,0)</f>
        <v>0</v>
      </c>
      <c r="V1128">
        <f t="shared" si="53"/>
        <v>33</v>
      </c>
      <c r="W1128">
        <f t="shared" si="54"/>
        <v>0</v>
      </c>
      <c r="X1128">
        <f t="shared" si="55"/>
        <v>1</v>
      </c>
      <c r="AC1128" s="224" t="s">
        <v>217</v>
      </c>
      <c r="AD1128" s="224" t="s">
        <v>490</v>
      </c>
      <c r="AE1128" s="224" t="s">
        <v>232</v>
      </c>
      <c r="AF1128">
        <f ca="1">OFFSET('Calculations 2'!$CE$45,W1128,0)*OFFSET($AA$6,X1128,0)*OFFSET($N$6,W1128,)</f>
        <v>8.9630750156850976</v>
      </c>
      <c r="AY1128" s="224" t="s">
        <v>217</v>
      </c>
      <c r="AZ1128" s="224" t="s">
        <v>490</v>
      </c>
      <c r="BA1128" s="224" t="s">
        <v>232</v>
      </c>
      <c r="BB1128">
        <v>0</v>
      </c>
      <c r="BE1128" s="224" t="s">
        <v>217</v>
      </c>
      <c r="BF1128" s="224" t="s">
        <v>490</v>
      </c>
      <c r="BG1128" s="224" t="s">
        <v>232</v>
      </c>
      <c r="BH1128">
        <v>0</v>
      </c>
    </row>
    <row r="1129" spans="17:60">
      <c r="Q1129" s="224" t="s">
        <v>232</v>
      </c>
      <c r="R1129" s="224" t="s">
        <v>490</v>
      </c>
      <c r="S1129" s="224" t="s">
        <v>232</v>
      </c>
      <c r="T1129" s="224">
        <f ca="1">OFFSET('Calculations 2'!$C$45,W1129,X1129)*OFFSET($N$6,W1129,0)</f>
        <v>603.58854957457311</v>
      </c>
      <c r="V1129">
        <f t="shared" si="53"/>
        <v>34</v>
      </c>
      <c r="W1129">
        <f t="shared" si="54"/>
        <v>1</v>
      </c>
      <c r="X1129">
        <f t="shared" si="55"/>
        <v>1</v>
      </c>
      <c r="AC1129" s="224" t="s">
        <v>232</v>
      </c>
      <c r="AD1129" s="224" t="s">
        <v>490</v>
      </c>
      <c r="AE1129" s="224" t="s">
        <v>232</v>
      </c>
      <c r="AF1129">
        <f ca="1">OFFSET('Calculations 2'!$CE$45,W1129,0)*OFFSET($AA$6,X1129,0)*OFFSET($N$6,W1129,)</f>
        <v>14.140431745896112</v>
      </c>
      <c r="AY1129" s="224" t="s">
        <v>232</v>
      </c>
      <c r="AZ1129" s="224" t="s">
        <v>490</v>
      </c>
      <c r="BA1129" s="224" t="s">
        <v>232</v>
      </c>
      <c r="BB1129">
        <v>0</v>
      </c>
      <c r="BE1129" s="224" t="s">
        <v>232</v>
      </c>
      <c r="BF1129" s="224" t="s">
        <v>490</v>
      </c>
      <c r="BG1129" s="224" t="s">
        <v>232</v>
      </c>
      <c r="BH1129">
        <v>0</v>
      </c>
    </row>
    <row r="1130" spans="17:60">
      <c r="Q1130" s="224" t="s">
        <v>226</v>
      </c>
      <c r="R1130" s="224" t="s">
        <v>490</v>
      </c>
      <c r="S1130" s="224" t="s">
        <v>232</v>
      </c>
      <c r="T1130" s="224">
        <f ca="1">OFFSET('Calculations 2'!$C$45,W1130,X1130)*OFFSET($N$6,W1130,0)</f>
        <v>0</v>
      </c>
      <c r="V1130">
        <f t="shared" si="53"/>
        <v>35</v>
      </c>
      <c r="W1130">
        <f t="shared" si="54"/>
        <v>2</v>
      </c>
      <c r="X1130">
        <f t="shared" si="55"/>
        <v>1</v>
      </c>
      <c r="AC1130" s="224" t="s">
        <v>226</v>
      </c>
      <c r="AD1130" s="224" t="s">
        <v>490</v>
      </c>
      <c r="AE1130" s="224" t="s">
        <v>232</v>
      </c>
      <c r="AF1130">
        <f ca="1">OFFSET('Calculations 2'!$CE$45,W1130,0)*OFFSET($AA$6,X1130,0)*OFFSET($N$6,W1130,)</f>
        <v>3.5383690295464918</v>
      </c>
      <c r="AY1130" s="224" t="s">
        <v>226</v>
      </c>
      <c r="AZ1130" s="224" t="s">
        <v>490</v>
      </c>
      <c r="BA1130" s="224" t="s">
        <v>232</v>
      </c>
      <c r="BB1130">
        <v>0</v>
      </c>
      <c r="BE1130" s="224" t="s">
        <v>226</v>
      </c>
      <c r="BF1130" s="224" t="s">
        <v>490</v>
      </c>
      <c r="BG1130" s="224" t="s">
        <v>232</v>
      </c>
      <c r="BH1130">
        <v>0</v>
      </c>
    </row>
    <row r="1131" spans="17:60">
      <c r="Q1131" s="224" t="s">
        <v>243</v>
      </c>
      <c r="R1131" s="224" t="s">
        <v>490</v>
      </c>
      <c r="S1131" s="224" t="s">
        <v>232</v>
      </c>
      <c r="T1131" s="224">
        <f ca="1">OFFSET('Calculations 2'!$C$45,W1131,X1131)*OFFSET($N$6,W1131,0)</f>
        <v>0</v>
      </c>
      <c r="V1131">
        <f t="shared" si="53"/>
        <v>36</v>
      </c>
      <c r="W1131">
        <f t="shared" si="54"/>
        <v>3</v>
      </c>
      <c r="X1131">
        <f t="shared" si="55"/>
        <v>1</v>
      </c>
      <c r="AC1131" s="224" t="s">
        <v>243</v>
      </c>
      <c r="AD1131" s="224" t="s">
        <v>490</v>
      </c>
      <c r="AE1131" s="224" t="s">
        <v>232</v>
      </c>
      <c r="AF1131">
        <f ca="1">OFFSET('Calculations 2'!$CE$45,W1131,0)*OFFSET($AA$6,X1131,0)*OFFSET($N$6,W1131,)</f>
        <v>69.437028210395269</v>
      </c>
      <c r="AY1131" s="224" t="s">
        <v>243</v>
      </c>
      <c r="AZ1131" s="224" t="s">
        <v>490</v>
      </c>
      <c r="BA1131" s="224" t="s">
        <v>232</v>
      </c>
      <c r="BB1131">
        <v>0</v>
      </c>
      <c r="BE1131" s="224" t="s">
        <v>243</v>
      </c>
      <c r="BF1131" s="224" t="s">
        <v>490</v>
      </c>
      <c r="BG1131" s="224" t="s">
        <v>232</v>
      </c>
      <c r="BH1131">
        <v>0</v>
      </c>
    </row>
    <row r="1132" spans="17:60">
      <c r="Q1132" s="224" t="s">
        <v>228</v>
      </c>
      <c r="R1132" s="224" t="s">
        <v>490</v>
      </c>
      <c r="S1132" s="224" t="s">
        <v>232</v>
      </c>
      <c r="T1132" s="224">
        <f ca="1">OFFSET('Calculations 2'!$C$45,W1132,X1132)*OFFSET($N$6,W1132,0)</f>
        <v>0</v>
      </c>
      <c r="V1132">
        <f t="shared" si="53"/>
        <v>37</v>
      </c>
      <c r="W1132">
        <f t="shared" si="54"/>
        <v>4</v>
      </c>
      <c r="X1132">
        <f t="shared" si="55"/>
        <v>1</v>
      </c>
      <c r="AC1132" s="224" t="s">
        <v>228</v>
      </c>
      <c r="AD1132" s="224" t="s">
        <v>490</v>
      </c>
      <c r="AE1132" s="224" t="s">
        <v>232</v>
      </c>
      <c r="AF1132">
        <f ca="1">OFFSET('Calculations 2'!$CE$45,W1132,0)*OFFSET($AA$6,X1132,0)*OFFSET($N$6,W1132,)</f>
        <v>36.18845928366386</v>
      </c>
      <c r="AY1132" s="224" t="s">
        <v>228</v>
      </c>
      <c r="AZ1132" s="224" t="s">
        <v>490</v>
      </c>
      <c r="BA1132" s="224" t="s">
        <v>232</v>
      </c>
      <c r="BB1132">
        <v>0</v>
      </c>
      <c r="BE1132" s="224" t="s">
        <v>228</v>
      </c>
      <c r="BF1132" s="224" t="s">
        <v>490</v>
      </c>
      <c r="BG1132" s="224" t="s">
        <v>232</v>
      </c>
      <c r="BH1132">
        <v>0</v>
      </c>
    </row>
    <row r="1133" spans="17:60">
      <c r="Q1133" s="224" t="s">
        <v>246</v>
      </c>
      <c r="R1133" s="224" t="s">
        <v>490</v>
      </c>
      <c r="S1133" s="224" t="s">
        <v>232</v>
      </c>
      <c r="T1133" s="224">
        <f ca="1">OFFSET('Calculations 2'!$C$45,W1133,X1133)*OFFSET($N$6,W1133,0)</f>
        <v>0</v>
      </c>
      <c r="V1133">
        <f t="shared" si="53"/>
        <v>38</v>
      </c>
      <c r="W1133">
        <f t="shared" si="54"/>
        <v>5</v>
      </c>
      <c r="X1133">
        <f t="shared" si="55"/>
        <v>1</v>
      </c>
      <c r="AC1133" s="224" t="s">
        <v>246</v>
      </c>
      <c r="AD1133" s="224" t="s">
        <v>490</v>
      </c>
      <c r="AE1133" s="224" t="s">
        <v>232</v>
      </c>
      <c r="AF1133">
        <f ca="1">OFFSET('Calculations 2'!$CE$45,W1133,0)*OFFSET($AA$6,X1133,0)*OFFSET($N$6,W1133,)</f>
        <v>0.64774598907834258</v>
      </c>
      <c r="AY1133" s="224" t="s">
        <v>246</v>
      </c>
      <c r="AZ1133" s="224" t="s">
        <v>490</v>
      </c>
      <c r="BA1133" s="224" t="s">
        <v>232</v>
      </c>
      <c r="BB1133">
        <v>0</v>
      </c>
      <c r="BE1133" s="224" t="s">
        <v>246</v>
      </c>
      <c r="BF1133" s="224" t="s">
        <v>490</v>
      </c>
      <c r="BG1133" s="224" t="s">
        <v>232</v>
      </c>
      <c r="BH1133">
        <v>0</v>
      </c>
    </row>
    <row r="1134" spans="17:60">
      <c r="Q1134" s="224" t="s">
        <v>239</v>
      </c>
      <c r="R1134" s="224" t="s">
        <v>490</v>
      </c>
      <c r="S1134" s="224" t="s">
        <v>232</v>
      </c>
      <c r="T1134" s="224">
        <f ca="1">OFFSET('Calculations 2'!$C$45,W1134,X1134)*OFFSET($N$6,W1134,0)</f>
        <v>0</v>
      </c>
      <c r="V1134">
        <f t="shared" si="53"/>
        <v>39</v>
      </c>
      <c r="W1134">
        <f t="shared" si="54"/>
        <v>6</v>
      </c>
      <c r="X1134">
        <f t="shared" si="55"/>
        <v>1</v>
      </c>
      <c r="AC1134" s="224" t="s">
        <v>239</v>
      </c>
      <c r="AD1134" s="224" t="s">
        <v>490</v>
      </c>
      <c r="AE1134" s="224" t="s">
        <v>232</v>
      </c>
      <c r="AF1134">
        <f ca="1">OFFSET('Calculations 2'!$CE$45,W1134,0)*OFFSET($AA$6,X1134,0)*OFFSET($N$6,W1134,)</f>
        <v>9.3274898645988831</v>
      </c>
      <c r="AY1134" s="224" t="s">
        <v>239</v>
      </c>
      <c r="AZ1134" s="224" t="s">
        <v>490</v>
      </c>
      <c r="BA1134" s="224" t="s">
        <v>232</v>
      </c>
      <c r="BB1134">
        <v>0</v>
      </c>
      <c r="BE1134" s="224" t="s">
        <v>239</v>
      </c>
      <c r="BF1134" s="224" t="s">
        <v>490</v>
      </c>
      <c r="BG1134" s="224" t="s">
        <v>232</v>
      </c>
      <c r="BH1134">
        <v>0</v>
      </c>
    </row>
    <row r="1135" spans="17:60">
      <c r="Q1135" s="224" t="s">
        <v>466</v>
      </c>
      <c r="R1135" s="224" t="s">
        <v>490</v>
      </c>
      <c r="S1135" s="224" t="s">
        <v>232</v>
      </c>
      <c r="T1135" s="224">
        <f ca="1">OFFSET('Calculations 2'!$C$45,W1135,X1135)*OFFSET($N$6,W1135,0)</f>
        <v>313.28818853291824</v>
      </c>
      <c r="V1135">
        <f t="shared" si="53"/>
        <v>40</v>
      </c>
      <c r="W1135">
        <f t="shared" si="54"/>
        <v>7</v>
      </c>
      <c r="X1135">
        <f t="shared" si="55"/>
        <v>1</v>
      </c>
      <c r="AC1135" s="224" t="s">
        <v>466</v>
      </c>
      <c r="AD1135" s="224" t="s">
        <v>490</v>
      </c>
      <c r="AE1135" s="224" t="s">
        <v>232</v>
      </c>
      <c r="AF1135">
        <f ca="1">OFFSET('Calculations 2'!$CE$45,W1135,0)*OFFSET($AA$6,X1135,0)*OFFSET($N$6,W1135,)</f>
        <v>2.3487709041200544</v>
      </c>
      <c r="AY1135" s="224" t="s">
        <v>466</v>
      </c>
      <c r="AZ1135" s="224" t="s">
        <v>490</v>
      </c>
      <c r="BA1135" s="224" t="s">
        <v>232</v>
      </c>
      <c r="BB1135">
        <v>0</v>
      </c>
      <c r="BE1135" s="224" t="s">
        <v>466</v>
      </c>
      <c r="BF1135" s="224" t="s">
        <v>490</v>
      </c>
      <c r="BG1135" s="224" t="s">
        <v>232</v>
      </c>
      <c r="BH1135">
        <v>0</v>
      </c>
    </row>
    <row r="1136" spans="17:60">
      <c r="Q1136" s="224" t="s">
        <v>219</v>
      </c>
      <c r="R1136" s="224" t="s">
        <v>490</v>
      </c>
      <c r="S1136" s="224" t="s">
        <v>232</v>
      </c>
      <c r="T1136" s="224">
        <f ca="1">OFFSET('Calculations 2'!$C$45,W1136,X1136)*OFFSET($N$6,W1136,0)</f>
        <v>0</v>
      </c>
      <c r="V1136">
        <f t="shared" si="53"/>
        <v>41</v>
      </c>
      <c r="W1136">
        <f t="shared" si="54"/>
        <v>8</v>
      </c>
      <c r="X1136">
        <f t="shared" si="55"/>
        <v>1</v>
      </c>
      <c r="AC1136" s="224" t="s">
        <v>219</v>
      </c>
      <c r="AD1136" s="224" t="s">
        <v>490</v>
      </c>
      <c r="AE1136" s="224" t="s">
        <v>232</v>
      </c>
      <c r="AF1136">
        <f ca="1">OFFSET('Calculations 2'!$CE$45,W1136,0)*OFFSET($AA$6,X1136,0)*OFFSET($N$6,W1136,)</f>
        <v>32.197739651634677</v>
      </c>
      <c r="AY1136" s="224" t="s">
        <v>219</v>
      </c>
      <c r="AZ1136" s="224" t="s">
        <v>490</v>
      </c>
      <c r="BA1136" s="224" t="s">
        <v>232</v>
      </c>
      <c r="BB1136">
        <v>0</v>
      </c>
      <c r="BE1136" s="224" t="s">
        <v>219</v>
      </c>
      <c r="BF1136" s="224" t="s">
        <v>490</v>
      </c>
      <c r="BG1136" s="224" t="s">
        <v>232</v>
      </c>
      <c r="BH1136">
        <v>0</v>
      </c>
    </row>
    <row r="1137" spans="17:60">
      <c r="Q1137" s="224" t="s">
        <v>242</v>
      </c>
      <c r="R1137" s="224" t="s">
        <v>490</v>
      </c>
      <c r="S1137" s="224" t="s">
        <v>232</v>
      </c>
      <c r="T1137" s="224">
        <f ca="1">OFFSET('Calculations 2'!$C$45,W1137,X1137)*OFFSET($N$6,W1137,0)</f>
        <v>0</v>
      </c>
      <c r="V1137">
        <f t="shared" si="53"/>
        <v>42</v>
      </c>
      <c r="W1137">
        <f t="shared" si="54"/>
        <v>9</v>
      </c>
      <c r="X1137">
        <f t="shared" si="55"/>
        <v>1</v>
      </c>
      <c r="AC1137" s="224" t="s">
        <v>242</v>
      </c>
      <c r="AD1137" s="224" t="s">
        <v>490</v>
      </c>
      <c r="AE1137" s="224" t="s">
        <v>232</v>
      </c>
      <c r="AF1137">
        <f ca="1">OFFSET('Calculations 2'!$CE$45,W1137,0)*OFFSET($AA$6,X1137,0)*OFFSET($N$6,W1137,)</f>
        <v>24.65918882189121</v>
      </c>
      <c r="AY1137" s="224" t="s">
        <v>242</v>
      </c>
      <c r="AZ1137" s="224" t="s">
        <v>490</v>
      </c>
      <c r="BA1137" s="224" t="s">
        <v>232</v>
      </c>
      <c r="BB1137">
        <v>0</v>
      </c>
      <c r="BE1137" s="224" t="s">
        <v>242</v>
      </c>
      <c r="BF1137" s="224" t="s">
        <v>490</v>
      </c>
      <c r="BG1137" s="224" t="s">
        <v>232</v>
      </c>
      <c r="BH1137">
        <v>0</v>
      </c>
    </row>
    <row r="1138" spans="17:60">
      <c r="Q1138" s="224" t="s">
        <v>467</v>
      </c>
      <c r="R1138" s="224" t="s">
        <v>490</v>
      </c>
      <c r="S1138" s="224" t="s">
        <v>232</v>
      </c>
      <c r="T1138" s="224">
        <f ca="1">OFFSET('Calculations 2'!$C$45,W1138,X1138)*OFFSET($N$6,W1138,0)</f>
        <v>0</v>
      </c>
      <c r="V1138">
        <f t="shared" si="53"/>
        <v>43</v>
      </c>
      <c r="W1138">
        <f t="shared" si="54"/>
        <v>10</v>
      </c>
      <c r="X1138">
        <f t="shared" si="55"/>
        <v>1</v>
      </c>
      <c r="AC1138" s="224" t="s">
        <v>467</v>
      </c>
      <c r="AD1138" s="224" t="s">
        <v>490</v>
      </c>
      <c r="AE1138" s="224" t="s">
        <v>232</v>
      </c>
      <c r="AF1138">
        <f ca="1">OFFSET('Calculations 2'!$CE$45,W1138,0)*OFFSET($AA$6,X1138,0)*OFFSET($N$6,W1138,)</f>
        <v>9.3085318897733593</v>
      </c>
      <c r="AY1138" s="224" t="s">
        <v>467</v>
      </c>
      <c r="AZ1138" s="224" t="s">
        <v>490</v>
      </c>
      <c r="BA1138" s="224" t="s">
        <v>232</v>
      </c>
      <c r="BB1138">
        <v>0</v>
      </c>
      <c r="BE1138" s="224" t="s">
        <v>467</v>
      </c>
      <c r="BF1138" s="224" t="s">
        <v>490</v>
      </c>
      <c r="BG1138" s="224" t="s">
        <v>232</v>
      </c>
      <c r="BH1138">
        <v>0</v>
      </c>
    </row>
    <row r="1139" spans="17:60">
      <c r="Q1139" s="224" t="s">
        <v>231</v>
      </c>
      <c r="R1139" s="224" t="s">
        <v>490</v>
      </c>
      <c r="S1139" s="224" t="s">
        <v>232</v>
      </c>
      <c r="T1139" s="224">
        <f ca="1">OFFSET('Calculations 2'!$C$45,W1139,X1139)*OFFSET($N$6,W1139,0)</f>
        <v>0</v>
      </c>
      <c r="V1139">
        <f t="shared" si="53"/>
        <v>44</v>
      </c>
      <c r="W1139">
        <f t="shared" si="54"/>
        <v>11</v>
      </c>
      <c r="X1139">
        <f t="shared" si="55"/>
        <v>1</v>
      </c>
      <c r="AC1139" s="224" t="s">
        <v>231</v>
      </c>
      <c r="AD1139" s="224" t="s">
        <v>490</v>
      </c>
      <c r="AE1139" s="224" t="s">
        <v>232</v>
      </c>
      <c r="AF1139">
        <f ca="1">OFFSET('Calculations 2'!$CE$45,W1139,0)*OFFSET($AA$6,X1139,0)*OFFSET($N$6,W1139,)</f>
        <v>116.5161869912575</v>
      </c>
      <c r="AY1139" s="224" t="s">
        <v>231</v>
      </c>
      <c r="AZ1139" s="224" t="s">
        <v>490</v>
      </c>
      <c r="BA1139" s="224" t="s">
        <v>232</v>
      </c>
      <c r="BB1139">
        <v>0</v>
      </c>
      <c r="BE1139" s="224" t="s">
        <v>231</v>
      </c>
      <c r="BF1139" s="224" t="s">
        <v>490</v>
      </c>
      <c r="BG1139" s="224" t="s">
        <v>232</v>
      </c>
      <c r="BH1139">
        <v>0</v>
      </c>
    </row>
    <row r="1140" spans="17:60">
      <c r="Q1140" s="224" t="s">
        <v>468</v>
      </c>
      <c r="R1140" s="224" t="s">
        <v>490</v>
      </c>
      <c r="S1140" s="224" t="s">
        <v>232</v>
      </c>
      <c r="T1140" s="224">
        <f ca="1">OFFSET('Calculations 2'!$C$45,W1140,X1140)*OFFSET($N$6,W1140,0)</f>
        <v>0</v>
      </c>
      <c r="V1140">
        <f t="shared" si="53"/>
        <v>45</v>
      </c>
      <c r="W1140">
        <f t="shared" si="54"/>
        <v>12</v>
      </c>
      <c r="X1140">
        <f t="shared" si="55"/>
        <v>1</v>
      </c>
      <c r="AC1140" s="224" t="s">
        <v>468</v>
      </c>
      <c r="AD1140" s="224" t="s">
        <v>490</v>
      </c>
      <c r="AE1140" s="224" t="s">
        <v>232</v>
      </c>
      <c r="AF1140">
        <f ca="1">OFFSET('Calculations 2'!$CE$45,W1140,0)*OFFSET($AA$6,X1140,0)*OFFSET($N$6,W1140,)</f>
        <v>446.34693498928056</v>
      </c>
      <c r="AY1140" s="224" t="s">
        <v>468</v>
      </c>
      <c r="AZ1140" s="224" t="s">
        <v>490</v>
      </c>
      <c r="BA1140" s="224" t="s">
        <v>232</v>
      </c>
      <c r="BB1140">
        <v>0</v>
      </c>
      <c r="BE1140" s="224" t="s">
        <v>468</v>
      </c>
      <c r="BF1140" s="224" t="s">
        <v>490</v>
      </c>
      <c r="BG1140" s="224" t="s">
        <v>232</v>
      </c>
      <c r="BH1140">
        <v>0</v>
      </c>
    </row>
    <row r="1141" spans="17:60">
      <c r="Q1141" s="224" t="s">
        <v>469</v>
      </c>
      <c r="R1141" s="224" t="s">
        <v>490</v>
      </c>
      <c r="S1141" s="224" t="s">
        <v>232</v>
      </c>
      <c r="T1141" s="224">
        <f ca="1">OFFSET('Calculations 2'!$C$45,W1141,X1141)*OFFSET($N$6,W1141,0)</f>
        <v>0</v>
      </c>
      <c r="V1141">
        <f t="shared" si="53"/>
        <v>46</v>
      </c>
      <c r="W1141">
        <f t="shared" si="54"/>
        <v>13</v>
      </c>
      <c r="X1141">
        <f t="shared" si="55"/>
        <v>1</v>
      </c>
      <c r="AC1141" s="224" t="s">
        <v>469</v>
      </c>
      <c r="AD1141" s="224" t="s">
        <v>490</v>
      </c>
      <c r="AE1141" s="224" t="s">
        <v>232</v>
      </c>
      <c r="AF1141">
        <f ca="1">OFFSET('Calculations 2'!$CE$45,W1141,0)*OFFSET($AA$6,X1141,0)*OFFSET($N$6,W1141,)</f>
        <v>239.31761071600877</v>
      </c>
      <c r="AY1141" s="224" t="s">
        <v>469</v>
      </c>
      <c r="AZ1141" s="224" t="s">
        <v>490</v>
      </c>
      <c r="BA1141" s="224" t="s">
        <v>232</v>
      </c>
      <c r="BB1141">
        <v>0</v>
      </c>
      <c r="BE1141" s="224" t="s">
        <v>469</v>
      </c>
      <c r="BF1141" s="224" t="s">
        <v>490</v>
      </c>
      <c r="BG1141" s="224" t="s">
        <v>232</v>
      </c>
      <c r="BH1141">
        <v>0</v>
      </c>
    </row>
    <row r="1142" spans="17:60">
      <c r="Q1142" s="224" t="s">
        <v>245</v>
      </c>
      <c r="R1142" s="224" t="s">
        <v>490</v>
      </c>
      <c r="S1142" s="224" t="s">
        <v>232</v>
      </c>
      <c r="T1142" s="224">
        <f ca="1">OFFSET('Calculations 2'!$C$45,W1142,X1142)*OFFSET($N$6,W1142,0)</f>
        <v>0</v>
      </c>
      <c r="V1142">
        <f t="shared" si="53"/>
        <v>47</v>
      </c>
      <c r="W1142">
        <f t="shared" si="54"/>
        <v>14</v>
      </c>
      <c r="X1142">
        <f t="shared" si="55"/>
        <v>1</v>
      </c>
      <c r="AC1142" s="224" t="s">
        <v>245</v>
      </c>
      <c r="AD1142" s="224" t="s">
        <v>490</v>
      </c>
      <c r="AE1142" s="224" t="s">
        <v>232</v>
      </c>
      <c r="AF1142">
        <f ca="1">OFFSET('Calculations 2'!$CE$45,W1142,0)*OFFSET($AA$6,X1142,0)*OFFSET($N$6,W1142,)</f>
        <v>381.92398902517709</v>
      </c>
      <c r="AY1142" s="224" t="s">
        <v>245</v>
      </c>
      <c r="AZ1142" s="224" t="s">
        <v>490</v>
      </c>
      <c r="BA1142" s="224" t="s">
        <v>232</v>
      </c>
      <c r="BB1142">
        <v>0</v>
      </c>
      <c r="BE1142" s="224" t="s">
        <v>245</v>
      </c>
      <c r="BF1142" s="224" t="s">
        <v>490</v>
      </c>
      <c r="BG1142" s="224" t="s">
        <v>232</v>
      </c>
      <c r="BH1142">
        <v>0</v>
      </c>
    </row>
    <row r="1143" spans="17:60">
      <c r="Q1143" s="224" t="s">
        <v>470</v>
      </c>
      <c r="R1143" s="224" t="s">
        <v>490</v>
      </c>
      <c r="S1143" s="224" t="s">
        <v>232</v>
      </c>
      <c r="T1143" s="224">
        <f ca="1">OFFSET('Calculations 2'!$C$45,W1143,X1143)*OFFSET($N$6,W1143,0)</f>
        <v>33.903687126541151</v>
      </c>
      <c r="V1143">
        <f t="shared" si="53"/>
        <v>48</v>
      </c>
      <c r="W1143">
        <f t="shared" si="54"/>
        <v>15</v>
      </c>
      <c r="X1143">
        <f t="shared" si="55"/>
        <v>1</v>
      </c>
      <c r="AC1143" s="224" t="s">
        <v>470</v>
      </c>
      <c r="AD1143" s="224" t="s">
        <v>490</v>
      </c>
      <c r="AE1143" s="224" t="s">
        <v>232</v>
      </c>
      <c r="AF1143">
        <f ca="1">OFFSET('Calculations 2'!$CE$45,W1143,0)*OFFSET($AA$6,X1143,0)*OFFSET($N$6,W1143,)</f>
        <v>144.91520218015287</v>
      </c>
      <c r="AY1143" s="224" t="s">
        <v>470</v>
      </c>
      <c r="AZ1143" s="224" t="s">
        <v>490</v>
      </c>
      <c r="BA1143" s="224" t="s">
        <v>232</v>
      </c>
      <c r="BB1143">
        <v>0</v>
      </c>
      <c r="BE1143" s="224" t="s">
        <v>470</v>
      </c>
      <c r="BF1143" s="224" t="s">
        <v>490</v>
      </c>
      <c r="BG1143" s="224" t="s">
        <v>232</v>
      </c>
      <c r="BH1143">
        <v>0</v>
      </c>
    </row>
    <row r="1144" spans="17:60">
      <c r="Q1144" s="224" t="s">
        <v>471</v>
      </c>
      <c r="R1144" s="224" t="s">
        <v>490</v>
      </c>
      <c r="S1144" s="224" t="s">
        <v>232</v>
      </c>
      <c r="T1144" s="224">
        <f ca="1">OFFSET('Calculations 2'!$C$45,W1144,X1144)*OFFSET($N$6,W1144,0)</f>
        <v>1.2032187033417998</v>
      </c>
      <c r="V1144">
        <f t="shared" si="53"/>
        <v>49</v>
      </c>
      <c r="W1144">
        <f t="shared" si="54"/>
        <v>16</v>
      </c>
      <c r="X1144">
        <f t="shared" si="55"/>
        <v>1</v>
      </c>
      <c r="AC1144" s="224" t="s">
        <v>471</v>
      </c>
      <c r="AD1144" s="224" t="s">
        <v>490</v>
      </c>
      <c r="AE1144" s="224" t="s">
        <v>232</v>
      </c>
      <c r="AF1144">
        <f ca="1">OFFSET('Calculations 2'!$CE$45,W1144,0)*OFFSET($AA$6,X1144,0)*OFFSET($N$6,W1144,)</f>
        <v>0</v>
      </c>
      <c r="AY1144" s="224" t="s">
        <v>471</v>
      </c>
      <c r="AZ1144" s="224" t="s">
        <v>490</v>
      </c>
      <c r="BA1144" s="224" t="s">
        <v>232</v>
      </c>
      <c r="BB1144">
        <v>0</v>
      </c>
      <c r="BE1144" s="224" t="s">
        <v>471</v>
      </c>
      <c r="BF1144" s="224" t="s">
        <v>490</v>
      </c>
      <c r="BG1144" s="224" t="s">
        <v>232</v>
      </c>
      <c r="BH1144">
        <v>0</v>
      </c>
    </row>
    <row r="1145" spans="17:60">
      <c r="Q1145" s="224" t="s">
        <v>221</v>
      </c>
      <c r="R1145" s="224" t="s">
        <v>490</v>
      </c>
      <c r="S1145" s="224" t="s">
        <v>232</v>
      </c>
      <c r="T1145" s="224">
        <f ca="1">OFFSET('Calculations 2'!$C$45,W1145,X1145)*OFFSET($N$6,W1145,0)</f>
        <v>1.9398744150235665</v>
      </c>
      <c r="V1145">
        <f t="shared" si="53"/>
        <v>50</v>
      </c>
      <c r="W1145">
        <f t="shared" si="54"/>
        <v>17</v>
      </c>
      <c r="X1145">
        <f t="shared" si="55"/>
        <v>1</v>
      </c>
      <c r="AC1145" s="224" t="s">
        <v>221</v>
      </c>
      <c r="AD1145" s="224" t="s">
        <v>490</v>
      </c>
      <c r="AE1145" s="224" t="s">
        <v>232</v>
      </c>
      <c r="AF1145">
        <f ca="1">OFFSET('Calculations 2'!$CE$45,W1145,0)*OFFSET($AA$6,X1145,0)*OFFSET($N$6,W1145,)</f>
        <v>28.367985221838708</v>
      </c>
      <c r="AY1145" s="224" t="s">
        <v>221</v>
      </c>
      <c r="AZ1145" s="224" t="s">
        <v>490</v>
      </c>
      <c r="BA1145" s="224" t="s">
        <v>232</v>
      </c>
      <c r="BB1145">
        <v>0</v>
      </c>
      <c r="BE1145" s="224" t="s">
        <v>221</v>
      </c>
      <c r="BF1145" s="224" t="s">
        <v>490</v>
      </c>
      <c r="BG1145" s="224" t="s">
        <v>232</v>
      </c>
      <c r="BH1145">
        <v>0</v>
      </c>
    </row>
    <row r="1146" spans="17:60">
      <c r="Q1146" s="224" t="s">
        <v>244</v>
      </c>
      <c r="R1146" s="224" t="s">
        <v>490</v>
      </c>
      <c r="S1146" s="224" t="s">
        <v>232</v>
      </c>
      <c r="T1146" s="224">
        <f ca="1">OFFSET('Calculations 2'!$C$45,W1146,X1146)*OFFSET($N$6,W1146,0)</f>
        <v>2.8308251231463806</v>
      </c>
      <c r="V1146">
        <f t="shared" si="53"/>
        <v>51</v>
      </c>
      <c r="W1146">
        <f t="shared" si="54"/>
        <v>18</v>
      </c>
      <c r="X1146">
        <f t="shared" si="55"/>
        <v>1</v>
      </c>
      <c r="AC1146" s="224" t="s">
        <v>244</v>
      </c>
      <c r="AD1146" s="224" t="s">
        <v>490</v>
      </c>
      <c r="AE1146" s="224" t="s">
        <v>232</v>
      </c>
      <c r="AF1146">
        <f ca="1">OFFSET('Calculations 2'!$CE$45,W1146,0)*OFFSET($AA$6,X1146,0)*OFFSET($N$6,W1146,)</f>
        <v>2.4820061710657586</v>
      </c>
      <c r="AY1146" s="224" t="s">
        <v>244</v>
      </c>
      <c r="AZ1146" s="224" t="s">
        <v>490</v>
      </c>
      <c r="BA1146" s="224" t="s">
        <v>232</v>
      </c>
      <c r="BB1146">
        <v>0</v>
      </c>
      <c r="BE1146" s="224" t="s">
        <v>244</v>
      </c>
      <c r="BF1146" s="224" t="s">
        <v>490</v>
      </c>
      <c r="BG1146" s="224" t="s">
        <v>232</v>
      </c>
      <c r="BH1146">
        <v>0</v>
      </c>
    </row>
    <row r="1147" spans="17:60">
      <c r="Q1147" s="224" t="s">
        <v>472</v>
      </c>
      <c r="R1147" s="224" t="s">
        <v>490</v>
      </c>
      <c r="S1147" s="224" t="s">
        <v>232</v>
      </c>
      <c r="T1147" s="224">
        <f ca="1">OFFSET('Calculations 2'!$C$45,W1147,X1147)*OFFSET($N$6,W1147,0)</f>
        <v>0</v>
      </c>
      <c r="V1147">
        <f t="shared" si="53"/>
        <v>52</v>
      </c>
      <c r="W1147">
        <f t="shared" si="54"/>
        <v>19</v>
      </c>
      <c r="X1147">
        <f t="shared" si="55"/>
        <v>1</v>
      </c>
      <c r="AC1147" s="224" t="s">
        <v>472</v>
      </c>
      <c r="AD1147" s="224" t="s">
        <v>490</v>
      </c>
      <c r="AE1147" s="224" t="s">
        <v>232</v>
      </c>
      <c r="AF1147">
        <f ca="1">OFFSET('Calculations 2'!$CE$45,W1147,0)*OFFSET($AA$6,X1147,0)*OFFSET($N$6,W1147,)</f>
        <v>0</v>
      </c>
      <c r="AY1147" s="224" t="s">
        <v>472</v>
      </c>
      <c r="AZ1147" s="224" t="s">
        <v>490</v>
      </c>
      <c r="BA1147" s="224" t="s">
        <v>232</v>
      </c>
      <c r="BB1147">
        <v>0</v>
      </c>
      <c r="BE1147" s="224" t="s">
        <v>472</v>
      </c>
      <c r="BF1147" s="224" t="s">
        <v>490</v>
      </c>
      <c r="BG1147" s="224" t="s">
        <v>232</v>
      </c>
      <c r="BH1147">
        <v>0</v>
      </c>
    </row>
    <row r="1148" spans="17:60">
      <c r="Q1148" s="224" t="s">
        <v>238</v>
      </c>
      <c r="R1148" s="224" t="s">
        <v>490</v>
      </c>
      <c r="S1148" s="224" t="s">
        <v>232</v>
      </c>
      <c r="T1148" s="224">
        <f ca="1">OFFSET('Calculations 2'!$C$45,W1148,X1148)*OFFSET($N$6,W1148,0)</f>
        <v>5.4327322987405821E-2</v>
      </c>
      <c r="V1148">
        <f t="shared" si="53"/>
        <v>53</v>
      </c>
      <c r="W1148">
        <f t="shared" si="54"/>
        <v>20</v>
      </c>
      <c r="X1148">
        <f t="shared" si="55"/>
        <v>1</v>
      </c>
      <c r="AC1148" s="224" t="s">
        <v>238</v>
      </c>
      <c r="AD1148" s="224" t="s">
        <v>490</v>
      </c>
      <c r="AE1148" s="224" t="s">
        <v>232</v>
      </c>
      <c r="AF1148">
        <f ca="1">OFFSET('Calculations 2'!$CE$45,W1148,0)*OFFSET($AA$6,X1148,0)*OFFSET($N$6,W1148,)</f>
        <v>0</v>
      </c>
      <c r="AY1148" s="224" t="s">
        <v>238</v>
      </c>
      <c r="AZ1148" s="224" t="s">
        <v>490</v>
      </c>
      <c r="BA1148" s="224" t="s">
        <v>232</v>
      </c>
      <c r="BB1148">
        <v>0</v>
      </c>
      <c r="BE1148" s="224" t="s">
        <v>238</v>
      </c>
      <c r="BF1148" s="224" t="s">
        <v>490</v>
      </c>
      <c r="BG1148" s="224" t="s">
        <v>232</v>
      </c>
      <c r="BH1148">
        <v>0</v>
      </c>
    </row>
    <row r="1149" spans="17:60">
      <c r="Q1149" s="224" t="s">
        <v>247</v>
      </c>
      <c r="R1149" s="224" t="s">
        <v>490</v>
      </c>
      <c r="S1149" s="224" t="s">
        <v>232</v>
      </c>
      <c r="T1149" s="224">
        <f ca="1">OFFSET('Calculations 2'!$C$45,W1149,X1149)*OFFSET($N$6,W1149,0)</f>
        <v>0</v>
      </c>
      <c r="V1149">
        <f t="shared" si="53"/>
        <v>54</v>
      </c>
      <c r="W1149">
        <f t="shared" si="54"/>
        <v>21</v>
      </c>
      <c r="X1149">
        <f t="shared" si="55"/>
        <v>1</v>
      </c>
      <c r="AC1149" s="224" t="s">
        <v>247</v>
      </c>
      <c r="AD1149" s="224" t="s">
        <v>490</v>
      </c>
      <c r="AE1149" s="224" t="s">
        <v>232</v>
      </c>
      <c r="AF1149">
        <f ca="1">OFFSET('Calculations 2'!$CE$45,W1149,0)*OFFSET($AA$6,X1149,0)*OFFSET($N$6,W1149,)</f>
        <v>0</v>
      </c>
      <c r="AY1149" s="224" t="s">
        <v>247</v>
      </c>
      <c r="AZ1149" s="224" t="s">
        <v>490</v>
      </c>
      <c r="BA1149" s="224" t="s">
        <v>232</v>
      </c>
      <c r="BB1149">
        <v>0</v>
      </c>
      <c r="BE1149" s="224" t="s">
        <v>247</v>
      </c>
      <c r="BF1149" s="224" t="s">
        <v>490</v>
      </c>
      <c r="BG1149" s="224" t="s">
        <v>232</v>
      </c>
      <c r="BH1149">
        <v>0</v>
      </c>
    </row>
    <row r="1150" spans="17:60">
      <c r="Q1150" s="224" t="s">
        <v>218</v>
      </c>
      <c r="R1150" s="224" t="s">
        <v>490</v>
      </c>
      <c r="S1150" s="224" t="s">
        <v>232</v>
      </c>
      <c r="T1150" s="224">
        <f ca="1">OFFSET('Calculations 2'!$C$45,W1150,X1150)*OFFSET($N$6,W1150,0)</f>
        <v>0.15495312669686231</v>
      </c>
      <c r="V1150">
        <f t="shared" si="53"/>
        <v>55</v>
      </c>
      <c r="W1150">
        <f t="shared" si="54"/>
        <v>22</v>
      </c>
      <c r="X1150">
        <f t="shared" si="55"/>
        <v>1</v>
      </c>
      <c r="AC1150" s="224" t="s">
        <v>218</v>
      </c>
      <c r="AD1150" s="224" t="s">
        <v>490</v>
      </c>
      <c r="AE1150" s="224" t="s">
        <v>232</v>
      </c>
      <c r="AF1150">
        <f ca="1">OFFSET('Calculations 2'!$CE$45,W1150,0)*OFFSET($AA$6,X1150,0)*OFFSET($N$6,W1150,)</f>
        <v>0</v>
      </c>
      <c r="AY1150" s="224" t="s">
        <v>218</v>
      </c>
      <c r="AZ1150" s="224" t="s">
        <v>490</v>
      </c>
      <c r="BA1150" s="224" t="s">
        <v>232</v>
      </c>
      <c r="BB1150">
        <v>0</v>
      </c>
      <c r="BE1150" s="224" t="s">
        <v>218</v>
      </c>
      <c r="BF1150" s="224" t="s">
        <v>490</v>
      </c>
      <c r="BG1150" s="224" t="s">
        <v>232</v>
      </c>
      <c r="BH1150">
        <v>0</v>
      </c>
    </row>
    <row r="1151" spans="17:60">
      <c r="Q1151" s="224" t="s">
        <v>257</v>
      </c>
      <c r="R1151" s="224" t="s">
        <v>490</v>
      </c>
      <c r="S1151" s="224" t="s">
        <v>232</v>
      </c>
      <c r="T1151" s="224">
        <f ca="1">OFFSET('Calculations 2'!$C$45,W1151,X1151)*OFFSET($N$6,W1151,0)</f>
        <v>0</v>
      </c>
      <c r="V1151">
        <f t="shared" si="53"/>
        <v>56</v>
      </c>
      <c r="W1151">
        <f t="shared" si="54"/>
        <v>23</v>
      </c>
      <c r="X1151">
        <f t="shared" si="55"/>
        <v>1</v>
      </c>
      <c r="AC1151" s="224" t="s">
        <v>257</v>
      </c>
      <c r="AD1151" s="224" t="s">
        <v>490</v>
      </c>
      <c r="AE1151" s="224" t="s">
        <v>232</v>
      </c>
      <c r="AF1151">
        <f ca="1">OFFSET('Calculations 2'!$CE$45,W1151,0)*OFFSET($AA$6,X1151,0)*OFFSET($N$6,W1151,)</f>
        <v>0</v>
      </c>
      <c r="AY1151" s="224" t="s">
        <v>257</v>
      </c>
      <c r="AZ1151" s="224" t="s">
        <v>490</v>
      </c>
      <c r="BA1151" s="224" t="s">
        <v>232</v>
      </c>
      <c r="BB1151">
        <v>0</v>
      </c>
      <c r="BE1151" s="224" t="s">
        <v>257</v>
      </c>
      <c r="BF1151" s="224" t="s">
        <v>490</v>
      </c>
      <c r="BG1151" s="224" t="s">
        <v>232</v>
      </c>
      <c r="BH1151">
        <v>0</v>
      </c>
    </row>
    <row r="1152" spans="17:60">
      <c r="Q1152" s="224" t="s">
        <v>220</v>
      </c>
      <c r="R1152" s="224" t="s">
        <v>490</v>
      </c>
      <c r="S1152" s="224" t="s">
        <v>232</v>
      </c>
      <c r="T1152" s="224">
        <f ca="1">OFFSET('Calculations 2'!$C$45,W1152,X1152)*OFFSET($N$6,W1152,0)</f>
        <v>0.70494523813713239</v>
      </c>
      <c r="V1152">
        <f t="shared" si="53"/>
        <v>57</v>
      </c>
      <c r="W1152">
        <f t="shared" si="54"/>
        <v>24</v>
      </c>
      <c r="X1152">
        <f t="shared" si="55"/>
        <v>1</v>
      </c>
      <c r="AC1152" s="224" t="s">
        <v>220</v>
      </c>
      <c r="AD1152" s="224" t="s">
        <v>490</v>
      </c>
      <c r="AE1152" s="224" t="s">
        <v>232</v>
      </c>
      <c r="AF1152">
        <f ca="1">OFFSET('Calculations 2'!$CE$45,W1152,0)*OFFSET($AA$6,X1152,0)*OFFSET($N$6,W1152,)</f>
        <v>0</v>
      </c>
      <c r="AY1152" s="224" t="s">
        <v>220</v>
      </c>
      <c r="AZ1152" s="224" t="s">
        <v>490</v>
      </c>
      <c r="BA1152" s="224" t="s">
        <v>232</v>
      </c>
      <c r="BB1152">
        <v>0</v>
      </c>
      <c r="BE1152" s="224" t="s">
        <v>220</v>
      </c>
      <c r="BF1152" s="224" t="s">
        <v>490</v>
      </c>
      <c r="BG1152" s="224" t="s">
        <v>232</v>
      </c>
      <c r="BH1152">
        <v>0</v>
      </c>
    </row>
    <row r="1153" spans="17:60">
      <c r="Q1153" s="224" t="s">
        <v>235</v>
      </c>
      <c r="R1153" s="224" t="s">
        <v>490</v>
      </c>
      <c r="S1153" s="224" t="s">
        <v>232</v>
      </c>
      <c r="T1153" s="224">
        <f ca="1">OFFSET('Calculations 2'!$C$45,W1153,X1153)*OFFSET($N$6,W1153,0)</f>
        <v>8.9039371708867598</v>
      </c>
      <c r="V1153">
        <f t="shared" si="53"/>
        <v>58</v>
      </c>
      <c r="W1153">
        <f t="shared" si="54"/>
        <v>25</v>
      </c>
      <c r="X1153">
        <f t="shared" si="55"/>
        <v>1</v>
      </c>
      <c r="AC1153" s="224" t="s">
        <v>235</v>
      </c>
      <c r="AD1153" s="224" t="s">
        <v>490</v>
      </c>
      <c r="AE1153" s="224" t="s">
        <v>232</v>
      </c>
      <c r="AF1153">
        <f ca="1">OFFSET('Calculations 2'!$CE$45,W1153,0)*OFFSET($AA$6,X1153,0)*OFFSET($N$6,W1153,)</f>
        <v>0</v>
      </c>
      <c r="AY1153" s="224" t="s">
        <v>235</v>
      </c>
      <c r="AZ1153" s="224" t="s">
        <v>490</v>
      </c>
      <c r="BA1153" s="224" t="s">
        <v>232</v>
      </c>
      <c r="BB1153">
        <v>0</v>
      </c>
      <c r="BE1153" s="224" t="s">
        <v>235</v>
      </c>
      <c r="BF1153" s="224" t="s">
        <v>490</v>
      </c>
      <c r="BG1153" s="224" t="s">
        <v>232</v>
      </c>
      <c r="BH1153">
        <v>0</v>
      </c>
    </row>
    <row r="1154" spans="17:60">
      <c r="Q1154" s="224" t="s">
        <v>473</v>
      </c>
      <c r="R1154" s="224" t="s">
        <v>490</v>
      </c>
      <c r="S1154" s="224" t="s">
        <v>232</v>
      </c>
      <c r="T1154" s="224">
        <f ca="1">OFFSET('Calculations 2'!$C$45,W1154,X1154)*OFFSET($N$6,W1154,0)</f>
        <v>0</v>
      </c>
      <c r="V1154">
        <f t="shared" si="53"/>
        <v>59</v>
      </c>
      <c r="W1154">
        <f t="shared" si="54"/>
        <v>26</v>
      </c>
      <c r="X1154">
        <f t="shared" si="55"/>
        <v>1</v>
      </c>
      <c r="AC1154" s="224" t="s">
        <v>473</v>
      </c>
      <c r="AD1154" s="224" t="s">
        <v>490</v>
      </c>
      <c r="AE1154" s="224" t="s">
        <v>232</v>
      </c>
      <c r="AF1154">
        <f ca="1">OFFSET('Calculations 2'!$CE$45,W1154,0)*OFFSET($AA$6,X1154,0)*OFFSET($N$6,W1154,)</f>
        <v>0</v>
      </c>
      <c r="AY1154" s="224" t="s">
        <v>473</v>
      </c>
      <c r="AZ1154" s="224" t="s">
        <v>490</v>
      </c>
      <c r="BA1154" s="224" t="s">
        <v>232</v>
      </c>
      <c r="BB1154">
        <v>0</v>
      </c>
      <c r="BE1154" s="224" t="s">
        <v>473</v>
      </c>
      <c r="BF1154" s="224" t="s">
        <v>490</v>
      </c>
      <c r="BG1154" s="224" t="s">
        <v>232</v>
      </c>
      <c r="BH1154">
        <v>0</v>
      </c>
    </row>
    <row r="1155" spans="17:60">
      <c r="Q1155" s="224" t="s">
        <v>233</v>
      </c>
      <c r="R1155" s="224" t="s">
        <v>490</v>
      </c>
      <c r="S1155" s="224" t="s">
        <v>232</v>
      </c>
      <c r="T1155" s="224">
        <f ca="1">OFFSET('Calculations 2'!$C$45,W1155,X1155)*OFFSET($N$6,W1155,0)</f>
        <v>1.5939822376022696</v>
      </c>
      <c r="V1155">
        <f t="shared" si="53"/>
        <v>60</v>
      </c>
      <c r="W1155">
        <f t="shared" si="54"/>
        <v>27</v>
      </c>
      <c r="X1155">
        <f t="shared" si="55"/>
        <v>1</v>
      </c>
      <c r="AC1155" s="224" t="s">
        <v>233</v>
      </c>
      <c r="AD1155" s="224" t="s">
        <v>490</v>
      </c>
      <c r="AE1155" s="224" t="s">
        <v>232</v>
      </c>
      <c r="AF1155">
        <f ca="1">OFFSET('Calculations 2'!$CE$45,W1155,0)*OFFSET($AA$6,X1155,0)*OFFSET($N$6,W1155,)</f>
        <v>0</v>
      </c>
      <c r="AY1155" s="224" t="s">
        <v>233</v>
      </c>
      <c r="AZ1155" s="224" t="s">
        <v>490</v>
      </c>
      <c r="BA1155" s="224" t="s">
        <v>232</v>
      </c>
      <c r="BB1155">
        <v>0</v>
      </c>
      <c r="BE1155" s="224" t="s">
        <v>233</v>
      </c>
      <c r="BF1155" s="224" t="s">
        <v>490</v>
      </c>
      <c r="BG1155" s="224" t="s">
        <v>232</v>
      </c>
      <c r="BH1155">
        <v>0</v>
      </c>
    </row>
    <row r="1156" spans="17:60">
      <c r="Q1156" s="224" t="s">
        <v>474</v>
      </c>
      <c r="R1156" s="224" t="s">
        <v>490</v>
      </c>
      <c r="S1156" s="224" t="s">
        <v>232</v>
      </c>
      <c r="T1156" s="224">
        <f ca="1">OFFSET('Calculations 2'!$C$45,W1156,X1156)*OFFSET($N$6,W1156,0)</f>
        <v>0.24217902889932696</v>
      </c>
      <c r="V1156">
        <f t="shared" si="53"/>
        <v>61</v>
      </c>
      <c r="W1156">
        <f t="shared" si="54"/>
        <v>28</v>
      </c>
      <c r="X1156">
        <f t="shared" si="55"/>
        <v>1</v>
      </c>
      <c r="AC1156" s="224" t="s">
        <v>474</v>
      </c>
      <c r="AD1156" s="224" t="s">
        <v>490</v>
      </c>
      <c r="AE1156" s="224" t="s">
        <v>232</v>
      </c>
      <c r="AF1156">
        <f ca="1">OFFSET('Calculations 2'!$CE$45,W1156,0)*OFFSET($AA$6,X1156,0)*OFFSET($N$6,W1156,)</f>
        <v>0</v>
      </c>
      <c r="AY1156" s="224" t="s">
        <v>474</v>
      </c>
      <c r="AZ1156" s="224" t="s">
        <v>490</v>
      </c>
      <c r="BA1156" s="224" t="s">
        <v>232</v>
      </c>
      <c r="BB1156">
        <v>0</v>
      </c>
      <c r="BE1156" s="224" t="s">
        <v>474</v>
      </c>
      <c r="BF1156" s="224" t="s">
        <v>490</v>
      </c>
      <c r="BG1156" s="224" t="s">
        <v>232</v>
      </c>
      <c r="BH1156">
        <v>0</v>
      </c>
    </row>
    <row r="1157" spans="17:60">
      <c r="Q1157" s="224" t="s">
        <v>223</v>
      </c>
      <c r="R1157" s="224" t="s">
        <v>490</v>
      </c>
      <c r="S1157" s="224" t="s">
        <v>232</v>
      </c>
      <c r="T1157" s="224">
        <f ca="1">OFFSET('Calculations 2'!$C$45,W1157,X1157)*OFFSET($N$6,W1157,0)</f>
        <v>2.4793810120646609</v>
      </c>
      <c r="V1157">
        <f t="shared" si="53"/>
        <v>62</v>
      </c>
      <c r="W1157">
        <f t="shared" si="54"/>
        <v>29</v>
      </c>
      <c r="X1157">
        <f t="shared" si="55"/>
        <v>1</v>
      </c>
      <c r="AC1157" s="224" t="s">
        <v>223</v>
      </c>
      <c r="AD1157" s="224" t="s">
        <v>490</v>
      </c>
      <c r="AE1157" s="224" t="s">
        <v>232</v>
      </c>
      <c r="AF1157">
        <f ca="1">OFFSET('Calculations 2'!$CE$45,W1157,0)*OFFSET($AA$6,X1157,0)*OFFSET($N$6,W1157,)</f>
        <v>0</v>
      </c>
      <c r="AY1157" s="224" t="s">
        <v>223</v>
      </c>
      <c r="AZ1157" s="224" t="s">
        <v>490</v>
      </c>
      <c r="BA1157" s="224" t="s">
        <v>232</v>
      </c>
      <c r="BB1157">
        <v>0</v>
      </c>
      <c r="BE1157" s="224" t="s">
        <v>223</v>
      </c>
      <c r="BF1157" s="224" t="s">
        <v>490</v>
      </c>
      <c r="BG1157" s="224" t="s">
        <v>232</v>
      </c>
      <c r="BH1157">
        <v>0</v>
      </c>
    </row>
    <row r="1158" spans="17:60">
      <c r="Q1158" s="224" t="s">
        <v>475</v>
      </c>
      <c r="R1158" s="224" t="s">
        <v>490</v>
      </c>
      <c r="S1158" s="224" t="s">
        <v>232</v>
      </c>
      <c r="T1158" s="224">
        <f ca="1">OFFSET('Calculations 2'!$C$45,W1158,X1158)*OFFSET($N$6,W1158,0)</f>
        <v>0</v>
      </c>
      <c r="V1158">
        <f t="shared" si="53"/>
        <v>63</v>
      </c>
      <c r="W1158">
        <f t="shared" si="54"/>
        <v>30</v>
      </c>
      <c r="X1158">
        <f t="shared" si="55"/>
        <v>1</v>
      </c>
      <c r="AC1158" s="224" t="s">
        <v>475</v>
      </c>
      <c r="AD1158" s="224" t="s">
        <v>490</v>
      </c>
      <c r="AE1158" s="224" t="s">
        <v>232</v>
      </c>
      <c r="AF1158">
        <f ca="1">OFFSET('Calculations 2'!$CE$45,W1158,0)*OFFSET($AA$6,X1158,0)*OFFSET($N$6,W1158,)</f>
        <v>0</v>
      </c>
      <c r="AY1158" s="224" t="s">
        <v>475</v>
      </c>
      <c r="AZ1158" s="224" t="s">
        <v>490</v>
      </c>
      <c r="BA1158" s="224" t="s">
        <v>232</v>
      </c>
      <c r="BB1158">
        <v>0</v>
      </c>
      <c r="BE1158" s="224" t="s">
        <v>475</v>
      </c>
      <c r="BF1158" s="224" t="s">
        <v>490</v>
      </c>
      <c r="BG1158" s="224" t="s">
        <v>232</v>
      </c>
      <c r="BH1158">
        <v>0</v>
      </c>
    </row>
    <row r="1159" spans="17:60">
      <c r="Q1159" s="224" t="s">
        <v>476</v>
      </c>
      <c r="R1159" s="224" t="s">
        <v>490</v>
      </c>
      <c r="S1159" s="224" t="s">
        <v>232</v>
      </c>
      <c r="T1159" s="224">
        <f ca="1">OFFSET('Calculations 2'!$C$45,W1159,X1159)*OFFSET($N$6,W1159,0)</f>
        <v>0.19240998021171082</v>
      </c>
      <c r="V1159">
        <f t="shared" si="53"/>
        <v>64</v>
      </c>
      <c r="W1159">
        <f t="shared" si="54"/>
        <v>31</v>
      </c>
      <c r="X1159">
        <f t="shared" si="55"/>
        <v>1</v>
      </c>
      <c r="AC1159" s="224" t="s">
        <v>476</v>
      </c>
      <c r="AD1159" s="224" t="s">
        <v>490</v>
      </c>
      <c r="AE1159" s="224" t="s">
        <v>232</v>
      </c>
      <c r="AF1159">
        <f ca="1">OFFSET('Calculations 2'!$CE$45,W1159,0)*OFFSET($AA$6,X1159,0)*OFFSET($N$6,W1159,)</f>
        <v>0</v>
      </c>
      <c r="AY1159" s="224" t="s">
        <v>476</v>
      </c>
      <c r="AZ1159" s="224" t="s">
        <v>490</v>
      </c>
      <c r="BA1159" s="224" t="s">
        <v>232</v>
      </c>
      <c r="BB1159">
        <v>0</v>
      </c>
      <c r="BE1159" s="224" t="s">
        <v>476</v>
      </c>
      <c r="BF1159" s="224" t="s">
        <v>490</v>
      </c>
      <c r="BG1159" s="224" t="s">
        <v>232</v>
      </c>
      <c r="BH1159">
        <v>0</v>
      </c>
    </row>
    <row r="1160" spans="17:60">
      <c r="Q1160" s="224" t="s">
        <v>222</v>
      </c>
      <c r="R1160" s="224" t="s">
        <v>490</v>
      </c>
      <c r="S1160" s="224" t="s">
        <v>232</v>
      </c>
      <c r="T1160" s="224">
        <f ca="1">OFFSET('Calculations 2'!$C$45,W1160,X1160)*OFFSET($N$6,W1160,0)</f>
        <v>0</v>
      </c>
      <c r="V1160">
        <f t="shared" si="53"/>
        <v>65</v>
      </c>
      <c r="W1160">
        <f t="shared" si="54"/>
        <v>32</v>
      </c>
      <c r="X1160">
        <f t="shared" si="55"/>
        <v>1</v>
      </c>
      <c r="AC1160" s="224" t="s">
        <v>222</v>
      </c>
      <c r="AD1160" s="224" t="s">
        <v>490</v>
      </c>
      <c r="AE1160" s="224" t="s">
        <v>232</v>
      </c>
      <c r="AF1160">
        <f ca="1">OFFSET('Calculations 2'!$CE$45,W1160,0)*OFFSET($AA$6,X1160,0)*OFFSET($N$6,W1160,)</f>
        <v>0</v>
      </c>
      <c r="AY1160" s="224" t="s">
        <v>222</v>
      </c>
      <c r="AZ1160" s="224" t="s">
        <v>490</v>
      </c>
      <c r="BA1160" s="224" t="s">
        <v>232</v>
      </c>
      <c r="BB1160">
        <v>0</v>
      </c>
      <c r="BE1160" s="224" t="s">
        <v>222</v>
      </c>
      <c r="BF1160" s="224" t="s">
        <v>490</v>
      </c>
      <c r="BG1160" s="224" t="s">
        <v>232</v>
      </c>
      <c r="BH1160">
        <v>0</v>
      </c>
    </row>
    <row r="1161" spans="17:60">
      <c r="Q1161" s="224" t="s">
        <v>217</v>
      </c>
      <c r="R1161" s="224" t="s">
        <v>490</v>
      </c>
      <c r="S1161" s="224" t="s">
        <v>226</v>
      </c>
      <c r="T1161" s="224">
        <f ca="1">OFFSET('Calculations 2'!$C$45,W1161,X1161)*OFFSET($N$6,W1161,0)</f>
        <v>2744.3959060896768</v>
      </c>
      <c r="V1161">
        <f t="shared" ref="V1161:V1224" si="56">V1160+1</f>
        <v>66</v>
      </c>
      <c r="W1161">
        <f t="shared" ref="W1161:W1224" si="57">MOD(V1161,$V$3)</f>
        <v>0</v>
      </c>
      <c r="X1161">
        <f t="shared" ref="X1161:X1224" si="58">FLOOR(V1161/$V$3,1)</f>
        <v>2</v>
      </c>
      <c r="AC1161" s="224" t="s">
        <v>217</v>
      </c>
      <c r="AD1161" s="224" t="s">
        <v>490</v>
      </c>
      <c r="AE1161" s="224" t="s">
        <v>226</v>
      </c>
      <c r="AF1161">
        <f ca="1">OFFSET('Calculations 2'!$CE$45,W1161,0)*OFFSET($AA$6,X1161,0)*OFFSET($N$6,W1161,)</f>
        <v>4.2196418498620538</v>
      </c>
      <c r="AY1161" s="224" t="s">
        <v>217</v>
      </c>
      <c r="AZ1161" s="224" t="s">
        <v>490</v>
      </c>
      <c r="BA1161" s="224" t="s">
        <v>226</v>
      </c>
      <c r="BB1161">
        <v>0</v>
      </c>
      <c r="BE1161" s="224" t="s">
        <v>217</v>
      </c>
      <c r="BF1161" s="224" t="s">
        <v>490</v>
      </c>
      <c r="BG1161" s="224" t="s">
        <v>226</v>
      </c>
      <c r="BH1161">
        <v>0</v>
      </c>
    </row>
    <row r="1162" spans="17:60">
      <c r="Q1162" s="224" t="s">
        <v>232</v>
      </c>
      <c r="R1162" s="224" t="s">
        <v>490</v>
      </c>
      <c r="S1162" s="224" t="s">
        <v>226</v>
      </c>
      <c r="T1162" s="224">
        <f ca="1">OFFSET('Calculations 2'!$C$45,W1162,X1162)*OFFSET($N$6,W1162,0)</f>
        <v>93.741166176026454</v>
      </c>
      <c r="V1162">
        <f t="shared" si="56"/>
        <v>67</v>
      </c>
      <c r="W1162">
        <f t="shared" si="57"/>
        <v>1</v>
      </c>
      <c r="X1162">
        <f t="shared" si="58"/>
        <v>2</v>
      </c>
      <c r="AC1162" s="224" t="s">
        <v>232</v>
      </c>
      <c r="AD1162" s="224" t="s">
        <v>490</v>
      </c>
      <c r="AE1162" s="224" t="s">
        <v>226</v>
      </c>
      <c r="AF1162">
        <f ca="1">OFFSET('Calculations 2'!$CE$45,W1162,0)*OFFSET($AA$6,X1162,0)*OFFSET($N$6,W1162,)</f>
        <v>6.6570409670436588</v>
      </c>
      <c r="AY1162" s="224" t="s">
        <v>232</v>
      </c>
      <c r="AZ1162" s="224" t="s">
        <v>490</v>
      </c>
      <c r="BA1162" s="224" t="s">
        <v>226</v>
      </c>
      <c r="BB1162">
        <v>0</v>
      </c>
      <c r="BE1162" s="224" t="s">
        <v>232</v>
      </c>
      <c r="BF1162" s="224" t="s">
        <v>490</v>
      </c>
      <c r="BG1162" s="224" t="s">
        <v>226</v>
      </c>
      <c r="BH1162">
        <v>0</v>
      </c>
    </row>
    <row r="1163" spans="17:60">
      <c r="Q1163" s="224" t="s">
        <v>226</v>
      </c>
      <c r="R1163" s="224" t="s">
        <v>490</v>
      </c>
      <c r="S1163" s="224" t="s">
        <v>226</v>
      </c>
      <c r="T1163" s="224">
        <f ca="1">OFFSET('Calculations 2'!$C$45,W1163,X1163)*OFFSET($N$6,W1163,0)</f>
        <v>5670.9625583676707</v>
      </c>
      <c r="V1163">
        <f t="shared" si="56"/>
        <v>68</v>
      </c>
      <c r="W1163">
        <f t="shared" si="57"/>
        <v>2</v>
      </c>
      <c r="X1163">
        <f t="shared" si="58"/>
        <v>2</v>
      </c>
      <c r="AC1163" s="224" t="s">
        <v>226</v>
      </c>
      <c r="AD1163" s="224" t="s">
        <v>490</v>
      </c>
      <c r="AE1163" s="224" t="s">
        <v>226</v>
      </c>
      <c r="AF1163">
        <f ca="1">OFFSET('Calculations 2'!$CE$45,W1163,0)*OFFSET($AA$6,X1163,0)*OFFSET($N$6,W1163,)</f>
        <v>1.6657955011200947</v>
      </c>
      <c r="AY1163" s="224" t="s">
        <v>226</v>
      </c>
      <c r="AZ1163" s="224" t="s">
        <v>490</v>
      </c>
      <c r="BA1163" s="224" t="s">
        <v>226</v>
      </c>
      <c r="BB1163">
        <v>0</v>
      </c>
      <c r="BE1163" s="224" t="s">
        <v>226</v>
      </c>
      <c r="BF1163" s="224" t="s">
        <v>490</v>
      </c>
      <c r="BG1163" s="224" t="s">
        <v>226</v>
      </c>
      <c r="BH1163">
        <v>0</v>
      </c>
    </row>
    <row r="1164" spans="17:60">
      <c r="Q1164" s="224" t="s">
        <v>243</v>
      </c>
      <c r="R1164" s="224" t="s">
        <v>490</v>
      </c>
      <c r="S1164" s="224" t="s">
        <v>226</v>
      </c>
      <c r="T1164" s="224">
        <f ca="1">OFFSET('Calculations 2'!$C$45,W1164,X1164)*OFFSET($N$6,W1164,0)</f>
        <v>35.559399262525041</v>
      </c>
      <c r="V1164">
        <f t="shared" si="56"/>
        <v>69</v>
      </c>
      <c r="W1164">
        <f t="shared" si="57"/>
        <v>3</v>
      </c>
      <c r="X1164">
        <f t="shared" si="58"/>
        <v>2</v>
      </c>
      <c r="AC1164" s="224" t="s">
        <v>243</v>
      </c>
      <c r="AD1164" s="224" t="s">
        <v>490</v>
      </c>
      <c r="AE1164" s="224" t="s">
        <v>226</v>
      </c>
      <c r="AF1164">
        <f ca="1">OFFSET('Calculations 2'!$CE$45,W1164,0)*OFFSET($AA$6,X1164,0)*OFFSET($N$6,W1164,)</f>
        <v>32.689605928087879</v>
      </c>
      <c r="AY1164" s="224" t="s">
        <v>243</v>
      </c>
      <c r="AZ1164" s="224" t="s">
        <v>490</v>
      </c>
      <c r="BA1164" s="224" t="s">
        <v>226</v>
      </c>
      <c r="BB1164">
        <v>0</v>
      </c>
      <c r="BE1164" s="224" t="s">
        <v>243</v>
      </c>
      <c r="BF1164" s="224" t="s">
        <v>490</v>
      </c>
      <c r="BG1164" s="224" t="s">
        <v>226</v>
      </c>
      <c r="BH1164">
        <v>0</v>
      </c>
    </row>
    <row r="1165" spans="17:60">
      <c r="Q1165" s="224" t="s">
        <v>228</v>
      </c>
      <c r="R1165" s="224" t="s">
        <v>490</v>
      </c>
      <c r="S1165" s="224" t="s">
        <v>226</v>
      </c>
      <c r="T1165" s="224">
        <f ca="1">OFFSET('Calculations 2'!$C$45,W1165,X1165)*OFFSET($N$6,W1165,0)</f>
        <v>0</v>
      </c>
      <c r="V1165">
        <f t="shared" si="56"/>
        <v>70</v>
      </c>
      <c r="W1165">
        <f t="shared" si="57"/>
        <v>4</v>
      </c>
      <c r="X1165">
        <f t="shared" si="58"/>
        <v>2</v>
      </c>
      <c r="AC1165" s="224" t="s">
        <v>228</v>
      </c>
      <c r="AD1165" s="224" t="s">
        <v>490</v>
      </c>
      <c r="AE1165" s="224" t="s">
        <v>226</v>
      </c>
      <c r="AF1165">
        <f ca="1">OFFSET('Calculations 2'!$CE$45,W1165,0)*OFFSET($AA$6,X1165,0)*OFFSET($N$6,W1165,)</f>
        <v>17.036824639775158</v>
      </c>
      <c r="AY1165" s="224" t="s">
        <v>228</v>
      </c>
      <c r="AZ1165" s="224" t="s">
        <v>490</v>
      </c>
      <c r="BA1165" s="224" t="s">
        <v>226</v>
      </c>
      <c r="BB1165">
        <v>0</v>
      </c>
      <c r="BE1165" s="224" t="s">
        <v>228</v>
      </c>
      <c r="BF1165" s="224" t="s">
        <v>490</v>
      </c>
      <c r="BG1165" s="224" t="s">
        <v>226</v>
      </c>
      <c r="BH1165">
        <v>0</v>
      </c>
    </row>
    <row r="1166" spans="17:60">
      <c r="Q1166" s="224" t="s">
        <v>246</v>
      </c>
      <c r="R1166" s="224" t="s">
        <v>490</v>
      </c>
      <c r="S1166" s="224" t="s">
        <v>226</v>
      </c>
      <c r="T1166" s="224">
        <f ca="1">OFFSET('Calculations 2'!$C$45,W1166,X1166)*OFFSET($N$6,W1166,0)</f>
        <v>0</v>
      </c>
      <c r="V1166">
        <f t="shared" si="56"/>
        <v>71</v>
      </c>
      <c r="W1166">
        <f t="shared" si="57"/>
        <v>5</v>
      </c>
      <c r="X1166">
        <f t="shared" si="58"/>
        <v>2</v>
      </c>
      <c r="AC1166" s="224" t="s">
        <v>246</v>
      </c>
      <c r="AD1166" s="224" t="s">
        <v>490</v>
      </c>
      <c r="AE1166" s="224" t="s">
        <v>226</v>
      </c>
      <c r="AF1166">
        <f ca="1">OFFSET('Calculations 2'!$CE$45,W1166,0)*OFFSET($AA$6,X1166,0)*OFFSET($N$6,W1166,)</f>
        <v>0.3049462465517862</v>
      </c>
      <c r="AY1166" s="224" t="s">
        <v>246</v>
      </c>
      <c r="AZ1166" s="224" t="s">
        <v>490</v>
      </c>
      <c r="BA1166" s="224" t="s">
        <v>226</v>
      </c>
      <c r="BB1166">
        <v>0</v>
      </c>
      <c r="BE1166" s="224" t="s">
        <v>246</v>
      </c>
      <c r="BF1166" s="224" t="s">
        <v>490</v>
      </c>
      <c r="BG1166" s="224" t="s">
        <v>226</v>
      </c>
      <c r="BH1166">
        <v>0</v>
      </c>
    </row>
    <row r="1167" spans="17:60">
      <c r="Q1167" s="224" t="s">
        <v>239</v>
      </c>
      <c r="R1167" s="224" t="s">
        <v>490</v>
      </c>
      <c r="S1167" s="224" t="s">
        <v>226</v>
      </c>
      <c r="T1167" s="224">
        <f ca="1">OFFSET('Calculations 2'!$C$45,W1167,X1167)*OFFSET($N$6,W1167,0)</f>
        <v>118.79296977279591</v>
      </c>
      <c r="V1167">
        <f t="shared" si="56"/>
        <v>72</v>
      </c>
      <c r="W1167">
        <f t="shared" si="57"/>
        <v>6</v>
      </c>
      <c r="X1167">
        <f t="shared" si="58"/>
        <v>2</v>
      </c>
      <c r="AC1167" s="224" t="s">
        <v>239</v>
      </c>
      <c r="AD1167" s="224" t="s">
        <v>490</v>
      </c>
      <c r="AE1167" s="224" t="s">
        <v>226</v>
      </c>
      <c r="AF1167">
        <f ca="1">OFFSET('Calculations 2'!$CE$45,W1167,0)*OFFSET($AA$6,X1167,0)*OFFSET($N$6,W1167,)</f>
        <v>4.391201291738513</v>
      </c>
      <c r="AY1167" s="224" t="s">
        <v>239</v>
      </c>
      <c r="AZ1167" s="224" t="s">
        <v>490</v>
      </c>
      <c r="BA1167" s="224" t="s">
        <v>226</v>
      </c>
      <c r="BB1167">
        <v>0</v>
      </c>
      <c r="BE1167" s="224" t="s">
        <v>239</v>
      </c>
      <c r="BF1167" s="224" t="s">
        <v>490</v>
      </c>
      <c r="BG1167" s="224" t="s">
        <v>226</v>
      </c>
      <c r="BH1167">
        <v>0</v>
      </c>
    </row>
    <row r="1168" spans="17:60">
      <c r="Q1168" s="224" t="s">
        <v>466</v>
      </c>
      <c r="R1168" s="224" t="s">
        <v>490</v>
      </c>
      <c r="S1168" s="224" t="s">
        <v>226</v>
      </c>
      <c r="T1168" s="224">
        <f ca="1">OFFSET('Calculations 2'!$C$45,W1168,X1168)*OFFSET($N$6,W1168,0)</f>
        <v>261.93934679433966</v>
      </c>
      <c r="V1168">
        <f t="shared" si="56"/>
        <v>73</v>
      </c>
      <c r="W1168">
        <f t="shared" si="57"/>
        <v>7</v>
      </c>
      <c r="X1168">
        <f t="shared" si="58"/>
        <v>2</v>
      </c>
      <c r="AC1168" s="224" t="s">
        <v>466</v>
      </c>
      <c r="AD1168" s="224" t="s">
        <v>490</v>
      </c>
      <c r="AE1168" s="224" t="s">
        <v>226</v>
      </c>
      <c r="AF1168">
        <f ca="1">OFFSET('Calculations 2'!$CE$45,W1168,0)*OFFSET($AA$6,X1168,0)*OFFSET($N$6,W1168,)</f>
        <v>1.1057557797317805</v>
      </c>
      <c r="AY1168" s="224" t="s">
        <v>466</v>
      </c>
      <c r="AZ1168" s="224" t="s">
        <v>490</v>
      </c>
      <c r="BA1168" s="224" t="s">
        <v>226</v>
      </c>
      <c r="BB1168">
        <v>0</v>
      </c>
      <c r="BE1168" s="224" t="s">
        <v>466</v>
      </c>
      <c r="BF1168" s="224" t="s">
        <v>490</v>
      </c>
      <c r="BG1168" s="224" t="s">
        <v>226</v>
      </c>
      <c r="BH1168">
        <v>0</v>
      </c>
    </row>
    <row r="1169" spans="17:60">
      <c r="Q1169" s="224" t="s">
        <v>219</v>
      </c>
      <c r="R1169" s="224" t="s">
        <v>490</v>
      </c>
      <c r="S1169" s="224" t="s">
        <v>226</v>
      </c>
      <c r="T1169" s="224">
        <f ca="1">OFFSET('Calculations 2'!$C$45,W1169,X1169)*OFFSET($N$6,W1169,0)</f>
        <v>76.295316993089827</v>
      </c>
      <c r="V1169">
        <f t="shared" si="56"/>
        <v>74</v>
      </c>
      <c r="W1169">
        <f t="shared" si="57"/>
        <v>8</v>
      </c>
      <c r="X1169">
        <f t="shared" si="58"/>
        <v>2</v>
      </c>
      <c r="AC1169" s="224" t="s">
        <v>219</v>
      </c>
      <c r="AD1169" s="224" t="s">
        <v>490</v>
      </c>
      <c r="AE1169" s="224" t="s">
        <v>226</v>
      </c>
      <c r="AF1169">
        <f ca="1">OFFSET('Calculations 2'!$CE$45,W1169,0)*OFFSET($AA$6,X1169,0)*OFFSET($N$6,W1169,)</f>
        <v>15.158071249793705</v>
      </c>
      <c r="AY1169" s="224" t="s">
        <v>219</v>
      </c>
      <c r="AZ1169" s="224" t="s">
        <v>490</v>
      </c>
      <c r="BA1169" s="224" t="s">
        <v>226</v>
      </c>
      <c r="BB1169">
        <v>0</v>
      </c>
      <c r="BE1169" s="224" t="s">
        <v>219</v>
      </c>
      <c r="BF1169" s="224" t="s">
        <v>490</v>
      </c>
      <c r="BG1169" s="224" t="s">
        <v>226</v>
      </c>
      <c r="BH1169">
        <v>0</v>
      </c>
    </row>
    <row r="1170" spans="17:60">
      <c r="Q1170" s="224" t="s">
        <v>242</v>
      </c>
      <c r="R1170" s="224" t="s">
        <v>490</v>
      </c>
      <c r="S1170" s="224" t="s">
        <v>226</v>
      </c>
      <c r="T1170" s="224">
        <f ca="1">OFFSET('Calculations 2'!$C$45,W1170,X1170)*OFFSET($N$6,W1170,0)</f>
        <v>845.36128926604465</v>
      </c>
      <c r="V1170">
        <f t="shared" si="56"/>
        <v>75</v>
      </c>
      <c r="W1170">
        <f t="shared" si="57"/>
        <v>9</v>
      </c>
      <c r="X1170">
        <f t="shared" si="58"/>
        <v>2</v>
      </c>
      <c r="AC1170" s="224" t="s">
        <v>242</v>
      </c>
      <c r="AD1170" s="224" t="s">
        <v>490</v>
      </c>
      <c r="AE1170" s="224" t="s">
        <v>226</v>
      </c>
      <c r="AF1170">
        <f ca="1">OFFSET('Calculations 2'!$CE$45,W1170,0)*OFFSET($AA$6,X1170,0)*OFFSET($N$6,W1170,)</f>
        <v>11.609067753467793</v>
      </c>
      <c r="AY1170" s="224" t="s">
        <v>242</v>
      </c>
      <c r="AZ1170" s="224" t="s">
        <v>490</v>
      </c>
      <c r="BA1170" s="224" t="s">
        <v>226</v>
      </c>
      <c r="BB1170">
        <v>0</v>
      </c>
      <c r="BE1170" s="224" t="s">
        <v>242</v>
      </c>
      <c r="BF1170" s="224" t="s">
        <v>490</v>
      </c>
      <c r="BG1170" s="224" t="s">
        <v>226</v>
      </c>
      <c r="BH1170">
        <v>0</v>
      </c>
    </row>
    <row r="1171" spans="17:60">
      <c r="Q1171" s="224" t="s">
        <v>467</v>
      </c>
      <c r="R1171" s="224" t="s">
        <v>490</v>
      </c>
      <c r="S1171" s="224" t="s">
        <v>226</v>
      </c>
      <c r="T1171" s="224">
        <f ca="1">OFFSET('Calculations 2'!$C$45,W1171,X1171)*OFFSET($N$6,W1171,0)</f>
        <v>1.5678365109790195</v>
      </c>
      <c r="V1171">
        <f t="shared" si="56"/>
        <v>76</v>
      </c>
      <c r="W1171">
        <f t="shared" si="57"/>
        <v>10</v>
      </c>
      <c r="X1171">
        <f t="shared" si="58"/>
        <v>2</v>
      </c>
      <c r="AC1171" s="224" t="s">
        <v>467</v>
      </c>
      <c r="AD1171" s="224" t="s">
        <v>490</v>
      </c>
      <c r="AE1171" s="224" t="s">
        <v>226</v>
      </c>
      <c r="AF1171">
        <f ca="1">OFFSET('Calculations 2'!$CE$45,W1171,0)*OFFSET($AA$6,X1171,0)*OFFSET($N$6,W1171,)</f>
        <v>4.3822762449412442</v>
      </c>
      <c r="AY1171" s="224" t="s">
        <v>467</v>
      </c>
      <c r="AZ1171" s="224" t="s">
        <v>490</v>
      </c>
      <c r="BA1171" s="224" t="s">
        <v>226</v>
      </c>
      <c r="BB1171">
        <v>0</v>
      </c>
      <c r="BE1171" s="224" t="s">
        <v>467</v>
      </c>
      <c r="BF1171" s="224" t="s">
        <v>490</v>
      </c>
      <c r="BG1171" s="224" t="s">
        <v>226</v>
      </c>
      <c r="BH1171">
        <v>0</v>
      </c>
    </row>
    <row r="1172" spans="17:60">
      <c r="Q1172" s="224" t="s">
        <v>231</v>
      </c>
      <c r="R1172" s="224" t="s">
        <v>490</v>
      </c>
      <c r="S1172" s="224" t="s">
        <v>226</v>
      </c>
      <c r="T1172" s="224">
        <f ca="1">OFFSET('Calculations 2'!$C$45,W1172,X1172)*OFFSET($N$6,W1172,0)</f>
        <v>11.529858390174757</v>
      </c>
      <c r="V1172">
        <f t="shared" si="56"/>
        <v>77</v>
      </c>
      <c r="W1172">
        <f t="shared" si="57"/>
        <v>11</v>
      </c>
      <c r="X1172">
        <f t="shared" si="58"/>
        <v>2</v>
      </c>
      <c r="AC1172" s="224" t="s">
        <v>231</v>
      </c>
      <c r="AD1172" s="224" t="s">
        <v>490</v>
      </c>
      <c r="AE1172" s="224" t="s">
        <v>226</v>
      </c>
      <c r="AF1172">
        <f ca="1">OFFSET('Calculations 2'!$CE$45,W1172,0)*OFFSET($AA$6,X1172,0)*OFFSET($N$6,W1172,)</f>
        <v>54.853560631176173</v>
      </c>
      <c r="AY1172" s="224" t="s">
        <v>231</v>
      </c>
      <c r="AZ1172" s="224" t="s">
        <v>490</v>
      </c>
      <c r="BA1172" s="224" t="s">
        <v>226</v>
      </c>
      <c r="BB1172">
        <v>0</v>
      </c>
      <c r="BE1172" s="224" t="s">
        <v>231</v>
      </c>
      <c r="BF1172" s="224" t="s">
        <v>490</v>
      </c>
      <c r="BG1172" s="224" t="s">
        <v>226</v>
      </c>
      <c r="BH1172">
        <v>0</v>
      </c>
    </row>
    <row r="1173" spans="17:60">
      <c r="Q1173" s="224" t="s">
        <v>468</v>
      </c>
      <c r="R1173" s="224" t="s">
        <v>490</v>
      </c>
      <c r="S1173" s="224" t="s">
        <v>226</v>
      </c>
      <c r="T1173" s="224">
        <f ca="1">OFFSET('Calculations 2'!$C$45,W1173,X1173)*OFFSET($N$6,W1173,0)</f>
        <v>111.56292239746982</v>
      </c>
      <c r="V1173">
        <f t="shared" si="56"/>
        <v>78</v>
      </c>
      <c r="W1173">
        <f t="shared" si="57"/>
        <v>12</v>
      </c>
      <c r="X1173">
        <f t="shared" si="58"/>
        <v>2</v>
      </c>
      <c r="AC1173" s="224" t="s">
        <v>468</v>
      </c>
      <c r="AD1173" s="224" t="s">
        <v>490</v>
      </c>
      <c r="AE1173" s="224" t="s">
        <v>226</v>
      </c>
      <c r="AF1173">
        <f ca="1">OFFSET('Calculations 2'!$CE$45,W1173,0)*OFFSET($AA$6,X1173,0)*OFFSET($N$6,W1173,)</f>
        <v>210.13147866580309</v>
      </c>
      <c r="AY1173" s="224" t="s">
        <v>468</v>
      </c>
      <c r="AZ1173" s="224" t="s">
        <v>490</v>
      </c>
      <c r="BA1173" s="224" t="s">
        <v>226</v>
      </c>
      <c r="BB1173">
        <v>0</v>
      </c>
      <c r="BE1173" s="224" t="s">
        <v>468</v>
      </c>
      <c r="BF1173" s="224" t="s">
        <v>490</v>
      </c>
      <c r="BG1173" s="224" t="s">
        <v>226</v>
      </c>
      <c r="BH1173">
        <v>0</v>
      </c>
    </row>
    <row r="1174" spans="17:60">
      <c r="Q1174" s="224" t="s">
        <v>469</v>
      </c>
      <c r="R1174" s="224" t="s">
        <v>490</v>
      </c>
      <c r="S1174" s="224" t="s">
        <v>226</v>
      </c>
      <c r="T1174" s="224">
        <f ca="1">OFFSET('Calculations 2'!$C$45,W1174,X1174)*OFFSET($N$6,W1174,0)</f>
        <v>0</v>
      </c>
      <c r="V1174">
        <f t="shared" si="56"/>
        <v>79</v>
      </c>
      <c r="W1174">
        <f t="shared" si="57"/>
        <v>13</v>
      </c>
      <c r="X1174">
        <f t="shared" si="58"/>
        <v>2</v>
      </c>
      <c r="AC1174" s="224" t="s">
        <v>469</v>
      </c>
      <c r="AD1174" s="224" t="s">
        <v>490</v>
      </c>
      <c r="AE1174" s="224" t="s">
        <v>226</v>
      </c>
      <c r="AF1174">
        <f ca="1">OFFSET('Calculations 2'!$CE$45,W1174,0)*OFFSET($AA$6,X1174,0)*OFFSET($N$6,W1174,)</f>
        <v>112.66608879420149</v>
      </c>
      <c r="AY1174" s="224" t="s">
        <v>469</v>
      </c>
      <c r="AZ1174" s="224" t="s">
        <v>490</v>
      </c>
      <c r="BA1174" s="224" t="s">
        <v>226</v>
      </c>
      <c r="BB1174">
        <v>0</v>
      </c>
      <c r="BE1174" s="224" t="s">
        <v>469</v>
      </c>
      <c r="BF1174" s="224" t="s">
        <v>490</v>
      </c>
      <c r="BG1174" s="224" t="s">
        <v>226</v>
      </c>
      <c r="BH1174">
        <v>0</v>
      </c>
    </row>
    <row r="1175" spans="17:60">
      <c r="Q1175" s="224" t="s">
        <v>245</v>
      </c>
      <c r="R1175" s="224" t="s">
        <v>490</v>
      </c>
      <c r="S1175" s="224" t="s">
        <v>226</v>
      </c>
      <c r="T1175" s="224">
        <f ca="1">OFFSET('Calculations 2'!$C$45,W1175,X1175)*OFFSET($N$6,W1175,0)</f>
        <v>104.59226828816092</v>
      </c>
      <c r="V1175">
        <f t="shared" si="56"/>
        <v>80</v>
      </c>
      <c r="W1175">
        <f t="shared" si="57"/>
        <v>14</v>
      </c>
      <c r="X1175">
        <f t="shared" si="58"/>
        <v>2</v>
      </c>
      <c r="AC1175" s="224" t="s">
        <v>245</v>
      </c>
      <c r="AD1175" s="224" t="s">
        <v>490</v>
      </c>
      <c r="AE1175" s="224" t="s">
        <v>226</v>
      </c>
      <c r="AF1175">
        <f ca="1">OFFSET('Calculations 2'!$CE$45,W1175,0)*OFFSET($AA$6,X1175,0)*OFFSET($N$6,W1175,)</f>
        <v>179.80240539509876</v>
      </c>
      <c r="AY1175" s="224" t="s">
        <v>245</v>
      </c>
      <c r="AZ1175" s="224" t="s">
        <v>490</v>
      </c>
      <c r="BA1175" s="224" t="s">
        <v>226</v>
      </c>
      <c r="BB1175">
        <v>0</v>
      </c>
      <c r="BE1175" s="224" t="s">
        <v>245</v>
      </c>
      <c r="BF1175" s="224" t="s">
        <v>490</v>
      </c>
      <c r="BG1175" s="224" t="s">
        <v>226</v>
      </c>
      <c r="BH1175">
        <v>0</v>
      </c>
    </row>
    <row r="1176" spans="17:60">
      <c r="Q1176" s="224" t="s">
        <v>470</v>
      </c>
      <c r="R1176" s="224" t="s">
        <v>490</v>
      </c>
      <c r="S1176" s="224" t="s">
        <v>226</v>
      </c>
      <c r="T1176" s="224">
        <f ca="1">OFFSET('Calculations 2'!$C$45,W1176,X1176)*OFFSET($N$6,W1176,0)</f>
        <v>65.243756273523701</v>
      </c>
      <c r="V1176">
        <f t="shared" si="56"/>
        <v>81</v>
      </c>
      <c r="W1176">
        <f t="shared" si="57"/>
        <v>15</v>
      </c>
      <c r="X1176">
        <f t="shared" si="58"/>
        <v>2</v>
      </c>
      <c r="AC1176" s="224" t="s">
        <v>470</v>
      </c>
      <c r="AD1176" s="224" t="s">
        <v>490</v>
      </c>
      <c r="AE1176" s="224" t="s">
        <v>226</v>
      </c>
      <c r="AF1176">
        <f ca="1">OFFSET('Calculations 2'!$CE$45,W1176,0)*OFFSET($AA$6,X1176,0)*OFFSET($N$6,W1176,)</f>
        <v>68.223266092329382</v>
      </c>
      <c r="AY1176" s="224" t="s">
        <v>470</v>
      </c>
      <c r="AZ1176" s="224" t="s">
        <v>490</v>
      </c>
      <c r="BA1176" s="224" t="s">
        <v>226</v>
      </c>
      <c r="BB1176">
        <v>0</v>
      </c>
      <c r="BE1176" s="224" t="s">
        <v>470</v>
      </c>
      <c r="BF1176" s="224" t="s">
        <v>490</v>
      </c>
      <c r="BG1176" s="224" t="s">
        <v>226</v>
      </c>
      <c r="BH1176">
        <v>0</v>
      </c>
    </row>
    <row r="1177" spans="17:60">
      <c r="Q1177" s="224" t="s">
        <v>471</v>
      </c>
      <c r="R1177" s="224" t="s">
        <v>490</v>
      </c>
      <c r="S1177" s="224" t="s">
        <v>226</v>
      </c>
      <c r="T1177" s="224">
        <f ca="1">OFFSET('Calculations 2'!$C$45,W1177,X1177)*OFFSET($N$6,W1177,0)</f>
        <v>4.6325325934340285</v>
      </c>
      <c r="V1177">
        <f t="shared" si="56"/>
        <v>82</v>
      </c>
      <c r="W1177">
        <f t="shared" si="57"/>
        <v>16</v>
      </c>
      <c r="X1177">
        <f t="shared" si="58"/>
        <v>2</v>
      </c>
      <c r="AC1177" s="224" t="s">
        <v>471</v>
      </c>
      <c r="AD1177" s="224" t="s">
        <v>490</v>
      </c>
      <c r="AE1177" s="224" t="s">
        <v>226</v>
      </c>
      <c r="AF1177">
        <f ca="1">OFFSET('Calculations 2'!$CE$45,W1177,0)*OFFSET($AA$6,X1177,0)*OFFSET($N$6,W1177,)</f>
        <v>0</v>
      </c>
      <c r="AY1177" s="224" t="s">
        <v>471</v>
      </c>
      <c r="AZ1177" s="224" t="s">
        <v>490</v>
      </c>
      <c r="BA1177" s="224" t="s">
        <v>226</v>
      </c>
      <c r="BB1177">
        <v>0</v>
      </c>
      <c r="BE1177" s="224" t="s">
        <v>471</v>
      </c>
      <c r="BF1177" s="224" t="s">
        <v>490</v>
      </c>
      <c r="BG1177" s="224" t="s">
        <v>226</v>
      </c>
      <c r="BH1177">
        <v>0</v>
      </c>
    </row>
    <row r="1178" spans="17:60">
      <c r="Q1178" s="224" t="s">
        <v>221</v>
      </c>
      <c r="R1178" s="224" t="s">
        <v>490</v>
      </c>
      <c r="S1178" s="224" t="s">
        <v>226</v>
      </c>
      <c r="T1178" s="224">
        <f ca="1">OFFSET('Calculations 2'!$C$45,W1178,X1178)*OFFSET($N$6,W1178,0)</f>
        <v>1.6612074728313255</v>
      </c>
      <c r="V1178">
        <f t="shared" si="56"/>
        <v>83</v>
      </c>
      <c r="W1178">
        <f t="shared" si="57"/>
        <v>17</v>
      </c>
      <c r="X1178">
        <f t="shared" si="58"/>
        <v>2</v>
      </c>
      <c r="AC1178" s="224" t="s">
        <v>221</v>
      </c>
      <c r="AD1178" s="224" t="s">
        <v>490</v>
      </c>
      <c r="AE1178" s="224" t="s">
        <v>226</v>
      </c>
      <c r="AF1178">
        <f ca="1">OFFSET('Calculations 2'!$CE$45,W1178,0)*OFFSET($AA$6,X1178,0)*OFFSET($N$6,W1178,)</f>
        <v>13.355097154588451</v>
      </c>
      <c r="AY1178" s="224" t="s">
        <v>221</v>
      </c>
      <c r="AZ1178" s="224" t="s">
        <v>490</v>
      </c>
      <c r="BA1178" s="224" t="s">
        <v>226</v>
      </c>
      <c r="BB1178">
        <v>0</v>
      </c>
      <c r="BE1178" s="224" t="s">
        <v>221</v>
      </c>
      <c r="BF1178" s="224" t="s">
        <v>490</v>
      </c>
      <c r="BG1178" s="224" t="s">
        <v>226</v>
      </c>
      <c r="BH1178">
        <v>0</v>
      </c>
    </row>
    <row r="1179" spans="17:60">
      <c r="Q1179" s="224" t="s">
        <v>244</v>
      </c>
      <c r="R1179" s="224" t="s">
        <v>490</v>
      </c>
      <c r="S1179" s="224" t="s">
        <v>226</v>
      </c>
      <c r="T1179" s="224">
        <f ca="1">OFFSET('Calculations 2'!$C$45,W1179,X1179)*OFFSET($N$6,W1179,0)</f>
        <v>32.969272565090378</v>
      </c>
      <c r="V1179">
        <f t="shared" si="56"/>
        <v>84</v>
      </c>
      <c r="W1179">
        <f t="shared" si="57"/>
        <v>18</v>
      </c>
      <c r="X1179">
        <f t="shared" si="58"/>
        <v>2</v>
      </c>
      <c r="AC1179" s="224" t="s">
        <v>244</v>
      </c>
      <c r="AD1179" s="224" t="s">
        <v>490</v>
      </c>
      <c r="AE1179" s="224" t="s">
        <v>226</v>
      </c>
      <c r="AF1179">
        <f ca="1">OFFSET('Calculations 2'!$CE$45,W1179,0)*OFFSET($AA$6,X1179,0)*OFFSET($N$6,W1179,)</f>
        <v>1.1684803588854518</v>
      </c>
      <c r="AY1179" s="224" t="s">
        <v>244</v>
      </c>
      <c r="AZ1179" s="224" t="s">
        <v>490</v>
      </c>
      <c r="BA1179" s="224" t="s">
        <v>226</v>
      </c>
      <c r="BB1179">
        <v>0</v>
      </c>
      <c r="BE1179" s="224" t="s">
        <v>244</v>
      </c>
      <c r="BF1179" s="224" t="s">
        <v>490</v>
      </c>
      <c r="BG1179" s="224" t="s">
        <v>226</v>
      </c>
      <c r="BH1179">
        <v>0</v>
      </c>
    </row>
    <row r="1180" spans="17:60">
      <c r="Q1180" s="224" t="s">
        <v>472</v>
      </c>
      <c r="R1180" s="224" t="s">
        <v>490</v>
      </c>
      <c r="S1180" s="224" t="s">
        <v>226</v>
      </c>
      <c r="T1180" s="224">
        <f ca="1">OFFSET('Calculations 2'!$C$45,W1180,X1180)*OFFSET($N$6,W1180,0)</f>
        <v>0</v>
      </c>
      <c r="V1180">
        <f t="shared" si="56"/>
        <v>85</v>
      </c>
      <c r="W1180">
        <f t="shared" si="57"/>
        <v>19</v>
      </c>
      <c r="X1180">
        <f t="shared" si="58"/>
        <v>2</v>
      </c>
      <c r="AC1180" s="224" t="s">
        <v>472</v>
      </c>
      <c r="AD1180" s="224" t="s">
        <v>490</v>
      </c>
      <c r="AE1180" s="224" t="s">
        <v>226</v>
      </c>
      <c r="AF1180">
        <f ca="1">OFFSET('Calculations 2'!$CE$45,W1180,0)*OFFSET($AA$6,X1180,0)*OFFSET($N$6,W1180,)</f>
        <v>0</v>
      </c>
      <c r="AY1180" s="224" t="s">
        <v>472</v>
      </c>
      <c r="AZ1180" s="224" t="s">
        <v>490</v>
      </c>
      <c r="BA1180" s="224" t="s">
        <v>226</v>
      </c>
      <c r="BB1180">
        <v>0</v>
      </c>
      <c r="BE1180" s="224" t="s">
        <v>472</v>
      </c>
      <c r="BF1180" s="224" t="s">
        <v>490</v>
      </c>
      <c r="BG1180" s="224" t="s">
        <v>226</v>
      </c>
      <c r="BH1180">
        <v>0</v>
      </c>
    </row>
    <row r="1181" spans="17:60">
      <c r="Q1181" s="224" t="s">
        <v>238</v>
      </c>
      <c r="R1181" s="224" t="s">
        <v>490</v>
      </c>
      <c r="S1181" s="224" t="s">
        <v>226</v>
      </c>
      <c r="T1181" s="224">
        <f ca="1">OFFSET('Calculations 2'!$C$45,W1181,X1181)*OFFSET($N$6,W1181,0)</f>
        <v>1.1722653309777313</v>
      </c>
      <c r="V1181">
        <f t="shared" si="56"/>
        <v>86</v>
      </c>
      <c r="W1181">
        <f t="shared" si="57"/>
        <v>20</v>
      </c>
      <c r="X1181">
        <f t="shared" si="58"/>
        <v>2</v>
      </c>
      <c r="AC1181" s="224" t="s">
        <v>238</v>
      </c>
      <c r="AD1181" s="224" t="s">
        <v>490</v>
      </c>
      <c r="AE1181" s="224" t="s">
        <v>226</v>
      </c>
      <c r="AF1181">
        <f ca="1">OFFSET('Calculations 2'!$CE$45,W1181,0)*OFFSET($AA$6,X1181,0)*OFFSET($N$6,W1181,)</f>
        <v>0</v>
      </c>
      <c r="AY1181" s="224" t="s">
        <v>238</v>
      </c>
      <c r="AZ1181" s="224" t="s">
        <v>490</v>
      </c>
      <c r="BA1181" s="224" t="s">
        <v>226</v>
      </c>
      <c r="BB1181">
        <v>0</v>
      </c>
      <c r="BE1181" s="224" t="s">
        <v>238</v>
      </c>
      <c r="BF1181" s="224" t="s">
        <v>490</v>
      </c>
      <c r="BG1181" s="224" t="s">
        <v>226</v>
      </c>
      <c r="BH1181">
        <v>0</v>
      </c>
    </row>
    <row r="1182" spans="17:60">
      <c r="Q1182" s="224" t="s">
        <v>247</v>
      </c>
      <c r="R1182" s="224" t="s">
        <v>490</v>
      </c>
      <c r="S1182" s="224" t="s">
        <v>226</v>
      </c>
      <c r="T1182" s="224">
        <f ca="1">OFFSET('Calculations 2'!$C$45,W1182,X1182)*OFFSET($N$6,W1182,0)</f>
        <v>0</v>
      </c>
      <c r="V1182">
        <f t="shared" si="56"/>
        <v>87</v>
      </c>
      <c r="W1182">
        <f t="shared" si="57"/>
        <v>21</v>
      </c>
      <c r="X1182">
        <f t="shared" si="58"/>
        <v>2</v>
      </c>
      <c r="AC1182" s="224" t="s">
        <v>247</v>
      </c>
      <c r="AD1182" s="224" t="s">
        <v>490</v>
      </c>
      <c r="AE1182" s="224" t="s">
        <v>226</v>
      </c>
      <c r="AF1182">
        <f ca="1">OFFSET('Calculations 2'!$CE$45,W1182,0)*OFFSET($AA$6,X1182,0)*OFFSET($N$6,W1182,)</f>
        <v>0</v>
      </c>
      <c r="AY1182" s="224" t="s">
        <v>247</v>
      </c>
      <c r="AZ1182" s="224" t="s">
        <v>490</v>
      </c>
      <c r="BA1182" s="224" t="s">
        <v>226</v>
      </c>
      <c r="BB1182">
        <v>0</v>
      </c>
      <c r="BE1182" s="224" t="s">
        <v>247</v>
      </c>
      <c r="BF1182" s="224" t="s">
        <v>490</v>
      </c>
      <c r="BG1182" s="224" t="s">
        <v>226</v>
      </c>
      <c r="BH1182">
        <v>0</v>
      </c>
    </row>
    <row r="1183" spans="17:60">
      <c r="Q1183" s="224" t="s">
        <v>218</v>
      </c>
      <c r="R1183" s="224" t="s">
        <v>490</v>
      </c>
      <c r="S1183" s="224" t="s">
        <v>226</v>
      </c>
      <c r="T1183" s="224">
        <f ca="1">OFFSET('Calculations 2'!$C$45,W1183,X1183)*OFFSET($N$6,W1183,0)</f>
        <v>2.1203204809417482</v>
      </c>
      <c r="V1183">
        <f t="shared" si="56"/>
        <v>88</v>
      </c>
      <c r="W1183">
        <f t="shared" si="57"/>
        <v>22</v>
      </c>
      <c r="X1183">
        <f t="shared" si="58"/>
        <v>2</v>
      </c>
      <c r="AC1183" s="224" t="s">
        <v>218</v>
      </c>
      <c r="AD1183" s="224" t="s">
        <v>490</v>
      </c>
      <c r="AE1183" s="224" t="s">
        <v>226</v>
      </c>
      <c r="AF1183">
        <f ca="1">OFFSET('Calculations 2'!$CE$45,W1183,0)*OFFSET($AA$6,X1183,0)*OFFSET($N$6,W1183,)</f>
        <v>0</v>
      </c>
      <c r="AY1183" s="224" t="s">
        <v>218</v>
      </c>
      <c r="AZ1183" s="224" t="s">
        <v>490</v>
      </c>
      <c r="BA1183" s="224" t="s">
        <v>226</v>
      </c>
      <c r="BB1183">
        <v>0</v>
      </c>
      <c r="BE1183" s="224" t="s">
        <v>218</v>
      </c>
      <c r="BF1183" s="224" t="s">
        <v>490</v>
      </c>
      <c r="BG1183" s="224" t="s">
        <v>226</v>
      </c>
      <c r="BH1183">
        <v>0</v>
      </c>
    </row>
    <row r="1184" spans="17:60">
      <c r="Q1184" s="224" t="s">
        <v>257</v>
      </c>
      <c r="R1184" s="224" t="s">
        <v>490</v>
      </c>
      <c r="S1184" s="224" t="s">
        <v>226</v>
      </c>
      <c r="T1184" s="224">
        <f ca="1">OFFSET('Calculations 2'!$C$45,W1184,X1184)*OFFSET($N$6,W1184,0)</f>
        <v>2.0977794159396779</v>
      </c>
      <c r="V1184">
        <f t="shared" si="56"/>
        <v>89</v>
      </c>
      <c r="W1184">
        <f t="shared" si="57"/>
        <v>23</v>
      </c>
      <c r="X1184">
        <f t="shared" si="58"/>
        <v>2</v>
      </c>
      <c r="AC1184" s="224" t="s">
        <v>257</v>
      </c>
      <c r="AD1184" s="224" t="s">
        <v>490</v>
      </c>
      <c r="AE1184" s="224" t="s">
        <v>226</v>
      </c>
      <c r="AF1184">
        <f ca="1">OFFSET('Calculations 2'!$CE$45,W1184,0)*OFFSET($AA$6,X1184,0)*OFFSET($N$6,W1184,)</f>
        <v>0</v>
      </c>
      <c r="AY1184" s="224" t="s">
        <v>257</v>
      </c>
      <c r="AZ1184" s="224" t="s">
        <v>490</v>
      </c>
      <c r="BA1184" s="224" t="s">
        <v>226</v>
      </c>
      <c r="BB1184">
        <v>0</v>
      </c>
      <c r="BE1184" s="224" t="s">
        <v>257</v>
      </c>
      <c r="BF1184" s="224" t="s">
        <v>490</v>
      </c>
      <c r="BG1184" s="224" t="s">
        <v>226</v>
      </c>
      <c r="BH1184">
        <v>0</v>
      </c>
    </row>
    <row r="1185" spans="17:60">
      <c r="Q1185" s="224" t="s">
        <v>220</v>
      </c>
      <c r="R1185" s="224" t="s">
        <v>490</v>
      </c>
      <c r="S1185" s="224" t="s">
        <v>226</v>
      </c>
      <c r="T1185" s="224">
        <f ca="1">OFFSET('Calculations 2'!$C$45,W1185,X1185)*OFFSET($N$6,W1185,0)</f>
        <v>0.58550515819951565</v>
      </c>
      <c r="V1185">
        <f t="shared" si="56"/>
        <v>90</v>
      </c>
      <c r="W1185">
        <f t="shared" si="57"/>
        <v>24</v>
      </c>
      <c r="X1185">
        <f t="shared" si="58"/>
        <v>2</v>
      </c>
      <c r="AC1185" s="224" t="s">
        <v>220</v>
      </c>
      <c r="AD1185" s="224" t="s">
        <v>490</v>
      </c>
      <c r="AE1185" s="224" t="s">
        <v>226</v>
      </c>
      <c r="AF1185">
        <f ca="1">OFFSET('Calculations 2'!$CE$45,W1185,0)*OFFSET($AA$6,X1185,0)*OFFSET($N$6,W1185,)</f>
        <v>0</v>
      </c>
      <c r="AY1185" s="224" t="s">
        <v>220</v>
      </c>
      <c r="AZ1185" s="224" t="s">
        <v>490</v>
      </c>
      <c r="BA1185" s="224" t="s">
        <v>226</v>
      </c>
      <c r="BB1185">
        <v>0</v>
      </c>
      <c r="BE1185" s="224" t="s">
        <v>220</v>
      </c>
      <c r="BF1185" s="224" t="s">
        <v>490</v>
      </c>
      <c r="BG1185" s="224" t="s">
        <v>226</v>
      </c>
      <c r="BH1185">
        <v>0</v>
      </c>
    </row>
    <row r="1186" spans="17:60">
      <c r="Q1186" s="224" t="s">
        <v>235</v>
      </c>
      <c r="R1186" s="224" t="s">
        <v>490</v>
      </c>
      <c r="S1186" s="224" t="s">
        <v>226</v>
      </c>
      <c r="T1186" s="224">
        <f ca="1">OFFSET('Calculations 2'!$C$45,W1186,X1186)*OFFSET($N$6,W1186,0)</f>
        <v>1.1628802047208524</v>
      </c>
      <c r="V1186">
        <f t="shared" si="56"/>
        <v>91</v>
      </c>
      <c r="W1186">
        <f t="shared" si="57"/>
        <v>25</v>
      </c>
      <c r="X1186">
        <f t="shared" si="58"/>
        <v>2</v>
      </c>
      <c r="AC1186" s="224" t="s">
        <v>235</v>
      </c>
      <c r="AD1186" s="224" t="s">
        <v>490</v>
      </c>
      <c r="AE1186" s="224" t="s">
        <v>226</v>
      </c>
      <c r="AF1186">
        <f ca="1">OFFSET('Calculations 2'!$CE$45,W1186,0)*OFFSET($AA$6,X1186,0)*OFFSET($N$6,W1186,)</f>
        <v>0</v>
      </c>
      <c r="AY1186" s="224" t="s">
        <v>235</v>
      </c>
      <c r="AZ1186" s="224" t="s">
        <v>490</v>
      </c>
      <c r="BA1186" s="224" t="s">
        <v>226</v>
      </c>
      <c r="BB1186">
        <v>0</v>
      </c>
      <c r="BE1186" s="224" t="s">
        <v>235</v>
      </c>
      <c r="BF1186" s="224" t="s">
        <v>490</v>
      </c>
      <c r="BG1186" s="224" t="s">
        <v>226</v>
      </c>
      <c r="BH1186">
        <v>0</v>
      </c>
    </row>
    <row r="1187" spans="17:60">
      <c r="Q1187" s="224" t="s">
        <v>473</v>
      </c>
      <c r="R1187" s="224" t="s">
        <v>490</v>
      </c>
      <c r="S1187" s="224" t="s">
        <v>226</v>
      </c>
      <c r="T1187" s="224">
        <f ca="1">OFFSET('Calculations 2'!$C$45,W1187,X1187)*OFFSET($N$6,W1187,0)</f>
        <v>2.6747923547838632</v>
      </c>
      <c r="V1187">
        <f t="shared" si="56"/>
        <v>92</v>
      </c>
      <c r="W1187">
        <f t="shared" si="57"/>
        <v>26</v>
      </c>
      <c r="X1187">
        <f t="shared" si="58"/>
        <v>2</v>
      </c>
      <c r="AC1187" s="224" t="s">
        <v>473</v>
      </c>
      <c r="AD1187" s="224" t="s">
        <v>490</v>
      </c>
      <c r="AE1187" s="224" t="s">
        <v>226</v>
      </c>
      <c r="AF1187">
        <f ca="1">OFFSET('Calculations 2'!$CE$45,W1187,0)*OFFSET($AA$6,X1187,0)*OFFSET($N$6,W1187,)</f>
        <v>0</v>
      </c>
      <c r="AY1187" s="224" t="s">
        <v>473</v>
      </c>
      <c r="AZ1187" s="224" t="s">
        <v>490</v>
      </c>
      <c r="BA1187" s="224" t="s">
        <v>226</v>
      </c>
      <c r="BB1187">
        <v>0</v>
      </c>
      <c r="BE1187" s="224" t="s">
        <v>473</v>
      </c>
      <c r="BF1187" s="224" t="s">
        <v>490</v>
      </c>
      <c r="BG1187" s="224" t="s">
        <v>226</v>
      </c>
      <c r="BH1187">
        <v>0</v>
      </c>
    </row>
    <row r="1188" spans="17:60">
      <c r="Q1188" s="224" t="s">
        <v>233</v>
      </c>
      <c r="R1188" s="224" t="s">
        <v>490</v>
      </c>
      <c r="S1188" s="224" t="s">
        <v>226</v>
      </c>
      <c r="T1188" s="224">
        <f ca="1">OFFSET('Calculations 2'!$C$45,W1188,X1188)*OFFSET($N$6,W1188,0)</f>
        <v>3.222547289822324</v>
      </c>
      <c r="V1188">
        <f t="shared" si="56"/>
        <v>93</v>
      </c>
      <c r="W1188">
        <f t="shared" si="57"/>
        <v>27</v>
      </c>
      <c r="X1188">
        <f t="shared" si="58"/>
        <v>2</v>
      </c>
      <c r="AC1188" s="224" t="s">
        <v>233</v>
      </c>
      <c r="AD1188" s="224" t="s">
        <v>490</v>
      </c>
      <c r="AE1188" s="224" t="s">
        <v>226</v>
      </c>
      <c r="AF1188">
        <f ca="1">OFFSET('Calculations 2'!$CE$45,W1188,0)*OFFSET($AA$6,X1188,0)*OFFSET($N$6,W1188,)</f>
        <v>0</v>
      </c>
      <c r="AY1188" s="224" t="s">
        <v>233</v>
      </c>
      <c r="AZ1188" s="224" t="s">
        <v>490</v>
      </c>
      <c r="BA1188" s="224" t="s">
        <v>226</v>
      </c>
      <c r="BB1188">
        <v>0</v>
      </c>
      <c r="BE1188" s="224" t="s">
        <v>233</v>
      </c>
      <c r="BF1188" s="224" t="s">
        <v>490</v>
      </c>
      <c r="BG1188" s="224" t="s">
        <v>226</v>
      </c>
      <c r="BH1188">
        <v>0</v>
      </c>
    </row>
    <row r="1189" spans="17:60">
      <c r="Q1189" s="224" t="s">
        <v>474</v>
      </c>
      <c r="R1189" s="224" t="s">
        <v>490</v>
      </c>
      <c r="S1189" s="224" t="s">
        <v>226</v>
      </c>
      <c r="T1189" s="224">
        <f ca="1">OFFSET('Calculations 2'!$C$45,W1189,X1189)*OFFSET($N$6,W1189,0)</f>
        <v>0.43934430749189818</v>
      </c>
      <c r="V1189">
        <f t="shared" si="56"/>
        <v>94</v>
      </c>
      <c r="W1189">
        <f t="shared" si="57"/>
        <v>28</v>
      </c>
      <c r="X1189">
        <f t="shared" si="58"/>
        <v>2</v>
      </c>
      <c r="AC1189" s="224" t="s">
        <v>474</v>
      </c>
      <c r="AD1189" s="224" t="s">
        <v>490</v>
      </c>
      <c r="AE1189" s="224" t="s">
        <v>226</v>
      </c>
      <c r="AF1189">
        <f ca="1">OFFSET('Calculations 2'!$CE$45,W1189,0)*OFFSET($AA$6,X1189,0)*OFFSET($N$6,W1189,)</f>
        <v>0</v>
      </c>
      <c r="AY1189" s="224" t="s">
        <v>474</v>
      </c>
      <c r="AZ1189" s="224" t="s">
        <v>490</v>
      </c>
      <c r="BA1189" s="224" t="s">
        <v>226</v>
      </c>
      <c r="BB1189">
        <v>0</v>
      </c>
      <c r="BE1189" s="224" t="s">
        <v>474</v>
      </c>
      <c r="BF1189" s="224" t="s">
        <v>490</v>
      </c>
      <c r="BG1189" s="224" t="s">
        <v>226</v>
      </c>
      <c r="BH1189">
        <v>0</v>
      </c>
    </row>
    <row r="1190" spans="17:60">
      <c r="Q1190" s="224" t="s">
        <v>223</v>
      </c>
      <c r="R1190" s="224" t="s">
        <v>490</v>
      </c>
      <c r="S1190" s="224" t="s">
        <v>226</v>
      </c>
      <c r="T1190" s="224">
        <f ca="1">OFFSET('Calculations 2'!$C$45,W1190,X1190)*OFFSET($N$6,W1190,0)</f>
        <v>3.0378800046839785</v>
      </c>
      <c r="V1190">
        <f t="shared" si="56"/>
        <v>95</v>
      </c>
      <c r="W1190">
        <f t="shared" si="57"/>
        <v>29</v>
      </c>
      <c r="X1190">
        <f t="shared" si="58"/>
        <v>2</v>
      </c>
      <c r="AC1190" s="224" t="s">
        <v>223</v>
      </c>
      <c r="AD1190" s="224" t="s">
        <v>490</v>
      </c>
      <c r="AE1190" s="224" t="s">
        <v>226</v>
      </c>
      <c r="AF1190">
        <f ca="1">OFFSET('Calculations 2'!$CE$45,W1190,0)*OFFSET($AA$6,X1190,0)*OFFSET($N$6,W1190,)</f>
        <v>0</v>
      </c>
      <c r="AY1190" s="224" t="s">
        <v>223</v>
      </c>
      <c r="AZ1190" s="224" t="s">
        <v>490</v>
      </c>
      <c r="BA1190" s="224" t="s">
        <v>226</v>
      </c>
      <c r="BB1190">
        <v>0</v>
      </c>
      <c r="BE1190" s="224" t="s">
        <v>223</v>
      </c>
      <c r="BF1190" s="224" t="s">
        <v>490</v>
      </c>
      <c r="BG1190" s="224" t="s">
        <v>226</v>
      </c>
      <c r="BH1190">
        <v>0</v>
      </c>
    </row>
    <row r="1191" spans="17:60">
      <c r="Q1191" s="224" t="s">
        <v>475</v>
      </c>
      <c r="R1191" s="224" t="s">
        <v>490</v>
      </c>
      <c r="S1191" s="224" t="s">
        <v>226</v>
      </c>
      <c r="T1191" s="224">
        <f ca="1">OFFSET('Calculations 2'!$C$45,W1191,X1191)*OFFSET($N$6,W1191,0)</f>
        <v>5.664036481047037E-2</v>
      </c>
      <c r="V1191">
        <f t="shared" si="56"/>
        <v>96</v>
      </c>
      <c r="W1191">
        <f t="shared" si="57"/>
        <v>30</v>
      </c>
      <c r="X1191">
        <f t="shared" si="58"/>
        <v>2</v>
      </c>
      <c r="AC1191" s="224" t="s">
        <v>475</v>
      </c>
      <c r="AD1191" s="224" t="s">
        <v>490</v>
      </c>
      <c r="AE1191" s="224" t="s">
        <v>226</v>
      </c>
      <c r="AF1191">
        <f ca="1">OFFSET('Calculations 2'!$CE$45,W1191,0)*OFFSET($AA$6,X1191,0)*OFFSET($N$6,W1191,)</f>
        <v>0</v>
      </c>
      <c r="AY1191" s="224" t="s">
        <v>475</v>
      </c>
      <c r="AZ1191" s="224" t="s">
        <v>490</v>
      </c>
      <c r="BA1191" s="224" t="s">
        <v>226</v>
      </c>
      <c r="BB1191">
        <v>0</v>
      </c>
      <c r="BE1191" s="224" t="s">
        <v>475</v>
      </c>
      <c r="BF1191" s="224" t="s">
        <v>490</v>
      </c>
      <c r="BG1191" s="224" t="s">
        <v>226</v>
      </c>
      <c r="BH1191">
        <v>0</v>
      </c>
    </row>
    <row r="1192" spans="17:60">
      <c r="Q1192" s="224" t="s">
        <v>476</v>
      </c>
      <c r="R1192" s="224" t="s">
        <v>490</v>
      </c>
      <c r="S1192" s="224" t="s">
        <v>226</v>
      </c>
      <c r="T1192" s="224">
        <f ca="1">OFFSET('Calculations 2'!$C$45,W1192,X1192)*OFFSET($N$6,W1192,0)</f>
        <v>0.12682721894342644</v>
      </c>
      <c r="V1192">
        <f t="shared" si="56"/>
        <v>97</v>
      </c>
      <c r="W1192">
        <f t="shared" si="57"/>
        <v>31</v>
      </c>
      <c r="X1192">
        <f t="shared" si="58"/>
        <v>2</v>
      </c>
      <c r="AC1192" s="224" t="s">
        <v>476</v>
      </c>
      <c r="AD1192" s="224" t="s">
        <v>490</v>
      </c>
      <c r="AE1192" s="224" t="s">
        <v>226</v>
      </c>
      <c r="AF1192">
        <f ca="1">OFFSET('Calculations 2'!$CE$45,W1192,0)*OFFSET($AA$6,X1192,0)*OFFSET($N$6,W1192,)</f>
        <v>0</v>
      </c>
      <c r="AY1192" s="224" t="s">
        <v>476</v>
      </c>
      <c r="AZ1192" s="224" t="s">
        <v>490</v>
      </c>
      <c r="BA1192" s="224" t="s">
        <v>226</v>
      </c>
      <c r="BB1192">
        <v>0</v>
      </c>
      <c r="BE1192" s="224" t="s">
        <v>476</v>
      </c>
      <c r="BF1192" s="224" t="s">
        <v>490</v>
      </c>
      <c r="BG1192" s="224" t="s">
        <v>226</v>
      </c>
      <c r="BH1192">
        <v>0</v>
      </c>
    </row>
    <row r="1193" spans="17:60">
      <c r="Q1193" s="224" t="s">
        <v>222</v>
      </c>
      <c r="R1193" s="224" t="s">
        <v>490</v>
      </c>
      <c r="S1193" s="224" t="s">
        <v>226</v>
      </c>
      <c r="T1193" s="224">
        <f ca="1">OFFSET('Calculations 2'!$C$45,W1193,X1193)*OFFSET($N$6,W1193,0)</f>
        <v>0</v>
      </c>
      <c r="V1193">
        <f t="shared" si="56"/>
        <v>98</v>
      </c>
      <c r="W1193">
        <f t="shared" si="57"/>
        <v>32</v>
      </c>
      <c r="X1193">
        <f t="shared" si="58"/>
        <v>2</v>
      </c>
      <c r="AC1193" s="224" t="s">
        <v>222</v>
      </c>
      <c r="AD1193" s="224" t="s">
        <v>490</v>
      </c>
      <c r="AE1193" s="224" t="s">
        <v>226</v>
      </c>
      <c r="AF1193">
        <f ca="1">OFFSET('Calculations 2'!$CE$45,W1193,0)*OFFSET($AA$6,X1193,0)*OFFSET($N$6,W1193,)</f>
        <v>0</v>
      </c>
      <c r="AY1193" s="224" t="s">
        <v>222</v>
      </c>
      <c r="AZ1193" s="224" t="s">
        <v>490</v>
      </c>
      <c r="BA1193" s="224" t="s">
        <v>226</v>
      </c>
      <c r="BB1193">
        <v>0</v>
      </c>
      <c r="BE1193" s="224" t="s">
        <v>222</v>
      </c>
      <c r="BF1193" s="224" t="s">
        <v>490</v>
      </c>
      <c r="BG1193" s="224" t="s">
        <v>226</v>
      </c>
      <c r="BH1193">
        <v>0</v>
      </c>
    </row>
    <row r="1194" spans="17:60">
      <c r="Q1194" s="224" t="s">
        <v>217</v>
      </c>
      <c r="R1194" s="224" t="s">
        <v>490</v>
      </c>
      <c r="S1194" s="224" t="s">
        <v>243</v>
      </c>
      <c r="T1194" s="224">
        <f ca="1">OFFSET('Calculations 2'!$C$45,W1194,X1194)*OFFSET($N$6,W1194,0)</f>
        <v>0.74734367895107146</v>
      </c>
      <c r="V1194">
        <f t="shared" si="56"/>
        <v>99</v>
      </c>
      <c r="W1194">
        <f t="shared" si="57"/>
        <v>0</v>
      </c>
      <c r="X1194">
        <f t="shared" si="58"/>
        <v>3</v>
      </c>
      <c r="AC1194" s="224" t="s">
        <v>217</v>
      </c>
      <c r="AD1194" s="224" t="s">
        <v>490</v>
      </c>
      <c r="AE1194" s="224" t="s">
        <v>243</v>
      </c>
      <c r="AF1194">
        <f ca="1">OFFSET('Calculations 2'!$CE$45,W1194,0)*OFFSET($AA$6,X1194,0)*OFFSET($N$6,W1194,)</f>
        <v>1.0086340965097529</v>
      </c>
      <c r="AY1194" s="224" t="s">
        <v>217</v>
      </c>
      <c r="AZ1194" s="224" t="s">
        <v>490</v>
      </c>
      <c r="BA1194" s="224" t="s">
        <v>243</v>
      </c>
      <c r="BB1194">
        <v>0</v>
      </c>
      <c r="BE1194" s="224" t="s">
        <v>217</v>
      </c>
      <c r="BF1194" s="224" t="s">
        <v>490</v>
      </c>
      <c r="BG1194" s="224" t="s">
        <v>243</v>
      </c>
      <c r="BH1194">
        <v>0</v>
      </c>
    </row>
    <row r="1195" spans="17:60">
      <c r="Q1195" s="224" t="s">
        <v>232</v>
      </c>
      <c r="R1195" s="224" t="s">
        <v>490</v>
      </c>
      <c r="S1195" s="224" t="s">
        <v>243</v>
      </c>
      <c r="T1195" s="224">
        <f ca="1">OFFSET('Calculations 2'!$C$45,W1195,X1195)*OFFSET($N$6,W1195,0)</f>
        <v>0</v>
      </c>
      <c r="V1195">
        <f t="shared" si="56"/>
        <v>100</v>
      </c>
      <c r="W1195">
        <f t="shared" si="57"/>
        <v>1</v>
      </c>
      <c r="X1195">
        <f t="shared" si="58"/>
        <v>3</v>
      </c>
      <c r="AC1195" s="224" t="s">
        <v>232</v>
      </c>
      <c r="AD1195" s="224" t="s">
        <v>490</v>
      </c>
      <c r="AE1195" s="224" t="s">
        <v>243</v>
      </c>
      <c r="AF1195">
        <f ca="1">OFFSET('Calculations 2'!$CE$45,W1195,0)*OFFSET($AA$6,X1195,0)*OFFSET($N$6,W1195,)</f>
        <v>1.5912531774330565</v>
      </c>
      <c r="AY1195" s="224" t="s">
        <v>232</v>
      </c>
      <c r="AZ1195" s="224" t="s">
        <v>490</v>
      </c>
      <c r="BA1195" s="224" t="s">
        <v>243</v>
      </c>
      <c r="BB1195">
        <v>0</v>
      </c>
      <c r="BE1195" s="224" t="s">
        <v>232</v>
      </c>
      <c r="BF1195" s="224" t="s">
        <v>490</v>
      </c>
      <c r="BG1195" s="224" t="s">
        <v>243</v>
      </c>
      <c r="BH1195">
        <v>0</v>
      </c>
    </row>
    <row r="1196" spans="17:60">
      <c r="Q1196" s="224" t="s">
        <v>226</v>
      </c>
      <c r="R1196" s="224" t="s">
        <v>490</v>
      </c>
      <c r="S1196" s="224" t="s">
        <v>243</v>
      </c>
      <c r="T1196" s="224">
        <f ca="1">OFFSET('Calculations 2'!$C$45,W1196,X1196)*OFFSET($N$6,W1196,0)</f>
        <v>0</v>
      </c>
      <c r="V1196">
        <f t="shared" si="56"/>
        <v>101</v>
      </c>
      <c r="W1196">
        <f t="shared" si="57"/>
        <v>2</v>
      </c>
      <c r="X1196">
        <f t="shared" si="58"/>
        <v>3</v>
      </c>
      <c r="AC1196" s="224" t="s">
        <v>226</v>
      </c>
      <c r="AD1196" s="224" t="s">
        <v>490</v>
      </c>
      <c r="AE1196" s="224" t="s">
        <v>243</v>
      </c>
      <c r="AF1196">
        <f ca="1">OFFSET('Calculations 2'!$CE$45,W1196,0)*OFFSET($AA$6,X1196,0)*OFFSET($N$6,W1196,)</f>
        <v>0.39818027217101504</v>
      </c>
      <c r="AY1196" s="224" t="s">
        <v>226</v>
      </c>
      <c r="AZ1196" s="224" t="s">
        <v>490</v>
      </c>
      <c r="BA1196" s="224" t="s">
        <v>243</v>
      </c>
      <c r="BB1196">
        <v>0</v>
      </c>
      <c r="BE1196" s="224" t="s">
        <v>226</v>
      </c>
      <c r="BF1196" s="224" t="s">
        <v>490</v>
      </c>
      <c r="BG1196" s="224" t="s">
        <v>243</v>
      </c>
      <c r="BH1196">
        <v>0</v>
      </c>
    </row>
    <row r="1197" spans="17:60">
      <c r="Q1197" s="224" t="s">
        <v>243</v>
      </c>
      <c r="R1197" s="224" t="s">
        <v>490</v>
      </c>
      <c r="S1197" s="224" t="s">
        <v>243</v>
      </c>
      <c r="T1197" s="224">
        <f ca="1">OFFSET('Calculations 2'!$C$45,W1197,X1197)*OFFSET($N$6,W1197,0)</f>
        <v>739.30801082224013</v>
      </c>
      <c r="V1197">
        <f t="shared" si="56"/>
        <v>102</v>
      </c>
      <c r="W1197">
        <f t="shared" si="57"/>
        <v>3</v>
      </c>
      <c r="X1197">
        <f t="shared" si="58"/>
        <v>3</v>
      </c>
      <c r="AC1197" s="224" t="s">
        <v>243</v>
      </c>
      <c r="AD1197" s="224" t="s">
        <v>490</v>
      </c>
      <c r="AE1197" s="224" t="s">
        <v>243</v>
      </c>
      <c r="AF1197">
        <f ca="1">OFFSET('Calculations 2'!$CE$45,W1197,0)*OFFSET($AA$6,X1197,0)*OFFSET($N$6,W1197,)</f>
        <v>7.8138980306147721</v>
      </c>
      <c r="AY1197" s="224" t="s">
        <v>243</v>
      </c>
      <c r="AZ1197" s="224" t="s">
        <v>490</v>
      </c>
      <c r="BA1197" s="224" t="s">
        <v>243</v>
      </c>
      <c r="BB1197">
        <v>0</v>
      </c>
      <c r="BE1197" s="224" t="s">
        <v>243</v>
      </c>
      <c r="BF1197" s="224" t="s">
        <v>490</v>
      </c>
      <c r="BG1197" s="224" t="s">
        <v>243</v>
      </c>
      <c r="BH1197">
        <v>0</v>
      </c>
    </row>
    <row r="1198" spans="17:60">
      <c r="Q1198" s="224" t="s">
        <v>228</v>
      </c>
      <c r="R1198" s="224" t="s">
        <v>490</v>
      </c>
      <c r="S1198" s="224" t="s">
        <v>243</v>
      </c>
      <c r="T1198" s="224">
        <f ca="1">OFFSET('Calculations 2'!$C$45,W1198,X1198)*OFFSET($N$6,W1198,0)</f>
        <v>4.7043782144950988E-2</v>
      </c>
      <c r="V1198">
        <f t="shared" si="56"/>
        <v>103</v>
      </c>
      <c r="W1198">
        <f t="shared" si="57"/>
        <v>4</v>
      </c>
      <c r="X1198">
        <f t="shared" si="58"/>
        <v>3</v>
      </c>
      <c r="AC1198" s="224" t="s">
        <v>228</v>
      </c>
      <c r="AD1198" s="224" t="s">
        <v>490</v>
      </c>
      <c r="AE1198" s="224" t="s">
        <v>243</v>
      </c>
      <c r="AF1198">
        <f ca="1">OFFSET('Calculations 2'!$CE$45,W1198,0)*OFFSET($AA$6,X1198,0)*OFFSET($N$6,W1198,)</f>
        <v>4.0723651057012056</v>
      </c>
      <c r="AY1198" s="224" t="s">
        <v>228</v>
      </c>
      <c r="AZ1198" s="224" t="s">
        <v>490</v>
      </c>
      <c r="BA1198" s="224" t="s">
        <v>243</v>
      </c>
      <c r="BB1198">
        <v>0</v>
      </c>
      <c r="BE1198" s="224" t="s">
        <v>228</v>
      </c>
      <c r="BF1198" s="224" t="s">
        <v>490</v>
      </c>
      <c r="BG1198" s="224" t="s">
        <v>243</v>
      </c>
      <c r="BH1198">
        <v>0</v>
      </c>
    </row>
    <row r="1199" spans="17:60">
      <c r="Q1199" s="224" t="s">
        <v>246</v>
      </c>
      <c r="R1199" s="224" t="s">
        <v>490</v>
      </c>
      <c r="S1199" s="224" t="s">
        <v>243</v>
      </c>
      <c r="T1199" s="224">
        <f ca="1">OFFSET('Calculations 2'!$C$45,W1199,X1199)*OFFSET($N$6,W1199,0)</f>
        <v>0</v>
      </c>
      <c r="V1199">
        <f t="shared" si="56"/>
        <v>104</v>
      </c>
      <c r="W1199">
        <f t="shared" si="57"/>
        <v>5</v>
      </c>
      <c r="X1199">
        <f t="shared" si="58"/>
        <v>3</v>
      </c>
      <c r="AC1199" s="224" t="s">
        <v>246</v>
      </c>
      <c r="AD1199" s="224" t="s">
        <v>490</v>
      </c>
      <c r="AE1199" s="224" t="s">
        <v>243</v>
      </c>
      <c r="AF1199">
        <f ca="1">OFFSET('Calculations 2'!$CE$45,W1199,0)*OFFSET($AA$6,X1199,0)*OFFSET($N$6,W1199,)</f>
        <v>7.2892248398962217E-2</v>
      </c>
      <c r="AY1199" s="224" t="s">
        <v>246</v>
      </c>
      <c r="AZ1199" s="224" t="s">
        <v>490</v>
      </c>
      <c r="BA1199" s="224" t="s">
        <v>243</v>
      </c>
      <c r="BB1199">
        <v>0</v>
      </c>
      <c r="BE1199" s="224" t="s">
        <v>246</v>
      </c>
      <c r="BF1199" s="224" t="s">
        <v>490</v>
      </c>
      <c r="BG1199" s="224" t="s">
        <v>243</v>
      </c>
      <c r="BH1199">
        <v>0</v>
      </c>
    </row>
    <row r="1200" spans="17:60">
      <c r="Q1200" s="224" t="s">
        <v>239</v>
      </c>
      <c r="R1200" s="224" t="s">
        <v>490</v>
      </c>
      <c r="S1200" s="224" t="s">
        <v>243</v>
      </c>
      <c r="T1200" s="224">
        <f ca="1">OFFSET('Calculations 2'!$C$45,W1200,X1200)*OFFSET($N$6,W1200,0)</f>
        <v>2.843488518690755</v>
      </c>
      <c r="V1200">
        <f t="shared" si="56"/>
        <v>105</v>
      </c>
      <c r="W1200">
        <f t="shared" si="57"/>
        <v>6</v>
      </c>
      <c r="X1200">
        <f t="shared" si="58"/>
        <v>3</v>
      </c>
      <c r="AC1200" s="224" t="s">
        <v>239</v>
      </c>
      <c r="AD1200" s="224" t="s">
        <v>490</v>
      </c>
      <c r="AE1200" s="224" t="s">
        <v>243</v>
      </c>
      <c r="AF1200">
        <f ca="1">OFFSET('Calculations 2'!$CE$45,W1200,0)*OFFSET($AA$6,X1200,0)*OFFSET($N$6,W1200,)</f>
        <v>1.0496424827215913</v>
      </c>
      <c r="AY1200" s="224" t="s">
        <v>239</v>
      </c>
      <c r="AZ1200" s="224" t="s">
        <v>490</v>
      </c>
      <c r="BA1200" s="224" t="s">
        <v>243</v>
      </c>
      <c r="BB1200">
        <v>0</v>
      </c>
      <c r="BE1200" s="224" t="s">
        <v>239</v>
      </c>
      <c r="BF1200" s="224" t="s">
        <v>490</v>
      </c>
      <c r="BG1200" s="224" t="s">
        <v>243</v>
      </c>
      <c r="BH1200">
        <v>0</v>
      </c>
    </row>
    <row r="1201" spans="17:60">
      <c r="Q1201" s="224" t="s">
        <v>466</v>
      </c>
      <c r="R1201" s="224" t="s">
        <v>490</v>
      </c>
      <c r="S1201" s="224" t="s">
        <v>243</v>
      </c>
      <c r="T1201" s="224">
        <f ca="1">OFFSET('Calculations 2'!$C$45,W1201,X1201)*OFFSET($N$6,W1201,0)</f>
        <v>4.7096951502069375</v>
      </c>
      <c r="V1201">
        <f t="shared" si="56"/>
        <v>106</v>
      </c>
      <c r="W1201">
        <f t="shared" si="57"/>
        <v>7</v>
      </c>
      <c r="X1201">
        <f t="shared" si="58"/>
        <v>3</v>
      </c>
      <c r="AC1201" s="224" t="s">
        <v>466</v>
      </c>
      <c r="AD1201" s="224" t="s">
        <v>490</v>
      </c>
      <c r="AE1201" s="224" t="s">
        <v>243</v>
      </c>
      <c r="AF1201">
        <f ca="1">OFFSET('Calculations 2'!$CE$45,W1201,0)*OFFSET($AA$6,X1201,0)*OFFSET($N$6,W1201,)</f>
        <v>0.26431223822625199</v>
      </c>
      <c r="AY1201" s="224" t="s">
        <v>466</v>
      </c>
      <c r="AZ1201" s="224" t="s">
        <v>490</v>
      </c>
      <c r="BA1201" s="224" t="s">
        <v>243</v>
      </c>
      <c r="BB1201">
        <v>0</v>
      </c>
      <c r="BE1201" s="224" t="s">
        <v>466</v>
      </c>
      <c r="BF1201" s="224" t="s">
        <v>490</v>
      </c>
      <c r="BG1201" s="224" t="s">
        <v>243</v>
      </c>
      <c r="BH1201">
        <v>0</v>
      </c>
    </row>
    <row r="1202" spans="17:60">
      <c r="Q1202" s="224" t="s">
        <v>219</v>
      </c>
      <c r="R1202" s="224" t="s">
        <v>490</v>
      </c>
      <c r="S1202" s="224" t="s">
        <v>243</v>
      </c>
      <c r="T1202" s="224">
        <f ca="1">OFFSET('Calculations 2'!$C$45,W1202,X1202)*OFFSET($N$6,W1202,0)</f>
        <v>1.5291392431469477</v>
      </c>
      <c r="V1202">
        <f t="shared" si="56"/>
        <v>107</v>
      </c>
      <c r="W1202">
        <f t="shared" si="57"/>
        <v>8</v>
      </c>
      <c r="X1202">
        <f t="shared" si="58"/>
        <v>3</v>
      </c>
      <c r="AC1202" s="224" t="s">
        <v>219</v>
      </c>
      <c r="AD1202" s="224" t="s">
        <v>490</v>
      </c>
      <c r="AE1202" s="224" t="s">
        <v>243</v>
      </c>
      <c r="AF1202">
        <f ca="1">OFFSET('Calculations 2'!$CE$45,W1202,0)*OFFSET($AA$6,X1202,0)*OFFSET($N$6,W1202,)</f>
        <v>3.6232808479624765</v>
      </c>
      <c r="AY1202" s="224" t="s">
        <v>219</v>
      </c>
      <c r="AZ1202" s="224" t="s">
        <v>490</v>
      </c>
      <c r="BA1202" s="224" t="s">
        <v>243</v>
      </c>
      <c r="BB1202">
        <v>0</v>
      </c>
      <c r="BE1202" s="224" t="s">
        <v>219</v>
      </c>
      <c r="BF1202" s="224" t="s">
        <v>490</v>
      </c>
      <c r="BG1202" s="224" t="s">
        <v>243</v>
      </c>
      <c r="BH1202">
        <v>0</v>
      </c>
    </row>
    <row r="1203" spans="17:60">
      <c r="Q1203" s="224" t="s">
        <v>242</v>
      </c>
      <c r="R1203" s="224" t="s">
        <v>490</v>
      </c>
      <c r="S1203" s="224" t="s">
        <v>243</v>
      </c>
      <c r="T1203" s="224">
        <f ca="1">OFFSET('Calculations 2'!$C$45,W1203,X1203)*OFFSET($N$6,W1203,0)</f>
        <v>20.607160857663409</v>
      </c>
      <c r="V1203">
        <f t="shared" si="56"/>
        <v>108</v>
      </c>
      <c r="W1203">
        <f t="shared" si="57"/>
        <v>9</v>
      </c>
      <c r="X1203">
        <f t="shared" si="58"/>
        <v>3</v>
      </c>
      <c r="AC1203" s="224" t="s">
        <v>242</v>
      </c>
      <c r="AD1203" s="224" t="s">
        <v>490</v>
      </c>
      <c r="AE1203" s="224" t="s">
        <v>243</v>
      </c>
      <c r="AF1203">
        <f ca="1">OFFSET('Calculations 2'!$CE$45,W1203,0)*OFFSET($AA$6,X1203,0)*OFFSET($N$6,W1203,)</f>
        <v>2.7749515199310788</v>
      </c>
      <c r="AY1203" s="224" t="s">
        <v>242</v>
      </c>
      <c r="AZ1203" s="224" t="s">
        <v>490</v>
      </c>
      <c r="BA1203" s="224" t="s">
        <v>243</v>
      </c>
      <c r="BB1203">
        <v>0</v>
      </c>
      <c r="BE1203" s="224" t="s">
        <v>242</v>
      </c>
      <c r="BF1203" s="224" t="s">
        <v>490</v>
      </c>
      <c r="BG1203" s="224" t="s">
        <v>243</v>
      </c>
      <c r="BH1203">
        <v>0</v>
      </c>
    </row>
    <row r="1204" spans="17:60">
      <c r="Q1204" s="224" t="s">
        <v>467</v>
      </c>
      <c r="R1204" s="224" t="s">
        <v>490</v>
      </c>
      <c r="S1204" s="224" t="s">
        <v>243</v>
      </c>
      <c r="T1204" s="224">
        <f ca="1">OFFSET('Calculations 2'!$C$45,W1204,X1204)*OFFSET($N$6,W1204,0)</f>
        <v>4.0316595054930229</v>
      </c>
      <c r="V1204">
        <f t="shared" si="56"/>
        <v>109</v>
      </c>
      <c r="W1204">
        <f t="shared" si="57"/>
        <v>10</v>
      </c>
      <c r="X1204">
        <f t="shared" si="58"/>
        <v>3</v>
      </c>
      <c r="AC1204" s="224" t="s">
        <v>467</v>
      </c>
      <c r="AD1204" s="224" t="s">
        <v>490</v>
      </c>
      <c r="AE1204" s="224" t="s">
        <v>243</v>
      </c>
      <c r="AF1204">
        <f ca="1">OFFSET('Calculations 2'!$CE$45,W1204,0)*OFFSET($AA$6,X1204,0)*OFFSET($N$6,W1204,)</f>
        <v>1.0475091010667088</v>
      </c>
      <c r="AY1204" s="224" t="s">
        <v>467</v>
      </c>
      <c r="AZ1204" s="224" t="s">
        <v>490</v>
      </c>
      <c r="BA1204" s="224" t="s">
        <v>243</v>
      </c>
      <c r="BB1204">
        <v>0</v>
      </c>
      <c r="BE1204" s="224" t="s">
        <v>467</v>
      </c>
      <c r="BF1204" s="224" t="s">
        <v>490</v>
      </c>
      <c r="BG1204" s="224" t="s">
        <v>243</v>
      </c>
      <c r="BH1204">
        <v>0</v>
      </c>
    </row>
    <row r="1205" spans="17:60">
      <c r="Q1205" s="224" t="s">
        <v>231</v>
      </c>
      <c r="R1205" s="224" t="s">
        <v>490</v>
      </c>
      <c r="S1205" s="224" t="s">
        <v>243</v>
      </c>
      <c r="T1205" s="224">
        <f ca="1">OFFSET('Calculations 2'!$C$45,W1205,X1205)*OFFSET($N$6,W1205,0)</f>
        <v>63.041091032694176</v>
      </c>
      <c r="V1205">
        <f t="shared" si="56"/>
        <v>110</v>
      </c>
      <c r="W1205">
        <f t="shared" si="57"/>
        <v>11</v>
      </c>
      <c r="X1205">
        <f t="shared" si="58"/>
        <v>3</v>
      </c>
      <c r="AC1205" s="224" t="s">
        <v>231</v>
      </c>
      <c r="AD1205" s="224" t="s">
        <v>490</v>
      </c>
      <c r="AE1205" s="224" t="s">
        <v>243</v>
      </c>
      <c r="AF1205">
        <f ca="1">OFFSET('Calculations 2'!$CE$45,W1205,0)*OFFSET($AA$6,X1205,0)*OFFSET($N$6,W1205,)</f>
        <v>13.11181695891514</v>
      </c>
      <c r="AY1205" s="224" t="s">
        <v>231</v>
      </c>
      <c r="AZ1205" s="224" t="s">
        <v>490</v>
      </c>
      <c r="BA1205" s="224" t="s">
        <v>243</v>
      </c>
      <c r="BB1205">
        <v>0</v>
      </c>
      <c r="BE1205" s="224" t="s">
        <v>231</v>
      </c>
      <c r="BF1205" s="224" t="s">
        <v>490</v>
      </c>
      <c r="BG1205" s="224" t="s">
        <v>243</v>
      </c>
      <c r="BH1205">
        <v>0</v>
      </c>
    </row>
    <row r="1206" spans="17:60">
      <c r="Q1206" s="224" t="s">
        <v>468</v>
      </c>
      <c r="R1206" s="224" t="s">
        <v>490</v>
      </c>
      <c r="S1206" s="224" t="s">
        <v>243</v>
      </c>
      <c r="T1206" s="224">
        <f ca="1">OFFSET('Calculations 2'!$C$45,W1206,X1206)*OFFSET($N$6,W1206,0)</f>
        <v>1.7705358350732372</v>
      </c>
      <c r="V1206">
        <f t="shared" si="56"/>
        <v>111</v>
      </c>
      <c r="W1206">
        <f t="shared" si="57"/>
        <v>12</v>
      </c>
      <c r="X1206">
        <f t="shared" si="58"/>
        <v>3</v>
      </c>
      <c r="AC1206" s="224" t="s">
        <v>468</v>
      </c>
      <c r="AD1206" s="224" t="s">
        <v>490</v>
      </c>
      <c r="AE1206" s="224" t="s">
        <v>243</v>
      </c>
      <c r="AF1206">
        <f ca="1">OFFSET('Calculations 2'!$CE$45,W1206,0)*OFFSET($AA$6,X1206,0)*OFFSET($N$6,W1206,)</f>
        <v>50.22837996055744</v>
      </c>
      <c r="AY1206" s="224" t="s">
        <v>468</v>
      </c>
      <c r="AZ1206" s="224" t="s">
        <v>490</v>
      </c>
      <c r="BA1206" s="224" t="s">
        <v>243</v>
      </c>
      <c r="BB1206">
        <v>0</v>
      </c>
      <c r="BE1206" s="224" t="s">
        <v>468</v>
      </c>
      <c r="BF1206" s="224" t="s">
        <v>490</v>
      </c>
      <c r="BG1206" s="224" t="s">
        <v>243</v>
      </c>
      <c r="BH1206">
        <v>0</v>
      </c>
    </row>
    <row r="1207" spans="17:60">
      <c r="Q1207" s="224" t="s">
        <v>469</v>
      </c>
      <c r="R1207" s="224" t="s">
        <v>490</v>
      </c>
      <c r="S1207" s="224" t="s">
        <v>243</v>
      </c>
      <c r="T1207" s="224">
        <f ca="1">OFFSET('Calculations 2'!$C$45,W1207,X1207)*OFFSET($N$6,W1207,0)</f>
        <v>0</v>
      </c>
      <c r="V1207">
        <f t="shared" si="56"/>
        <v>112</v>
      </c>
      <c r="W1207">
        <f t="shared" si="57"/>
        <v>13</v>
      </c>
      <c r="X1207">
        <f t="shared" si="58"/>
        <v>3</v>
      </c>
      <c r="AC1207" s="224" t="s">
        <v>469</v>
      </c>
      <c r="AD1207" s="224" t="s">
        <v>490</v>
      </c>
      <c r="AE1207" s="224" t="s">
        <v>243</v>
      </c>
      <c r="AF1207">
        <f ca="1">OFFSET('Calculations 2'!$CE$45,W1207,0)*OFFSET($AA$6,X1207,0)*OFFSET($N$6,W1207,)</f>
        <v>26.930925116770762</v>
      </c>
      <c r="AY1207" s="224" t="s">
        <v>469</v>
      </c>
      <c r="AZ1207" s="224" t="s">
        <v>490</v>
      </c>
      <c r="BA1207" s="224" t="s">
        <v>243</v>
      </c>
      <c r="BB1207">
        <v>0</v>
      </c>
      <c r="BE1207" s="224" t="s">
        <v>469</v>
      </c>
      <c r="BF1207" s="224" t="s">
        <v>490</v>
      </c>
      <c r="BG1207" s="224" t="s">
        <v>243</v>
      </c>
      <c r="BH1207">
        <v>0</v>
      </c>
    </row>
    <row r="1208" spans="17:60">
      <c r="Q1208" s="224" t="s">
        <v>245</v>
      </c>
      <c r="R1208" s="224" t="s">
        <v>490</v>
      </c>
      <c r="S1208" s="224" t="s">
        <v>243</v>
      </c>
      <c r="T1208" s="224">
        <f ca="1">OFFSET('Calculations 2'!$C$45,W1208,X1208)*OFFSET($N$6,W1208,0)</f>
        <v>4.108358756231496</v>
      </c>
      <c r="V1208">
        <f t="shared" si="56"/>
        <v>113</v>
      </c>
      <c r="W1208">
        <f t="shared" si="57"/>
        <v>14</v>
      </c>
      <c r="X1208">
        <f t="shared" si="58"/>
        <v>3</v>
      </c>
      <c r="AC1208" s="224" t="s">
        <v>245</v>
      </c>
      <c r="AD1208" s="224" t="s">
        <v>490</v>
      </c>
      <c r="AE1208" s="224" t="s">
        <v>243</v>
      </c>
      <c r="AF1208">
        <f ca="1">OFFSET('Calculations 2'!$CE$45,W1208,0)*OFFSET($AA$6,X1208,0)*OFFSET($N$6,W1208,)</f>
        <v>42.978727382252714</v>
      </c>
      <c r="AY1208" s="224" t="s">
        <v>245</v>
      </c>
      <c r="AZ1208" s="224" t="s">
        <v>490</v>
      </c>
      <c r="BA1208" s="224" t="s">
        <v>243</v>
      </c>
      <c r="BB1208">
        <v>0</v>
      </c>
      <c r="BE1208" s="224" t="s">
        <v>245</v>
      </c>
      <c r="BF1208" s="224" t="s">
        <v>490</v>
      </c>
      <c r="BG1208" s="224" t="s">
        <v>243</v>
      </c>
      <c r="BH1208">
        <v>0</v>
      </c>
    </row>
    <row r="1209" spans="17:60">
      <c r="Q1209" s="224" t="s">
        <v>470</v>
      </c>
      <c r="R1209" s="224" t="s">
        <v>490</v>
      </c>
      <c r="S1209" s="224" t="s">
        <v>243</v>
      </c>
      <c r="T1209" s="224">
        <f ca="1">OFFSET('Calculations 2'!$C$45,W1209,X1209)*OFFSET($N$6,W1209,0)</f>
        <v>29.107886206374744</v>
      </c>
      <c r="V1209">
        <f t="shared" si="56"/>
        <v>114</v>
      </c>
      <c r="W1209">
        <f t="shared" si="57"/>
        <v>15</v>
      </c>
      <c r="X1209">
        <f t="shared" si="58"/>
        <v>3</v>
      </c>
      <c r="AC1209" s="224" t="s">
        <v>470</v>
      </c>
      <c r="AD1209" s="224" t="s">
        <v>490</v>
      </c>
      <c r="AE1209" s="224" t="s">
        <v>243</v>
      </c>
      <c r="AF1209">
        <f ca="1">OFFSET('Calculations 2'!$CE$45,W1209,0)*OFFSET($AA$6,X1209,0)*OFFSET($N$6,W1209,)</f>
        <v>16.30761917820838</v>
      </c>
      <c r="AY1209" s="224" t="s">
        <v>470</v>
      </c>
      <c r="AZ1209" s="224" t="s">
        <v>490</v>
      </c>
      <c r="BA1209" s="224" t="s">
        <v>243</v>
      </c>
      <c r="BB1209">
        <v>0</v>
      </c>
      <c r="BE1209" s="224" t="s">
        <v>470</v>
      </c>
      <c r="BF1209" s="224" t="s">
        <v>490</v>
      </c>
      <c r="BG1209" s="224" t="s">
        <v>243</v>
      </c>
      <c r="BH1209">
        <v>0</v>
      </c>
    </row>
    <row r="1210" spans="17:60">
      <c r="Q1210" s="224" t="s">
        <v>471</v>
      </c>
      <c r="R1210" s="224" t="s">
        <v>490</v>
      </c>
      <c r="S1210" s="224" t="s">
        <v>243</v>
      </c>
      <c r="T1210" s="224">
        <f ca="1">OFFSET('Calculations 2'!$C$45,W1210,X1210)*OFFSET($N$6,W1210,0)</f>
        <v>0.4296777087689776</v>
      </c>
      <c r="V1210">
        <f t="shared" si="56"/>
        <v>115</v>
      </c>
      <c r="W1210">
        <f t="shared" si="57"/>
        <v>16</v>
      </c>
      <c r="X1210">
        <f t="shared" si="58"/>
        <v>3</v>
      </c>
      <c r="AC1210" s="224" t="s">
        <v>471</v>
      </c>
      <c r="AD1210" s="224" t="s">
        <v>490</v>
      </c>
      <c r="AE1210" s="224" t="s">
        <v>243</v>
      </c>
      <c r="AF1210">
        <f ca="1">OFFSET('Calculations 2'!$CE$45,W1210,0)*OFFSET($AA$6,X1210,0)*OFFSET($N$6,W1210,)</f>
        <v>0</v>
      </c>
      <c r="AY1210" s="224" t="s">
        <v>471</v>
      </c>
      <c r="AZ1210" s="224" t="s">
        <v>490</v>
      </c>
      <c r="BA1210" s="224" t="s">
        <v>243</v>
      </c>
      <c r="BB1210">
        <v>0</v>
      </c>
      <c r="BE1210" s="224" t="s">
        <v>471</v>
      </c>
      <c r="BF1210" s="224" t="s">
        <v>490</v>
      </c>
      <c r="BG1210" s="224" t="s">
        <v>243</v>
      </c>
      <c r="BH1210">
        <v>0</v>
      </c>
    </row>
    <row r="1211" spans="17:60">
      <c r="Q1211" s="224" t="s">
        <v>221</v>
      </c>
      <c r="R1211" s="224" t="s">
        <v>490</v>
      </c>
      <c r="S1211" s="224" t="s">
        <v>243</v>
      </c>
      <c r="T1211" s="224">
        <f ca="1">OFFSET('Calculations 2'!$C$45,W1211,X1211)*OFFSET($N$6,W1211,0)</f>
        <v>1.0346780006236815</v>
      </c>
      <c r="V1211">
        <f t="shared" si="56"/>
        <v>116</v>
      </c>
      <c r="W1211">
        <f t="shared" si="57"/>
        <v>17</v>
      </c>
      <c r="X1211">
        <f t="shared" si="58"/>
        <v>3</v>
      </c>
      <c r="AC1211" s="224" t="s">
        <v>221</v>
      </c>
      <c r="AD1211" s="224" t="s">
        <v>490</v>
      </c>
      <c r="AE1211" s="224" t="s">
        <v>243</v>
      </c>
      <c r="AF1211">
        <f ca="1">OFFSET('Calculations 2'!$CE$45,W1211,0)*OFFSET($AA$6,X1211,0)*OFFSET($N$6,W1211,)</f>
        <v>3.19231035040537</v>
      </c>
      <c r="AY1211" s="224" t="s">
        <v>221</v>
      </c>
      <c r="AZ1211" s="224" t="s">
        <v>490</v>
      </c>
      <c r="BA1211" s="224" t="s">
        <v>243</v>
      </c>
      <c r="BB1211">
        <v>0</v>
      </c>
      <c r="BE1211" s="224" t="s">
        <v>221</v>
      </c>
      <c r="BF1211" s="224" t="s">
        <v>490</v>
      </c>
      <c r="BG1211" s="224" t="s">
        <v>243</v>
      </c>
      <c r="BH1211">
        <v>0</v>
      </c>
    </row>
    <row r="1212" spans="17:60">
      <c r="Q1212" s="224" t="s">
        <v>244</v>
      </c>
      <c r="R1212" s="224" t="s">
        <v>490</v>
      </c>
      <c r="S1212" s="224" t="s">
        <v>243</v>
      </c>
      <c r="T1212" s="224">
        <f ca="1">OFFSET('Calculations 2'!$C$45,W1212,X1212)*OFFSET($N$6,W1212,0)</f>
        <v>4.7862412753584298</v>
      </c>
      <c r="V1212">
        <f t="shared" si="56"/>
        <v>117</v>
      </c>
      <c r="W1212">
        <f t="shared" si="57"/>
        <v>18</v>
      </c>
      <c r="X1212">
        <f t="shared" si="58"/>
        <v>3</v>
      </c>
      <c r="AC1212" s="224" t="s">
        <v>244</v>
      </c>
      <c r="AD1212" s="224" t="s">
        <v>490</v>
      </c>
      <c r="AE1212" s="224" t="s">
        <v>243</v>
      </c>
      <c r="AF1212">
        <f ca="1">OFFSET('Calculations 2'!$CE$45,W1212,0)*OFFSET($AA$6,X1212,0)*OFFSET($N$6,W1212,)</f>
        <v>0.27930548918798614</v>
      </c>
      <c r="AY1212" s="224" t="s">
        <v>244</v>
      </c>
      <c r="AZ1212" s="224" t="s">
        <v>490</v>
      </c>
      <c r="BA1212" s="224" t="s">
        <v>243</v>
      </c>
      <c r="BB1212">
        <v>0</v>
      </c>
      <c r="BE1212" s="224" t="s">
        <v>244</v>
      </c>
      <c r="BF1212" s="224" t="s">
        <v>490</v>
      </c>
      <c r="BG1212" s="224" t="s">
        <v>243</v>
      </c>
      <c r="BH1212">
        <v>0</v>
      </c>
    </row>
    <row r="1213" spans="17:60">
      <c r="Q1213" s="224" t="s">
        <v>472</v>
      </c>
      <c r="R1213" s="224" t="s">
        <v>490</v>
      </c>
      <c r="S1213" s="224" t="s">
        <v>243</v>
      </c>
      <c r="T1213" s="224">
        <f ca="1">OFFSET('Calculations 2'!$C$45,W1213,X1213)*OFFSET($N$6,W1213,0)</f>
        <v>0</v>
      </c>
      <c r="V1213">
        <f t="shared" si="56"/>
        <v>118</v>
      </c>
      <c r="W1213">
        <f t="shared" si="57"/>
        <v>19</v>
      </c>
      <c r="X1213">
        <f t="shared" si="58"/>
        <v>3</v>
      </c>
      <c r="AC1213" s="224" t="s">
        <v>472</v>
      </c>
      <c r="AD1213" s="224" t="s">
        <v>490</v>
      </c>
      <c r="AE1213" s="224" t="s">
        <v>243</v>
      </c>
      <c r="AF1213">
        <f ca="1">OFFSET('Calculations 2'!$CE$45,W1213,0)*OFFSET($AA$6,X1213,0)*OFFSET($N$6,W1213,)</f>
        <v>0</v>
      </c>
      <c r="AY1213" s="224" t="s">
        <v>472</v>
      </c>
      <c r="AZ1213" s="224" t="s">
        <v>490</v>
      </c>
      <c r="BA1213" s="224" t="s">
        <v>243</v>
      </c>
      <c r="BB1213">
        <v>0</v>
      </c>
      <c r="BE1213" s="224" t="s">
        <v>472</v>
      </c>
      <c r="BF1213" s="224" t="s">
        <v>490</v>
      </c>
      <c r="BG1213" s="224" t="s">
        <v>243</v>
      </c>
      <c r="BH1213">
        <v>0</v>
      </c>
    </row>
    <row r="1214" spans="17:60">
      <c r="Q1214" s="224" t="s">
        <v>238</v>
      </c>
      <c r="R1214" s="224" t="s">
        <v>490</v>
      </c>
      <c r="S1214" s="224" t="s">
        <v>243</v>
      </c>
      <c r="T1214" s="224">
        <f ca="1">OFFSET('Calculations 2'!$C$45,W1214,X1214)*OFFSET($N$6,W1214,0)</f>
        <v>2.8262114267046161E-2</v>
      </c>
      <c r="V1214">
        <f t="shared" si="56"/>
        <v>119</v>
      </c>
      <c r="W1214">
        <f t="shared" si="57"/>
        <v>20</v>
      </c>
      <c r="X1214">
        <f t="shared" si="58"/>
        <v>3</v>
      </c>
      <c r="AC1214" s="224" t="s">
        <v>238</v>
      </c>
      <c r="AD1214" s="224" t="s">
        <v>490</v>
      </c>
      <c r="AE1214" s="224" t="s">
        <v>243</v>
      </c>
      <c r="AF1214">
        <f ca="1">OFFSET('Calculations 2'!$CE$45,W1214,0)*OFFSET($AA$6,X1214,0)*OFFSET($N$6,W1214,)</f>
        <v>0</v>
      </c>
      <c r="AY1214" s="224" t="s">
        <v>238</v>
      </c>
      <c r="AZ1214" s="224" t="s">
        <v>490</v>
      </c>
      <c r="BA1214" s="224" t="s">
        <v>243</v>
      </c>
      <c r="BB1214">
        <v>0</v>
      </c>
      <c r="BE1214" s="224" t="s">
        <v>238</v>
      </c>
      <c r="BF1214" s="224" t="s">
        <v>490</v>
      </c>
      <c r="BG1214" s="224" t="s">
        <v>243</v>
      </c>
      <c r="BH1214">
        <v>0</v>
      </c>
    </row>
    <row r="1215" spans="17:60">
      <c r="Q1215" s="224" t="s">
        <v>247</v>
      </c>
      <c r="R1215" s="224" t="s">
        <v>490</v>
      </c>
      <c r="S1215" s="224" t="s">
        <v>243</v>
      </c>
      <c r="T1215" s="224">
        <f ca="1">OFFSET('Calculations 2'!$C$45,W1215,X1215)*OFFSET($N$6,W1215,0)</f>
        <v>0</v>
      </c>
      <c r="V1215">
        <f t="shared" si="56"/>
        <v>120</v>
      </c>
      <c r="W1215">
        <f t="shared" si="57"/>
        <v>21</v>
      </c>
      <c r="X1215">
        <f t="shared" si="58"/>
        <v>3</v>
      </c>
      <c r="AC1215" s="224" t="s">
        <v>247</v>
      </c>
      <c r="AD1215" s="224" t="s">
        <v>490</v>
      </c>
      <c r="AE1215" s="224" t="s">
        <v>243</v>
      </c>
      <c r="AF1215">
        <f ca="1">OFFSET('Calculations 2'!$CE$45,W1215,0)*OFFSET($AA$6,X1215,0)*OFFSET($N$6,W1215,)</f>
        <v>0</v>
      </c>
      <c r="AY1215" s="224" t="s">
        <v>247</v>
      </c>
      <c r="AZ1215" s="224" t="s">
        <v>490</v>
      </c>
      <c r="BA1215" s="224" t="s">
        <v>243</v>
      </c>
      <c r="BB1215">
        <v>0</v>
      </c>
      <c r="BE1215" s="224" t="s">
        <v>247</v>
      </c>
      <c r="BF1215" s="224" t="s">
        <v>490</v>
      </c>
      <c r="BG1215" s="224" t="s">
        <v>243</v>
      </c>
      <c r="BH1215">
        <v>0</v>
      </c>
    </row>
    <row r="1216" spans="17:60">
      <c r="Q1216" s="224" t="s">
        <v>218</v>
      </c>
      <c r="R1216" s="224" t="s">
        <v>490</v>
      </c>
      <c r="S1216" s="224" t="s">
        <v>243</v>
      </c>
      <c r="T1216" s="224">
        <f ca="1">OFFSET('Calculations 2'!$C$45,W1216,X1216)*OFFSET($N$6,W1216,0)</f>
        <v>0.36676557405035104</v>
      </c>
      <c r="V1216">
        <f t="shared" si="56"/>
        <v>121</v>
      </c>
      <c r="W1216">
        <f t="shared" si="57"/>
        <v>22</v>
      </c>
      <c r="X1216">
        <f t="shared" si="58"/>
        <v>3</v>
      </c>
      <c r="AC1216" s="224" t="s">
        <v>218</v>
      </c>
      <c r="AD1216" s="224" t="s">
        <v>490</v>
      </c>
      <c r="AE1216" s="224" t="s">
        <v>243</v>
      </c>
      <c r="AF1216">
        <f ca="1">OFFSET('Calculations 2'!$CE$45,W1216,0)*OFFSET($AA$6,X1216,0)*OFFSET($N$6,W1216,)</f>
        <v>0</v>
      </c>
      <c r="AY1216" s="224" t="s">
        <v>218</v>
      </c>
      <c r="AZ1216" s="224" t="s">
        <v>490</v>
      </c>
      <c r="BA1216" s="224" t="s">
        <v>243</v>
      </c>
      <c r="BB1216">
        <v>0</v>
      </c>
      <c r="BE1216" s="224" t="s">
        <v>218</v>
      </c>
      <c r="BF1216" s="224" t="s">
        <v>490</v>
      </c>
      <c r="BG1216" s="224" t="s">
        <v>243</v>
      </c>
      <c r="BH1216">
        <v>0</v>
      </c>
    </row>
    <row r="1217" spans="17:60">
      <c r="Q1217" s="224" t="s">
        <v>257</v>
      </c>
      <c r="R1217" s="224" t="s">
        <v>490</v>
      </c>
      <c r="S1217" s="224" t="s">
        <v>243</v>
      </c>
      <c r="T1217" s="224">
        <f ca="1">OFFSET('Calculations 2'!$C$45,W1217,X1217)*OFFSET($N$6,W1217,0)</f>
        <v>0.10577571548743504</v>
      </c>
      <c r="V1217">
        <f t="shared" si="56"/>
        <v>122</v>
      </c>
      <c r="W1217">
        <f t="shared" si="57"/>
        <v>23</v>
      </c>
      <c r="X1217">
        <f t="shared" si="58"/>
        <v>3</v>
      </c>
      <c r="AC1217" s="224" t="s">
        <v>257</v>
      </c>
      <c r="AD1217" s="224" t="s">
        <v>490</v>
      </c>
      <c r="AE1217" s="224" t="s">
        <v>243</v>
      </c>
      <c r="AF1217">
        <f ca="1">OFFSET('Calculations 2'!$CE$45,W1217,0)*OFFSET($AA$6,X1217,0)*OFFSET($N$6,W1217,)</f>
        <v>0</v>
      </c>
      <c r="AY1217" s="224" t="s">
        <v>257</v>
      </c>
      <c r="AZ1217" s="224" t="s">
        <v>490</v>
      </c>
      <c r="BA1217" s="224" t="s">
        <v>243</v>
      </c>
      <c r="BB1217">
        <v>0</v>
      </c>
      <c r="BE1217" s="224" t="s">
        <v>257</v>
      </c>
      <c r="BF1217" s="224" t="s">
        <v>490</v>
      </c>
      <c r="BG1217" s="224" t="s">
        <v>243</v>
      </c>
      <c r="BH1217">
        <v>0</v>
      </c>
    </row>
    <row r="1218" spans="17:60">
      <c r="Q1218" s="224" t="s">
        <v>220</v>
      </c>
      <c r="R1218" s="224" t="s">
        <v>490</v>
      </c>
      <c r="S1218" s="224" t="s">
        <v>243</v>
      </c>
      <c r="T1218" s="224">
        <f ca="1">OFFSET('Calculations 2'!$C$45,W1218,X1218)*OFFSET($N$6,W1218,0)</f>
        <v>0.12088987819284562</v>
      </c>
      <c r="V1218">
        <f t="shared" si="56"/>
        <v>123</v>
      </c>
      <c r="W1218">
        <f t="shared" si="57"/>
        <v>24</v>
      </c>
      <c r="X1218">
        <f t="shared" si="58"/>
        <v>3</v>
      </c>
      <c r="AC1218" s="224" t="s">
        <v>220</v>
      </c>
      <c r="AD1218" s="224" t="s">
        <v>490</v>
      </c>
      <c r="AE1218" s="224" t="s">
        <v>243</v>
      </c>
      <c r="AF1218">
        <f ca="1">OFFSET('Calculations 2'!$CE$45,W1218,0)*OFFSET($AA$6,X1218,0)*OFFSET($N$6,W1218,)</f>
        <v>0</v>
      </c>
      <c r="AY1218" s="224" t="s">
        <v>220</v>
      </c>
      <c r="AZ1218" s="224" t="s">
        <v>490</v>
      </c>
      <c r="BA1218" s="224" t="s">
        <v>243</v>
      </c>
      <c r="BB1218">
        <v>0</v>
      </c>
      <c r="BE1218" s="224" t="s">
        <v>220</v>
      </c>
      <c r="BF1218" s="224" t="s">
        <v>490</v>
      </c>
      <c r="BG1218" s="224" t="s">
        <v>243</v>
      </c>
      <c r="BH1218">
        <v>0</v>
      </c>
    </row>
    <row r="1219" spans="17:60">
      <c r="Q1219" s="224" t="s">
        <v>235</v>
      </c>
      <c r="R1219" s="224" t="s">
        <v>490</v>
      </c>
      <c r="S1219" s="224" t="s">
        <v>243</v>
      </c>
      <c r="T1219" s="224">
        <f ca="1">OFFSET('Calculations 2'!$C$45,W1219,X1219)*OFFSET($N$6,W1219,0)</f>
        <v>0.18733824432233706</v>
      </c>
      <c r="V1219">
        <f t="shared" si="56"/>
        <v>124</v>
      </c>
      <c r="W1219">
        <f t="shared" si="57"/>
        <v>25</v>
      </c>
      <c r="X1219">
        <f t="shared" si="58"/>
        <v>3</v>
      </c>
      <c r="AC1219" s="224" t="s">
        <v>235</v>
      </c>
      <c r="AD1219" s="224" t="s">
        <v>490</v>
      </c>
      <c r="AE1219" s="224" t="s">
        <v>243</v>
      </c>
      <c r="AF1219">
        <f ca="1">OFFSET('Calculations 2'!$CE$45,W1219,0)*OFFSET($AA$6,X1219,0)*OFFSET($N$6,W1219,)</f>
        <v>0</v>
      </c>
      <c r="AY1219" s="224" t="s">
        <v>235</v>
      </c>
      <c r="AZ1219" s="224" t="s">
        <v>490</v>
      </c>
      <c r="BA1219" s="224" t="s">
        <v>243</v>
      </c>
      <c r="BB1219">
        <v>0</v>
      </c>
      <c r="BE1219" s="224" t="s">
        <v>235</v>
      </c>
      <c r="BF1219" s="224" t="s">
        <v>490</v>
      </c>
      <c r="BG1219" s="224" t="s">
        <v>243</v>
      </c>
      <c r="BH1219">
        <v>0</v>
      </c>
    </row>
    <row r="1220" spans="17:60">
      <c r="Q1220" s="224" t="s">
        <v>473</v>
      </c>
      <c r="R1220" s="224" t="s">
        <v>490</v>
      </c>
      <c r="S1220" s="224" t="s">
        <v>243</v>
      </c>
      <c r="T1220" s="224">
        <f ca="1">OFFSET('Calculations 2'!$C$45,W1220,X1220)*OFFSET($N$6,W1220,0)</f>
        <v>1.6659862485532904</v>
      </c>
      <c r="V1220">
        <f t="shared" si="56"/>
        <v>125</v>
      </c>
      <c r="W1220">
        <f t="shared" si="57"/>
        <v>26</v>
      </c>
      <c r="X1220">
        <f t="shared" si="58"/>
        <v>3</v>
      </c>
      <c r="AC1220" s="224" t="s">
        <v>473</v>
      </c>
      <c r="AD1220" s="224" t="s">
        <v>490</v>
      </c>
      <c r="AE1220" s="224" t="s">
        <v>243</v>
      </c>
      <c r="AF1220">
        <f ca="1">OFFSET('Calculations 2'!$CE$45,W1220,0)*OFFSET($AA$6,X1220,0)*OFFSET($N$6,W1220,)</f>
        <v>0</v>
      </c>
      <c r="AY1220" s="224" t="s">
        <v>473</v>
      </c>
      <c r="AZ1220" s="224" t="s">
        <v>490</v>
      </c>
      <c r="BA1220" s="224" t="s">
        <v>243</v>
      </c>
      <c r="BB1220">
        <v>0</v>
      </c>
      <c r="BE1220" s="224" t="s">
        <v>473</v>
      </c>
      <c r="BF1220" s="224" t="s">
        <v>490</v>
      </c>
      <c r="BG1220" s="224" t="s">
        <v>243</v>
      </c>
      <c r="BH1220">
        <v>0</v>
      </c>
    </row>
    <row r="1221" spans="17:60">
      <c r="Q1221" s="224" t="s">
        <v>233</v>
      </c>
      <c r="R1221" s="224" t="s">
        <v>490</v>
      </c>
      <c r="S1221" s="224" t="s">
        <v>243</v>
      </c>
      <c r="T1221" s="224">
        <f ca="1">OFFSET('Calculations 2'!$C$45,W1221,X1221)*OFFSET($N$6,W1221,0)</f>
        <v>0.22432332045755182</v>
      </c>
      <c r="V1221">
        <f t="shared" si="56"/>
        <v>126</v>
      </c>
      <c r="W1221">
        <f t="shared" si="57"/>
        <v>27</v>
      </c>
      <c r="X1221">
        <f t="shared" si="58"/>
        <v>3</v>
      </c>
      <c r="AC1221" s="224" t="s">
        <v>233</v>
      </c>
      <c r="AD1221" s="224" t="s">
        <v>490</v>
      </c>
      <c r="AE1221" s="224" t="s">
        <v>243</v>
      </c>
      <c r="AF1221">
        <f ca="1">OFFSET('Calculations 2'!$CE$45,W1221,0)*OFFSET($AA$6,X1221,0)*OFFSET($N$6,W1221,)</f>
        <v>0</v>
      </c>
      <c r="AY1221" s="224" t="s">
        <v>233</v>
      </c>
      <c r="AZ1221" s="224" t="s">
        <v>490</v>
      </c>
      <c r="BA1221" s="224" t="s">
        <v>243</v>
      </c>
      <c r="BB1221">
        <v>0</v>
      </c>
      <c r="BE1221" s="224" t="s">
        <v>233</v>
      </c>
      <c r="BF1221" s="224" t="s">
        <v>490</v>
      </c>
      <c r="BG1221" s="224" t="s">
        <v>243</v>
      </c>
      <c r="BH1221">
        <v>0</v>
      </c>
    </row>
    <row r="1222" spans="17:60">
      <c r="Q1222" s="224" t="s">
        <v>474</v>
      </c>
      <c r="R1222" s="224" t="s">
        <v>490</v>
      </c>
      <c r="S1222" s="224" t="s">
        <v>243</v>
      </c>
      <c r="T1222" s="224">
        <f ca="1">OFFSET('Calculations 2'!$C$45,W1222,X1222)*OFFSET($N$6,W1222,0)</f>
        <v>0.25378042409724511</v>
      </c>
      <c r="V1222">
        <f t="shared" si="56"/>
        <v>127</v>
      </c>
      <c r="W1222">
        <f t="shared" si="57"/>
        <v>28</v>
      </c>
      <c r="X1222">
        <f t="shared" si="58"/>
        <v>3</v>
      </c>
      <c r="AC1222" s="224" t="s">
        <v>474</v>
      </c>
      <c r="AD1222" s="224" t="s">
        <v>490</v>
      </c>
      <c r="AE1222" s="224" t="s">
        <v>243</v>
      </c>
      <c r="AF1222">
        <f ca="1">OFFSET('Calculations 2'!$CE$45,W1222,0)*OFFSET($AA$6,X1222,0)*OFFSET($N$6,W1222,)</f>
        <v>0</v>
      </c>
      <c r="AY1222" s="224" t="s">
        <v>474</v>
      </c>
      <c r="AZ1222" s="224" t="s">
        <v>490</v>
      </c>
      <c r="BA1222" s="224" t="s">
        <v>243</v>
      </c>
      <c r="BB1222">
        <v>0</v>
      </c>
      <c r="BE1222" s="224" t="s">
        <v>474</v>
      </c>
      <c r="BF1222" s="224" t="s">
        <v>490</v>
      </c>
      <c r="BG1222" s="224" t="s">
        <v>243</v>
      </c>
      <c r="BH1222">
        <v>0</v>
      </c>
    </row>
    <row r="1223" spans="17:60">
      <c r="Q1223" s="224" t="s">
        <v>223</v>
      </c>
      <c r="R1223" s="224" t="s">
        <v>490</v>
      </c>
      <c r="S1223" s="224" t="s">
        <v>243</v>
      </c>
      <c r="T1223" s="224">
        <f ca="1">OFFSET('Calculations 2'!$C$45,W1223,X1223)*OFFSET($N$6,W1223,0)</f>
        <v>0</v>
      </c>
      <c r="V1223">
        <f t="shared" si="56"/>
        <v>128</v>
      </c>
      <c r="W1223">
        <f t="shared" si="57"/>
        <v>29</v>
      </c>
      <c r="X1223">
        <f t="shared" si="58"/>
        <v>3</v>
      </c>
      <c r="AC1223" s="224" t="s">
        <v>223</v>
      </c>
      <c r="AD1223" s="224" t="s">
        <v>490</v>
      </c>
      <c r="AE1223" s="224" t="s">
        <v>243</v>
      </c>
      <c r="AF1223">
        <f ca="1">OFFSET('Calculations 2'!$CE$45,W1223,0)*OFFSET($AA$6,X1223,0)*OFFSET($N$6,W1223,)</f>
        <v>0</v>
      </c>
      <c r="AY1223" s="224" t="s">
        <v>223</v>
      </c>
      <c r="AZ1223" s="224" t="s">
        <v>490</v>
      </c>
      <c r="BA1223" s="224" t="s">
        <v>243</v>
      </c>
      <c r="BB1223">
        <v>0</v>
      </c>
      <c r="BE1223" s="224" t="s">
        <v>223</v>
      </c>
      <c r="BF1223" s="224" t="s">
        <v>490</v>
      </c>
      <c r="BG1223" s="224" t="s">
        <v>243</v>
      </c>
      <c r="BH1223">
        <v>0</v>
      </c>
    </row>
    <row r="1224" spans="17:60">
      <c r="Q1224" s="224" t="s">
        <v>475</v>
      </c>
      <c r="R1224" s="224" t="s">
        <v>490</v>
      </c>
      <c r="S1224" s="224" t="s">
        <v>243</v>
      </c>
      <c r="T1224" s="224">
        <f ca="1">OFFSET('Calculations 2'!$C$45,W1224,X1224)*OFFSET($N$6,W1224,0)</f>
        <v>4.2507157824654756E-3</v>
      </c>
      <c r="V1224">
        <f t="shared" si="56"/>
        <v>129</v>
      </c>
      <c r="W1224">
        <f t="shared" si="57"/>
        <v>30</v>
      </c>
      <c r="X1224">
        <f t="shared" si="58"/>
        <v>3</v>
      </c>
      <c r="AC1224" s="224" t="s">
        <v>475</v>
      </c>
      <c r="AD1224" s="224" t="s">
        <v>490</v>
      </c>
      <c r="AE1224" s="224" t="s">
        <v>243</v>
      </c>
      <c r="AF1224">
        <f ca="1">OFFSET('Calculations 2'!$CE$45,W1224,0)*OFFSET($AA$6,X1224,0)*OFFSET($N$6,W1224,)</f>
        <v>0</v>
      </c>
      <c r="AY1224" s="224" t="s">
        <v>475</v>
      </c>
      <c r="AZ1224" s="224" t="s">
        <v>490</v>
      </c>
      <c r="BA1224" s="224" t="s">
        <v>243</v>
      </c>
      <c r="BB1224">
        <v>0</v>
      </c>
      <c r="BE1224" s="224" t="s">
        <v>475</v>
      </c>
      <c r="BF1224" s="224" t="s">
        <v>490</v>
      </c>
      <c r="BG1224" s="224" t="s">
        <v>243</v>
      </c>
      <c r="BH1224">
        <v>0</v>
      </c>
    </row>
    <row r="1225" spans="17:60">
      <c r="Q1225" s="224" t="s">
        <v>476</v>
      </c>
      <c r="R1225" s="224" t="s">
        <v>490</v>
      </c>
      <c r="S1225" s="224" t="s">
        <v>243</v>
      </c>
      <c r="T1225" s="224">
        <f ca="1">OFFSET('Calculations 2'!$C$45,W1225,X1225)*OFFSET($N$6,W1225,0)</f>
        <v>6.7154612013824097E-2</v>
      </c>
      <c r="V1225">
        <f t="shared" ref="V1225:V1288" si="59">V1224+1</f>
        <v>130</v>
      </c>
      <c r="W1225">
        <f t="shared" ref="W1225:W1288" si="60">MOD(V1225,$V$3)</f>
        <v>31</v>
      </c>
      <c r="X1225">
        <f t="shared" ref="X1225:X1288" si="61">FLOOR(V1225/$V$3,1)</f>
        <v>3</v>
      </c>
      <c r="AC1225" s="224" t="s">
        <v>476</v>
      </c>
      <c r="AD1225" s="224" t="s">
        <v>490</v>
      </c>
      <c r="AE1225" s="224" t="s">
        <v>243</v>
      </c>
      <c r="AF1225">
        <f ca="1">OFFSET('Calculations 2'!$CE$45,W1225,0)*OFFSET($AA$6,X1225,0)*OFFSET($N$6,W1225,)</f>
        <v>0</v>
      </c>
      <c r="AY1225" s="224" t="s">
        <v>476</v>
      </c>
      <c r="AZ1225" s="224" t="s">
        <v>490</v>
      </c>
      <c r="BA1225" s="224" t="s">
        <v>243</v>
      </c>
      <c r="BB1225">
        <v>0</v>
      </c>
      <c r="BE1225" s="224" t="s">
        <v>476</v>
      </c>
      <c r="BF1225" s="224" t="s">
        <v>490</v>
      </c>
      <c r="BG1225" s="224" t="s">
        <v>243</v>
      </c>
      <c r="BH1225">
        <v>0</v>
      </c>
    </row>
    <row r="1226" spans="17:60">
      <c r="Q1226" s="224" t="s">
        <v>222</v>
      </c>
      <c r="R1226" s="224" t="s">
        <v>490</v>
      </c>
      <c r="S1226" s="224" t="s">
        <v>243</v>
      </c>
      <c r="T1226" s="224">
        <f ca="1">OFFSET('Calculations 2'!$C$45,W1226,X1226)*OFFSET($N$6,W1226,0)</f>
        <v>0</v>
      </c>
      <c r="V1226">
        <f t="shared" si="59"/>
        <v>131</v>
      </c>
      <c r="W1226">
        <f t="shared" si="60"/>
        <v>32</v>
      </c>
      <c r="X1226">
        <f t="shared" si="61"/>
        <v>3</v>
      </c>
      <c r="AC1226" s="224" t="s">
        <v>222</v>
      </c>
      <c r="AD1226" s="224" t="s">
        <v>490</v>
      </c>
      <c r="AE1226" s="224" t="s">
        <v>243</v>
      </c>
      <c r="AF1226">
        <f ca="1">OFFSET('Calculations 2'!$CE$45,W1226,0)*OFFSET($AA$6,X1226,0)*OFFSET($N$6,W1226,)</f>
        <v>0</v>
      </c>
      <c r="AY1226" s="224" t="s">
        <v>222</v>
      </c>
      <c r="AZ1226" s="224" t="s">
        <v>490</v>
      </c>
      <c r="BA1226" s="224" t="s">
        <v>243</v>
      </c>
      <c r="BB1226">
        <v>0</v>
      </c>
      <c r="BE1226" s="224" t="s">
        <v>222</v>
      </c>
      <c r="BF1226" s="224" t="s">
        <v>490</v>
      </c>
      <c r="BG1226" s="224" t="s">
        <v>243</v>
      </c>
      <c r="BH1226">
        <v>0</v>
      </c>
    </row>
    <row r="1227" spans="17:60">
      <c r="Q1227" s="224" t="s">
        <v>217</v>
      </c>
      <c r="R1227" s="224" t="s">
        <v>490</v>
      </c>
      <c r="S1227" s="224" t="s">
        <v>228</v>
      </c>
      <c r="T1227" s="224">
        <f ca="1">OFFSET('Calculations 2'!$C$45,W1227,X1227)*OFFSET($N$6,W1227,0)</f>
        <v>0</v>
      </c>
      <c r="V1227">
        <f t="shared" si="59"/>
        <v>132</v>
      </c>
      <c r="W1227">
        <f t="shared" si="60"/>
        <v>0</v>
      </c>
      <c r="X1227">
        <f t="shared" si="61"/>
        <v>4</v>
      </c>
      <c r="AC1227" s="224" t="s">
        <v>217</v>
      </c>
      <c r="AD1227" s="224" t="s">
        <v>490</v>
      </c>
      <c r="AE1227" s="224" t="s">
        <v>228</v>
      </c>
      <c r="AF1227">
        <f ca="1">OFFSET('Calculations 2'!$CE$45,W1227,0)*OFFSET($AA$6,X1227,0)*OFFSET($N$6,W1227,)</f>
        <v>4.731974587563843E-3</v>
      </c>
      <c r="AY1227" s="224" t="s">
        <v>217</v>
      </c>
      <c r="AZ1227" s="224" t="s">
        <v>490</v>
      </c>
      <c r="BA1227" s="224" t="s">
        <v>228</v>
      </c>
      <c r="BB1227">
        <v>0</v>
      </c>
      <c r="BE1227" s="224" t="s">
        <v>217</v>
      </c>
      <c r="BF1227" s="224" t="s">
        <v>490</v>
      </c>
      <c r="BG1227" s="224" t="s">
        <v>228</v>
      </c>
      <c r="BH1227">
        <v>0</v>
      </c>
    </row>
    <row r="1228" spans="17:60">
      <c r="Q1228" s="224" t="s">
        <v>232</v>
      </c>
      <c r="R1228" s="224" t="s">
        <v>490</v>
      </c>
      <c r="S1228" s="224" t="s">
        <v>228</v>
      </c>
      <c r="T1228" s="224">
        <f ca="1">OFFSET('Calculations 2'!$C$45,W1228,X1228)*OFFSET($N$6,W1228,0)</f>
        <v>0</v>
      </c>
      <c r="V1228">
        <f t="shared" si="59"/>
        <v>133</v>
      </c>
      <c r="W1228">
        <f t="shared" si="60"/>
        <v>1</v>
      </c>
      <c r="X1228">
        <f t="shared" si="61"/>
        <v>4</v>
      </c>
      <c r="AC1228" s="224" t="s">
        <v>232</v>
      </c>
      <c r="AD1228" s="224" t="s">
        <v>490</v>
      </c>
      <c r="AE1228" s="224" t="s">
        <v>228</v>
      </c>
      <c r="AF1228">
        <f ca="1">OFFSET('Calculations 2'!$CE$45,W1228,0)*OFFSET($AA$6,X1228,0)*OFFSET($N$6,W1228,)</f>
        <v>7.4653133619508099E-3</v>
      </c>
      <c r="AY1228" s="224" t="s">
        <v>232</v>
      </c>
      <c r="AZ1228" s="224" t="s">
        <v>490</v>
      </c>
      <c r="BA1228" s="224" t="s">
        <v>228</v>
      </c>
      <c r="BB1228">
        <v>0</v>
      </c>
      <c r="BE1228" s="224" t="s">
        <v>232</v>
      </c>
      <c r="BF1228" s="224" t="s">
        <v>490</v>
      </c>
      <c r="BG1228" s="224" t="s">
        <v>228</v>
      </c>
      <c r="BH1228">
        <v>0</v>
      </c>
    </row>
    <row r="1229" spans="17:60">
      <c r="Q1229" s="224" t="s">
        <v>226</v>
      </c>
      <c r="R1229" s="224" t="s">
        <v>490</v>
      </c>
      <c r="S1229" s="224" t="s">
        <v>228</v>
      </c>
      <c r="T1229" s="224">
        <f ca="1">OFFSET('Calculations 2'!$C$45,W1229,X1229)*OFFSET($N$6,W1229,0)</f>
        <v>0</v>
      </c>
      <c r="V1229">
        <f t="shared" si="59"/>
        <v>134</v>
      </c>
      <c r="W1229">
        <f t="shared" si="60"/>
        <v>2</v>
      </c>
      <c r="X1229">
        <f t="shared" si="61"/>
        <v>4</v>
      </c>
      <c r="AC1229" s="224" t="s">
        <v>226</v>
      </c>
      <c r="AD1229" s="224" t="s">
        <v>490</v>
      </c>
      <c r="AE1229" s="224" t="s">
        <v>228</v>
      </c>
      <c r="AF1229">
        <f ca="1">OFFSET('Calculations 2'!$CE$45,W1229,0)*OFFSET($AA$6,X1229,0)*OFFSET($N$6,W1229,)</f>
        <v>1.8680500051529625E-3</v>
      </c>
      <c r="AY1229" s="224" t="s">
        <v>226</v>
      </c>
      <c r="AZ1229" s="224" t="s">
        <v>490</v>
      </c>
      <c r="BA1229" s="224" t="s">
        <v>228</v>
      </c>
      <c r="BB1229">
        <v>0</v>
      </c>
      <c r="BE1229" s="224" t="s">
        <v>226</v>
      </c>
      <c r="BF1229" s="224" t="s">
        <v>490</v>
      </c>
      <c r="BG1229" s="224" t="s">
        <v>228</v>
      </c>
      <c r="BH1229">
        <v>0</v>
      </c>
    </row>
    <row r="1230" spans="17:60">
      <c r="Q1230" s="224" t="s">
        <v>243</v>
      </c>
      <c r="R1230" s="224" t="s">
        <v>490</v>
      </c>
      <c r="S1230" s="224" t="s">
        <v>228</v>
      </c>
      <c r="T1230" s="224">
        <f ca="1">OFFSET('Calculations 2'!$C$45,W1230,X1230)*OFFSET($N$6,W1230,0)</f>
        <v>2.3715243708137486</v>
      </c>
      <c r="V1230">
        <f t="shared" si="59"/>
        <v>135</v>
      </c>
      <c r="W1230">
        <f t="shared" si="60"/>
        <v>3</v>
      </c>
      <c r="X1230">
        <f t="shared" si="61"/>
        <v>4</v>
      </c>
      <c r="AC1230" s="224" t="s">
        <v>243</v>
      </c>
      <c r="AD1230" s="224" t="s">
        <v>490</v>
      </c>
      <c r="AE1230" s="224" t="s">
        <v>228</v>
      </c>
      <c r="AF1230">
        <f ca="1">OFFSET('Calculations 2'!$CE$45,W1230,0)*OFFSET($AA$6,X1230,0)*OFFSET($N$6,W1230,)</f>
        <v>3.6658652566507535E-2</v>
      </c>
      <c r="AY1230" s="224" t="s">
        <v>243</v>
      </c>
      <c r="AZ1230" s="224" t="s">
        <v>490</v>
      </c>
      <c r="BA1230" s="224" t="s">
        <v>228</v>
      </c>
      <c r="BB1230">
        <v>0</v>
      </c>
      <c r="BE1230" s="224" t="s">
        <v>243</v>
      </c>
      <c r="BF1230" s="224" t="s">
        <v>490</v>
      </c>
      <c r="BG1230" s="224" t="s">
        <v>228</v>
      </c>
      <c r="BH1230">
        <v>0</v>
      </c>
    </row>
    <row r="1231" spans="17:60">
      <c r="Q1231" s="224" t="s">
        <v>228</v>
      </c>
      <c r="R1231" s="224" t="s">
        <v>490</v>
      </c>
      <c r="S1231" s="224" t="s">
        <v>228</v>
      </c>
      <c r="T1231" s="224">
        <f ca="1">OFFSET('Calculations 2'!$C$45,W1231,X1231)*OFFSET($N$6,W1231,0)</f>
        <v>4.630532837112324</v>
      </c>
      <c r="V1231">
        <f t="shared" si="59"/>
        <v>136</v>
      </c>
      <c r="W1231">
        <f t="shared" si="60"/>
        <v>4</v>
      </c>
      <c r="X1231">
        <f t="shared" si="61"/>
        <v>4</v>
      </c>
      <c r="AC1231" s="224" t="s">
        <v>228</v>
      </c>
      <c r="AD1231" s="224" t="s">
        <v>490</v>
      </c>
      <c r="AE1231" s="224" t="s">
        <v>228</v>
      </c>
      <c r="AF1231">
        <f ca="1">OFFSET('Calculations 2'!$CE$45,W1231,0)*OFFSET($AA$6,X1231,0)*OFFSET($N$6,W1231,)</f>
        <v>1.9105370578034502E-2</v>
      </c>
      <c r="AY1231" s="224" t="s">
        <v>228</v>
      </c>
      <c r="AZ1231" s="224" t="s">
        <v>490</v>
      </c>
      <c r="BA1231" s="224" t="s">
        <v>228</v>
      </c>
      <c r="BB1231">
        <v>0</v>
      </c>
      <c r="BE1231" s="224" t="s">
        <v>228</v>
      </c>
      <c r="BF1231" s="224" t="s">
        <v>490</v>
      </c>
      <c r="BG1231" s="224" t="s">
        <v>228</v>
      </c>
      <c r="BH1231">
        <v>0</v>
      </c>
    </row>
    <row r="1232" spans="17:60">
      <c r="Q1232" s="224" t="s">
        <v>246</v>
      </c>
      <c r="R1232" s="224" t="s">
        <v>490</v>
      </c>
      <c r="S1232" s="224" t="s">
        <v>228</v>
      </c>
      <c r="T1232" s="224">
        <f ca="1">OFFSET('Calculations 2'!$C$45,W1232,X1232)*OFFSET($N$6,W1232,0)</f>
        <v>0</v>
      </c>
      <c r="V1232">
        <f t="shared" si="59"/>
        <v>137</v>
      </c>
      <c r="W1232">
        <f t="shared" si="60"/>
        <v>5</v>
      </c>
      <c r="X1232">
        <f t="shared" si="61"/>
        <v>4</v>
      </c>
      <c r="AC1232" s="224" t="s">
        <v>246</v>
      </c>
      <c r="AD1232" s="224" t="s">
        <v>490</v>
      </c>
      <c r="AE1232" s="224" t="s">
        <v>228</v>
      </c>
      <c r="AF1232">
        <f ca="1">OFFSET('Calculations 2'!$CE$45,W1232,0)*OFFSET($AA$6,X1232,0)*OFFSET($N$6,W1232,)</f>
        <v>3.4197165081752237E-4</v>
      </c>
      <c r="AY1232" s="224" t="s">
        <v>246</v>
      </c>
      <c r="AZ1232" s="224" t="s">
        <v>490</v>
      </c>
      <c r="BA1232" s="224" t="s">
        <v>228</v>
      </c>
      <c r="BB1232">
        <v>0</v>
      </c>
      <c r="BE1232" s="224" t="s">
        <v>246</v>
      </c>
      <c r="BF1232" s="224" t="s">
        <v>490</v>
      </c>
      <c r="BG1232" s="224" t="s">
        <v>228</v>
      </c>
      <c r="BH1232">
        <v>0</v>
      </c>
    </row>
    <row r="1233" spans="17:60">
      <c r="Q1233" s="224" t="s">
        <v>239</v>
      </c>
      <c r="R1233" s="224" t="s">
        <v>490</v>
      </c>
      <c r="S1233" s="224" t="s">
        <v>228</v>
      </c>
      <c r="T1233" s="224">
        <f ca="1">OFFSET('Calculations 2'!$C$45,W1233,X1233)*OFFSET($N$6,W1233,0)</f>
        <v>0.15857169742703964</v>
      </c>
      <c r="V1233">
        <f t="shared" si="59"/>
        <v>138</v>
      </c>
      <c r="W1233">
        <f t="shared" si="60"/>
        <v>6</v>
      </c>
      <c r="X1233">
        <f t="shared" si="61"/>
        <v>4</v>
      </c>
      <c r="AC1233" s="224" t="s">
        <v>239</v>
      </c>
      <c r="AD1233" s="224" t="s">
        <v>490</v>
      </c>
      <c r="AE1233" s="224" t="s">
        <v>228</v>
      </c>
      <c r="AF1233">
        <f ca="1">OFFSET('Calculations 2'!$CE$45,W1233,0)*OFFSET($AA$6,X1233,0)*OFFSET($N$6,W1233,)</f>
        <v>4.9243641192115526E-3</v>
      </c>
      <c r="AY1233" s="224" t="s">
        <v>239</v>
      </c>
      <c r="AZ1233" s="224" t="s">
        <v>490</v>
      </c>
      <c r="BA1233" s="224" t="s">
        <v>228</v>
      </c>
      <c r="BB1233">
        <v>0</v>
      </c>
      <c r="BE1233" s="224" t="s">
        <v>239</v>
      </c>
      <c r="BF1233" s="224" t="s">
        <v>490</v>
      </c>
      <c r="BG1233" s="224" t="s">
        <v>228</v>
      </c>
      <c r="BH1233">
        <v>0</v>
      </c>
    </row>
    <row r="1234" spans="17:60">
      <c r="Q1234" s="224" t="s">
        <v>466</v>
      </c>
      <c r="R1234" s="224" t="s">
        <v>490</v>
      </c>
      <c r="S1234" s="224" t="s">
        <v>228</v>
      </c>
      <c r="T1234" s="224">
        <f ca="1">OFFSET('Calculations 2'!$C$45,W1234,X1234)*OFFSET($N$6,W1234,0)</f>
        <v>7.6970211219492227E-2</v>
      </c>
      <c r="V1234">
        <f t="shared" si="59"/>
        <v>139</v>
      </c>
      <c r="W1234">
        <f t="shared" si="60"/>
        <v>7</v>
      </c>
      <c r="X1234">
        <f t="shared" si="61"/>
        <v>4</v>
      </c>
      <c r="AC1234" s="224" t="s">
        <v>466</v>
      </c>
      <c r="AD1234" s="224" t="s">
        <v>490</v>
      </c>
      <c r="AE1234" s="224" t="s">
        <v>228</v>
      </c>
      <c r="AF1234">
        <f ca="1">OFFSET('Calculations 2'!$CE$45,W1234,0)*OFFSET($AA$6,X1234,0)*OFFSET($N$6,W1234,)</f>
        <v>1.2400124076676511E-3</v>
      </c>
      <c r="AY1234" s="224" t="s">
        <v>466</v>
      </c>
      <c r="AZ1234" s="224" t="s">
        <v>490</v>
      </c>
      <c r="BA1234" s="224" t="s">
        <v>228</v>
      </c>
      <c r="BB1234">
        <v>0</v>
      </c>
      <c r="BE1234" s="224" t="s">
        <v>466</v>
      </c>
      <c r="BF1234" s="224" t="s">
        <v>490</v>
      </c>
      <c r="BG1234" s="224" t="s">
        <v>228</v>
      </c>
      <c r="BH1234">
        <v>0</v>
      </c>
    </row>
    <row r="1235" spans="17:60">
      <c r="Q1235" s="224" t="s">
        <v>219</v>
      </c>
      <c r="R1235" s="224" t="s">
        <v>490</v>
      </c>
      <c r="S1235" s="224" t="s">
        <v>228</v>
      </c>
      <c r="T1235" s="224">
        <f ca="1">OFFSET('Calculations 2'!$C$45,W1235,X1235)*OFFSET($N$6,W1235,0)</f>
        <v>0.62298411935767906</v>
      </c>
      <c r="V1235">
        <f t="shared" si="59"/>
        <v>140</v>
      </c>
      <c r="W1235">
        <f t="shared" si="60"/>
        <v>8</v>
      </c>
      <c r="X1235">
        <f t="shared" si="61"/>
        <v>4</v>
      </c>
      <c r="AC1235" s="224" t="s">
        <v>219</v>
      </c>
      <c r="AD1235" s="224" t="s">
        <v>490</v>
      </c>
      <c r="AE1235" s="224" t="s">
        <v>228</v>
      </c>
      <c r="AF1235">
        <f ca="1">OFFSET('Calculations 2'!$CE$45,W1235,0)*OFFSET($AA$6,X1235,0)*OFFSET($N$6,W1235,)</f>
        <v>1.6998506153514142E-2</v>
      </c>
      <c r="AY1235" s="224" t="s">
        <v>219</v>
      </c>
      <c r="AZ1235" s="224" t="s">
        <v>490</v>
      </c>
      <c r="BA1235" s="224" t="s">
        <v>228</v>
      </c>
      <c r="BB1235">
        <v>0</v>
      </c>
      <c r="BE1235" s="224" t="s">
        <v>219</v>
      </c>
      <c r="BF1235" s="224" t="s">
        <v>490</v>
      </c>
      <c r="BG1235" s="224" t="s">
        <v>228</v>
      </c>
      <c r="BH1235">
        <v>0</v>
      </c>
    </row>
    <row r="1236" spans="17:60">
      <c r="Q1236" s="224" t="s">
        <v>242</v>
      </c>
      <c r="R1236" s="224" t="s">
        <v>490</v>
      </c>
      <c r="S1236" s="224" t="s">
        <v>228</v>
      </c>
      <c r="T1236" s="224">
        <f ca="1">OFFSET('Calculations 2'!$C$45,W1236,X1236)*OFFSET($N$6,W1236,0)</f>
        <v>0.39403938351959705</v>
      </c>
      <c r="V1236">
        <f t="shared" si="59"/>
        <v>141</v>
      </c>
      <c r="W1236">
        <f t="shared" si="60"/>
        <v>9</v>
      </c>
      <c r="X1236">
        <f t="shared" si="61"/>
        <v>4</v>
      </c>
      <c r="AC1236" s="224" t="s">
        <v>242</v>
      </c>
      <c r="AD1236" s="224" t="s">
        <v>490</v>
      </c>
      <c r="AE1236" s="224" t="s">
        <v>228</v>
      </c>
      <c r="AF1236">
        <f ca="1">OFFSET('Calculations 2'!$CE$45,W1236,0)*OFFSET($AA$6,X1236,0)*OFFSET($N$6,W1236,)</f>
        <v>1.3018596257526533E-2</v>
      </c>
      <c r="AY1236" s="224" t="s">
        <v>242</v>
      </c>
      <c r="AZ1236" s="224" t="s">
        <v>490</v>
      </c>
      <c r="BA1236" s="224" t="s">
        <v>228</v>
      </c>
      <c r="BB1236">
        <v>0</v>
      </c>
      <c r="BE1236" s="224" t="s">
        <v>242</v>
      </c>
      <c r="BF1236" s="224" t="s">
        <v>490</v>
      </c>
      <c r="BG1236" s="224" t="s">
        <v>228</v>
      </c>
      <c r="BH1236">
        <v>0</v>
      </c>
    </row>
    <row r="1237" spans="17:60">
      <c r="Q1237" s="224" t="s">
        <v>467</v>
      </c>
      <c r="R1237" s="224" t="s">
        <v>490</v>
      </c>
      <c r="S1237" s="224" t="s">
        <v>228</v>
      </c>
      <c r="T1237" s="224">
        <f ca="1">OFFSET('Calculations 2'!$C$45,W1237,X1237)*OFFSET($N$6,W1237,0)</f>
        <v>0.20092052311881312</v>
      </c>
      <c r="V1237">
        <f t="shared" si="59"/>
        <v>142</v>
      </c>
      <c r="W1237">
        <f t="shared" si="60"/>
        <v>10</v>
      </c>
      <c r="X1237">
        <f t="shared" si="61"/>
        <v>4</v>
      </c>
      <c r="AC1237" s="224" t="s">
        <v>467</v>
      </c>
      <c r="AD1237" s="224" t="s">
        <v>490</v>
      </c>
      <c r="AE1237" s="224" t="s">
        <v>228</v>
      </c>
      <c r="AF1237">
        <f ca="1">OFFSET('Calculations 2'!$CE$45,W1237,0)*OFFSET($AA$6,X1237,0)*OFFSET($N$6,W1237,)</f>
        <v>4.9143554274457164E-3</v>
      </c>
      <c r="AY1237" s="224" t="s">
        <v>467</v>
      </c>
      <c r="AZ1237" s="224" t="s">
        <v>490</v>
      </c>
      <c r="BA1237" s="224" t="s">
        <v>228</v>
      </c>
      <c r="BB1237">
        <v>0</v>
      </c>
      <c r="BE1237" s="224" t="s">
        <v>467</v>
      </c>
      <c r="BF1237" s="224" t="s">
        <v>490</v>
      </c>
      <c r="BG1237" s="224" t="s">
        <v>228</v>
      </c>
      <c r="BH1237">
        <v>0</v>
      </c>
    </row>
    <row r="1238" spans="17:60">
      <c r="Q1238" s="224" t="s">
        <v>231</v>
      </c>
      <c r="R1238" s="224" t="s">
        <v>490</v>
      </c>
      <c r="S1238" s="224" t="s">
        <v>228</v>
      </c>
      <c r="T1238" s="224">
        <f ca="1">OFFSET('Calculations 2'!$C$45,W1238,X1238)*OFFSET($N$6,W1238,0)</f>
        <v>0</v>
      </c>
      <c r="V1238">
        <f t="shared" si="59"/>
        <v>143</v>
      </c>
      <c r="W1238">
        <f t="shared" si="60"/>
        <v>11</v>
      </c>
      <c r="X1238">
        <f t="shared" si="61"/>
        <v>4</v>
      </c>
      <c r="AC1238" s="224" t="s">
        <v>231</v>
      </c>
      <c r="AD1238" s="224" t="s">
        <v>490</v>
      </c>
      <c r="AE1238" s="224" t="s">
        <v>228</v>
      </c>
      <c r="AF1238">
        <f ca="1">OFFSET('Calculations 2'!$CE$45,W1238,0)*OFFSET($AA$6,X1238,0)*OFFSET($N$6,W1238,)</f>
        <v>6.151366968564019E-2</v>
      </c>
      <c r="AY1238" s="224" t="s">
        <v>231</v>
      </c>
      <c r="AZ1238" s="224" t="s">
        <v>490</v>
      </c>
      <c r="BA1238" s="224" t="s">
        <v>228</v>
      </c>
      <c r="BB1238">
        <v>0</v>
      </c>
      <c r="BE1238" s="224" t="s">
        <v>231</v>
      </c>
      <c r="BF1238" s="224" t="s">
        <v>490</v>
      </c>
      <c r="BG1238" s="224" t="s">
        <v>228</v>
      </c>
      <c r="BH1238">
        <v>0</v>
      </c>
    </row>
    <row r="1239" spans="17:60">
      <c r="Q1239" s="224" t="s">
        <v>468</v>
      </c>
      <c r="R1239" s="224" t="s">
        <v>490</v>
      </c>
      <c r="S1239" s="224" t="s">
        <v>228</v>
      </c>
      <c r="T1239" s="224">
        <f ca="1">OFFSET('Calculations 2'!$C$45,W1239,X1239)*OFFSET($N$6,W1239,0)</f>
        <v>1.8554368086065032E-2</v>
      </c>
      <c r="V1239">
        <f t="shared" si="59"/>
        <v>144</v>
      </c>
      <c r="W1239">
        <f t="shared" si="60"/>
        <v>12</v>
      </c>
      <c r="X1239">
        <f t="shared" si="61"/>
        <v>4</v>
      </c>
      <c r="AC1239" s="224" t="s">
        <v>468</v>
      </c>
      <c r="AD1239" s="224" t="s">
        <v>490</v>
      </c>
      <c r="AE1239" s="224" t="s">
        <v>228</v>
      </c>
      <c r="AF1239">
        <f ca="1">OFFSET('Calculations 2'!$CE$45,W1239,0)*OFFSET($AA$6,X1239,0)*OFFSET($N$6,W1239,)</f>
        <v>0.23564483728075175</v>
      </c>
      <c r="AY1239" s="224" t="s">
        <v>468</v>
      </c>
      <c r="AZ1239" s="224" t="s">
        <v>490</v>
      </c>
      <c r="BA1239" s="224" t="s">
        <v>228</v>
      </c>
      <c r="BB1239">
        <v>0</v>
      </c>
      <c r="BE1239" s="224" t="s">
        <v>468</v>
      </c>
      <c r="BF1239" s="224" t="s">
        <v>490</v>
      </c>
      <c r="BG1239" s="224" t="s">
        <v>228</v>
      </c>
      <c r="BH1239">
        <v>0</v>
      </c>
    </row>
    <row r="1240" spans="17:60">
      <c r="Q1240" s="224" t="s">
        <v>469</v>
      </c>
      <c r="R1240" s="224" t="s">
        <v>490</v>
      </c>
      <c r="S1240" s="224" t="s">
        <v>228</v>
      </c>
      <c r="T1240" s="224">
        <f ca="1">OFFSET('Calculations 2'!$C$45,W1240,X1240)*OFFSET($N$6,W1240,0)</f>
        <v>0</v>
      </c>
      <c r="V1240">
        <f t="shared" si="59"/>
        <v>145</v>
      </c>
      <c r="W1240">
        <f t="shared" si="60"/>
        <v>13</v>
      </c>
      <c r="X1240">
        <f t="shared" si="61"/>
        <v>4</v>
      </c>
      <c r="AC1240" s="224" t="s">
        <v>469</v>
      </c>
      <c r="AD1240" s="224" t="s">
        <v>490</v>
      </c>
      <c r="AE1240" s="224" t="s">
        <v>228</v>
      </c>
      <c r="AF1240">
        <f ca="1">OFFSET('Calculations 2'!$CE$45,W1240,0)*OFFSET($AA$6,X1240,0)*OFFSET($N$6,W1240,)</f>
        <v>0.12634557339784697</v>
      </c>
      <c r="AY1240" s="224" t="s">
        <v>469</v>
      </c>
      <c r="AZ1240" s="224" t="s">
        <v>490</v>
      </c>
      <c r="BA1240" s="224" t="s">
        <v>228</v>
      </c>
      <c r="BB1240">
        <v>0</v>
      </c>
      <c r="BE1240" s="224" t="s">
        <v>469</v>
      </c>
      <c r="BF1240" s="224" t="s">
        <v>490</v>
      </c>
      <c r="BG1240" s="224" t="s">
        <v>228</v>
      </c>
      <c r="BH1240">
        <v>0</v>
      </c>
    </row>
    <row r="1241" spans="17:60">
      <c r="Q1241" s="224" t="s">
        <v>245</v>
      </c>
      <c r="R1241" s="224" t="s">
        <v>490</v>
      </c>
      <c r="S1241" s="224" t="s">
        <v>228</v>
      </c>
      <c r="T1241" s="224">
        <f ca="1">OFFSET('Calculations 2'!$C$45,W1241,X1241)*OFFSET($N$6,W1241,0)</f>
        <v>2.1264599066173569E-2</v>
      </c>
      <c r="V1241">
        <f t="shared" si="59"/>
        <v>146</v>
      </c>
      <c r="W1241">
        <f t="shared" si="60"/>
        <v>14</v>
      </c>
      <c r="X1241">
        <f t="shared" si="61"/>
        <v>4</v>
      </c>
      <c r="AC1241" s="224" t="s">
        <v>245</v>
      </c>
      <c r="AD1241" s="224" t="s">
        <v>490</v>
      </c>
      <c r="AE1241" s="224" t="s">
        <v>228</v>
      </c>
      <c r="AF1241">
        <f ca="1">OFFSET('Calculations 2'!$CE$45,W1241,0)*OFFSET($AA$6,X1241,0)*OFFSET($N$6,W1241,)</f>
        <v>0.20163332419794674</v>
      </c>
      <c r="AY1241" s="224" t="s">
        <v>245</v>
      </c>
      <c r="AZ1241" s="224" t="s">
        <v>490</v>
      </c>
      <c r="BA1241" s="224" t="s">
        <v>228</v>
      </c>
      <c r="BB1241">
        <v>0</v>
      </c>
      <c r="BE1241" s="224" t="s">
        <v>245</v>
      </c>
      <c r="BF1241" s="224" t="s">
        <v>490</v>
      </c>
      <c r="BG1241" s="224" t="s">
        <v>228</v>
      </c>
      <c r="BH1241">
        <v>0</v>
      </c>
    </row>
    <row r="1242" spans="17:60">
      <c r="Q1242" s="224" t="s">
        <v>470</v>
      </c>
      <c r="R1242" s="224" t="s">
        <v>490</v>
      </c>
      <c r="S1242" s="224" t="s">
        <v>228</v>
      </c>
      <c r="T1242" s="224">
        <f ca="1">OFFSET('Calculations 2'!$C$45,W1242,X1242)*OFFSET($N$6,W1242,0)</f>
        <v>0.6968530078930798</v>
      </c>
      <c r="V1242">
        <f t="shared" si="59"/>
        <v>147</v>
      </c>
      <c r="W1242">
        <f t="shared" si="60"/>
        <v>15</v>
      </c>
      <c r="X1242">
        <f t="shared" si="61"/>
        <v>4</v>
      </c>
      <c r="AC1242" s="224" t="s">
        <v>470</v>
      </c>
      <c r="AD1242" s="224" t="s">
        <v>490</v>
      </c>
      <c r="AE1242" s="224" t="s">
        <v>228</v>
      </c>
      <c r="AF1242">
        <f ca="1">OFFSET('Calculations 2'!$CE$45,W1242,0)*OFFSET($AA$6,X1242,0)*OFFSET($N$6,W1242,)</f>
        <v>7.6506673532035066E-2</v>
      </c>
      <c r="AY1242" s="224" t="s">
        <v>470</v>
      </c>
      <c r="AZ1242" s="224" t="s">
        <v>490</v>
      </c>
      <c r="BA1242" s="224" t="s">
        <v>228</v>
      </c>
      <c r="BB1242">
        <v>0</v>
      </c>
      <c r="BE1242" s="224" t="s">
        <v>470</v>
      </c>
      <c r="BF1242" s="224" t="s">
        <v>490</v>
      </c>
      <c r="BG1242" s="224" t="s">
        <v>228</v>
      </c>
      <c r="BH1242">
        <v>0</v>
      </c>
    </row>
    <row r="1243" spans="17:60">
      <c r="Q1243" s="224" t="s">
        <v>471</v>
      </c>
      <c r="R1243" s="224" t="s">
        <v>490</v>
      </c>
      <c r="S1243" s="224" t="s">
        <v>228</v>
      </c>
      <c r="T1243" s="224">
        <f ca="1">OFFSET('Calculations 2'!$C$45,W1243,X1243)*OFFSET($N$6,W1243,0)</f>
        <v>2.638846916747204E-3</v>
      </c>
      <c r="V1243">
        <f t="shared" si="59"/>
        <v>148</v>
      </c>
      <c r="W1243">
        <f t="shared" si="60"/>
        <v>16</v>
      </c>
      <c r="X1243">
        <f t="shared" si="61"/>
        <v>4</v>
      </c>
      <c r="AC1243" s="224" t="s">
        <v>471</v>
      </c>
      <c r="AD1243" s="224" t="s">
        <v>490</v>
      </c>
      <c r="AE1243" s="224" t="s">
        <v>228</v>
      </c>
      <c r="AF1243">
        <f ca="1">OFFSET('Calculations 2'!$CE$45,W1243,0)*OFFSET($AA$6,X1243,0)*OFFSET($N$6,W1243,)</f>
        <v>0</v>
      </c>
      <c r="AY1243" s="224" t="s">
        <v>471</v>
      </c>
      <c r="AZ1243" s="224" t="s">
        <v>490</v>
      </c>
      <c r="BA1243" s="224" t="s">
        <v>228</v>
      </c>
      <c r="BB1243">
        <v>0</v>
      </c>
      <c r="BE1243" s="224" t="s">
        <v>471</v>
      </c>
      <c r="BF1243" s="224" t="s">
        <v>490</v>
      </c>
      <c r="BG1243" s="224" t="s">
        <v>228</v>
      </c>
      <c r="BH1243">
        <v>0</v>
      </c>
    </row>
    <row r="1244" spans="17:60">
      <c r="Q1244" s="224" t="s">
        <v>221</v>
      </c>
      <c r="R1244" s="224" t="s">
        <v>490</v>
      </c>
      <c r="S1244" s="224" t="s">
        <v>228</v>
      </c>
      <c r="T1244" s="224">
        <f ca="1">OFFSET('Calculations 2'!$C$45,W1244,X1244)*OFFSET($N$6,W1244,0)</f>
        <v>1.2211298744210879E-2</v>
      </c>
      <c r="V1244">
        <f t="shared" si="59"/>
        <v>149</v>
      </c>
      <c r="W1244">
        <f t="shared" si="60"/>
        <v>17</v>
      </c>
      <c r="X1244">
        <f t="shared" si="61"/>
        <v>4</v>
      </c>
      <c r="AC1244" s="224" t="s">
        <v>221</v>
      </c>
      <c r="AD1244" s="224" t="s">
        <v>490</v>
      </c>
      <c r="AE1244" s="224" t="s">
        <v>228</v>
      </c>
      <c r="AF1244">
        <f ca="1">OFFSET('Calculations 2'!$CE$45,W1244,0)*OFFSET($AA$6,X1244,0)*OFFSET($N$6,W1244,)</f>
        <v>1.4976621855246959E-2</v>
      </c>
      <c r="AY1244" s="224" t="s">
        <v>221</v>
      </c>
      <c r="AZ1244" s="224" t="s">
        <v>490</v>
      </c>
      <c r="BA1244" s="224" t="s">
        <v>228</v>
      </c>
      <c r="BB1244">
        <v>0</v>
      </c>
      <c r="BE1244" s="224" t="s">
        <v>221</v>
      </c>
      <c r="BF1244" s="224" t="s">
        <v>490</v>
      </c>
      <c r="BG1244" s="224" t="s">
        <v>228</v>
      </c>
      <c r="BH1244">
        <v>0</v>
      </c>
    </row>
    <row r="1245" spans="17:60">
      <c r="Q1245" s="224" t="s">
        <v>244</v>
      </c>
      <c r="R1245" s="224" t="s">
        <v>490</v>
      </c>
      <c r="S1245" s="224" t="s">
        <v>228</v>
      </c>
      <c r="T1245" s="224">
        <f ca="1">OFFSET('Calculations 2'!$C$45,W1245,X1245)*OFFSET($N$6,W1245,0)</f>
        <v>2.5326218435027029E-2</v>
      </c>
      <c r="V1245">
        <f t="shared" si="59"/>
        <v>150</v>
      </c>
      <c r="W1245">
        <f t="shared" si="60"/>
        <v>18</v>
      </c>
      <c r="X1245">
        <f t="shared" si="61"/>
        <v>4</v>
      </c>
      <c r="AC1245" s="224" t="s">
        <v>244</v>
      </c>
      <c r="AD1245" s="224" t="s">
        <v>490</v>
      </c>
      <c r="AE1245" s="224" t="s">
        <v>228</v>
      </c>
      <c r="AF1245">
        <f ca="1">OFFSET('Calculations 2'!$CE$45,W1245,0)*OFFSET($AA$6,X1245,0)*OFFSET($N$6,W1245,)</f>
        <v>1.3103527647717768E-3</v>
      </c>
      <c r="AY1245" s="224" t="s">
        <v>244</v>
      </c>
      <c r="AZ1245" s="224" t="s">
        <v>490</v>
      </c>
      <c r="BA1245" s="224" t="s">
        <v>228</v>
      </c>
      <c r="BB1245">
        <v>0</v>
      </c>
      <c r="BE1245" s="224" t="s">
        <v>244</v>
      </c>
      <c r="BF1245" s="224" t="s">
        <v>490</v>
      </c>
      <c r="BG1245" s="224" t="s">
        <v>228</v>
      </c>
      <c r="BH1245">
        <v>0</v>
      </c>
    </row>
    <row r="1246" spans="17:60">
      <c r="Q1246" s="224" t="s">
        <v>472</v>
      </c>
      <c r="R1246" s="224" t="s">
        <v>490</v>
      </c>
      <c r="S1246" s="224" t="s">
        <v>228</v>
      </c>
      <c r="T1246" s="224">
        <f ca="1">OFFSET('Calculations 2'!$C$45,W1246,X1246)*OFFSET($N$6,W1246,0)</f>
        <v>0</v>
      </c>
      <c r="V1246">
        <f t="shared" si="59"/>
        <v>151</v>
      </c>
      <c r="W1246">
        <f t="shared" si="60"/>
        <v>19</v>
      </c>
      <c r="X1246">
        <f t="shared" si="61"/>
        <v>4</v>
      </c>
      <c r="AC1246" s="224" t="s">
        <v>472</v>
      </c>
      <c r="AD1246" s="224" t="s">
        <v>490</v>
      </c>
      <c r="AE1246" s="224" t="s">
        <v>228</v>
      </c>
      <c r="AF1246">
        <f ca="1">OFFSET('Calculations 2'!$CE$45,W1246,0)*OFFSET($AA$6,X1246,0)*OFFSET($N$6,W1246,)</f>
        <v>0</v>
      </c>
      <c r="AY1246" s="224" t="s">
        <v>472</v>
      </c>
      <c r="AZ1246" s="224" t="s">
        <v>490</v>
      </c>
      <c r="BA1246" s="224" t="s">
        <v>228</v>
      </c>
      <c r="BB1246">
        <v>0</v>
      </c>
      <c r="BE1246" s="224" t="s">
        <v>472</v>
      </c>
      <c r="BF1246" s="224" t="s">
        <v>490</v>
      </c>
      <c r="BG1246" s="224" t="s">
        <v>228</v>
      </c>
      <c r="BH1246">
        <v>0</v>
      </c>
    </row>
    <row r="1247" spans="17:60">
      <c r="Q1247" s="224" t="s">
        <v>238</v>
      </c>
      <c r="R1247" s="224" t="s">
        <v>490</v>
      </c>
      <c r="S1247" s="224" t="s">
        <v>228</v>
      </c>
      <c r="T1247" s="224">
        <f ca="1">OFFSET('Calculations 2'!$C$45,W1247,X1247)*OFFSET($N$6,W1247,0)</f>
        <v>0</v>
      </c>
      <c r="V1247">
        <f t="shared" si="59"/>
        <v>152</v>
      </c>
      <c r="W1247">
        <f t="shared" si="60"/>
        <v>20</v>
      </c>
      <c r="X1247">
        <f t="shared" si="61"/>
        <v>4</v>
      </c>
      <c r="AC1247" s="224" t="s">
        <v>238</v>
      </c>
      <c r="AD1247" s="224" t="s">
        <v>490</v>
      </c>
      <c r="AE1247" s="224" t="s">
        <v>228</v>
      </c>
      <c r="AF1247">
        <f ca="1">OFFSET('Calculations 2'!$CE$45,W1247,0)*OFFSET($AA$6,X1247,0)*OFFSET($N$6,W1247,)</f>
        <v>0</v>
      </c>
      <c r="AY1247" s="224" t="s">
        <v>238</v>
      </c>
      <c r="AZ1247" s="224" t="s">
        <v>490</v>
      </c>
      <c r="BA1247" s="224" t="s">
        <v>228</v>
      </c>
      <c r="BB1247">
        <v>0</v>
      </c>
      <c r="BE1247" s="224" t="s">
        <v>238</v>
      </c>
      <c r="BF1247" s="224" t="s">
        <v>490</v>
      </c>
      <c r="BG1247" s="224" t="s">
        <v>228</v>
      </c>
      <c r="BH1247">
        <v>0</v>
      </c>
    </row>
    <row r="1248" spans="17:60">
      <c r="Q1248" s="224" t="s">
        <v>247</v>
      </c>
      <c r="R1248" s="224" t="s">
        <v>490</v>
      </c>
      <c r="S1248" s="224" t="s">
        <v>228</v>
      </c>
      <c r="T1248" s="224">
        <f ca="1">OFFSET('Calculations 2'!$C$45,W1248,X1248)*OFFSET($N$6,W1248,0)</f>
        <v>0</v>
      </c>
      <c r="V1248">
        <f t="shared" si="59"/>
        <v>153</v>
      </c>
      <c r="W1248">
        <f t="shared" si="60"/>
        <v>21</v>
      </c>
      <c r="X1248">
        <f t="shared" si="61"/>
        <v>4</v>
      </c>
      <c r="AC1248" s="224" t="s">
        <v>247</v>
      </c>
      <c r="AD1248" s="224" t="s">
        <v>490</v>
      </c>
      <c r="AE1248" s="224" t="s">
        <v>228</v>
      </c>
      <c r="AF1248">
        <f ca="1">OFFSET('Calculations 2'!$CE$45,W1248,0)*OFFSET($AA$6,X1248,0)*OFFSET($N$6,W1248,)</f>
        <v>0</v>
      </c>
      <c r="AY1248" s="224" t="s">
        <v>247</v>
      </c>
      <c r="AZ1248" s="224" t="s">
        <v>490</v>
      </c>
      <c r="BA1248" s="224" t="s">
        <v>228</v>
      </c>
      <c r="BB1248">
        <v>0</v>
      </c>
      <c r="BE1248" s="224" t="s">
        <v>247</v>
      </c>
      <c r="BF1248" s="224" t="s">
        <v>490</v>
      </c>
      <c r="BG1248" s="224" t="s">
        <v>228</v>
      </c>
      <c r="BH1248">
        <v>0</v>
      </c>
    </row>
    <row r="1249" spans="17:60">
      <c r="Q1249" s="224" t="s">
        <v>218</v>
      </c>
      <c r="R1249" s="224" t="s">
        <v>490</v>
      </c>
      <c r="S1249" s="224" t="s">
        <v>228</v>
      </c>
      <c r="T1249" s="224">
        <f ca="1">OFFSET('Calculations 2'!$C$45,W1249,X1249)*OFFSET($N$6,W1249,0)</f>
        <v>3.3844416752238974E-3</v>
      </c>
      <c r="V1249">
        <f t="shared" si="59"/>
        <v>154</v>
      </c>
      <c r="W1249">
        <f t="shared" si="60"/>
        <v>22</v>
      </c>
      <c r="X1249">
        <f t="shared" si="61"/>
        <v>4</v>
      </c>
      <c r="AC1249" s="224" t="s">
        <v>218</v>
      </c>
      <c r="AD1249" s="224" t="s">
        <v>490</v>
      </c>
      <c r="AE1249" s="224" t="s">
        <v>228</v>
      </c>
      <c r="AF1249">
        <f ca="1">OFFSET('Calculations 2'!$CE$45,W1249,0)*OFFSET($AA$6,X1249,0)*OFFSET($N$6,W1249,)</f>
        <v>0</v>
      </c>
      <c r="AY1249" s="224" t="s">
        <v>218</v>
      </c>
      <c r="AZ1249" s="224" t="s">
        <v>490</v>
      </c>
      <c r="BA1249" s="224" t="s">
        <v>228</v>
      </c>
      <c r="BB1249">
        <v>0</v>
      </c>
      <c r="BE1249" s="224" t="s">
        <v>218</v>
      </c>
      <c r="BF1249" s="224" t="s">
        <v>490</v>
      </c>
      <c r="BG1249" s="224" t="s">
        <v>228</v>
      </c>
      <c r="BH1249">
        <v>0</v>
      </c>
    </row>
    <row r="1250" spans="17:60">
      <c r="Q1250" s="224" t="s">
        <v>257</v>
      </c>
      <c r="R1250" s="224" t="s">
        <v>490</v>
      </c>
      <c r="S1250" s="224" t="s">
        <v>228</v>
      </c>
      <c r="T1250" s="224">
        <f ca="1">OFFSET('Calculations 2'!$C$45,W1250,X1250)*OFFSET($N$6,W1250,0)</f>
        <v>7.1065465465723595E-3</v>
      </c>
      <c r="V1250">
        <f t="shared" si="59"/>
        <v>155</v>
      </c>
      <c r="W1250">
        <f t="shared" si="60"/>
        <v>23</v>
      </c>
      <c r="X1250">
        <f t="shared" si="61"/>
        <v>4</v>
      </c>
      <c r="AC1250" s="224" t="s">
        <v>257</v>
      </c>
      <c r="AD1250" s="224" t="s">
        <v>490</v>
      </c>
      <c r="AE1250" s="224" t="s">
        <v>228</v>
      </c>
      <c r="AF1250">
        <f ca="1">OFFSET('Calculations 2'!$CE$45,W1250,0)*OFFSET($AA$6,X1250,0)*OFFSET($N$6,W1250,)</f>
        <v>0</v>
      </c>
      <c r="AY1250" s="224" t="s">
        <v>257</v>
      </c>
      <c r="AZ1250" s="224" t="s">
        <v>490</v>
      </c>
      <c r="BA1250" s="224" t="s">
        <v>228</v>
      </c>
      <c r="BB1250">
        <v>0</v>
      </c>
      <c r="BE1250" s="224" t="s">
        <v>257</v>
      </c>
      <c r="BF1250" s="224" t="s">
        <v>490</v>
      </c>
      <c r="BG1250" s="224" t="s">
        <v>228</v>
      </c>
      <c r="BH1250">
        <v>0</v>
      </c>
    </row>
    <row r="1251" spans="17:60">
      <c r="Q1251" s="224" t="s">
        <v>220</v>
      </c>
      <c r="R1251" s="224" t="s">
        <v>490</v>
      </c>
      <c r="S1251" s="224" t="s">
        <v>228</v>
      </c>
      <c r="T1251" s="224">
        <f ca="1">OFFSET('Calculations 2'!$C$45,W1251,X1251)*OFFSET($N$6,W1251,0)</f>
        <v>3.4043750169424048E-3</v>
      </c>
      <c r="V1251">
        <f t="shared" si="59"/>
        <v>156</v>
      </c>
      <c r="W1251">
        <f t="shared" si="60"/>
        <v>24</v>
      </c>
      <c r="X1251">
        <f t="shared" si="61"/>
        <v>4</v>
      </c>
      <c r="AC1251" s="224" t="s">
        <v>220</v>
      </c>
      <c r="AD1251" s="224" t="s">
        <v>490</v>
      </c>
      <c r="AE1251" s="224" t="s">
        <v>228</v>
      </c>
      <c r="AF1251">
        <f ca="1">OFFSET('Calculations 2'!$CE$45,W1251,0)*OFFSET($AA$6,X1251,0)*OFFSET($N$6,W1251,)</f>
        <v>0</v>
      </c>
      <c r="AY1251" s="224" t="s">
        <v>220</v>
      </c>
      <c r="AZ1251" s="224" t="s">
        <v>490</v>
      </c>
      <c r="BA1251" s="224" t="s">
        <v>228</v>
      </c>
      <c r="BB1251">
        <v>0</v>
      </c>
      <c r="BE1251" s="224" t="s">
        <v>220</v>
      </c>
      <c r="BF1251" s="224" t="s">
        <v>490</v>
      </c>
      <c r="BG1251" s="224" t="s">
        <v>228</v>
      </c>
      <c r="BH1251">
        <v>0</v>
      </c>
    </row>
    <row r="1252" spans="17:60">
      <c r="Q1252" s="224" t="s">
        <v>235</v>
      </c>
      <c r="R1252" s="224" t="s">
        <v>490</v>
      </c>
      <c r="S1252" s="224" t="s">
        <v>228</v>
      </c>
      <c r="T1252" s="224">
        <f ca="1">OFFSET('Calculations 2'!$C$45,W1252,X1252)*OFFSET($N$6,W1252,0)</f>
        <v>2.5263969826728608E-3</v>
      </c>
      <c r="V1252">
        <f t="shared" si="59"/>
        <v>157</v>
      </c>
      <c r="W1252">
        <f t="shared" si="60"/>
        <v>25</v>
      </c>
      <c r="X1252">
        <f t="shared" si="61"/>
        <v>4</v>
      </c>
      <c r="AC1252" s="224" t="s">
        <v>235</v>
      </c>
      <c r="AD1252" s="224" t="s">
        <v>490</v>
      </c>
      <c r="AE1252" s="224" t="s">
        <v>228</v>
      </c>
      <c r="AF1252">
        <f ca="1">OFFSET('Calculations 2'!$CE$45,W1252,0)*OFFSET($AA$6,X1252,0)*OFFSET($N$6,W1252,)</f>
        <v>0</v>
      </c>
      <c r="AY1252" s="224" t="s">
        <v>235</v>
      </c>
      <c r="AZ1252" s="224" t="s">
        <v>490</v>
      </c>
      <c r="BA1252" s="224" t="s">
        <v>228</v>
      </c>
      <c r="BB1252">
        <v>0</v>
      </c>
      <c r="BE1252" s="224" t="s">
        <v>235</v>
      </c>
      <c r="BF1252" s="224" t="s">
        <v>490</v>
      </c>
      <c r="BG1252" s="224" t="s">
        <v>228</v>
      </c>
      <c r="BH1252">
        <v>0</v>
      </c>
    </row>
    <row r="1253" spans="17:60">
      <c r="Q1253" s="224" t="s">
        <v>473</v>
      </c>
      <c r="R1253" s="224" t="s">
        <v>490</v>
      </c>
      <c r="S1253" s="224" t="s">
        <v>228</v>
      </c>
      <c r="T1253" s="224">
        <f ca="1">OFFSET('Calculations 2'!$C$45,W1253,X1253)*OFFSET($N$6,W1253,0)</f>
        <v>1.9662016368930783E-2</v>
      </c>
      <c r="V1253">
        <f t="shared" si="59"/>
        <v>158</v>
      </c>
      <c r="W1253">
        <f t="shared" si="60"/>
        <v>26</v>
      </c>
      <c r="X1253">
        <f t="shared" si="61"/>
        <v>4</v>
      </c>
      <c r="AC1253" s="224" t="s">
        <v>473</v>
      </c>
      <c r="AD1253" s="224" t="s">
        <v>490</v>
      </c>
      <c r="AE1253" s="224" t="s">
        <v>228</v>
      </c>
      <c r="AF1253">
        <f ca="1">OFFSET('Calculations 2'!$CE$45,W1253,0)*OFFSET($AA$6,X1253,0)*OFFSET($N$6,W1253,)</f>
        <v>0</v>
      </c>
      <c r="AY1253" s="224" t="s">
        <v>473</v>
      </c>
      <c r="AZ1253" s="224" t="s">
        <v>490</v>
      </c>
      <c r="BA1253" s="224" t="s">
        <v>228</v>
      </c>
      <c r="BB1253">
        <v>0</v>
      </c>
      <c r="BE1253" s="224" t="s">
        <v>473</v>
      </c>
      <c r="BF1253" s="224" t="s">
        <v>490</v>
      </c>
      <c r="BG1253" s="224" t="s">
        <v>228</v>
      </c>
      <c r="BH1253">
        <v>0</v>
      </c>
    </row>
    <row r="1254" spans="17:60">
      <c r="Q1254" s="224" t="s">
        <v>233</v>
      </c>
      <c r="R1254" s="224" t="s">
        <v>490</v>
      </c>
      <c r="S1254" s="224" t="s">
        <v>228</v>
      </c>
      <c r="T1254" s="224">
        <f ca="1">OFFSET('Calculations 2'!$C$45,W1254,X1254)*OFFSET($N$6,W1254,0)</f>
        <v>8.1087574529157755E-3</v>
      </c>
      <c r="V1254">
        <f t="shared" si="59"/>
        <v>159</v>
      </c>
      <c r="W1254">
        <f t="shared" si="60"/>
        <v>27</v>
      </c>
      <c r="X1254">
        <f t="shared" si="61"/>
        <v>4</v>
      </c>
      <c r="AC1254" s="224" t="s">
        <v>233</v>
      </c>
      <c r="AD1254" s="224" t="s">
        <v>490</v>
      </c>
      <c r="AE1254" s="224" t="s">
        <v>228</v>
      </c>
      <c r="AF1254">
        <f ca="1">OFFSET('Calculations 2'!$CE$45,W1254,0)*OFFSET($AA$6,X1254,0)*OFFSET($N$6,W1254,)</f>
        <v>0</v>
      </c>
      <c r="AY1254" s="224" t="s">
        <v>233</v>
      </c>
      <c r="AZ1254" s="224" t="s">
        <v>490</v>
      </c>
      <c r="BA1254" s="224" t="s">
        <v>228</v>
      </c>
      <c r="BB1254">
        <v>0</v>
      </c>
      <c r="BE1254" s="224" t="s">
        <v>233</v>
      </c>
      <c r="BF1254" s="224" t="s">
        <v>490</v>
      </c>
      <c r="BG1254" s="224" t="s">
        <v>228</v>
      </c>
      <c r="BH1254">
        <v>0</v>
      </c>
    </row>
    <row r="1255" spans="17:60">
      <c r="Q1255" s="224" t="s">
        <v>474</v>
      </c>
      <c r="R1255" s="224" t="s">
        <v>490</v>
      </c>
      <c r="S1255" s="224" t="s">
        <v>228</v>
      </c>
      <c r="T1255" s="224">
        <f ca="1">OFFSET('Calculations 2'!$C$45,W1255,X1255)*OFFSET($N$6,W1255,0)</f>
        <v>1.4576265148021207E-3</v>
      </c>
      <c r="V1255">
        <f t="shared" si="59"/>
        <v>160</v>
      </c>
      <c r="W1255">
        <f t="shared" si="60"/>
        <v>28</v>
      </c>
      <c r="X1255">
        <f t="shared" si="61"/>
        <v>4</v>
      </c>
      <c r="AC1255" s="224" t="s">
        <v>474</v>
      </c>
      <c r="AD1255" s="224" t="s">
        <v>490</v>
      </c>
      <c r="AE1255" s="224" t="s">
        <v>228</v>
      </c>
      <c r="AF1255">
        <f ca="1">OFFSET('Calculations 2'!$CE$45,W1255,0)*OFFSET($AA$6,X1255,0)*OFFSET($N$6,W1255,)</f>
        <v>0</v>
      </c>
      <c r="AY1255" s="224" t="s">
        <v>474</v>
      </c>
      <c r="AZ1255" s="224" t="s">
        <v>490</v>
      </c>
      <c r="BA1255" s="224" t="s">
        <v>228</v>
      </c>
      <c r="BB1255">
        <v>0</v>
      </c>
      <c r="BE1255" s="224" t="s">
        <v>474</v>
      </c>
      <c r="BF1255" s="224" t="s">
        <v>490</v>
      </c>
      <c r="BG1255" s="224" t="s">
        <v>228</v>
      </c>
      <c r="BH1255">
        <v>0</v>
      </c>
    </row>
    <row r="1256" spans="17:60">
      <c r="Q1256" s="224" t="s">
        <v>223</v>
      </c>
      <c r="R1256" s="224" t="s">
        <v>490</v>
      </c>
      <c r="S1256" s="224" t="s">
        <v>228</v>
      </c>
      <c r="T1256" s="224">
        <f ca="1">OFFSET('Calculations 2'!$C$45,W1256,X1256)*OFFSET($N$6,W1256,0)</f>
        <v>0</v>
      </c>
      <c r="V1256">
        <f t="shared" si="59"/>
        <v>161</v>
      </c>
      <c r="W1256">
        <f t="shared" si="60"/>
        <v>29</v>
      </c>
      <c r="X1256">
        <f t="shared" si="61"/>
        <v>4</v>
      </c>
      <c r="AC1256" s="224" t="s">
        <v>223</v>
      </c>
      <c r="AD1256" s="224" t="s">
        <v>490</v>
      </c>
      <c r="AE1256" s="224" t="s">
        <v>228</v>
      </c>
      <c r="AF1256">
        <f ca="1">OFFSET('Calculations 2'!$CE$45,W1256,0)*OFFSET($AA$6,X1256,0)*OFFSET($N$6,W1256,)</f>
        <v>0</v>
      </c>
      <c r="AY1256" s="224" t="s">
        <v>223</v>
      </c>
      <c r="AZ1256" s="224" t="s">
        <v>490</v>
      </c>
      <c r="BA1256" s="224" t="s">
        <v>228</v>
      </c>
      <c r="BB1256">
        <v>0</v>
      </c>
      <c r="BE1256" s="224" t="s">
        <v>223</v>
      </c>
      <c r="BF1256" s="224" t="s">
        <v>490</v>
      </c>
      <c r="BG1256" s="224" t="s">
        <v>228</v>
      </c>
      <c r="BH1256">
        <v>0</v>
      </c>
    </row>
    <row r="1257" spans="17:60">
      <c r="Q1257" s="224" t="s">
        <v>475</v>
      </c>
      <c r="R1257" s="224" t="s">
        <v>490</v>
      </c>
      <c r="S1257" s="224" t="s">
        <v>228</v>
      </c>
      <c r="T1257" s="224">
        <f ca="1">OFFSET('Calculations 2'!$C$45,W1257,X1257)*OFFSET($N$6,W1257,0)</f>
        <v>8.3782337177904767E-4</v>
      </c>
      <c r="V1257">
        <f t="shared" si="59"/>
        <v>162</v>
      </c>
      <c r="W1257">
        <f t="shared" si="60"/>
        <v>30</v>
      </c>
      <c r="X1257">
        <f t="shared" si="61"/>
        <v>4</v>
      </c>
      <c r="AC1257" s="224" t="s">
        <v>475</v>
      </c>
      <c r="AD1257" s="224" t="s">
        <v>490</v>
      </c>
      <c r="AE1257" s="224" t="s">
        <v>228</v>
      </c>
      <c r="AF1257">
        <f ca="1">OFFSET('Calculations 2'!$CE$45,W1257,0)*OFFSET($AA$6,X1257,0)*OFFSET($N$6,W1257,)</f>
        <v>0</v>
      </c>
      <c r="AY1257" s="224" t="s">
        <v>475</v>
      </c>
      <c r="AZ1257" s="224" t="s">
        <v>490</v>
      </c>
      <c r="BA1257" s="224" t="s">
        <v>228</v>
      </c>
      <c r="BB1257">
        <v>0</v>
      </c>
      <c r="BE1257" s="224" t="s">
        <v>475</v>
      </c>
      <c r="BF1257" s="224" t="s">
        <v>490</v>
      </c>
      <c r="BG1257" s="224" t="s">
        <v>228</v>
      </c>
      <c r="BH1257">
        <v>0</v>
      </c>
    </row>
    <row r="1258" spans="17:60">
      <c r="Q1258" s="224" t="s">
        <v>476</v>
      </c>
      <c r="R1258" s="224" t="s">
        <v>490</v>
      </c>
      <c r="S1258" s="224" t="s">
        <v>228</v>
      </c>
      <c r="T1258" s="224">
        <f ca="1">OFFSET('Calculations 2'!$C$45,W1258,X1258)*OFFSET($N$6,W1258,0)</f>
        <v>0</v>
      </c>
      <c r="V1258">
        <f t="shared" si="59"/>
        <v>163</v>
      </c>
      <c r="W1258">
        <f t="shared" si="60"/>
        <v>31</v>
      </c>
      <c r="X1258">
        <f t="shared" si="61"/>
        <v>4</v>
      </c>
      <c r="AC1258" s="224" t="s">
        <v>476</v>
      </c>
      <c r="AD1258" s="224" t="s">
        <v>490</v>
      </c>
      <c r="AE1258" s="224" t="s">
        <v>228</v>
      </c>
      <c r="AF1258">
        <f ca="1">OFFSET('Calculations 2'!$CE$45,W1258,0)*OFFSET($AA$6,X1258,0)*OFFSET($N$6,W1258,)</f>
        <v>0</v>
      </c>
      <c r="AY1258" s="224" t="s">
        <v>476</v>
      </c>
      <c r="AZ1258" s="224" t="s">
        <v>490</v>
      </c>
      <c r="BA1258" s="224" t="s">
        <v>228</v>
      </c>
      <c r="BB1258">
        <v>0</v>
      </c>
      <c r="BE1258" s="224" t="s">
        <v>476</v>
      </c>
      <c r="BF1258" s="224" t="s">
        <v>490</v>
      </c>
      <c r="BG1258" s="224" t="s">
        <v>228</v>
      </c>
      <c r="BH1258">
        <v>0</v>
      </c>
    </row>
    <row r="1259" spans="17:60">
      <c r="Q1259" s="224" t="s">
        <v>222</v>
      </c>
      <c r="R1259" s="224" t="s">
        <v>490</v>
      </c>
      <c r="S1259" s="224" t="s">
        <v>228</v>
      </c>
      <c r="T1259" s="224">
        <f ca="1">OFFSET('Calculations 2'!$C$45,W1259,X1259)*OFFSET($N$6,W1259,0)</f>
        <v>0</v>
      </c>
      <c r="V1259">
        <f t="shared" si="59"/>
        <v>164</v>
      </c>
      <c r="W1259">
        <f t="shared" si="60"/>
        <v>32</v>
      </c>
      <c r="X1259">
        <f t="shared" si="61"/>
        <v>4</v>
      </c>
      <c r="AC1259" s="224" t="s">
        <v>222</v>
      </c>
      <c r="AD1259" s="224" t="s">
        <v>490</v>
      </c>
      <c r="AE1259" s="224" t="s">
        <v>228</v>
      </c>
      <c r="AF1259">
        <f ca="1">OFFSET('Calculations 2'!$CE$45,W1259,0)*OFFSET($AA$6,X1259,0)*OFFSET($N$6,W1259,)</f>
        <v>0</v>
      </c>
      <c r="AY1259" s="224" t="s">
        <v>222</v>
      </c>
      <c r="AZ1259" s="224" t="s">
        <v>490</v>
      </c>
      <c r="BA1259" s="224" t="s">
        <v>228</v>
      </c>
      <c r="BB1259">
        <v>0</v>
      </c>
      <c r="BE1259" s="224" t="s">
        <v>222</v>
      </c>
      <c r="BF1259" s="224" t="s">
        <v>490</v>
      </c>
      <c r="BG1259" s="224" t="s">
        <v>228</v>
      </c>
      <c r="BH1259">
        <v>0</v>
      </c>
    </row>
    <row r="1260" spans="17:60">
      <c r="Q1260" s="224" t="s">
        <v>217</v>
      </c>
      <c r="R1260" s="224" t="s">
        <v>490</v>
      </c>
      <c r="S1260" s="224" t="s">
        <v>246</v>
      </c>
      <c r="T1260" s="224">
        <f ca="1">OFFSET('Calculations 2'!$C$45,W1260,X1260)*OFFSET($N$6,W1260,0)</f>
        <v>44.02340633607195</v>
      </c>
      <c r="V1260">
        <f t="shared" si="59"/>
        <v>165</v>
      </c>
      <c r="W1260">
        <f t="shared" si="60"/>
        <v>0</v>
      </c>
      <c r="X1260">
        <f t="shared" si="61"/>
        <v>5</v>
      </c>
      <c r="AC1260" s="224" t="s">
        <v>217</v>
      </c>
      <c r="AD1260" s="224" t="s">
        <v>490</v>
      </c>
      <c r="AE1260" s="224" t="s">
        <v>246</v>
      </c>
      <c r="AF1260">
        <f ca="1">OFFSET('Calculations 2'!$CE$45,W1260,0)*OFFSET($AA$6,X1260,0)*OFFSET($N$6,W1260,)</f>
        <v>0.38207375090402379</v>
      </c>
      <c r="AY1260" s="224" t="s">
        <v>217</v>
      </c>
      <c r="AZ1260" s="224" t="s">
        <v>490</v>
      </c>
      <c r="BA1260" s="224" t="s">
        <v>246</v>
      </c>
      <c r="BB1260">
        <v>0</v>
      </c>
      <c r="BE1260" s="224" t="s">
        <v>217</v>
      </c>
      <c r="BF1260" s="224" t="s">
        <v>490</v>
      </c>
      <c r="BG1260" s="224" t="s">
        <v>246</v>
      </c>
      <c r="BH1260">
        <v>0</v>
      </c>
    </row>
    <row r="1261" spans="17:60">
      <c r="Q1261" s="224" t="s">
        <v>232</v>
      </c>
      <c r="R1261" s="224" t="s">
        <v>490</v>
      </c>
      <c r="S1261" s="224" t="s">
        <v>246</v>
      </c>
      <c r="T1261" s="224">
        <f ca="1">OFFSET('Calculations 2'!$C$45,W1261,X1261)*OFFSET($N$6,W1261,0)</f>
        <v>5.6557813937277137</v>
      </c>
      <c r="V1261">
        <f t="shared" si="59"/>
        <v>166</v>
      </c>
      <c r="W1261">
        <f t="shared" si="60"/>
        <v>1</v>
      </c>
      <c r="X1261">
        <f t="shared" si="61"/>
        <v>5</v>
      </c>
      <c r="AC1261" s="224" t="s">
        <v>232</v>
      </c>
      <c r="AD1261" s="224" t="s">
        <v>490</v>
      </c>
      <c r="AE1261" s="224" t="s">
        <v>246</v>
      </c>
      <c r="AF1261">
        <f ca="1">OFFSET('Calculations 2'!$CE$45,W1261,0)*OFFSET($AA$6,X1261,0)*OFFSET($N$6,W1261,)</f>
        <v>0.60277168127035963</v>
      </c>
      <c r="AY1261" s="224" t="s">
        <v>232</v>
      </c>
      <c r="AZ1261" s="224" t="s">
        <v>490</v>
      </c>
      <c r="BA1261" s="224" t="s">
        <v>246</v>
      </c>
      <c r="BB1261">
        <v>0</v>
      </c>
      <c r="BE1261" s="224" t="s">
        <v>232</v>
      </c>
      <c r="BF1261" s="224" t="s">
        <v>490</v>
      </c>
      <c r="BG1261" s="224" t="s">
        <v>246</v>
      </c>
      <c r="BH1261">
        <v>0</v>
      </c>
    </row>
    <row r="1262" spans="17:60">
      <c r="Q1262" s="224" t="s">
        <v>226</v>
      </c>
      <c r="R1262" s="224" t="s">
        <v>490</v>
      </c>
      <c r="S1262" s="224" t="s">
        <v>246</v>
      </c>
      <c r="T1262" s="224">
        <f ca="1">OFFSET('Calculations 2'!$C$45,W1262,X1262)*OFFSET($N$6,W1262,0)</f>
        <v>1.519044291549891E-2</v>
      </c>
      <c r="V1262">
        <f t="shared" si="59"/>
        <v>167</v>
      </c>
      <c r="W1262">
        <f t="shared" si="60"/>
        <v>2</v>
      </c>
      <c r="X1262">
        <f t="shared" si="61"/>
        <v>5</v>
      </c>
      <c r="AC1262" s="224" t="s">
        <v>226</v>
      </c>
      <c r="AD1262" s="224" t="s">
        <v>490</v>
      </c>
      <c r="AE1262" s="224" t="s">
        <v>246</v>
      </c>
      <c r="AF1262">
        <f ca="1">OFFSET('Calculations 2'!$CE$45,W1262,0)*OFFSET($AA$6,X1262,0)*OFFSET($N$6,W1262,)</f>
        <v>0.15083193266101702</v>
      </c>
      <c r="AY1262" s="224" t="s">
        <v>226</v>
      </c>
      <c r="AZ1262" s="224" t="s">
        <v>490</v>
      </c>
      <c r="BA1262" s="224" t="s">
        <v>246</v>
      </c>
      <c r="BB1262">
        <v>0</v>
      </c>
      <c r="BE1262" s="224" t="s">
        <v>226</v>
      </c>
      <c r="BF1262" s="224" t="s">
        <v>490</v>
      </c>
      <c r="BG1262" s="224" t="s">
        <v>246</v>
      </c>
      <c r="BH1262">
        <v>0</v>
      </c>
    </row>
    <row r="1263" spans="17:60">
      <c r="Q1263" s="224" t="s">
        <v>243</v>
      </c>
      <c r="R1263" s="224" t="s">
        <v>490</v>
      </c>
      <c r="S1263" s="224" t="s">
        <v>246</v>
      </c>
      <c r="T1263" s="224">
        <f ca="1">OFFSET('Calculations 2'!$C$45,W1263,X1263)*OFFSET($N$6,W1263,0)</f>
        <v>21.106787962237629</v>
      </c>
      <c r="V1263">
        <f t="shared" si="59"/>
        <v>168</v>
      </c>
      <c r="W1263">
        <f t="shared" si="60"/>
        <v>3</v>
      </c>
      <c r="X1263">
        <f t="shared" si="61"/>
        <v>5</v>
      </c>
      <c r="AC1263" s="224" t="s">
        <v>243</v>
      </c>
      <c r="AD1263" s="224" t="s">
        <v>490</v>
      </c>
      <c r="AE1263" s="224" t="s">
        <v>246</v>
      </c>
      <c r="AF1263">
        <f ca="1">OFFSET('Calculations 2'!$CE$45,W1263,0)*OFFSET($AA$6,X1263,0)*OFFSET($N$6,W1263,)</f>
        <v>2.9599290169442356</v>
      </c>
      <c r="AY1263" s="224" t="s">
        <v>243</v>
      </c>
      <c r="AZ1263" s="224" t="s">
        <v>490</v>
      </c>
      <c r="BA1263" s="224" t="s">
        <v>246</v>
      </c>
      <c r="BB1263">
        <v>0</v>
      </c>
      <c r="BE1263" s="224" t="s">
        <v>243</v>
      </c>
      <c r="BF1263" s="224" t="s">
        <v>490</v>
      </c>
      <c r="BG1263" s="224" t="s">
        <v>246</v>
      </c>
      <c r="BH1263">
        <v>0</v>
      </c>
    </row>
    <row r="1264" spans="17:60">
      <c r="Q1264" s="224" t="s">
        <v>228</v>
      </c>
      <c r="R1264" s="224" t="s">
        <v>490</v>
      </c>
      <c r="S1264" s="224" t="s">
        <v>246</v>
      </c>
      <c r="T1264" s="224">
        <f ca="1">OFFSET('Calculations 2'!$C$45,W1264,X1264)*OFFSET($N$6,W1264,0)</f>
        <v>0</v>
      </c>
      <c r="V1264">
        <f t="shared" si="59"/>
        <v>169</v>
      </c>
      <c r="W1264">
        <f t="shared" si="60"/>
        <v>4</v>
      </c>
      <c r="X1264">
        <f t="shared" si="61"/>
        <v>5</v>
      </c>
      <c r="AC1264" s="224" t="s">
        <v>228</v>
      </c>
      <c r="AD1264" s="224" t="s">
        <v>490</v>
      </c>
      <c r="AE1264" s="224" t="s">
        <v>246</v>
      </c>
      <c r="AF1264">
        <f ca="1">OFFSET('Calculations 2'!$CE$45,W1264,0)*OFFSET($AA$6,X1264,0)*OFFSET($N$6,W1264,)</f>
        <v>1.5426246409575703</v>
      </c>
      <c r="AY1264" s="224" t="s">
        <v>228</v>
      </c>
      <c r="AZ1264" s="224" t="s">
        <v>490</v>
      </c>
      <c r="BA1264" s="224" t="s">
        <v>246</v>
      </c>
      <c r="BB1264">
        <v>0</v>
      </c>
      <c r="BE1264" s="224" t="s">
        <v>228</v>
      </c>
      <c r="BF1264" s="224" t="s">
        <v>490</v>
      </c>
      <c r="BG1264" s="224" t="s">
        <v>246</v>
      </c>
      <c r="BH1264">
        <v>0</v>
      </c>
    </row>
    <row r="1265" spans="17:60">
      <c r="Q1265" s="224" t="s">
        <v>246</v>
      </c>
      <c r="R1265" s="224" t="s">
        <v>490</v>
      </c>
      <c r="S1265" s="224" t="s">
        <v>246</v>
      </c>
      <c r="T1265" s="224">
        <f ca="1">OFFSET('Calculations 2'!$C$45,W1265,X1265)*OFFSET($N$6,W1265,0)</f>
        <v>262.3462423216813</v>
      </c>
      <c r="V1265">
        <f t="shared" si="59"/>
        <v>170</v>
      </c>
      <c r="W1265">
        <f t="shared" si="60"/>
        <v>5</v>
      </c>
      <c r="X1265">
        <f t="shared" si="61"/>
        <v>5</v>
      </c>
      <c r="AC1265" s="224" t="s">
        <v>246</v>
      </c>
      <c r="AD1265" s="224" t="s">
        <v>490</v>
      </c>
      <c r="AE1265" s="224" t="s">
        <v>246</v>
      </c>
      <c r="AF1265">
        <f ca="1">OFFSET('Calculations 2'!$CE$45,W1265,0)*OFFSET($AA$6,X1265,0)*OFFSET($N$6,W1265,)</f>
        <v>2.761181171050172E-2</v>
      </c>
      <c r="AY1265" s="224" t="s">
        <v>246</v>
      </c>
      <c r="AZ1265" s="224" t="s">
        <v>490</v>
      </c>
      <c r="BA1265" s="224" t="s">
        <v>246</v>
      </c>
      <c r="BB1265">
        <v>0</v>
      </c>
      <c r="BE1265" s="224" t="s">
        <v>246</v>
      </c>
      <c r="BF1265" s="224" t="s">
        <v>490</v>
      </c>
      <c r="BG1265" s="224" t="s">
        <v>246</v>
      </c>
      <c r="BH1265">
        <v>0</v>
      </c>
    </row>
    <row r="1266" spans="17:60">
      <c r="Q1266" s="224" t="s">
        <v>239</v>
      </c>
      <c r="R1266" s="224" t="s">
        <v>490</v>
      </c>
      <c r="S1266" s="224" t="s">
        <v>246</v>
      </c>
      <c r="T1266" s="224">
        <f ca="1">OFFSET('Calculations 2'!$C$45,W1266,X1266)*OFFSET($N$6,W1266,0)</f>
        <v>14.755522022291554</v>
      </c>
      <c r="V1266">
        <f t="shared" si="59"/>
        <v>171</v>
      </c>
      <c r="W1266">
        <f t="shared" si="60"/>
        <v>6</v>
      </c>
      <c r="X1266">
        <f t="shared" si="61"/>
        <v>5</v>
      </c>
      <c r="AC1266" s="224" t="s">
        <v>239</v>
      </c>
      <c r="AD1266" s="224" t="s">
        <v>490</v>
      </c>
      <c r="AE1266" s="224" t="s">
        <v>246</v>
      </c>
      <c r="AF1266">
        <f ca="1">OFFSET('Calculations 2'!$CE$45,W1266,0)*OFFSET($AA$6,X1266,0)*OFFSET($N$6,W1266,)</f>
        <v>0.39760785588093844</v>
      </c>
      <c r="AY1266" s="224" t="s">
        <v>239</v>
      </c>
      <c r="AZ1266" s="224" t="s">
        <v>490</v>
      </c>
      <c r="BA1266" s="224" t="s">
        <v>246</v>
      </c>
      <c r="BB1266">
        <v>0</v>
      </c>
      <c r="BE1266" s="224" t="s">
        <v>239</v>
      </c>
      <c r="BF1266" s="224" t="s">
        <v>490</v>
      </c>
      <c r="BG1266" s="224" t="s">
        <v>246</v>
      </c>
      <c r="BH1266">
        <v>0</v>
      </c>
    </row>
    <row r="1267" spans="17:60">
      <c r="Q1267" s="224" t="s">
        <v>466</v>
      </c>
      <c r="R1267" s="224" t="s">
        <v>490</v>
      </c>
      <c r="S1267" s="224" t="s">
        <v>246</v>
      </c>
      <c r="T1267" s="224">
        <f ca="1">OFFSET('Calculations 2'!$C$45,W1267,X1267)*OFFSET($N$6,W1267,0)</f>
        <v>6.0148880563980143</v>
      </c>
      <c r="V1267">
        <f t="shared" si="59"/>
        <v>172</v>
      </c>
      <c r="W1267">
        <f t="shared" si="60"/>
        <v>7</v>
      </c>
      <c r="X1267">
        <f t="shared" si="61"/>
        <v>5</v>
      </c>
      <c r="AC1267" s="224" t="s">
        <v>466</v>
      </c>
      <c r="AD1267" s="224" t="s">
        <v>490</v>
      </c>
      <c r="AE1267" s="224" t="s">
        <v>246</v>
      </c>
      <c r="AF1267">
        <f ca="1">OFFSET('Calculations 2'!$CE$45,W1267,0)*OFFSET($AA$6,X1267,0)*OFFSET($N$6,W1267,)</f>
        <v>0.1001223026451253</v>
      </c>
      <c r="AY1267" s="224" t="s">
        <v>466</v>
      </c>
      <c r="AZ1267" s="224" t="s">
        <v>490</v>
      </c>
      <c r="BA1267" s="224" t="s">
        <v>246</v>
      </c>
      <c r="BB1267">
        <v>0</v>
      </c>
      <c r="BE1267" s="224" t="s">
        <v>466</v>
      </c>
      <c r="BF1267" s="224" t="s">
        <v>490</v>
      </c>
      <c r="BG1267" s="224" t="s">
        <v>246</v>
      </c>
      <c r="BH1267">
        <v>0</v>
      </c>
    </row>
    <row r="1268" spans="17:60">
      <c r="Q1268" s="224" t="s">
        <v>219</v>
      </c>
      <c r="R1268" s="224" t="s">
        <v>490</v>
      </c>
      <c r="S1268" s="224" t="s">
        <v>246</v>
      </c>
      <c r="T1268" s="224">
        <f ca="1">OFFSET('Calculations 2'!$C$45,W1268,X1268)*OFFSET($N$6,W1268,0)</f>
        <v>307.13035882859435</v>
      </c>
      <c r="V1268">
        <f t="shared" si="59"/>
        <v>173</v>
      </c>
      <c r="W1268">
        <f t="shared" si="60"/>
        <v>8</v>
      </c>
      <c r="X1268">
        <f t="shared" si="61"/>
        <v>5</v>
      </c>
      <c r="AC1268" s="224" t="s">
        <v>219</v>
      </c>
      <c r="AD1268" s="224" t="s">
        <v>490</v>
      </c>
      <c r="AE1268" s="224" t="s">
        <v>246</v>
      </c>
      <c r="AF1268">
        <f ca="1">OFFSET('Calculations 2'!$CE$45,W1268,0)*OFFSET($AA$6,X1268,0)*OFFSET($N$6,W1268,)</f>
        <v>1.3725101193288376</v>
      </c>
      <c r="AY1268" s="224" t="s">
        <v>219</v>
      </c>
      <c r="AZ1268" s="224" t="s">
        <v>490</v>
      </c>
      <c r="BA1268" s="224" t="s">
        <v>246</v>
      </c>
      <c r="BB1268">
        <v>0</v>
      </c>
      <c r="BE1268" s="224" t="s">
        <v>219</v>
      </c>
      <c r="BF1268" s="224" t="s">
        <v>490</v>
      </c>
      <c r="BG1268" s="224" t="s">
        <v>246</v>
      </c>
      <c r="BH1268">
        <v>0</v>
      </c>
    </row>
    <row r="1269" spans="17:60">
      <c r="Q1269" s="224" t="s">
        <v>242</v>
      </c>
      <c r="R1269" s="224" t="s">
        <v>490</v>
      </c>
      <c r="S1269" s="224" t="s">
        <v>246</v>
      </c>
      <c r="T1269" s="224">
        <f ca="1">OFFSET('Calculations 2'!$C$45,W1269,X1269)*OFFSET($N$6,W1269,0)</f>
        <v>48.095124042568735</v>
      </c>
      <c r="V1269">
        <f t="shared" si="59"/>
        <v>174</v>
      </c>
      <c r="W1269">
        <f t="shared" si="60"/>
        <v>9</v>
      </c>
      <c r="X1269">
        <f t="shared" si="61"/>
        <v>5</v>
      </c>
      <c r="AC1269" s="224" t="s">
        <v>242</v>
      </c>
      <c r="AD1269" s="224" t="s">
        <v>490</v>
      </c>
      <c r="AE1269" s="224" t="s">
        <v>246</v>
      </c>
      <c r="AF1269">
        <f ca="1">OFFSET('Calculations 2'!$CE$45,W1269,0)*OFFSET($AA$6,X1269,0)*OFFSET($N$6,W1269,)</f>
        <v>1.0511603161797707</v>
      </c>
      <c r="AY1269" s="224" t="s">
        <v>242</v>
      </c>
      <c r="AZ1269" s="224" t="s">
        <v>490</v>
      </c>
      <c r="BA1269" s="224" t="s">
        <v>246</v>
      </c>
      <c r="BB1269">
        <v>0</v>
      </c>
      <c r="BE1269" s="224" t="s">
        <v>242</v>
      </c>
      <c r="BF1269" s="224" t="s">
        <v>490</v>
      </c>
      <c r="BG1269" s="224" t="s">
        <v>246</v>
      </c>
      <c r="BH1269">
        <v>0</v>
      </c>
    </row>
    <row r="1270" spans="17:60">
      <c r="Q1270" s="224" t="s">
        <v>467</v>
      </c>
      <c r="R1270" s="224" t="s">
        <v>490</v>
      </c>
      <c r="S1270" s="224" t="s">
        <v>246</v>
      </c>
      <c r="T1270" s="224">
        <f ca="1">OFFSET('Calculations 2'!$C$45,W1270,X1270)*OFFSET($N$6,W1270,0)</f>
        <v>13.51413993484479</v>
      </c>
      <c r="V1270">
        <f t="shared" si="59"/>
        <v>175</v>
      </c>
      <c r="W1270">
        <f t="shared" si="60"/>
        <v>10</v>
      </c>
      <c r="X1270">
        <f t="shared" si="61"/>
        <v>5</v>
      </c>
      <c r="AC1270" s="224" t="s">
        <v>467</v>
      </c>
      <c r="AD1270" s="224" t="s">
        <v>490</v>
      </c>
      <c r="AE1270" s="224" t="s">
        <v>246</v>
      </c>
      <c r="AF1270">
        <f ca="1">OFFSET('Calculations 2'!$CE$45,W1270,0)*OFFSET($AA$6,X1270,0)*OFFSET($N$6,W1270,)</f>
        <v>0.39679972423655779</v>
      </c>
      <c r="AY1270" s="224" t="s">
        <v>467</v>
      </c>
      <c r="AZ1270" s="224" t="s">
        <v>490</v>
      </c>
      <c r="BA1270" s="224" t="s">
        <v>246</v>
      </c>
      <c r="BB1270">
        <v>0</v>
      </c>
      <c r="BE1270" s="224" t="s">
        <v>467</v>
      </c>
      <c r="BF1270" s="224" t="s">
        <v>490</v>
      </c>
      <c r="BG1270" s="224" t="s">
        <v>246</v>
      </c>
      <c r="BH1270">
        <v>0</v>
      </c>
    </row>
    <row r="1271" spans="17:60">
      <c r="Q1271" s="224" t="s">
        <v>231</v>
      </c>
      <c r="R1271" s="224" t="s">
        <v>490</v>
      </c>
      <c r="S1271" s="224" t="s">
        <v>246</v>
      </c>
      <c r="T1271" s="224">
        <f ca="1">OFFSET('Calculations 2'!$C$45,W1271,X1271)*OFFSET($N$6,W1271,0)</f>
        <v>83.213386840244169</v>
      </c>
      <c r="V1271">
        <f t="shared" si="59"/>
        <v>176</v>
      </c>
      <c r="W1271">
        <f t="shared" si="60"/>
        <v>11</v>
      </c>
      <c r="X1271">
        <f t="shared" si="61"/>
        <v>5</v>
      </c>
      <c r="AC1271" s="224" t="s">
        <v>231</v>
      </c>
      <c r="AD1271" s="224" t="s">
        <v>490</v>
      </c>
      <c r="AE1271" s="224" t="s">
        <v>246</v>
      </c>
      <c r="AF1271">
        <f ca="1">OFFSET('Calculations 2'!$CE$45,W1271,0)*OFFSET($AA$6,X1271,0)*OFFSET($N$6,W1271,)</f>
        <v>4.9667972796032256</v>
      </c>
      <c r="AY1271" s="224" t="s">
        <v>231</v>
      </c>
      <c r="AZ1271" s="224" t="s">
        <v>490</v>
      </c>
      <c r="BA1271" s="224" t="s">
        <v>246</v>
      </c>
      <c r="BB1271">
        <v>0</v>
      </c>
      <c r="BE1271" s="224" t="s">
        <v>231</v>
      </c>
      <c r="BF1271" s="224" t="s">
        <v>490</v>
      </c>
      <c r="BG1271" s="224" t="s">
        <v>246</v>
      </c>
      <c r="BH1271">
        <v>0</v>
      </c>
    </row>
    <row r="1272" spans="17:60">
      <c r="Q1272" s="224" t="s">
        <v>468</v>
      </c>
      <c r="R1272" s="224" t="s">
        <v>490</v>
      </c>
      <c r="S1272" s="224" t="s">
        <v>246</v>
      </c>
      <c r="T1272" s="224">
        <f ca="1">OFFSET('Calculations 2'!$C$45,W1272,X1272)*OFFSET($N$6,W1272,0)</f>
        <v>10.688856717234675</v>
      </c>
      <c r="V1272">
        <f t="shared" si="59"/>
        <v>177</v>
      </c>
      <c r="W1272">
        <f t="shared" si="60"/>
        <v>12</v>
      </c>
      <c r="X1272">
        <f t="shared" si="61"/>
        <v>5</v>
      </c>
      <c r="AC1272" s="224" t="s">
        <v>468</v>
      </c>
      <c r="AD1272" s="224" t="s">
        <v>490</v>
      </c>
      <c r="AE1272" s="224" t="s">
        <v>246</v>
      </c>
      <c r="AF1272">
        <f ca="1">OFFSET('Calculations 2'!$CE$45,W1272,0)*OFFSET($AA$6,X1272,0)*OFFSET($N$6,W1272,)</f>
        <v>19.026667450337495</v>
      </c>
      <c r="AY1272" s="224" t="s">
        <v>468</v>
      </c>
      <c r="AZ1272" s="224" t="s">
        <v>490</v>
      </c>
      <c r="BA1272" s="224" t="s">
        <v>246</v>
      </c>
      <c r="BB1272">
        <v>0</v>
      </c>
      <c r="BE1272" s="224" t="s">
        <v>468</v>
      </c>
      <c r="BF1272" s="224" t="s">
        <v>490</v>
      </c>
      <c r="BG1272" s="224" t="s">
        <v>246</v>
      </c>
      <c r="BH1272">
        <v>0</v>
      </c>
    </row>
    <row r="1273" spans="17:60">
      <c r="Q1273" s="224" t="s">
        <v>469</v>
      </c>
      <c r="R1273" s="224" t="s">
        <v>490</v>
      </c>
      <c r="S1273" s="224" t="s">
        <v>246</v>
      </c>
      <c r="T1273" s="224">
        <f ca="1">OFFSET('Calculations 2'!$C$45,W1273,X1273)*OFFSET($N$6,W1273,0)</f>
        <v>0</v>
      </c>
      <c r="V1273">
        <f t="shared" si="59"/>
        <v>178</v>
      </c>
      <c r="W1273">
        <f t="shared" si="60"/>
        <v>13</v>
      </c>
      <c r="X1273">
        <f t="shared" si="61"/>
        <v>5</v>
      </c>
      <c r="AC1273" s="224" t="s">
        <v>469</v>
      </c>
      <c r="AD1273" s="224" t="s">
        <v>490</v>
      </c>
      <c r="AE1273" s="224" t="s">
        <v>246</v>
      </c>
      <c r="AF1273">
        <f ca="1">OFFSET('Calculations 2'!$CE$45,W1273,0)*OFFSET($AA$6,X1273,0)*OFFSET($N$6,W1273,)</f>
        <v>10.201518677869219</v>
      </c>
      <c r="AY1273" s="224" t="s">
        <v>469</v>
      </c>
      <c r="AZ1273" s="224" t="s">
        <v>490</v>
      </c>
      <c r="BA1273" s="224" t="s">
        <v>246</v>
      </c>
      <c r="BB1273">
        <v>0</v>
      </c>
      <c r="BE1273" s="224" t="s">
        <v>469</v>
      </c>
      <c r="BF1273" s="224" t="s">
        <v>490</v>
      </c>
      <c r="BG1273" s="224" t="s">
        <v>246</v>
      </c>
      <c r="BH1273">
        <v>0</v>
      </c>
    </row>
    <row r="1274" spans="17:60">
      <c r="Q1274" s="224" t="s">
        <v>245</v>
      </c>
      <c r="R1274" s="224" t="s">
        <v>490</v>
      </c>
      <c r="S1274" s="224" t="s">
        <v>246</v>
      </c>
      <c r="T1274" s="224">
        <f ca="1">OFFSET('Calculations 2'!$C$45,W1274,X1274)*OFFSET($N$6,W1274,0)</f>
        <v>5.1597921853729316</v>
      </c>
      <c r="V1274">
        <f t="shared" si="59"/>
        <v>179</v>
      </c>
      <c r="W1274">
        <f t="shared" si="60"/>
        <v>14</v>
      </c>
      <c r="X1274">
        <f t="shared" si="61"/>
        <v>5</v>
      </c>
      <c r="AC1274" s="224" t="s">
        <v>245</v>
      </c>
      <c r="AD1274" s="224" t="s">
        <v>490</v>
      </c>
      <c r="AE1274" s="224" t="s">
        <v>246</v>
      </c>
      <c r="AF1274">
        <f ca="1">OFFSET('Calculations 2'!$CE$45,W1274,0)*OFFSET($AA$6,X1274,0)*OFFSET($N$6,W1274,)</f>
        <v>16.280476375765659</v>
      </c>
      <c r="AY1274" s="224" t="s">
        <v>245</v>
      </c>
      <c r="AZ1274" s="224" t="s">
        <v>490</v>
      </c>
      <c r="BA1274" s="224" t="s">
        <v>246</v>
      </c>
      <c r="BB1274">
        <v>0</v>
      </c>
      <c r="BE1274" s="224" t="s">
        <v>245</v>
      </c>
      <c r="BF1274" s="224" t="s">
        <v>490</v>
      </c>
      <c r="BG1274" s="224" t="s">
        <v>246</v>
      </c>
      <c r="BH1274">
        <v>0</v>
      </c>
    </row>
    <row r="1275" spans="17:60">
      <c r="Q1275" s="224" t="s">
        <v>470</v>
      </c>
      <c r="R1275" s="224" t="s">
        <v>490</v>
      </c>
      <c r="S1275" s="224" t="s">
        <v>246</v>
      </c>
      <c r="T1275" s="224">
        <f ca="1">OFFSET('Calculations 2'!$C$45,W1275,X1275)*OFFSET($N$6,W1275,0)</f>
        <v>8.8251855816111888</v>
      </c>
      <c r="V1275">
        <f t="shared" si="59"/>
        <v>180</v>
      </c>
      <c r="W1275">
        <f t="shared" si="60"/>
        <v>15</v>
      </c>
      <c r="X1275">
        <f t="shared" si="61"/>
        <v>5</v>
      </c>
      <c r="AC1275" s="224" t="s">
        <v>470</v>
      </c>
      <c r="AD1275" s="224" t="s">
        <v>490</v>
      </c>
      <c r="AE1275" s="224" t="s">
        <v>246</v>
      </c>
      <c r="AF1275">
        <f ca="1">OFFSET('Calculations 2'!$CE$45,W1275,0)*OFFSET($AA$6,X1275,0)*OFFSET($N$6,W1275,)</f>
        <v>6.1773771571802323</v>
      </c>
      <c r="AY1275" s="224" t="s">
        <v>470</v>
      </c>
      <c r="AZ1275" s="224" t="s">
        <v>490</v>
      </c>
      <c r="BA1275" s="224" t="s">
        <v>246</v>
      </c>
      <c r="BB1275">
        <v>0</v>
      </c>
      <c r="BE1275" s="224" t="s">
        <v>470</v>
      </c>
      <c r="BF1275" s="224" t="s">
        <v>490</v>
      </c>
      <c r="BG1275" s="224" t="s">
        <v>246</v>
      </c>
      <c r="BH1275">
        <v>0</v>
      </c>
    </row>
    <row r="1276" spans="17:60">
      <c r="Q1276" s="224" t="s">
        <v>471</v>
      </c>
      <c r="R1276" s="224" t="s">
        <v>490</v>
      </c>
      <c r="S1276" s="224" t="s">
        <v>246</v>
      </c>
      <c r="T1276" s="224">
        <f ca="1">OFFSET('Calculations 2'!$C$45,W1276,X1276)*OFFSET($N$6,W1276,0)</f>
        <v>0.19217932368259236</v>
      </c>
      <c r="V1276">
        <f t="shared" si="59"/>
        <v>181</v>
      </c>
      <c r="W1276">
        <f t="shared" si="60"/>
        <v>16</v>
      </c>
      <c r="X1276">
        <f t="shared" si="61"/>
        <v>5</v>
      </c>
      <c r="AC1276" s="224" t="s">
        <v>471</v>
      </c>
      <c r="AD1276" s="224" t="s">
        <v>490</v>
      </c>
      <c r="AE1276" s="224" t="s">
        <v>246</v>
      </c>
      <c r="AF1276">
        <f ca="1">OFFSET('Calculations 2'!$CE$45,W1276,0)*OFFSET($AA$6,X1276,0)*OFFSET($N$6,W1276,)</f>
        <v>0</v>
      </c>
      <c r="AY1276" s="224" t="s">
        <v>471</v>
      </c>
      <c r="AZ1276" s="224" t="s">
        <v>490</v>
      </c>
      <c r="BA1276" s="224" t="s">
        <v>246</v>
      </c>
      <c r="BB1276">
        <v>0</v>
      </c>
      <c r="BE1276" s="224" t="s">
        <v>471</v>
      </c>
      <c r="BF1276" s="224" t="s">
        <v>490</v>
      </c>
      <c r="BG1276" s="224" t="s">
        <v>246</v>
      </c>
      <c r="BH1276">
        <v>0</v>
      </c>
    </row>
    <row r="1277" spans="17:60">
      <c r="Q1277" s="224" t="s">
        <v>221</v>
      </c>
      <c r="R1277" s="224" t="s">
        <v>490</v>
      </c>
      <c r="S1277" s="224" t="s">
        <v>246</v>
      </c>
      <c r="T1277" s="224">
        <f ca="1">OFFSET('Calculations 2'!$C$45,W1277,X1277)*OFFSET($N$6,W1277,0)</f>
        <v>9.4272451666931753E-2</v>
      </c>
      <c r="V1277">
        <f t="shared" si="59"/>
        <v>182</v>
      </c>
      <c r="W1277">
        <f t="shared" si="60"/>
        <v>17</v>
      </c>
      <c r="X1277">
        <f t="shared" si="61"/>
        <v>5</v>
      </c>
      <c r="AC1277" s="224" t="s">
        <v>221</v>
      </c>
      <c r="AD1277" s="224" t="s">
        <v>490</v>
      </c>
      <c r="AE1277" s="224" t="s">
        <v>246</v>
      </c>
      <c r="AF1277">
        <f ca="1">OFFSET('Calculations 2'!$CE$45,W1277,0)*OFFSET($AA$6,X1277,0)*OFFSET($N$6,W1277,)</f>
        <v>1.2092571467192359</v>
      </c>
      <c r="AY1277" s="224" t="s">
        <v>221</v>
      </c>
      <c r="AZ1277" s="224" t="s">
        <v>490</v>
      </c>
      <c r="BA1277" s="224" t="s">
        <v>246</v>
      </c>
      <c r="BB1277">
        <v>0</v>
      </c>
      <c r="BE1277" s="224" t="s">
        <v>221</v>
      </c>
      <c r="BF1277" s="224" t="s">
        <v>490</v>
      </c>
      <c r="BG1277" s="224" t="s">
        <v>246</v>
      </c>
      <c r="BH1277">
        <v>0</v>
      </c>
    </row>
    <row r="1278" spans="17:60">
      <c r="Q1278" s="224" t="s">
        <v>244</v>
      </c>
      <c r="R1278" s="224" t="s">
        <v>490</v>
      </c>
      <c r="S1278" s="224" t="s">
        <v>246</v>
      </c>
      <c r="T1278" s="224">
        <f ca="1">OFFSET('Calculations 2'!$C$45,W1278,X1278)*OFFSET($N$6,W1278,0)</f>
        <v>3.5488940557190585</v>
      </c>
      <c r="V1278">
        <f t="shared" si="59"/>
        <v>183</v>
      </c>
      <c r="W1278">
        <f t="shared" si="60"/>
        <v>18</v>
      </c>
      <c r="X1278">
        <f t="shared" si="61"/>
        <v>5</v>
      </c>
      <c r="AC1278" s="224" t="s">
        <v>244</v>
      </c>
      <c r="AD1278" s="224" t="s">
        <v>490</v>
      </c>
      <c r="AE1278" s="224" t="s">
        <v>246</v>
      </c>
      <c r="AF1278">
        <f ca="1">OFFSET('Calculations 2'!$CE$45,W1278,0)*OFFSET($AA$6,X1278,0)*OFFSET($N$6,W1278,)</f>
        <v>0.10580179301038059</v>
      </c>
      <c r="AY1278" s="224" t="s">
        <v>244</v>
      </c>
      <c r="AZ1278" s="224" t="s">
        <v>490</v>
      </c>
      <c r="BA1278" s="224" t="s">
        <v>246</v>
      </c>
      <c r="BB1278">
        <v>0</v>
      </c>
      <c r="BE1278" s="224" t="s">
        <v>244</v>
      </c>
      <c r="BF1278" s="224" t="s">
        <v>490</v>
      </c>
      <c r="BG1278" s="224" t="s">
        <v>246</v>
      </c>
      <c r="BH1278">
        <v>0</v>
      </c>
    </row>
    <row r="1279" spans="17:60">
      <c r="Q1279" s="224" t="s">
        <v>472</v>
      </c>
      <c r="R1279" s="224" t="s">
        <v>490</v>
      </c>
      <c r="S1279" s="224" t="s">
        <v>246</v>
      </c>
      <c r="T1279" s="224">
        <f ca="1">OFFSET('Calculations 2'!$C$45,W1279,X1279)*OFFSET($N$6,W1279,0)</f>
        <v>0</v>
      </c>
      <c r="V1279">
        <f t="shared" si="59"/>
        <v>184</v>
      </c>
      <c r="W1279">
        <f t="shared" si="60"/>
        <v>19</v>
      </c>
      <c r="X1279">
        <f t="shared" si="61"/>
        <v>5</v>
      </c>
      <c r="AC1279" s="224" t="s">
        <v>472</v>
      </c>
      <c r="AD1279" s="224" t="s">
        <v>490</v>
      </c>
      <c r="AE1279" s="224" t="s">
        <v>246</v>
      </c>
      <c r="AF1279">
        <f ca="1">OFFSET('Calculations 2'!$CE$45,W1279,0)*OFFSET($AA$6,X1279,0)*OFFSET($N$6,W1279,)</f>
        <v>0</v>
      </c>
      <c r="AY1279" s="224" t="s">
        <v>472</v>
      </c>
      <c r="AZ1279" s="224" t="s">
        <v>490</v>
      </c>
      <c r="BA1279" s="224" t="s">
        <v>246</v>
      </c>
      <c r="BB1279">
        <v>0</v>
      </c>
      <c r="BE1279" s="224" t="s">
        <v>472</v>
      </c>
      <c r="BF1279" s="224" t="s">
        <v>490</v>
      </c>
      <c r="BG1279" s="224" t="s">
        <v>246</v>
      </c>
      <c r="BH1279">
        <v>0</v>
      </c>
    </row>
    <row r="1280" spans="17:60">
      <c r="Q1280" s="224" t="s">
        <v>238</v>
      </c>
      <c r="R1280" s="224" t="s">
        <v>490</v>
      </c>
      <c r="S1280" s="224" t="s">
        <v>246</v>
      </c>
      <c r="T1280" s="224">
        <f ca="1">OFFSET('Calculations 2'!$C$45,W1280,X1280)*OFFSET($N$6,W1280,0)</f>
        <v>0.27214987025357745</v>
      </c>
      <c r="V1280">
        <f t="shared" si="59"/>
        <v>185</v>
      </c>
      <c r="W1280">
        <f t="shared" si="60"/>
        <v>20</v>
      </c>
      <c r="X1280">
        <f t="shared" si="61"/>
        <v>5</v>
      </c>
      <c r="AC1280" s="224" t="s">
        <v>238</v>
      </c>
      <c r="AD1280" s="224" t="s">
        <v>490</v>
      </c>
      <c r="AE1280" s="224" t="s">
        <v>246</v>
      </c>
      <c r="AF1280">
        <f ca="1">OFFSET('Calculations 2'!$CE$45,W1280,0)*OFFSET($AA$6,X1280,0)*OFFSET($N$6,W1280,)</f>
        <v>0</v>
      </c>
      <c r="AY1280" s="224" t="s">
        <v>238</v>
      </c>
      <c r="AZ1280" s="224" t="s">
        <v>490</v>
      </c>
      <c r="BA1280" s="224" t="s">
        <v>246</v>
      </c>
      <c r="BB1280">
        <v>0</v>
      </c>
      <c r="BE1280" s="224" t="s">
        <v>238</v>
      </c>
      <c r="BF1280" s="224" t="s">
        <v>490</v>
      </c>
      <c r="BG1280" s="224" t="s">
        <v>246</v>
      </c>
      <c r="BH1280">
        <v>0</v>
      </c>
    </row>
    <row r="1281" spans="17:60">
      <c r="Q1281" s="224" t="s">
        <v>247</v>
      </c>
      <c r="R1281" s="224" t="s">
        <v>490</v>
      </c>
      <c r="S1281" s="224" t="s">
        <v>246</v>
      </c>
      <c r="T1281" s="224">
        <f ca="1">OFFSET('Calculations 2'!$C$45,W1281,X1281)*OFFSET($N$6,W1281,0)</f>
        <v>0</v>
      </c>
      <c r="V1281">
        <f t="shared" si="59"/>
        <v>186</v>
      </c>
      <c r="W1281">
        <f t="shared" si="60"/>
        <v>21</v>
      </c>
      <c r="X1281">
        <f t="shared" si="61"/>
        <v>5</v>
      </c>
      <c r="AC1281" s="224" t="s">
        <v>247</v>
      </c>
      <c r="AD1281" s="224" t="s">
        <v>490</v>
      </c>
      <c r="AE1281" s="224" t="s">
        <v>246</v>
      </c>
      <c r="AF1281">
        <f ca="1">OFFSET('Calculations 2'!$CE$45,W1281,0)*OFFSET($AA$6,X1281,0)*OFFSET($N$6,W1281,)</f>
        <v>0</v>
      </c>
      <c r="AY1281" s="224" t="s">
        <v>247</v>
      </c>
      <c r="AZ1281" s="224" t="s">
        <v>490</v>
      </c>
      <c r="BA1281" s="224" t="s">
        <v>246</v>
      </c>
      <c r="BB1281">
        <v>0</v>
      </c>
      <c r="BE1281" s="224" t="s">
        <v>247</v>
      </c>
      <c r="BF1281" s="224" t="s">
        <v>490</v>
      </c>
      <c r="BG1281" s="224" t="s">
        <v>246</v>
      </c>
      <c r="BH1281">
        <v>0</v>
      </c>
    </row>
    <row r="1282" spans="17:60">
      <c r="Q1282" s="224" t="s">
        <v>218</v>
      </c>
      <c r="R1282" s="224" t="s">
        <v>490</v>
      </c>
      <c r="S1282" s="224" t="s">
        <v>246</v>
      </c>
      <c r="T1282" s="224">
        <f ca="1">OFFSET('Calculations 2'!$C$45,W1282,X1282)*OFFSET($N$6,W1282,0)</f>
        <v>0.15372268539224013</v>
      </c>
      <c r="V1282">
        <f t="shared" si="59"/>
        <v>187</v>
      </c>
      <c r="W1282">
        <f t="shared" si="60"/>
        <v>22</v>
      </c>
      <c r="X1282">
        <f t="shared" si="61"/>
        <v>5</v>
      </c>
      <c r="AC1282" s="224" t="s">
        <v>218</v>
      </c>
      <c r="AD1282" s="224" t="s">
        <v>490</v>
      </c>
      <c r="AE1282" s="224" t="s">
        <v>246</v>
      </c>
      <c r="AF1282">
        <f ca="1">OFFSET('Calculations 2'!$CE$45,W1282,0)*OFFSET($AA$6,X1282,0)*OFFSET($N$6,W1282,)</f>
        <v>0</v>
      </c>
      <c r="AY1282" s="224" t="s">
        <v>218</v>
      </c>
      <c r="AZ1282" s="224" t="s">
        <v>490</v>
      </c>
      <c r="BA1282" s="224" t="s">
        <v>246</v>
      </c>
      <c r="BB1282">
        <v>0</v>
      </c>
      <c r="BE1282" s="224" t="s">
        <v>218</v>
      </c>
      <c r="BF1282" s="224" t="s">
        <v>490</v>
      </c>
      <c r="BG1282" s="224" t="s">
        <v>246</v>
      </c>
      <c r="BH1282">
        <v>0</v>
      </c>
    </row>
    <row r="1283" spans="17:60">
      <c r="Q1283" s="224" t="s">
        <v>257</v>
      </c>
      <c r="R1283" s="224" t="s">
        <v>490</v>
      </c>
      <c r="S1283" s="224" t="s">
        <v>246</v>
      </c>
      <c r="T1283" s="224">
        <f ca="1">OFFSET('Calculations 2'!$C$45,W1283,X1283)*OFFSET($N$6,W1283,0)</f>
        <v>8.5613325648119465E-2</v>
      </c>
      <c r="V1283">
        <f t="shared" si="59"/>
        <v>188</v>
      </c>
      <c r="W1283">
        <f t="shared" si="60"/>
        <v>23</v>
      </c>
      <c r="X1283">
        <f t="shared" si="61"/>
        <v>5</v>
      </c>
      <c r="AC1283" s="224" t="s">
        <v>257</v>
      </c>
      <c r="AD1283" s="224" t="s">
        <v>490</v>
      </c>
      <c r="AE1283" s="224" t="s">
        <v>246</v>
      </c>
      <c r="AF1283">
        <f ca="1">OFFSET('Calculations 2'!$CE$45,W1283,0)*OFFSET($AA$6,X1283,0)*OFFSET($N$6,W1283,)</f>
        <v>0</v>
      </c>
      <c r="AY1283" s="224" t="s">
        <v>257</v>
      </c>
      <c r="AZ1283" s="224" t="s">
        <v>490</v>
      </c>
      <c r="BA1283" s="224" t="s">
        <v>246</v>
      </c>
      <c r="BB1283">
        <v>0</v>
      </c>
      <c r="BE1283" s="224" t="s">
        <v>257</v>
      </c>
      <c r="BF1283" s="224" t="s">
        <v>490</v>
      </c>
      <c r="BG1283" s="224" t="s">
        <v>246</v>
      </c>
      <c r="BH1283">
        <v>0</v>
      </c>
    </row>
    <row r="1284" spans="17:60">
      <c r="Q1284" s="224" t="s">
        <v>220</v>
      </c>
      <c r="R1284" s="224" t="s">
        <v>490</v>
      </c>
      <c r="S1284" s="224" t="s">
        <v>246</v>
      </c>
      <c r="T1284" s="224">
        <f ca="1">OFFSET('Calculations 2'!$C$45,W1284,X1284)*OFFSET($N$6,W1284,0)</f>
        <v>7.8748756487009894E-2</v>
      </c>
      <c r="V1284">
        <f t="shared" si="59"/>
        <v>189</v>
      </c>
      <c r="W1284">
        <f t="shared" si="60"/>
        <v>24</v>
      </c>
      <c r="X1284">
        <f t="shared" si="61"/>
        <v>5</v>
      </c>
      <c r="AC1284" s="224" t="s">
        <v>220</v>
      </c>
      <c r="AD1284" s="224" t="s">
        <v>490</v>
      </c>
      <c r="AE1284" s="224" t="s">
        <v>246</v>
      </c>
      <c r="AF1284">
        <f ca="1">OFFSET('Calculations 2'!$CE$45,W1284,0)*OFFSET($AA$6,X1284,0)*OFFSET($N$6,W1284,)</f>
        <v>0</v>
      </c>
      <c r="AY1284" s="224" t="s">
        <v>220</v>
      </c>
      <c r="AZ1284" s="224" t="s">
        <v>490</v>
      </c>
      <c r="BA1284" s="224" t="s">
        <v>246</v>
      </c>
      <c r="BB1284">
        <v>0</v>
      </c>
      <c r="BE1284" s="224" t="s">
        <v>220</v>
      </c>
      <c r="BF1284" s="224" t="s">
        <v>490</v>
      </c>
      <c r="BG1284" s="224" t="s">
        <v>246</v>
      </c>
      <c r="BH1284">
        <v>0</v>
      </c>
    </row>
    <row r="1285" spans="17:60">
      <c r="Q1285" s="224" t="s">
        <v>235</v>
      </c>
      <c r="R1285" s="224" t="s">
        <v>490</v>
      </c>
      <c r="S1285" s="224" t="s">
        <v>246</v>
      </c>
      <c r="T1285" s="224">
        <f ca="1">OFFSET('Calculations 2'!$C$45,W1285,X1285)*OFFSET($N$6,W1285,0)</f>
        <v>0.28785132192048862</v>
      </c>
      <c r="V1285">
        <f t="shared" si="59"/>
        <v>190</v>
      </c>
      <c r="W1285">
        <f t="shared" si="60"/>
        <v>25</v>
      </c>
      <c r="X1285">
        <f t="shared" si="61"/>
        <v>5</v>
      </c>
      <c r="AC1285" s="224" t="s">
        <v>235</v>
      </c>
      <c r="AD1285" s="224" t="s">
        <v>490</v>
      </c>
      <c r="AE1285" s="224" t="s">
        <v>246</v>
      </c>
      <c r="AF1285">
        <f ca="1">OFFSET('Calculations 2'!$CE$45,W1285,0)*OFFSET($AA$6,X1285,0)*OFFSET($N$6,W1285,)</f>
        <v>0</v>
      </c>
      <c r="AY1285" s="224" t="s">
        <v>235</v>
      </c>
      <c r="AZ1285" s="224" t="s">
        <v>490</v>
      </c>
      <c r="BA1285" s="224" t="s">
        <v>246</v>
      </c>
      <c r="BB1285">
        <v>0</v>
      </c>
      <c r="BE1285" s="224" t="s">
        <v>235</v>
      </c>
      <c r="BF1285" s="224" t="s">
        <v>490</v>
      </c>
      <c r="BG1285" s="224" t="s">
        <v>246</v>
      </c>
      <c r="BH1285">
        <v>0</v>
      </c>
    </row>
    <row r="1286" spans="17:60">
      <c r="Q1286" s="224" t="s">
        <v>473</v>
      </c>
      <c r="R1286" s="224" t="s">
        <v>490</v>
      </c>
      <c r="S1286" s="224" t="s">
        <v>246</v>
      </c>
      <c r="T1286" s="224">
        <f ca="1">OFFSET('Calculations 2'!$C$45,W1286,X1286)*OFFSET($N$6,W1286,0)</f>
        <v>1.7117631362397161</v>
      </c>
      <c r="V1286">
        <f t="shared" si="59"/>
        <v>191</v>
      </c>
      <c r="W1286">
        <f t="shared" si="60"/>
        <v>26</v>
      </c>
      <c r="X1286">
        <f t="shared" si="61"/>
        <v>5</v>
      </c>
      <c r="AC1286" s="224" t="s">
        <v>473</v>
      </c>
      <c r="AD1286" s="224" t="s">
        <v>490</v>
      </c>
      <c r="AE1286" s="224" t="s">
        <v>246</v>
      </c>
      <c r="AF1286">
        <f ca="1">OFFSET('Calculations 2'!$CE$45,W1286,0)*OFFSET($AA$6,X1286,0)*OFFSET($N$6,W1286,)</f>
        <v>0</v>
      </c>
      <c r="AY1286" s="224" t="s">
        <v>473</v>
      </c>
      <c r="AZ1286" s="224" t="s">
        <v>490</v>
      </c>
      <c r="BA1286" s="224" t="s">
        <v>246</v>
      </c>
      <c r="BB1286">
        <v>0</v>
      </c>
      <c r="BE1286" s="224" t="s">
        <v>473</v>
      </c>
      <c r="BF1286" s="224" t="s">
        <v>490</v>
      </c>
      <c r="BG1286" s="224" t="s">
        <v>246</v>
      </c>
      <c r="BH1286">
        <v>0</v>
      </c>
    </row>
    <row r="1287" spans="17:60">
      <c r="Q1287" s="224" t="s">
        <v>233</v>
      </c>
      <c r="R1287" s="224" t="s">
        <v>490</v>
      </c>
      <c r="S1287" s="224" t="s">
        <v>246</v>
      </c>
      <c r="T1287" s="224">
        <f ca="1">OFFSET('Calculations 2'!$C$45,W1287,X1287)*OFFSET($N$6,W1287,0)</f>
        <v>0.12507842101619532</v>
      </c>
      <c r="V1287">
        <f t="shared" si="59"/>
        <v>192</v>
      </c>
      <c r="W1287">
        <f t="shared" si="60"/>
        <v>27</v>
      </c>
      <c r="X1287">
        <f t="shared" si="61"/>
        <v>5</v>
      </c>
      <c r="AC1287" s="224" t="s">
        <v>233</v>
      </c>
      <c r="AD1287" s="224" t="s">
        <v>490</v>
      </c>
      <c r="AE1287" s="224" t="s">
        <v>246</v>
      </c>
      <c r="AF1287">
        <f ca="1">OFFSET('Calculations 2'!$CE$45,W1287,0)*OFFSET($AA$6,X1287,0)*OFFSET($N$6,W1287,)</f>
        <v>0</v>
      </c>
      <c r="AY1287" s="224" t="s">
        <v>233</v>
      </c>
      <c r="AZ1287" s="224" t="s">
        <v>490</v>
      </c>
      <c r="BA1287" s="224" t="s">
        <v>246</v>
      </c>
      <c r="BB1287">
        <v>0</v>
      </c>
      <c r="BE1287" s="224" t="s">
        <v>233</v>
      </c>
      <c r="BF1287" s="224" t="s">
        <v>490</v>
      </c>
      <c r="BG1287" s="224" t="s">
        <v>246</v>
      </c>
      <c r="BH1287">
        <v>0</v>
      </c>
    </row>
    <row r="1288" spans="17:60">
      <c r="Q1288" s="224" t="s">
        <v>474</v>
      </c>
      <c r="R1288" s="224" t="s">
        <v>490</v>
      </c>
      <c r="S1288" s="224" t="s">
        <v>246</v>
      </c>
      <c r="T1288" s="224">
        <f ca="1">OFFSET('Calculations 2'!$C$45,W1288,X1288)*OFFSET($N$6,W1288,0)</f>
        <v>0.38294255067990185</v>
      </c>
      <c r="V1288">
        <f t="shared" si="59"/>
        <v>193</v>
      </c>
      <c r="W1288">
        <f t="shared" si="60"/>
        <v>28</v>
      </c>
      <c r="X1288">
        <f t="shared" si="61"/>
        <v>5</v>
      </c>
      <c r="AC1288" s="224" t="s">
        <v>474</v>
      </c>
      <c r="AD1288" s="224" t="s">
        <v>490</v>
      </c>
      <c r="AE1288" s="224" t="s">
        <v>246</v>
      </c>
      <c r="AF1288">
        <f ca="1">OFFSET('Calculations 2'!$CE$45,W1288,0)*OFFSET($AA$6,X1288,0)*OFFSET($N$6,W1288,)</f>
        <v>0</v>
      </c>
      <c r="AY1288" s="224" t="s">
        <v>474</v>
      </c>
      <c r="AZ1288" s="224" t="s">
        <v>490</v>
      </c>
      <c r="BA1288" s="224" t="s">
        <v>246</v>
      </c>
      <c r="BB1288">
        <v>0</v>
      </c>
      <c r="BE1288" s="224" t="s">
        <v>474</v>
      </c>
      <c r="BF1288" s="224" t="s">
        <v>490</v>
      </c>
      <c r="BG1288" s="224" t="s">
        <v>246</v>
      </c>
      <c r="BH1288">
        <v>0</v>
      </c>
    </row>
    <row r="1289" spans="17:60">
      <c r="Q1289" s="224" t="s">
        <v>223</v>
      </c>
      <c r="R1289" s="224" t="s">
        <v>490</v>
      </c>
      <c r="S1289" s="224" t="s">
        <v>246</v>
      </c>
      <c r="T1289" s="224">
        <f ca="1">OFFSET('Calculations 2'!$C$45,W1289,X1289)*OFFSET($N$6,W1289,0)</f>
        <v>0.15603727316633792</v>
      </c>
      <c r="V1289">
        <f t="shared" ref="V1289:V1352" si="62">V1288+1</f>
        <v>194</v>
      </c>
      <c r="W1289">
        <f t="shared" ref="W1289:W1352" si="63">MOD(V1289,$V$3)</f>
        <v>29</v>
      </c>
      <c r="X1289">
        <f t="shared" ref="X1289:X1352" si="64">FLOOR(V1289/$V$3,1)</f>
        <v>5</v>
      </c>
      <c r="AC1289" s="224" t="s">
        <v>223</v>
      </c>
      <c r="AD1289" s="224" t="s">
        <v>490</v>
      </c>
      <c r="AE1289" s="224" t="s">
        <v>246</v>
      </c>
      <c r="AF1289">
        <f ca="1">OFFSET('Calculations 2'!$CE$45,W1289,0)*OFFSET($AA$6,X1289,0)*OFFSET($N$6,W1289,)</f>
        <v>0</v>
      </c>
      <c r="AY1289" s="224" t="s">
        <v>223</v>
      </c>
      <c r="AZ1289" s="224" t="s">
        <v>490</v>
      </c>
      <c r="BA1289" s="224" t="s">
        <v>246</v>
      </c>
      <c r="BB1289">
        <v>0</v>
      </c>
      <c r="BE1289" s="224" t="s">
        <v>223</v>
      </c>
      <c r="BF1289" s="224" t="s">
        <v>490</v>
      </c>
      <c r="BG1289" s="224" t="s">
        <v>246</v>
      </c>
      <c r="BH1289">
        <v>0</v>
      </c>
    </row>
    <row r="1290" spans="17:60">
      <c r="Q1290" s="224" t="s">
        <v>475</v>
      </c>
      <c r="R1290" s="224" t="s">
        <v>490</v>
      </c>
      <c r="S1290" s="224" t="s">
        <v>246</v>
      </c>
      <c r="T1290" s="224">
        <f ca="1">OFFSET('Calculations 2'!$C$45,W1290,X1290)*OFFSET($N$6,W1290,0)</f>
        <v>1.661249078998521E-2</v>
      </c>
      <c r="V1290">
        <f t="shared" si="62"/>
        <v>195</v>
      </c>
      <c r="W1290">
        <f t="shared" si="63"/>
        <v>30</v>
      </c>
      <c r="X1290">
        <f t="shared" si="64"/>
        <v>5</v>
      </c>
      <c r="AC1290" s="224" t="s">
        <v>475</v>
      </c>
      <c r="AD1290" s="224" t="s">
        <v>490</v>
      </c>
      <c r="AE1290" s="224" t="s">
        <v>246</v>
      </c>
      <c r="AF1290">
        <f ca="1">OFFSET('Calculations 2'!$CE$45,W1290,0)*OFFSET($AA$6,X1290,0)*OFFSET($N$6,W1290,)</f>
        <v>0</v>
      </c>
      <c r="AY1290" s="224" t="s">
        <v>475</v>
      </c>
      <c r="AZ1290" s="224" t="s">
        <v>490</v>
      </c>
      <c r="BA1290" s="224" t="s">
        <v>246</v>
      </c>
      <c r="BB1290">
        <v>0</v>
      </c>
      <c r="BE1290" s="224" t="s">
        <v>475</v>
      </c>
      <c r="BF1290" s="224" t="s">
        <v>490</v>
      </c>
      <c r="BG1290" s="224" t="s">
        <v>246</v>
      </c>
      <c r="BH1290">
        <v>0</v>
      </c>
    </row>
    <row r="1291" spans="17:60">
      <c r="Q1291" s="224" t="s">
        <v>476</v>
      </c>
      <c r="R1291" s="224" t="s">
        <v>490</v>
      </c>
      <c r="S1291" s="224" t="s">
        <v>246</v>
      </c>
      <c r="T1291" s="224">
        <f ca="1">OFFSET('Calculations 2'!$C$45,W1291,X1291)*OFFSET($N$6,W1291,0)</f>
        <v>0</v>
      </c>
      <c r="V1291">
        <f t="shared" si="62"/>
        <v>196</v>
      </c>
      <c r="W1291">
        <f t="shared" si="63"/>
        <v>31</v>
      </c>
      <c r="X1291">
        <f t="shared" si="64"/>
        <v>5</v>
      </c>
      <c r="AC1291" s="224" t="s">
        <v>476</v>
      </c>
      <c r="AD1291" s="224" t="s">
        <v>490</v>
      </c>
      <c r="AE1291" s="224" t="s">
        <v>246</v>
      </c>
      <c r="AF1291">
        <f ca="1">OFFSET('Calculations 2'!$CE$45,W1291,0)*OFFSET($AA$6,X1291,0)*OFFSET($N$6,W1291,)</f>
        <v>0</v>
      </c>
      <c r="AY1291" s="224" t="s">
        <v>476</v>
      </c>
      <c r="AZ1291" s="224" t="s">
        <v>490</v>
      </c>
      <c r="BA1291" s="224" t="s">
        <v>246</v>
      </c>
      <c r="BB1291">
        <v>0</v>
      </c>
      <c r="BE1291" s="224" t="s">
        <v>476</v>
      </c>
      <c r="BF1291" s="224" t="s">
        <v>490</v>
      </c>
      <c r="BG1291" s="224" t="s">
        <v>246</v>
      </c>
      <c r="BH1291">
        <v>0</v>
      </c>
    </row>
    <row r="1292" spans="17:60">
      <c r="Q1292" s="224" t="s">
        <v>222</v>
      </c>
      <c r="R1292" s="224" t="s">
        <v>490</v>
      </c>
      <c r="S1292" s="224" t="s">
        <v>246</v>
      </c>
      <c r="T1292" s="224">
        <f ca="1">OFFSET('Calculations 2'!$C$45,W1292,X1292)*OFFSET($N$6,W1292,0)</f>
        <v>0</v>
      </c>
      <c r="V1292">
        <f t="shared" si="62"/>
        <v>197</v>
      </c>
      <c r="W1292">
        <f t="shared" si="63"/>
        <v>32</v>
      </c>
      <c r="X1292">
        <f t="shared" si="64"/>
        <v>5</v>
      </c>
      <c r="AC1292" s="224" t="s">
        <v>222</v>
      </c>
      <c r="AD1292" s="224" t="s">
        <v>490</v>
      </c>
      <c r="AE1292" s="224" t="s">
        <v>246</v>
      </c>
      <c r="AF1292">
        <f ca="1">OFFSET('Calculations 2'!$CE$45,W1292,0)*OFFSET($AA$6,X1292,0)*OFFSET($N$6,W1292,)</f>
        <v>0</v>
      </c>
      <c r="AY1292" s="224" t="s">
        <v>222</v>
      </c>
      <c r="AZ1292" s="224" t="s">
        <v>490</v>
      </c>
      <c r="BA1292" s="224" t="s">
        <v>246</v>
      </c>
      <c r="BB1292">
        <v>0</v>
      </c>
      <c r="BE1292" s="224" t="s">
        <v>222</v>
      </c>
      <c r="BF1292" s="224" t="s">
        <v>490</v>
      </c>
      <c r="BG1292" s="224" t="s">
        <v>246</v>
      </c>
      <c r="BH1292">
        <v>0</v>
      </c>
    </row>
    <row r="1293" spans="17:60">
      <c r="Q1293" s="224" t="s">
        <v>217</v>
      </c>
      <c r="R1293" s="224" t="s">
        <v>490</v>
      </c>
      <c r="S1293" s="224" t="s">
        <v>239</v>
      </c>
      <c r="T1293" s="224">
        <f ca="1">OFFSET('Calculations 2'!$C$45,W1293,X1293)*OFFSET($N$6,W1293,0)</f>
        <v>0</v>
      </c>
      <c r="V1293">
        <f t="shared" si="62"/>
        <v>198</v>
      </c>
      <c r="W1293">
        <f t="shared" si="63"/>
        <v>0</v>
      </c>
      <c r="X1293">
        <f t="shared" si="64"/>
        <v>6</v>
      </c>
      <c r="AC1293" s="224" t="s">
        <v>217</v>
      </c>
      <c r="AD1293" s="224" t="s">
        <v>490</v>
      </c>
      <c r="AE1293" s="224" t="s">
        <v>239</v>
      </c>
      <c r="AF1293">
        <f ca="1">OFFSET('Calculations 2'!$CE$45,W1293,0)*OFFSET($AA$6,X1293,0)*OFFSET($N$6,W1293,)</f>
        <v>1.0915609273228106</v>
      </c>
      <c r="AY1293" s="224" t="s">
        <v>217</v>
      </c>
      <c r="AZ1293" s="224" t="s">
        <v>490</v>
      </c>
      <c r="BA1293" s="224" t="s">
        <v>239</v>
      </c>
      <c r="BB1293">
        <v>0</v>
      </c>
      <c r="BE1293" s="224" t="s">
        <v>217</v>
      </c>
      <c r="BF1293" s="224" t="s">
        <v>490</v>
      </c>
      <c r="BG1293" s="224" t="s">
        <v>239</v>
      </c>
      <c r="BH1293">
        <v>0</v>
      </c>
    </row>
    <row r="1294" spans="17:60">
      <c r="Q1294" s="224" t="s">
        <v>232</v>
      </c>
      <c r="R1294" s="224" t="s">
        <v>490</v>
      </c>
      <c r="S1294" s="224" t="s">
        <v>239</v>
      </c>
      <c r="T1294" s="224">
        <f ca="1">OFFSET('Calculations 2'!$C$45,W1294,X1294)*OFFSET($N$6,W1294,0)</f>
        <v>0</v>
      </c>
      <c r="V1294">
        <f t="shared" si="62"/>
        <v>199</v>
      </c>
      <c r="W1294">
        <f t="shared" si="63"/>
        <v>1</v>
      </c>
      <c r="X1294">
        <f t="shared" si="64"/>
        <v>6</v>
      </c>
      <c r="AC1294" s="224" t="s">
        <v>232</v>
      </c>
      <c r="AD1294" s="224" t="s">
        <v>490</v>
      </c>
      <c r="AE1294" s="224" t="s">
        <v>239</v>
      </c>
      <c r="AF1294">
        <f ca="1">OFFSET('Calculations 2'!$CE$45,W1294,0)*OFFSET($AA$6,X1294,0)*OFFSET($N$6,W1294,)</f>
        <v>1.7220811788682187</v>
      </c>
      <c r="AY1294" s="224" t="s">
        <v>232</v>
      </c>
      <c r="AZ1294" s="224" t="s">
        <v>490</v>
      </c>
      <c r="BA1294" s="224" t="s">
        <v>239</v>
      </c>
      <c r="BB1294">
        <v>0</v>
      </c>
      <c r="BE1294" s="224" t="s">
        <v>232</v>
      </c>
      <c r="BF1294" s="224" t="s">
        <v>490</v>
      </c>
      <c r="BG1294" s="224" t="s">
        <v>239</v>
      </c>
      <c r="BH1294">
        <v>0</v>
      </c>
    </row>
    <row r="1295" spans="17:60">
      <c r="Q1295" s="224" t="s">
        <v>226</v>
      </c>
      <c r="R1295" s="224" t="s">
        <v>490</v>
      </c>
      <c r="S1295" s="224" t="s">
        <v>239</v>
      </c>
      <c r="T1295" s="224">
        <f ca="1">OFFSET('Calculations 2'!$C$45,W1295,X1295)*OFFSET($N$6,W1295,0)</f>
        <v>0.15669614280493713</v>
      </c>
      <c r="V1295">
        <f t="shared" si="62"/>
        <v>200</v>
      </c>
      <c r="W1295">
        <f t="shared" si="63"/>
        <v>2</v>
      </c>
      <c r="X1295">
        <f t="shared" si="64"/>
        <v>6</v>
      </c>
      <c r="AC1295" s="224" t="s">
        <v>226</v>
      </c>
      <c r="AD1295" s="224" t="s">
        <v>490</v>
      </c>
      <c r="AE1295" s="224" t="s">
        <v>239</v>
      </c>
      <c r="AF1295">
        <f ca="1">OFFSET('Calculations 2'!$CE$45,W1295,0)*OFFSET($AA$6,X1295,0)*OFFSET($N$6,W1295,)</f>
        <v>0.43091744433055618</v>
      </c>
      <c r="AY1295" s="224" t="s">
        <v>226</v>
      </c>
      <c r="AZ1295" s="224" t="s">
        <v>490</v>
      </c>
      <c r="BA1295" s="224" t="s">
        <v>239</v>
      </c>
      <c r="BB1295">
        <v>0</v>
      </c>
      <c r="BE1295" s="224" t="s">
        <v>226</v>
      </c>
      <c r="BF1295" s="224" t="s">
        <v>490</v>
      </c>
      <c r="BG1295" s="224" t="s">
        <v>239</v>
      </c>
      <c r="BH1295">
        <v>0</v>
      </c>
    </row>
    <row r="1296" spans="17:60">
      <c r="Q1296" s="224" t="s">
        <v>243</v>
      </c>
      <c r="R1296" s="224" t="s">
        <v>490</v>
      </c>
      <c r="S1296" s="224" t="s">
        <v>239</v>
      </c>
      <c r="T1296" s="224">
        <f ca="1">OFFSET('Calculations 2'!$C$45,W1296,X1296)*OFFSET($N$6,W1296,0)</f>
        <v>12.660214668846729</v>
      </c>
      <c r="V1296">
        <f t="shared" si="62"/>
        <v>201</v>
      </c>
      <c r="W1296">
        <f t="shared" si="63"/>
        <v>3</v>
      </c>
      <c r="X1296">
        <f t="shared" si="64"/>
        <v>6</v>
      </c>
      <c r="AC1296" s="224" t="s">
        <v>243</v>
      </c>
      <c r="AD1296" s="224" t="s">
        <v>490</v>
      </c>
      <c r="AE1296" s="224" t="s">
        <v>239</v>
      </c>
      <c r="AF1296">
        <f ca="1">OFFSET('Calculations 2'!$CE$45,W1296,0)*OFFSET($AA$6,X1296,0)*OFFSET($N$6,W1296,)</f>
        <v>8.4563329851909987</v>
      </c>
      <c r="AY1296" s="224" t="s">
        <v>243</v>
      </c>
      <c r="AZ1296" s="224" t="s">
        <v>490</v>
      </c>
      <c r="BA1296" s="224" t="s">
        <v>239</v>
      </c>
      <c r="BB1296">
        <v>0</v>
      </c>
      <c r="BE1296" s="224" t="s">
        <v>243</v>
      </c>
      <c r="BF1296" s="224" t="s">
        <v>490</v>
      </c>
      <c r="BG1296" s="224" t="s">
        <v>239</v>
      </c>
      <c r="BH1296">
        <v>0</v>
      </c>
    </row>
    <row r="1297" spans="17:60">
      <c r="Q1297" s="224" t="s">
        <v>228</v>
      </c>
      <c r="R1297" s="224" t="s">
        <v>490</v>
      </c>
      <c r="S1297" s="224" t="s">
        <v>239</v>
      </c>
      <c r="T1297" s="224">
        <f ca="1">OFFSET('Calculations 2'!$C$45,W1297,X1297)*OFFSET($N$6,W1297,0)</f>
        <v>42.976103700443971</v>
      </c>
      <c r="V1297">
        <f t="shared" si="62"/>
        <v>202</v>
      </c>
      <c r="W1297">
        <f t="shared" si="63"/>
        <v>4</v>
      </c>
      <c r="X1297">
        <f t="shared" si="64"/>
        <v>6</v>
      </c>
      <c r="AC1297" s="224" t="s">
        <v>228</v>
      </c>
      <c r="AD1297" s="224" t="s">
        <v>490</v>
      </c>
      <c r="AE1297" s="224" t="s">
        <v>239</v>
      </c>
      <c r="AF1297">
        <f ca="1">OFFSET('Calculations 2'!$CE$45,W1297,0)*OFFSET($AA$6,X1297,0)*OFFSET($N$6,W1297,)</f>
        <v>4.4071825913464746</v>
      </c>
      <c r="AY1297" s="224" t="s">
        <v>228</v>
      </c>
      <c r="AZ1297" s="224" t="s">
        <v>490</v>
      </c>
      <c r="BA1297" s="224" t="s">
        <v>239</v>
      </c>
      <c r="BB1297">
        <v>0</v>
      </c>
      <c r="BE1297" s="224" t="s">
        <v>228</v>
      </c>
      <c r="BF1297" s="224" t="s">
        <v>490</v>
      </c>
      <c r="BG1297" s="224" t="s">
        <v>239</v>
      </c>
      <c r="BH1297">
        <v>0</v>
      </c>
    </row>
    <row r="1298" spans="17:60">
      <c r="Q1298" s="224" t="s">
        <v>246</v>
      </c>
      <c r="R1298" s="224" t="s">
        <v>490</v>
      </c>
      <c r="S1298" s="224" t="s">
        <v>239</v>
      </c>
      <c r="T1298" s="224">
        <f ca="1">OFFSET('Calculations 2'!$C$45,W1298,X1298)*OFFSET($N$6,W1298,0)</f>
        <v>10.646442174272268</v>
      </c>
      <c r="V1298">
        <f t="shared" si="62"/>
        <v>203</v>
      </c>
      <c r="W1298">
        <f t="shared" si="63"/>
        <v>5</v>
      </c>
      <c r="X1298">
        <f t="shared" si="64"/>
        <v>6</v>
      </c>
      <c r="AC1298" s="224" t="s">
        <v>246</v>
      </c>
      <c r="AD1298" s="224" t="s">
        <v>490</v>
      </c>
      <c r="AE1298" s="224" t="s">
        <v>239</v>
      </c>
      <c r="AF1298">
        <f ca="1">OFFSET('Calculations 2'!$CE$45,W1298,0)*OFFSET($AA$6,X1298,0)*OFFSET($N$6,W1298,)</f>
        <v>7.8885227588820162E-2</v>
      </c>
      <c r="AY1298" s="224" t="s">
        <v>246</v>
      </c>
      <c r="AZ1298" s="224" t="s">
        <v>490</v>
      </c>
      <c r="BA1298" s="224" t="s">
        <v>239</v>
      </c>
      <c r="BB1298">
        <v>0</v>
      </c>
      <c r="BE1298" s="224" t="s">
        <v>246</v>
      </c>
      <c r="BF1298" s="224" t="s">
        <v>490</v>
      </c>
      <c r="BG1298" s="224" t="s">
        <v>239</v>
      </c>
      <c r="BH1298">
        <v>0</v>
      </c>
    </row>
    <row r="1299" spans="17:60">
      <c r="Q1299" s="224" t="s">
        <v>239</v>
      </c>
      <c r="R1299" s="224" t="s">
        <v>490</v>
      </c>
      <c r="S1299" s="224" t="s">
        <v>239</v>
      </c>
      <c r="T1299" s="224">
        <f ca="1">OFFSET('Calculations 2'!$C$45,W1299,X1299)*OFFSET($N$6,W1299,0)</f>
        <v>1203.8224234505328</v>
      </c>
      <c r="V1299">
        <f t="shared" si="62"/>
        <v>204</v>
      </c>
      <c r="W1299">
        <f t="shared" si="63"/>
        <v>6</v>
      </c>
      <c r="X1299">
        <f t="shared" si="64"/>
        <v>6</v>
      </c>
      <c r="AC1299" s="224" t="s">
        <v>239</v>
      </c>
      <c r="AD1299" s="224" t="s">
        <v>490</v>
      </c>
      <c r="AE1299" s="224" t="s">
        <v>239</v>
      </c>
      <c r="AF1299">
        <f ca="1">OFFSET('Calculations 2'!$CE$45,W1299,0)*OFFSET($AA$6,X1299,0)*OFFSET($N$6,W1299,)</f>
        <v>1.1359408984504014</v>
      </c>
      <c r="AY1299" s="224" t="s">
        <v>239</v>
      </c>
      <c r="AZ1299" s="224" t="s">
        <v>490</v>
      </c>
      <c r="BA1299" s="224" t="s">
        <v>239</v>
      </c>
      <c r="BB1299">
        <v>0</v>
      </c>
      <c r="BE1299" s="224" t="s">
        <v>239</v>
      </c>
      <c r="BF1299" s="224" t="s">
        <v>490</v>
      </c>
      <c r="BG1299" s="224" t="s">
        <v>239</v>
      </c>
      <c r="BH1299">
        <v>0</v>
      </c>
    </row>
    <row r="1300" spans="17:60">
      <c r="Q1300" s="224" t="s">
        <v>466</v>
      </c>
      <c r="R1300" s="224" t="s">
        <v>490</v>
      </c>
      <c r="S1300" s="224" t="s">
        <v>239</v>
      </c>
      <c r="T1300" s="224">
        <f ca="1">OFFSET('Calculations 2'!$C$45,W1300,X1300)*OFFSET($N$6,W1300,0)</f>
        <v>9.5937416412825591</v>
      </c>
      <c r="V1300">
        <f t="shared" si="62"/>
        <v>205</v>
      </c>
      <c r="W1300">
        <f t="shared" si="63"/>
        <v>7</v>
      </c>
      <c r="X1300">
        <f t="shared" si="64"/>
        <v>6</v>
      </c>
      <c r="AC1300" s="224" t="s">
        <v>466</v>
      </c>
      <c r="AD1300" s="224" t="s">
        <v>490</v>
      </c>
      <c r="AE1300" s="224" t="s">
        <v>239</v>
      </c>
      <c r="AF1300">
        <f ca="1">OFFSET('Calculations 2'!$CE$45,W1300,0)*OFFSET($AA$6,X1300,0)*OFFSET($N$6,W1300,)</f>
        <v>0.28604318737525991</v>
      </c>
      <c r="AY1300" s="224" t="s">
        <v>466</v>
      </c>
      <c r="AZ1300" s="224" t="s">
        <v>490</v>
      </c>
      <c r="BA1300" s="224" t="s">
        <v>239</v>
      </c>
      <c r="BB1300">
        <v>0</v>
      </c>
      <c r="BE1300" s="224" t="s">
        <v>466</v>
      </c>
      <c r="BF1300" s="224" t="s">
        <v>490</v>
      </c>
      <c r="BG1300" s="224" t="s">
        <v>239</v>
      </c>
      <c r="BH1300">
        <v>0</v>
      </c>
    </row>
    <row r="1301" spans="17:60">
      <c r="Q1301" s="224" t="s">
        <v>219</v>
      </c>
      <c r="R1301" s="224" t="s">
        <v>490</v>
      </c>
      <c r="S1301" s="224" t="s">
        <v>239</v>
      </c>
      <c r="T1301" s="224">
        <f ca="1">OFFSET('Calculations 2'!$C$45,W1301,X1301)*OFFSET($N$6,W1301,0)</f>
        <v>275.39392457799715</v>
      </c>
      <c r="V1301">
        <f t="shared" si="62"/>
        <v>206</v>
      </c>
      <c r="W1301">
        <f t="shared" si="63"/>
        <v>8</v>
      </c>
      <c r="X1301">
        <f t="shared" si="64"/>
        <v>6</v>
      </c>
      <c r="AC1301" s="224" t="s">
        <v>219</v>
      </c>
      <c r="AD1301" s="224" t="s">
        <v>490</v>
      </c>
      <c r="AE1301" s="224" t="s">
        <v>239</v>
      </c>
      <c r="AF1301">
        <f ca="1">OFFSET('Calculations 2'!$CE$45,W1301,0)*OFFSET($AA$6,X1301,0)*OFFSET($N$6,W1301,)</f>
        <v>3.9211759904198895</v>
      </c>
      <c r="AY1301" s="224" t="s">
        <v>219</v>
      </c>
      <c r="AZ1301" s="224" t="s">
        <v>490</v>
      </c>
      <c r="BA1301" s="224" t="s">
        <v>239</v>
      </c>
      <c r="BB1301">
        <v>0</v>
      </c>
      <c r="BE1301" s="224" t="s">
        <v>219</v>
      </c>
      <c r="BF1301" s="224" t="s">
        <v>490</v>
      </c>
      <c r="BG1301" s="224" t="s">
        <v>239</v>
      </c>
      <c r="BH1301">
        <v>0</v>
      </c>
    </row>
    <row r="1302" spans="17:60">
      <c r="Q1302" s="224" t="s">
        <v>242</v>
      </c>
      <c r="R1302" s="224" t="s">
        <v>490</v>
      </c>
      <c r="S1302" s="224" t="s">
        <v>239</v>
      </c>
      <c r="T1302" s="224">
        <f ca="1">OFFSET('Calculations 2'!$C$45,W1302,X1302)*OFFSET($N$6,W1302,0)</f>
        <v>104.23802533062823</v>
      </c>
      <c r="V1302">
        <f t="shared" si="62"/>
        <v>207</v>
      </c>
      <c r="W1302">
        <f t="shared" si="63"/>
        <v>9</v>
      </c>
      <c r="X1302">
        <f t="shared" si="64"/>
        <v>6</v>
      </c>
      <c r="AC1302" s="224" t="s">
        <v>242</v>
      </c>
      <c r="AD1302" s="224" t="s">
        <v>490</v>
      </c>
      <c r="AE1302" s="224" t="s">
        <v>239</v>
      </c>
      <c r="AF1302">
        <f ca="1">OFFSET('Calculations 2'!$CE$45,W1302,0)*OFFSET($AA$6,X1302,0)*OFFSET($N$6,W1302,)</f>
        <v>3.0030996025747796</v>
      </c>
      <c r="AY1302" s="224" t="s">
        <v>242</v>
      </c>
      <c r="AZ1302" s="224" t="s">
        <v>490</v>
      </c>
      <c r="BA1302" s="224" t="s">
        <v>239</v>
      </c>
      <c r="BB1302">
        <v>0</v>
      </c>
      <c r="BE1302" s="224" t="s">
        <v>242</v>
      </c>
      <c r="BF1302" s="224" t="s">
        <v>490</v>
      </c>
      <c r="BG1302" s="224" t="s">
        <v>239</v>
      </c>
      <c r="BH1302">
        <v>0</v>
      </c>
    </row>
    <row r="1303" spans="17:60">
      <c r="Q1303" s="224" t="s">
        <v>467</v>
      </c>
      <c r="R1303" s="224" t="s">
        <v>490</v>
      </c>
      <c r="S1303" s="224" t="s">
        <v>239</v>
      </c>
      <c r="T1303" s="224">
        <f ca="1">OFFSET('Calculations 2'!$C$45,W1303,X1303)*OFFSET($N$6,W1303,0)</f>
        <v>0</v>
      </c>
      <c r="V1303">
        <f t="shared" si="62"/>
        <v>208</v>
      </c>
      <c r="W1303">
        <f t="shared" si="63"/>
        <v>10</v>
      </c>
      <c r="X1303">
        <f t="shared" si="64"/>
        <v>6</v>
      </c>
      <c r="AC1303" s="224" t="s">
        <v>467</v>
      </c>
      <c r="AD1303" s="224" t="s">
        <v>490</v>
      </c>
      <c r="AE1303" s="224" t="s">
        <v>239</v>
      </c>
      <c r="AF1303">
        <f ca="1">OFFSET('Calculations 2'!$CE$45,W1303,0)*OFFSET($AA$6,X1303,0)*OFFSET($N$6,W1303,)</f>
        <v>1.1336321166378536</v>
      </c>
      <c r="AY1303" s="224" t="s">
        <v>467</v>
      </c>
      <c r="AZ1303" s="224" t="s">
        <v>490</v>
      </c>
      <c r="BA1303" s="224" t="s">
        <v>239</v>
      </c>
      <c r="BB1303">
        <v>0</v>
      </c>
      <c r="BE1303" s="224" t="s">
        <v>467</v>
      </c>
      <c r="BF1303" s="224" t="s">
        <v>490</v>
      </c>
      <c r="BG1303" s="224" t="s">
        <v>239</v>
      </c>
      <c r="BH1303">
        <v>0</v>
      </c>
    </row>
    <row r="1304" spans="17:60">
      <c r="Q1304" s="224" t="s">
        <v>231</v>
      </c>
      <c r="R1304" s="224" t="s">
        <v>490</v>
      </c>
      <c r="S1304" s="224" t="s">
        <v>239</v>
      </c>
      <c r="T1304" s="224">
        <f ca="1">OFFSET('Calculations 2'!$C$45,W1304,X1304)*OFFSET($N$6,W1304,0)</f>
        <v>23.745811769410508</v>
      </c>
      <c r="V1304">
        <f t="shared" si="62"/>
        <v>209</v>
      </c>
      <c r="W1304">
        <f t="shared" si="63"/>
        <v>11</v>
      </c>
      <c r="X1304">
        <f t="shared" si="64"/>
        <v>6</v>
      </c>
      <c r="AC1304" s="224" t="s">
        <v>231</v>
      </c>
      <c r="AD1304" s="224" t="s">
        <v>490</v>
      </c>
      <c r="AE1304" s="224" t="s">
        <v>239</v>
      </c>
      <c r="AF1304">
        <f ca="1">OFFSET('Calculations 2'!$CE$45,W1304,0)*OFFSET($AA$6,X1304,0)*OFFSET($N$6,W1304,)</f>
        <v>14.189830710746719</v>
      </c>
      <c r="AY1304" s="224" t="s">
        <v>231</v>
      </c>
      <c r="AZ1304" s="224" t="s">
        <v>490</v>
      </c>
      <c r="BA1304" s="224" t="s">
        <v>239</v>
      </c>
      <c r="BB1304">
        <v>0</v>
      </c>
      <c r="BE1304" s="224" t="s">
        <v>231</v>
      </c>
      <c r="BF1304" s="224" t="s">
        <v>490</v>
      </c>
      <c r="BG1304" s="224" t="s">
        <v>239</v>
      </c>
      <c r="BH1304">
        <v>0</v>
      </c>
    </row>
    <row r="1305" spans="17:60">
      <c r="Q1305" s="224" t="s">
        <v>468</v>
      </c>
      <c r="R1305" s="224" t="s">
        <v>490</v>
      </c>
      <c r="S1305" s="224" t="s">
        <v>239</v>
      </c>
      <c r="T1305" s="224">
        <f ca="1">OFFSET('Calculations 2'!$C$45,W1305,X1305)*OFFSET($N$6,W1305,0)</f>
        <v>28.550593228933106</v>
      </c>
      <c r="V1305">
        <f t="shared" si="62"/>
        <v>210</v>
      </c>
      <c r="W1305">
        <f t="shared" si="63"/>
        <v>12</v>
      </c>
      <c r="X1305">
        <f t="shared" si="64"/>
        <v>6</v>
      </c>
      <c r="AC1305" s="224" t="s">
        <v>468</v>
      </c>
      <c r="AD1305" s="224" t="s">
        <v>490</v>
      </c>
      <c r="AE1305" s="224" t="s">
        <v>239</v>
      </c>
      <c r="AF1305">
        <f ca="1">OFFSET('Calculations 2'!$CE$45,W1305,0)*OFFSET($AA$6,X1305,0)*OFFSET($N$6,W1305,)</f>
        <v>54.358004748591604</v>
      </c>
      <c r="AY1305" s="224" t="s">
        <v>468</v>
      </c>
      <c r="AZ1305" s="224" t="s">
        <v>490</v>
      </c>
      <c r="BA1305" s="224" t="s">
        <v>239</v>
      </c>
      <c r="BB1305">
        <v>0</v>
      </c>
      <c r="BE1305" s="224" t="s">
        <v>468</v>
      </c>
      <c r="BF1305" s="224" t="s">
        <v>490</v>
      </c>
      <c r="BG1305" s="224" t="s">
        <v>239</v>
      </c>
      <c r="BH1305">
        <v>0</v>
      </c>
    </row>
    <row r="1306" spans="17:60">
      <c r="Q1306" s="224" t="s">
        <v>469</v>
      </c>
      <c r="R1306" s="224" t="s">
        <v>490</v>
      </c>
      <c r="S1306" s="224" t="s">
        <v>239</v>
      </c>
      <c r="T1306" s="224">
        <f ca="1">OFFSET('Calculations 2'!$C$45,W1306,X1306)*OFFSET($N$6,W1306,0)</f>
        <v>1.2692988645319002E-2</v>
      </c>
      <c r="V1306">
        <f t="shared" si="62"/>
        <v>211</v>
      </c>
      <c r="W1306">
        <f t="shared" si="63"/>
        <v>13</v>
      </c>
      <c r="X1306">
        <f t="shared" si="64"/>
        <v>6</v>
      </c>
      <c r="AC1306" s="224" t="s">
        <v>469</v>
      </c>
      <c r="AD1306" s="224" t="s">
        <v>490</v>
      </c>
      <c r="AE1306" s="224" t="s">
        <v>239</v>
      </c>
      <c r="AF1306">
        <f ca="1">OFFSET('Calculations 2'!$CE$45,W1306,0)*OFFSET($AA$6,X1306,0)*OFFSET($N$6,W1306,)</f>
        <v>29.145103953799573</v>
      </c>
      <c r="AY1306" s="224" t="s">
        <v>469</v>
      </c>
      <c r="AZ1306" s="224" t="s">
        <v>490</v>
      </c>
      <c r="BA1306" s="224" t="s">
        <v>239</v>
      </c>
      <c r="BB1306">
        <v>0</v>
      </c>
      <c r="BE1306" s="224" t="s">
        <v>469</v>
      </c>
      <c r="BF1306" s="224" t="s">
        <v>490</v>
      </c>
      <c r="BG1306" s="224" t="s">
        <v>239</v>
      </c>
      <c r="BH1306">
        <v>0</v>
      </c>
    </row>
    <row r="1307" spans="17:60">
      <c r="Q1307" s="224" t="s">
        <v>245</v>
      </c>
      <c r="R1307" s="224" t="s">
        <v>490</v>
      </c>
      <c r="S1307" s="224" t="s">
        <v>239</v>
      </c>
      <c r="T1307" s="224">
        <f ca="1">OFFSET('Calculations 2'!$C$45,W1307,X1307)*OFFSET($N$6,W1307,0)</f>
        <v>9.3926029591517217</v>
      </c>
      <c r="V1307">
        <f t="shared" si="62"/>
        <v>212</v>
      </c>
      <c r="W1307">
        <f t="shared" si="63"/>
        <v>14</v>
      </c>
      <c r="X1307">
        <f t="shared" si="64"/>
        <v>6</v>
      </c>
      <c r="AC1307" s="224" t="s">
        <v>245</v>
      </c>
      <c r="AD1307" s="224" t="s">
        <v>490</v>
      </c>
      <c r="AE1307" s="224" t="s">
        <v>239</v>
      </c>
      <c r="AF1307">
        <f ca="1">OFFSET('Calculations 2'!$CE$45,W1307,0)*OFFSET($AA$6,X1307,0)*OFFSET($N$6,W1307,)</f>
        <v>46.512307762414039</v>
      </c>
      <c r="AY1307" s="224" t="s">
        <v>245</v>
      </c>
      <c r="AZ1307" s="224" t="s">
        <v>490</v>
      </c>
      <c r="BA1307" s="224" t="s">
        <v>239</v>
      </c>
      <c r="BB1307">
        <v>0</v>
      </c>
      <c r="BE1307" s="224" t="s">
        <v>245</v>
      </c>
      <c r="BF1307" s="224" t="s">
        <v>490</v>
      </c>
      <c r="BG1307" s="224" t="s">
        <v>239</v>
      </c>
      <c r="BH1307">
        <v>0</v>
      </c>
    </row>
    <row r="1308" spans="17:60">
      <c r="Q1308" s="224" t="s">
        <v>470</v>
      </c>
      <c r="R1308" s="224" t="s">
        <v>490</v>
      </c>
      <c r="S1308" s="224" t="s">
        <v>239</v>
      </c>
      <c r="T1308" s="224">
        <f ca="1">OFFSET('Calculations 2'!$C$45,W1308,X1308)*OFFSET($N$6,W1308,0)</f>
        <v>61.91548197803592</v>
      </c>
      <c r="V1308">
        <f t="shared" si="62"/>
        <v>213</v>
      </c>
      <c r="W1308">
        <f t="shared" si="63"/>
        <v>15</v>
      </c>
      <c r="X1308">
        <f t="shared" si="64"/>
        <v>6</v>
      </c>
      <c r="AC1308" s="224" t="s">
        <v>470</v>
      </c>
      <c r="AD1308" s="224" t="s">
        <v>490</v>
      </c>
      <c r="AE1308" s="224" t="s">
        <v>239</v>
      </c>
      <c r="AF1308">
        <f ca="1">OFFSET('Calculations 2'!$CE$45,W1308,0)*OFFSET($AA$6,X1308,0)*OFFSET($N$6,W1308,)</f>
        <v>17.648382078485749</v>
      </c>
      <c r="AY1308" s="224" t="s">
        <v>470</v>
      </c>
      <c r="AZ1308" s="224" t="s">
        <v>490</v>
      </c>
      <c r="BA1308" s="224" t="s">
        <v>239</v>
      </c>
      <c r="BB1308">
        <v>0</v>
      </c>
      <c r="BE1308" s="224" t="s">
        <v>470</v>
      </c>
      <c r="BF1308" s="224" t="s">
        <v>490</v>
      </c>
      <c r="BG1308" s="224" t="s">
        <v>239</v>
      </c>
      <c r="BH1308">
        <v>0</v>
      </c>
    </row>
    <row r="1309" spans="17:60">
      <c r="Q1309" s="224" t="s">
        <v>471</v>
      </c>
      <c r="R1309" s="224" t="s">
        <v>490</v>
      </c>
      <c r="S1309" s="224" t="s">
        <v>239</v>
      </c>
      <c r="T1309" s="224">
        <f ca="1">OFFSET('Calculations 2'!$C$45,W1309,X1309)*OFFSET($N$6,W1309,0)</f>
        <v>1.4734892382796181</v>
      </c>
      <c r="V1309">
        <f t="shared" si="62"/>
        <v>214</v>
      </c>
      <c r="W1309">
        <f t="shared" si="63"/>
        <v>16</v>
      </c>
      <c r="X1309">
        <f t="shared" si="64"/>
        <v>6</v>
      </c>
      <c r="AC1309" s="224" t="s">
        <v>471</v>
      </c>
      <c r="AD1309" s="224" t="s">
        <v>490</v>
      </c>
      <c r="AE1309" s="224" t="s">
        <v>239</v>
      </c>
      <c r="AF1309">
        <f ca="1">OFFSET('Calculations 2'!$CE$45,W1309,0)*OFFSET($AA$6,X1309,0)*OFFSET($N$6,W1309,)</f>
        <v>0</v>
      </c>
      <c r="AY1309" s="224" t="s">
        <v>471</v>
      </c>
      <c r="AZ1309" s="224" t="s">
        <v>490</v>
      </c>
      <c r="BA1309" s="224" t="s">
        <v>239</v>
      </c>
      <c r="BB1309">
        <v>0</v>
      </c>
      <c r="BE1309" s="224" t="s">
        <v>471</v>
      </c>
      <c r="BF1309" s="224" t="s">
        <v>490</v>
      </c>
      <c r="BG1309" s="224" t="s">
        <v>239</v>
      </c>
      <c r="BH1309">
        <v>0</v>
      </c>
    </row>
    <row r="1310" spans="17:60">
      <c r="Q1310" s="224" t="s">
        <v>221</v>
      </c>
      <c r="R1310" s="224" t="s">
        <v>490</v>
      </c>
      <c r="S1310" s="224" t="s">
        <v>239</v>
      </c>
      <c r="T1310" s="224">
        <f ca="1">OFFSET('Calculations 2'!$C$45,W1310,X1310)*OFFSET($N$6,W1310,0)</f>
        <v>0.48168860510733358</v>
      </c>
      <c r="V1310">
        <f t="shared" si="62"/>
        <v>215</v>
      </c>
      <c r="W1310">
        <f t="shared" si="63"/>
        <v>17</v>
      </c>
      <c r="X1310">
        <f t="shared" si="64"/>
        <v>6</v>
      </c>
      <c r="AC1310" s="224" t="s">
        <v>221</v>
      </c>
      <c r="AD1310" s="224" t="s">
        <v>490</v>
      </c>
      <c r="AE1310" s="224" t="s">
        <v>239</v>
      </c>
      <c r="AF1310">
        <f ca="1">OFFSET('Calculations 2'!$CE$45,W1310,0)*OFFSET($AA$6,X1310,0)*OFFSET($N$6,W1310,)</f>
        <v>3.4547724080007818</v>
      </c>
      <c r="AY1310" s="224" t="s">
        <v>221</v>
      </c>
      <c r="AZ1310" s="224" t="s">
        <v>490</v>
      </c>
      <c r="BA1310" s="224" t="s">
        <v>239</v>
      </c>
      <c r="BB1310">
        <v>0</v>
      </c>
      <c r="BE1310" s="224" t="s">
        <v>221</v>
      </c>
      <c r="BF1310" s="224" t="s">
        <v>490</v>
      </c>
      <c r="BG1310" s="224" t="s">
        <v>239</v>
      </c>
      <c r="BH1310">
        <v>0</v>
      </c>
    </row>
    <row r="1311" spans="17:60">
      <c r="Q1311" s="224" t="s">
        <v>244</v>
      </c>
      <c r="R1311" s="224" t="s">
        <v>490</v>
      </c>
      <c r="S1311" s="224" t="s">
        <v>239</v>
      </c>
      <c r="T1311" s="224">
        <f ca="1">OFFSET('Calculations 2'!$C$45,W1311,X1311)*OFFSET($N$6,W1311,0)</f>
        <v>11.078049768167508</v>
      </c>
      <c r="V1311">
        <f t="shared" si="62"/>
        <v>216</v>
      </c>
      <c r="W1311">
        <f t="shared" si="63"/>
        <v>18</v>
      </c>
      <c r="X1311">
        <f t="shared" si="64"/>
        <v>6</v>
      </c>
      <c r="AC1311" s="224" t="s">
        <v>244</v>
      </c>
      <c r="AD1311" s="224" t="s">
        <v>490</v>
      </c>
      <c r="AE1311" s="224" t="s">
        <v>239</v>
      </c>
      <c r="AF1311">
        <f ca="1">OFFSET('Calculations 2'!$CE$45,W1311,0)*OFFSET($AA$6,X1311,0)*OFFSET($N$6,W1311,)</f>
        <v>0.30226913787604776</v>
      </c>
      <c r="AY1311" s="224" t="s">
        <v>244</v>
      </c>
      <c r="AZ1311" s="224" t="s">
        <v>490</v>
      </c>
      <c r="BA1311" s="224" t="s">
        <v>239</v>
      </c>
      <c r="BB1311">
        <v>0</v>
      </c>
      <c r="BE1311" s="224" t="s">
        <v>244</v>
      </c>
      <c r="BF1311" s="224" t="s">
        <v>490</v>
      </c>
      <c r="BG1311" s="224" t="s">
        <v>239</v>
      </c>
      <c r="BH1311">
        <v>0</v>
      </c>
    </row>
    <row r="1312" spans="17:60">
      <c r="Q1312" s="224" t="s">
        <v>472</v>
      </c>
      <c r="R1312" s="224" t="s">
        <v>490</v>
      </c>
      <c r="S1312" s="224" t="s">
        <v>239</v>
      </c>
      <c r="T1312" s="224">
        <f ca="1">OFFSET('Calculations 2'!$C$45,W1312,X1312)*OFFSET($N$6,W1312,0)</f>
        <v>0</v>
      </c>
      <c r="V1312">
        <f t="shared" si="62"/>
        <v>217</v>
      </c>
      <c r="W1312">
        <f t="shared" si="63"/>
        <v>19</v>
      </c>
      <c r="X1312">
        <f t="shared" si="64"/>
        <v>6</v>
      </c>
      <c r="AC1312" s="224" t="s">
        <v>472</v>
      </c>
      <c r="AD1312" s="224" t="s">
        <v>490</v>
      </c>
      <c r="AE1312" s="224" t="s">
        <v>239</v>
      </c>
      <c r="AF1312">
        <f ca="1">OFFSET('Calculations 2'!$CE$45,W1312,0)*OFFSET($AA$6,X1312,0)*OFFSET($N$6,W1312,)</f>
        <v>0</v>
      </c>
      <c r="AY1312" s="224" t="s">
        <v>472</v>
      </c>
      <c r="AZ1312" s="224" t="s">
        <v>490</v>
      </c>
      <c r="BA1312" s="224" t="s">
        <v>239</v>
      </c>
      <c r="BB1312">
        <v>0</v>
      </c>
      <c r="BE1312" s="224" t="s">
        <v>472</v>
      </c>
      <c r="BF1312" s="224" t="s">
        <v>490</v>
      </c>
      <c r="BG1312" s="224" t="s">
        <v>239</v>
      </c>
      <c r="BH1312">
        <v>0</v>
      </c>
    </row>
    <row r="1313" spans="17:60">
      <c r="Q1313" s="224" t="s">
        <v>238</v>
      </c>
      <c r="R1313" s="224" t="s">
        <v>490</v>
      </c>
      <c r="S1313" s="224" t="s">
        <v>239</v>
      </c>
      <c r="T1313" s="224">
        <f ca="1">OFFSET('Calculations 2'!$C$45,W1313,X1313)*OFFSET($N$6,W1313,0)</f>
        <v>0.35740223754160072</v>
      </c>
      <c r="V1313">
        <f t="shared" si="62"/>
        <v>218</v>
      </c>
      <c r="W1313">
        <f t="shared" si="63"/>
        <v>20</v>
      </c>
      <c r="X1313">
        <f t="shared" si="64"/>
        <v>6</v>
      </c>
      <c r="AC1313" s="224" t="s">
        <v>238</v>
      </c>
      <c r="AD1313" s="224" t="s">
        <v>490</v>
      </c>
      <c r="AE1313" s="224" t="s">
        <v>239</v>
      </c>
      <c r="AF1313">
        <f ca="1">OFFSET('Calculations 2'!$CE$45,W1313,0)*OFFSET($AA$6,X1313,0)*OFFSET($N$6,W1313,)</f>
        <v>0</v>
      </c>
      <c r="AY1313" s="224" t="s">
        <v>238</v>
      </c>
      <c r="AZ1313" s="224" t="s">
        <v>490</v>
      </c>
      <c r="BA1313" s="224" t="s">
        <v>239</v>
      </c>
      <c r="BB1313">
        <v>0</v>
      </c>
      <c r="BE1313" s="224" t="s">
        <v>238</v>
      </c>
      <c r="BF1313" s="224" t="s">
        <v>490</v>
      </c>
      <c r="BG1313" s="224" t="s">
        <v>239</v>
      </c>
      <c r="BH1313">
        <v>0</v>
      </c>
    </row>
    <row r="1314" spans="17:60">
      <c r="Q1314" s="224" t="s">
        <v>247</v>
      </c>
      <c r="R1314" s="224" t="s">
        <v>490</v>
      </c>
      <c r="S1314" s="224" t="s">
        <v>239</v>
      </c>
      <c r="T1314" s="224">
        <f ca="1">OFFSET('Calculations 2'!$C$45,W1314,X1314)*OFFSET($N$6,W1314,0)</f>
        <v>0</v>
      </c>
      <c r="V1314">
        <f t="shared" si="62"/>
        <v>219</v>
      </c>
      <c r="W1314">
        <f t="shared" si="63"/>
        <v>21</v>
      </c>
      <c r="X1314">
        <f t="shared" si="64"/>
        <v>6</v>
      </c>
      <c r="AC1314" s="224" t="s">
        <v>247</v>
      </c>
      <c r="AD1314" s="224" t="s">
        <v>490</v>
      </c>
      <c r="AE1314" s="224" t="s">
        <v>239</v>
      </c>
      <c r="AF1314">
        <f ca="1">OFFSET('Calculations 2'!$CE$45,W1314,0)*OFFSET($AA$6,X1314,0)*OFFSET($N$6,W1314,)</f>
        <v>0</v>
      </c>
      <c r="AY1314" s="224" t="s">
        <v>247</v>
      </c>
      <c r="AZ1314" s="224" t="s">
        <v>490</v>
      </c>
      <c r="BA1314" s="224" t="s">
        <v>239</v>
      </c>
      <c r="BB1314">
        <v>0</v>
      </c>
      <c r="BE1314" s="224" t="s">
        <v>247</v>
      </c>
      <c r="BF1314" s="224" t="s">
        <v>490</v>
      </c>
      <c r="BG1314" s="224" t="s">
        <v>239</v>
      </c>
      <c r="BH1314">
        <v>0</v>
      </c>
    </row>
    <row r="1315" spans="17:60">
      <c r="Q1315" s="224" t="s">
        <v>218</v>
      </c>
      <c r="R1315" s="224" t="s">
        <v>490</v>
      </c>
      <c r="S1315" s="224" t="s">
        <v>239</v>
      </c>
      <c r="T1315" s="224">
        <f ca="1">OFFSET('Calculations 2'!$C$45,W1315,X1315)*OFFSET($N$6,W1315,0)</f>
        <v>0.44631185462788281</v>
      </c>
      <c r="V1315">
        <f t="shared" si="62"/>
        <v>220</v>
      </c>
      <c r="W1315">
        <f t="shared" si="63"/>
        <v>22</v>
      </c>
      <c r="X1315">
        <f t="shared" si="64"/>
        <v>6</v>
      </c>
      <c r="AC1315" s="224" t="s">
        <v>218</v>
      </c>
      <c r="AD1315" s="224" t="s">
        <v>490</v>
      </c>
      <c r="AE1315" s="224" t="s">
        <v>239</v>
      </c>
      <c r="AF1315">
        <f ca="1">OFFSET('Calculations 2'!$CE$45,W1315,0)*OFFSET($AA$6,X1315,0)*OFFSET($N$6,W1315,)</f>
        <v>0</v>
      </c>
      <c r="AY1315" s="224" t="s">
        <v>218</v>
      </c>
      <c r="AZ1315" s="224" t="s">
        <v>490</v>
      </c>
      <c r="BA1315" s="224" t="s">
        <v>239</v>
      </c>
      <c r="BB1315">
        <v>0</v>
      </c>
      <c r="BE1315" s="224" t="s">
        <v>218</v>
      </c>
      <c r="BF1315" s="224" t="s">
        <v>490</v>
      </c>
      <c r="BG1315" s="224" t="s">
        <v>239</v>
      </c>
      <c r="BH1315">
        <v>0</v>
      </c>
    </row>
    <row r="1316" spans="17:60">
      <c r="Q1316" s="224" t="s">
        <v>257</v>
      </c>
      <c r="R1316" s="224" t="s">
        <v>490</v>
      </c>
      <c r="S1316" s="224" t="s">
        <v>239</v>
      </c>
      <c r="T1316" s="224">
        <f ca="1">OFFSET('Calculations 2'!$C$45,W1316,X1316)*OFFSET($N$6,W1316,0)</f>
        <v>0.44144132835289362</v>
      </c>
      <c r="V1316">
        <f t="shared" si="62"/>
        <v>221</v>
      </c>
      <c r="W1316">
        <f t="shared" si="63"/>
        <v>23</v>
      </c>
      <c r="X1316">
        <f t="shared" si="64"/>
        <v>6</v>
      </c>
      <c r="AC1316" s="224" t="s">
        <v>257</v>
      </c>
      <c r="AD1316" s="224" t="s">
        <v>490</v>
      </c>
      <c r="AE1316" s="224" t="s">
        <v>239</v>
      </c>
      <c r="AF1316">
        <f ca="1">OFFSET('Calculations 2'!$CE$45,W1316,0)*OFFSET($AA$6,X1316,0)*OFFSET($N$6,W1316,)</f>
        <v>0</v>
      </c>
      <c r="AY1316" s="224" t="s">
        <v>257</v>
      </c>
      <c r="AZ1316" s="224" t="s">
        <v>490</v>
      </c>
      <c r="BA1316" s="224" t="s">
        <v>239</v>
      </c>
      <c r="BB1316">
        <v>0</v>
      </c>
      <c r="BE1316" s="224" t="s">
        <v>257</v>
      </c>
      <c r="BF1316" s="224" t="s">
        <v>490</v>
      </c>
      <c r="BG1316" s="224" t="s">
        <v>239</v>
      </c>
      <c r="BH1316">
        <v>0</v>
      </c>
    </row>
    <row r="1317" spans="17:60">
      <c r="Q1317" s="224" t="s">
        <v>220</v>
      </c>
      <c r="R1317" s="224" t="s">
        <v>490</v>
      </c>
      <c r="S1317" s="224" t="s">
        <v>239</v>
      </c>
      <c r="T1317" s="224">
        <f ca="1">OFFSET('Calculations 2'!$C$45,W1317,X1317)*OFFSET($N$6,W1317,0)</f>
        <v>1.0697868290567292</v>
      </c>
      <c r="V1317">
        <f t="shared" si="62"/>
        <v>222</v>
      </c>
      <c r="W1317">
        <f t="shared" si="63"/>
        <v>24</v>
      </c>
      <c r="X1317">
        <f t="shared" si="64"/>
        <v>6</v>
      </c>
      <c r="AC1317" s="224" t="s">
        <v>220</v>
      </c>
      <c r="AD1317" s="224" t="s">
        <v>490</v>
      </c>
      <c r="AE1317" s="224" t="s">
        <v>239</v>
      </c>
      <c r="AF1317">
        <f ca="1">OFFSET('Calculations 2'!$CE$45,W1317,0)*OFFSET($AA$6,X1317,0)*OFFSET($N$6,W1317,)</f>
        <v>0</v>
      </c>
      <c r="AY1317" s="224" t="s">
        <v>220</v>
      </c>
      <c r="AZ1317" s="224" t="s">
        <v>490</v>
      </c>
      <c r="BA1317" s="224" t="s">
        <v>239</v>
      </c>
      <c r="BB1317">
        <v>0</v>
      </c>
      <c r="BE1317" s="224" t="s">
        <v>220</v>
      </c>
      <c r="BF1317" s="224" t="s">
        <v>490</v>
      </c>
      <c r="BG1317" s="224" t="s">
        <v>239</v>
      </c>
      <c r="BH1317">
        <v>0</v>
      </c>
    </row>
    <row r="1318" spans="17:60">
      <c r="Q1318" s="224" t="s">
        <v>235</v>
      </c>
      <c r="R1318" s="224" t="s">
        <v>490</v>
      </c>
      <c r="S1318" s="224" t="s">
        <v>239</v>
      </c>
      <c r="T1318" s="224">
        <f ca="1">OFFSET('Calculations 2'!$C$45,W1318,X1318)*OFFSET($N$6,W1318,0)</f>
        <v>0.60685276834611779</v>
      </c>
      <c r="V1318">
        <f t="shared" si="62"/>
        <v>223</v>
      </c>
      <c r="W1318">
        <f t="shared" si="63"/>
        <v>25</v>
      </c>
      <c r="X1318">
        <f t="shared" si="64"/>
        <v>6</v>
      </c>
      <c r="AC1318" s="224" t="s">
        <v>235</v>
      </c>
      <c r="AD1318" s="224" t="s">
        <v>490</v>
      </c>
      <c r="AE1318" s="224" t="s">
        <v>239</v>
      </c>
      <c r="AF1318">
        <f ca="1">OFFSET('Calculations 2'!$CE$45,W1318,0)*OFFSET($AA$6,X1318,0)*OFFSET($N$6,W1318,)</f>
        <v>0</v>
      </c>
      <c r="AY1318" s="224" t="s">
        <v>235</v>
      </c>
      <c r="AZ1318" s="224" t="s">
        <v>490</v>
      </c>
      <c r="BA1318" s="224" t="s">
        <v>239</v>
      </c>
      <c r="BB1318">
        <v>0</v>
      </c>
      <c r="BE1318" s="224" t="s">
        <v>235</v>
      </c>
      <c r="BF1318" s="224" t="s">
        <v>490</v>
      </c>
      <c r="BG1318" s="224" t="s">
        <v>239</v>
      </c>
      <c r="BH1318">
        <v>0</v>
      </c>
    </row>
    <row r="1319" spans="17:60">
      <c r="Q1319" s="224" t="s">
        <v>473</v>
      </c>
      <c r="R1319" s="224" t="s">
        <v>490</v>
      </c>
      <c r="S1319" s="224" t="s">
        <v>239</v>
      </c>
      <c r="T1319" s="224">
        <f ca="1">OFFSET('Calculations 2'!$C$45,W1319,X1319)*OFFSET($N$6,W1319,0)</f>
        <v>1.2832951093502059</v>
      </c>
      <c r="V1319">
        <f t="shared" si="62"/>
        <v>224</v>
      </c>
      <c r="W1319">
        <f t="shared" si="63"/>
        <v>26</v>
      </c>
      <c r="X1319">
        <f t="shared" si="64"/>
        <v>6</v>
      </c>
      <c r="AC1319" s="224" t="s">
        <v>473</v>
      </c>
      <c r="AD1319" s="224" t="s">
        <v>490</v>
      </c>
      <c r="AE1319" s="224" t="s">
        <v>239</v>
      </c>
      <c r="AF1319">
        <f ca="1">OFFSET('Calculations 2'!$CE$45,W1319,0)*OFFSET($AA$6,X1319,0)*OFFSET($N$6,W1319,)</f>
        <v>0</v>
      </c>
      <c r="AY1319" s="224" t="s">
        <v>473</v>
      </c>
      <c r="AZ1319" s="224" t="s">
        <v>490</v>
      </c>
      <c r="BA1319" s="224" t="s">
        <v>239</v>
      </c>
      <c r="BB1319">
        <v>0</v>
      </c>
      <c r="BE1319" s="224" t="s">
        <v>473</v>
      </c>
      <c r="BF1319" s="224" t="s">
        <v>490</v>
      </c>
      <c r="BG1319" s="224" t="s">
        <v>239</v>
      </c>
      <c r="BH1319">
        <v>0</v>
      </c>
    </row>
    <row r="1320" spans="17:60">
      <c r="Q1320" s="224" t="s">
        <v>233</v>
      </c>
      <c r="R1320" s="224" t="s">
        <v>490</v>
      </c>
      <c r="S1320" s="224" t="s">
        <v>239</v>
      </c>
      <c r="T1320" s="224">
        <f ca="1">OFFSET('Calculations 2'!$C$45,W1320,X1320)*OFFSET($N$6,W1320,0)</f>
        <v>1.4410840383927053</v>
      </c>
      <c r="V1320">
        <f t="shared" si="62"/>
        <v>225</v>
      </c>
      <c r="W1320">
        <f t="shared" si="63"/>
        <v>27</v>
      </c>
      <c r="X1320">
        <f t="shared" si="64"/>
        <v>6</v>
      </c>
      <c r="AC1320" s="224" t="s">
        <v>233</v>
      </c>
      <c r="AD1320" s="224" t="s">
        <v>490</v>
      </c>
      <c r="AE1320" s="224" t="s">
        <v>239</v>
      </c>
      <c r="AF1320">
        <f ca="1">OFFSET('Calculations 2'!$CE$45,W1320,0)*OFFSET($AA$6,X1320,0)*OFFSET($N$6,W1320,)</f>
        <v>0</v>
      </c>
      <c r="AY1320" s="224" t="s">
        <v>233</v>
      </c>
      <c r="AZ1320" s="224" t="s">
        <v>490</v>
      </c>
      <c r="BA1320" s="224" t="s">
        <v>239</v>
      </c>
      <c r="BB1320">
        <v>0</v>
      </c>
      <c r="BE1320" s="224" t="s">
        <v>233</v>
      </c>
      <c r="BF1320" s="224" t="s">
        <v>490</v>
      </c>
      <c r="BG1320" s="224" t="s">
        <v>239</v>
      </c>
      <c r="BH1320">
        <v>0</v>
      </c>
    </row>
    <row r="1321" spans="17:60">
      <c r="Q1321" s="224" t="s">
        <v>474</v>
      </c>
      <c r="R1321" s="224" t="s">
        <v>490</v>
      </c>
      <c r="S1321" s="224" t="s">
        <v>239</v>
      </c>
      <c r="T1321" s="224">
        <f ca="1">OFFSET('Calculations 2'!$C$45,W1321,X1321)*OFFSET($N$6,W1321,0)</f>
        <v>0.53987838038677727</v>
      </c>
      <c r="V1321">
        <f t="shared" si="62"/>
        <v>226</v>
      </c>
      <c r="W1321">
        <f t="shared" si="63"/>
        <v>28</v>
      </c>
      <c r="X1321">
        <f t="shared" si="64"/>
        <v>6</v>
      </c>
      <c r="AC1321" s="224" t="s">
        <v>474</v>
      </c>
      <c r="AD1321" s="224" t="s">
        <v>490</v>
      </c>
      <c r="AE1321" s="224" t="s">
        <v>239</v>
      </c>
      <c r="AF1321">
        <f ca="1">OFFSET('Calculations 2'!$CE$45,W1321,0)*OFFSET($AA$6,X1321,0)*OFFSET($N$6,W1321,)</f>
        <v>0</v>
      </c>
      <c r="AY1321" s="224" t="s">
        <v>474</v>
      </c>
      <c r="AZ1321" s="224" t="s">
        <v>490</v>
      </c>
      <c r="BA1321" s="224" t="s">
        <v>239</v>
      </c>
      <c r="BB1321">
        <v>0</v>
      </c>
      <c r="BE1321" s="224" t="s">
        <v>474</v>
      </c>
      <c r="BF1321" s="224" t="s">
        <v>490</v>
      </c>
      <c r="BG1321" s="224" t="s">
        <v>239</v>
      </c>
      <c r="BH1321">
        <v>0</v>
      </c>
    </row>
    <row r="1322" spans="17:60">
      <c r="Q1322" s="224" t="s">
        <v>223</v>
      </c>
      <c r="R1322" s="224" t="s">
        <v>490</v>
      </c>
      <c r="S1322" s="224" t="s">
        <v>239</v>
      </c>
      <c r="T1322" s="224">
        <f ca="1">OFFSET('Calculations 2'!$C$45,W1322,X1322)*OFFSET($N$6,W1322,0)</f>
        <v>1.2110503825931493</v>
      </c>
      <c r="V1322">
        <f t="shared" si="62"/>
        <v>227</v>
      </c>
      <c r="W1322">
        <f t="shared" si="63"/>
        <v>29</v>
      </c>
      <c r="X1322">
        <f t="shared" si="64"/>
        <v>6</v>
      </c>
      <c r="AC1322" s="224" t="s">
        <v>223</v>
      </c>
      <c r="AD1322" s="224" t="s">
        <v>490</v>
      </c>
      <c r="AE1322" s="224" t="s">
        <v>239</v>
      </c>
      <c r="AF1322">
        <f ca="1">OFFSET('Calculations 2'!$CE$45,W1322,0)*OFFSET($AA$6,X1322,0)*OFFSET($N$6,W1322,)</f>
        <v>0</v>
      </c>
      <c r="AY1322" s="224" t="s">
        <v>223</v>
      </c>
      <c r="AZ1322" s="224" t="s">
        <v>490</v>
      </c>
      <c r="BA1322" s="224" t="s">
        <v>239</v>
      </c>
      <c r="BB1322">
        <v>0</v>
      </c>
      <c r="BE1322" s="224" t="s">
        <v>223</v>
      </c>
      <c r="BF1322" s="224" t="s">
        <v>490</v>
      </c>
      <c r="BG1322" s="224" t="s">
        <v>239</v>
      </c>
      <c r="BH1322">
        <v>0</v>
      </c>
    </row>
    <row r="1323" spans="17:60">
      <c r="Q1323" s="224" t="s">
        <v>475</v>
      </c>
      <c r="R1323" s="224" t="s">
        <v>490</v>
      </c>
      <c r="S1323" s="224" t="s">
        <v>239</v>
      </c>
      <c r="T1323" s="224">
        <f ca="1">OFFSET('Calculations 2'!$C$45,W1323,X1323)*OFFSET($N$6,W1323,0)</f>
        <v>2.9896504189208729E-2</v>
      </c>
      <c r="V1323">
        <f t="shared" si="62"/>
        <v>228</v>
      </c>
      <c r="W1323">
        <f t="shared" si="63"/>
        <v>30</v>
      </c>
      <c r="X1323">
        <f t="shared" si="64"/>
        <v>6</v>
      </c>
      <c r="AC1323" s="224" t="s">
        <v>475</v>
      </c>
      <c r="AD1323" s="224" t="s">
        <v>490</v>
      </c>
      <c r="AE1323" s="224" t="s">
        <v>239</v>
      </c>
      <c r="AF1323">
        <f ca="1">OFFSET('Calculations 2'!$CE$45,W1323,0)*OFFSET($AA$6,X1323,0)*OFFSET($N$6,W1323,)</f>
        <v>0</v>
      </c>
      <c r="AY1323" s="224" t="s">
        <v>475</v>
      </c>
      <c r="AZ1323" s="224" t="s">
        <v>490</v>
      </c>
      <c r="BA1323" s="224" t="s">
        <v>239</v>
      </c>
      <c r="BB1323">
        <v>0</v>
      </c>
      <c r="BE1323" s="224" t="s">
        <v>475</v>
      </c>
      <c r="BF1323" s="224" t="s">
        <v>490</v>
      </c>
      <c r="BG1323" s="224" t="s">
        <v>239</v>
      </c>
      <c r="BH1323">
        <v>0</v>
      </c>
    </row>
    <row r="1324" spans="17:60">
      <c r="Q1324" s="224" t="s">
        <v>476</v>
      </c>
      <c r="R1324" s="224" t="s">
        <v>490</v>
      </c>
      <c r="S1324" s="224" t="s">
        <v>239</v>
      </c>
      <c r="T1324" s="224">
        <f ca="1">OFFSET('Calculations 2'!$C$45,W1324,X1324)*OFFSET($N$6,W1324,0)</f>
        <v>0.16414201701788755</v>
      </c>
      <c r="V1324">
        <f t="shared" si="62"/>
        <v>229</v>
      </c>
      <c r="W1324">
        <f t="shared" si="63"/>
        <v>31</v>
      </c>
      <c r="X1324">
        <f t="shared" si="64"/>
        <v>6</v>
      </c>
      <c r="AC1324" s="224" t="s">
        <v>476</v>
      </c>
      <c r="AD1324" s="224" t="s">
        <v>490</v>
      </c>
      <c r="AE1324" s="224" t="s">
        <v>239</v>
      </c>
      <c r="AF1324">
        <f ca="1">OFFSET('Calculations 2'!$CE$45,W1324,0)*OFFSET($AA$6,X1324,0)*OFFSET($N$6,W1324,)</f>
        <v>0</v>
      </c>
      <c r="AY1324" s="224" t="s">
        <v>476</v>
      </c>
      <c r="AZ1324" s="224" t="s">
        <v>490</v>
      </c>
      <c r="BA1324" s="224" t="s">
        <v>239</v>
      </c>
      <c r="BB1324">
        <v>0</v>
      </c>
      <c r="BE1324" s="224" t="s">
        <v>476</v>
      </c>
      <c r="BF1324" s="224" t="s">
        <v>490</v>
      </c>
      <c r="BG1324" s="224" t="s">
        <v>239</v>
      </c>
      <c r="BH1324">
        <v>0</v>
      </c>
    </row>
    <row r="1325" spans="17:60">
      <c r="Q1325" s="224" t="s">
        <v>222</v>
      </c>
      <c r="R1325" s="224" t="s">
        <v>490</v>
      </c>
      <c r="S1325" s="224" t="s">
        <v>239</v>
      </c>
      <c r="T1325" s="224">
        <f ca="1">OFFSET('Calculations 2'!$C$45,W1325,X1325)*OFFSET($N$6,W1325,0)</f>
        <v>0</v>
      </c>
      <c r="V1325">
        <f t="shared" si="62"/>
        <v>230</v>
      </c>
      <c r="W1325">
        <f t="shared" si="63"/>
        <v>32</v>
      </c>
      <c r="X1325">
        <f t="shared" si="64"/>
        <v>6</v>
      </c>
      <c r="AC1325" s="224" t="s">
        <v>222</v>
      </c>
      <c r="AD1325" s="224" t="s">
        <v>490</v>
      </c>
      <c r="AE1325" s="224" t="s">
        <v>239</v>
      </c>
      <c r="AF1325">
        <f ca="1">OFFSET('Calculations 2'!$CE$45,W1325,0)*OFFSET($AA$6,X1325,0)*OFFSET($N$6,W1325,)</f>
        <v>0</v>
      </c>
      <c r="AY1325" s="224" t="s">
        <v>222</v>
      </c>
      <c r="AZ1325" s="224" t="s">
        <v>490</v>
      </c>
      <c r="BA1325" s="224" t="s">
        <v>239</v>
      </c>
      <c r="BB1325">
        <v>0</v>
      </c>
      <c r="BE1325" s="224" t="s">
        <v>222</v>
      </c>
      <c r="BF1325" s="224" t="s">
        <v>490</v>
      </c>
      <c r="BG1325" s="224" t="s">
        <v>239</v>
      </c>
      <c r="BH1325">
        <v>0</v>
      </c>
    </row>
    <row r="1326" spans="17:60">
      <c r="Q1326" s="224" t="s">
        <v>217</v>
      </c>
      <c r="R1326" s="224" t="s">
        <v>490</v>
      </c>
      <c r="S1326" s="224" t="s">
        <v>466</v>
      </c>
      <c r="T1326" s="224">
        <f ca="1">OFFSET('Calculations 2'!$C$45,W1326,X1326)*OFFSET($N$6,W1326,0)</f>
        <v>0</v>
      </c>
      <c r="V1326">
        <f t="shared" si="62"/>
        <v>231</v>
      </c>
      <c r="W1326">
        <f t="shared" si="63"/>
        <v>0</v>
      </c>
      <c r="X1326">
        <f t="shared" si="64"/>
        <v>7</v>
      </c>
      <c r="AC1326" s="224" t="s">
        <v>217</v>
      </c>
      <c r="AD1326" s="224" t="s">
        <v>490</v>
      </c>
      <c r="AE1326" s="224" t="s">
        <v>466</v>
      </c>
      <c r="AF1326">
        <f ca="1">OFFSET('Calculations 2'!$CE$45,W1326,0)*OFFSET($AA$6,X1326,0)*OFFSET($N$6,W1326,)</f>
        <v>2.3930251984080035</v>
      </c>
      <c r="AY1326" s="224" t="s">
        <v>217</v>
      </c>
      <c r="AZ1326" s="224" t="s">
        <v>490</v>
      </c>
      <c r="BA1326" s="224" t="s">
        <v>466</v>
      </c>
      <c r="BB1326">
        <v>0</v>
      </c>
      <c r="BE1326" s="224" t="s">
        <v>217</v>
      </c>
      <c r="BF1326" s="224" t="s">
        <v>490</v>
      </c>
      <c r="BG1326" s="224" t="s">
        <v>466</v>
      </c>
      <c r="BH1326">
        <v>0</v>
      </c>
    </row>
    <row r="1327" spans="17:60">
      <c r="Q1327" s="224" t="s">
        <v>232</v>
      </c>
      <c r="R1327" s="224" t="s">
        <v>490</v>
      </c>
      <c r="S1327" s="224" t="s">
        <v>466</v>
      </c>
      <c r="T1327" s="224">
        <f ca="1">OFFSET('Calculations 2'!$C$45,W1327,X1327)*OFFSET($N$6,W1327,0)</f>
        <v>20572.875019951127</v>
      </c>
      <c r="V1327">
        <f t="shared" si="62"/>
        <v>232</v>
      </c>
      <c r="W1327">
        <f t="shared" si="63"/>
        <v>1</v>
      </c>
      <c r="X1327">
        <f t="shared" si="64"/>
        <v>7</v>
      </c>
      <c r="AC1327" s="224" t="s">
        <v>232</v>
      </c>
      <c r="AD1327" s="224" t="s">
        <v>490</v>
      </c>
      <c r="AE1327" s="224" t="s">
        <v>466</v>
      </c>
      <c r="AF1327">
        <f ca="1">OFFSET('Calculations 2'!$CE$45,W1327,0)*OFFSET($AA$6,X1327,0)*OFFSET($N$6,W1327,)</f>
        <v>3.7753125378379329</v>
      </c>
      <c r="AY1327" s="224" t="s">
        <v>232</v>
      </c>
      <c r="AZ1327" s="224" t="s">
        <v>490</v>
      </c>
      <c r="BA1327" s="224" t="s">
        <v>466</v>
      </c>
      <c r="BB1327">
        <v>0</v>
      </c>
      <c r="BE1327" s="224" t="s">
        <v>232</v>
      </c>
      <c r="BF1327" s="224" t="s">
        <v>490</v>
      </c>
      <c r="BG1327" s="224" t="s">
        <v>466</v>
      </c>
      <c r="BH1327">
        <v>0</v>
      </c>
    </row>
    <row r="1328" spans="17:60">
      <c r="Q1328" s="224" t="s">
        <v>226</v>
      </c>
      <c r="R1328" s="224" t="s">
        <v>490</v>
      </c>
      <c r="S1328" s="224" t="s">
        <v>466</v>
      </c>
      <c r="T1328" s="224">
        <f ca="1">OFFSET('Calculations 2'!$C$45,W1328,X1328)*OFFSET($N$6,W1328,0)</f>
        <v>0</v>
      </c>
      <c r="V1328">
        <f t="shared" si="62"/>
        <v>233</v>
      </c>
      <c r="W1328">
        <f t="shared" si="63"/>
        <v>2</v>
      </c>
      <c r="X1328">
        <f t="shared" si="64"/>
        <v>7</v>
      </c>
      <c r="AC1328" s="224" t="s">
        <v>226</v>
      </c>
      <c r="AD1328" s="224" t="s">
        <v>490</v>
      </c>
      <c r="AE1328" s="224" t="s">
        <v>466</v>
      </c>
      <c r="AF1328">
        <f ca="1">OFFSET('Calculations 2'!$CE$45,W1328,0)*OFFSET($AA$6,X1328,0)*OFFSET($N$6,W1328,)</f>
        <v>0.94469880416637542</v>
      </c>
      <c r="AY1328" s="224" t="s">
        <v>226</v>
      </c>
      <c r="AZ1328" s="224" t="s">
        <v>490</v>
      </c>
      <c r="BA1328" s="224" t="s">
        <v>466</v>
      </c>
      <c r="BB1328">
        <v>0</v>
      </c>
      <c r="BE1328" s="224" t="s">
        <v>226</v>
      </c>
      <c r="BF1328" s="224" t="s">
        <v>490</v>
      </c>
      <c r="BG1328" s="224" t="s">
        <v>466</v>
      </c>
      <c r="BH1328">
        <v>0</v>
      </c>
    </row>
    <row r="1329" spans="17:60">
      <c r="Q1329" s="224" t="s">
        <v>243</v>
      </c>
      <c r="R1329" s="224" t="s">
        <v>490</v>
      </c>
      <c r="S1329" s="224" t="s">
        <v>466</v>
      </c>
      <c r="T1329" s="224">
        <f ca="1">OFFSET('Calculations 2'!$C$45,W1329,X1329)*OFFSET($N$6,W1329,0)</f>
        <v>1.2510717548870082E-3</v>
      </c>
      <c r="V1329">
        <f t="shared" si="62"/>
        <v>234</v>
      </c>
      <c r="W1329">
        <f t="shared" si="63"/>
        <v>3</v>
      </c>
      <c r="X1329">
        <f t="shared" si="64"/>
        <v>7</v>
      </c>
      <c r="AC1329" s="224" t="s">
        <v>243</v>
      </c>
      <c r="AD1329" s="224" t="s">
        <v>490</v>
      </c>
      <c r="AE1329" s="224" t="s">
        <v>466</v>
      </c>
      <c r="AF1329">
        <f ca="1">OFFSET('Calculations 2'!$CE$45,W1329,0)*OFFSET($AA$6,X1329,0)*OFFSET($N$6,W1329,)</f>
        <v>18.538789190011304</v>
      </c>
      <c r="AY1329" s="224" t="s">
        <v>243</v>
      </c>
      <c r="AZ1329" s="224" t="s">
        <v>490</v>
      </c>
      <c r="BA1329" s="224" t="s">
        <v>466</v>
      </c>
      <c r="BB1329">
        <v>0</v>
      </c>
      <c r="BE1329" s="224" t="s">
        <v>243</v>
      </c>
      <c r="BF1329" s="224" t="s">
        <v>490</v>
      </c>
      <c r="BG1329" s="224" t="s">
        <v>466</v>
      </c>
      <c r="BH1329">
        <v>0</v>
      </c>
    </row>
    <row r="1330" spans="17:60">
      <c r="Q1330" s="224" t="s">
        <v>228</v>
      </c>
      <c r="R1330" s="224" t="s">
        <v>490</v>
      </c>
      <c r="S1330" s="224" t="s">
        <v>466</v>
      </c>
      <c r="T1330" s="224">
        <f ca="1">OFFSET('Calculations 2'!$C$45,W1330,X1330)*OFFSET($N$6,W1330,0)</f>
        <v>0</v>
      </c>
      <c r="V1330">
        <f t="shared" si="62"/>
        <v>235</v>
      </c>
      <c r="W1330">
        <f t="shared" si="63"/>
        <v>4</v>
      </c>
      <c r="X1330">
        <f t="shared" si="64"/>
        <v>7</v>
      </c>
      <c r="AC1330" s="224" t="s">
        <v>228</v>
      </c>
      <c r="AD1330" s="224" t="s">
        <v>490</v>
      </c>
      <c r="AE1330" s="224" t="s">
        <v>466</v>
      </c>
      <c r="AF1330">
        <f ca="1">OFFSET('Calculations 2'!$CE$45,W1330,0)*OFFSET($AA$6,X1330,0)*OFFSET($N$6,W1330,)</f>
        <v>9.6618509613969081</v>
      </c>
      <c r="AY1330" s="224" t="s">
        <v>228</v>
      </c>
      <c r="AZ1330" s="224" t="s">
        <v>490</v>
      </c>
      <c r="BA1330" s="224" t="s">
        <v>466</v>
      </c>
      <c r="BB1330">
        <v>0</v>
      </c>
      <c r="BE1330" s="224" t="s">
        <v>228</v>
      </c>
      <c r="BF1330" s="224" t="s">
        <v>490</v>
      </c>
      <c r="BG1330" s="224" t="s">
        <v>466</v>
      </c>
      <c r="BH1330">
        <v>0</v>
      </c>
    </row>
    <row r="1331" spans="17:60">
      <c r="Q1331" s="224" t="s">
        <v>246</v>
      </c>
      <c r="R1331" s="224" t="s">
        <v>490</v>
      </c>
      <c r="S1331" s="224" t="s">
        <v>466</v>
      </c>
      <c r="T1331" s="224">
        <f ca="1">OFFSET('Calculations 2'!$C$45,W1331,X1331)*OFFSET($N$6,W1331,0)</f>
        <v>0</v>
      </c>
      <c r="V1331">
        <f t="shared" si="62"/>
        <v>236</v>
      </c>
      <c r="W1331">
        <f t="shared" si="63"/>
        <v>5</v>
      </c>
      <c r="X1331">
        <f t="shared" si="64"/>
        <v>7</v>
      </c>
      <c r="AC1331" s="224" t="s">
        <v>246</v>
      </c>
      <c r="AD1331" s="224" t="s">
        <v>490</v>
      </c>
      <c r="AE1331" s="224" t="s">
        <v>466</v>
      </c>
      <c r="AF1331">
        <f ca="1">OFFSET('Calculations 2'!$CE$45,W1331,0)*OFFSET($AA$6,X1331,0)*OFFSET($N$6,W1331,)</f>
        <v>0.17293980819301538</v>
      </c>
      <c r="AY1331" s="224" t="s">
        <v>246</v>
      </c>
      <c r="AZ1331" s="224" t="s">
        <v>490</v>
      </c>
      <c r="BA1331" s="224" t="s">
        <v>466</v>
      </c>
      <c r="BB1331">
        <v>0</v>
      </c>
      <c r="BE1331" s="224" t="s">
        <v>246</v>
      </c>
      <c r="BF1331" s="224" t="s">
        <v>490</v>
      </c>
      <c r="BG1331" s="224" t="s">
        <v>466</v>
      </c>
      <c r="BH1331">
        <v>0</v>
      </c>
    </row>
    <row r="1332" spans="17:60">
      <c r="Q1332" s="224" t="s">
        <v>239</v>
      </c>
      <c r="R1332" s="224" t="s">
        <v>490</v>
      </c>
      <c r="S1332" s="224" t="s">
        <v>466</v>
      </c>
      <c r="T1332" s="224">
        <f ca="1">OFFSET('Calculations 2'!$C$45,W1332,X1332)*OFFSET($N$6,W1332,0)</f>
        <v>8.607415250350979E-2</v>
      </c>
      <c r="V1332">
        <f t="shared" si="62"/>
        <v>237</v>
      </c>
      <c r="W1332">
        <f t="shared" si="63"/>
        <v>6</v>
      </c>
      <c r="X1332">
        <f t="shared" si="64"/>
        <v>7</v>
      </c>
      <c r="AC1332" s="224" t="s">
        <v>239</v>
      </c>
      <c r="AD1332" s="224" t="s">
        <v>490</v>
      </c>
      <c r="AE1332" s="224" t="s">
        <v>466</v>
      </c>
      <c r="AF1332">
        <f ca="1">OFFSET('Calculations 2'!$CE$45,W1332,0)*OFFSET($AA$6,X1332,0)*OFFSET($N$6,W1332,)</f>
        <v>2.4903192536958003</v>
      </c>
      <c r="AY1332" s="224" t="s">
        <v>239</v>
      </c>
      <c r="AZ1332" s="224" t="s">
        <v>490</v>
      </c>
      <c r="BA1332" s="224" t="s">
        <v>466</v>
      </c>
      <c r="BB1332">
        <v>0</v>
      </c>
      <c r="BE1332" s="224" t="s">
        <v>239</v>
      </c>
      <c r="BF1332" s="224" t="s">
        <v>490</v>
      </c>
      <c r="BG1332" s="224" t="s">
        <v>466</v>
      </c>
      <c r="BH1332">
        <v>0</v>
      </c>
    </row>
    <row r="1333" spans="17:60">
      <c r="Q1333" s="224" t="s">
        <v>466</v>
      </c>
      <c r="R1333" s="224" t="s">
        <v>490</v>
      </c>
      <c r="S1333" s="224" t="s">
        <v>466</v>
      </c>
      <c r="T1333" s="224">
        <f ca="1">OFFSET('Calculations 2'!$C$45,W1333,X1333)*OFFSET($N$6,W1333,0)</f>
        <v>1019.621759247397</v>
      </c>
      <c r="V1333">
        <f t="shared" si="62"/>
        <v>238</v>
      </c>
      <c r="W1333">
        <f t="shared" si="63"/>
        <v>7</v>
      </c>
      <c r="X1333">
        <f t="shared" si="64"/>
        <v>7</v>
      </c>
      <c r="AC1333" s="224" t="s">
        <v>466</v>
      </c>
      <c r="AD1333" s="224" t="s">
        <v>490</v>
      </c>
      <c r="AE1333" s="224" t="s">
        <v>466</v>
      </c>
      <c r="AF1333">
        <f ca="1">OFFSET('Calculations 2'!$CE$45,W1333,0)*OFFSET($AA$6,X1333,0)*OFFSET($N$6,W1333,)</f>
        <v>0.62709147798170251</v>
      </c>
      <c r="AY1333" s="224" t="s">
        <v>466</v>
      </c>
      <c r="AZ1333" s="224" t="s">
        <v>490</v>
      </c>
      <c r="BA1333" s="224" t="s">
        <v>466</v>
      </c>
      <c r="BB1333">
        <v>0</v>
      </c>
      <c r="BE1333" s="224" t="s">
        <v>466</v>
      </c>
      <c r="BF1333" s="224" t="s">
        <v>490</v>
      </c>
      <c r="BG1333" s="224" t="s">
        <v>466</v>
      </c>
      <c r="BH1333">
        <v>0</v>
      </c>
    </row>
    <row r="1334" spans="17:60">
      <c r="Q1334" s="224" t="s">
        <v>219</v>
      </c>
      <c r="R1334" s="224" t="s">
        <v>490</v>
      </c>
      <c r="S1334" s="224" t="s">
        <v>466</v>
      </c>
      <c r="T1334" s="224">
        <f ca="1">OFFSET('Calculations 2'!$C$45,W1334,X1334)*OFFSET($N$6,W1334,0)</f>
        <v>538.56753376196002</v>
      </c>
      <c r="V1334">
        <f t="shared" si="62"/>
        <v>239</v>
      </c>
      <c r="W1334">
        <f t="shared" si="63"/>
        <v>8</v>
      </c>
      <c r="X1334">
        <f t="shared" si="64"/>
        <v>7</v>
      </c>
      <c r="AC1334" s="224" t="s">
        <v>219</v>
      </c>
      <c r="AD1334" s="224" t="s">
        <v>490</v>
      </c>
      <c r="AE1334" s="224" t="s">
        <v>466</v>
      </c>
      <c r="AF1334">
        <f ca="1">OFFSET('Calculations 2'!$CE$45,W1334,0)*OFFSET($AA$6,X1334,0)*OFFSET($N$6,W1334,)</f>
        <v>8.5963803921430149</v>
      </c>
      <c r="AY1334" s="224" t="s">
        <v>219</v>
      </c>
      <c r="AZ1334" s="224" t="s">
        <v>490</v>
      </c>
      <c r="BA1334" s="224" t="s">
        <v>466</v>
      </c>
      <c r="BB1334">
        <v>0</v>
      </c>
      <c r="BE1334" s="224" t="s">
        <v>219</v>
      </c>
      <c r="BF1334" s="224" t="s">
        <v>490</v>
      </c>
      <c r="BG1334" s="224" t="s">
        <v>466</v>
      </c>
      <c r="BH1334">
        <v>0</v>
      </c>
    </row>
    <row r="1335" spans="17:60">
      <c r="Q1335" s="224" t="s">
        <v>242</v>
      </c>
      <c r="R1335" s="224" t="s">
        <v>490</v>
      </c>
      <c r="S1335" s="224" t="s">
        <v>466</v>
      </c>
      <c r="T1335" s="224">
        <f ca="1">OFFSET('Calculations 2'!$C$45,W1335,X1335)*OFFSET($N$6,W1335,0)</f>
        <v>159.40473042239987</v>
      </c>
      <c r="V1335">
        <f t="shared" si="62"/>
        <v>240</v>
      </c>
      <c r="W1335">
        <f t="shared" si="63"/>
        <v>9</v>
      </c>
      <c r="X1335">
        <f t="shared" si="64"/>
        <v>7</v>
      </c>
      <c r="AC1335" s="224" t="s">
        <v>242</v>
      </c>
      <c r="AD1335" s="224" t="s">
        <v>490</v>
      </c>
      <c r="AE1335" s="224" t="s">
        <v>466</v>
      </c>
      <c r="AF1335">
        <f ca="1">OFFSET('Calculations 2'!$CE$45,W1335,0)*OFFSET($AA$6,X1335,0)*OFFSET($N$6,W1335,)</f>
        <v>6.5836847421025606</v>
      </c>
      <c r="AY1335" s="224" t="s">
        <v>242</v>
      </c>
      <c r="AZ1335" s="224" t="s">
        <v>490</v>
      </c>
      <c r="BA1335" s="224" t="s">
        <v>466</v>
      </c>
      <c r="BB1335">
        <v>0</v>
      </c>
      <c r="BE1335" s="224" t="s">
        <v>242</v>
      </c>
      <c r="BF1335" s="224" t="s">
        <v>490</v>
      </c>
      <c r="BG1335" s="224" t="s">
        <v>466</v>
      </c>
      <c r="BH1335">
        <v>0</v>
      </c>
    </row>
    <row r="1336" spans="17:60">
      <c r="Q1336" s="224" t="s">
        <v>467</v>
      </c>
      <c r="R1336" s="224" t="s">
        <v>490</v>
      </c>
      <c r="S1336" s="224" t="s">
        <v>466</v>
      </c>
      <c r="T1336" s="224">
        <f ca="1">OFFSET('Calculations 2'!$C$45,W1336,X1336)*OFFSET($N$6,W1336,0)</f>
        <v>0</v>
      </c>
      <c r="V1336">
        <f t="shared" si="62"/>
        <v>241</v>
      </c>
      <c r="W1336">
        <f t="shared" si="63"/>
        <v>10</v>
      </c>
      <c r="X1336">
        <f t="shared" si="64"/>
        <v>7</v>
      </c>
      <c r="AC1336" s="224" t="s">
        <v>467</v>
      </c>
      <c r="AD1336" s="224" t="s">
        <v>490</v>
      </c>
      <c r="AE1336" s="224" t="s">
        <v>466</v>
      </c>
      <c r="AF1336">
        <f ca="1">OFFSET('Calculations 2'!$CE$45,W1336,0)*OFFSET($AA$6,X1336,0)*OFFSET($N$6,W1336,)</f>
        <v>2.485257719413327</v>
      </c>
      <c r="AY1336" s="224" t="s">
        <v>467</v>
      </c>
      <c r="AZ1336" s="224" t="s">
        <v>490</v>
      </c>
      <c r="BA1336" s="224" t="s">
        <v>466</v>
      </c>
      <c r="BB1336">
        <v>0</v>
      </c>
      <c r="BE1336" s="224" t="s">
        <v>467</v>
      </c>
      <c r="BF1336" s="224" t="s">
        <v>490</v>
      </c>
      <c r="BG1336" s="224" t="s">
        <v>466</v>
      </c>
      <c r="BH1336">
        <v>0</v>
      </c>
    </row>
    <row r="1337" spans="17:60">
      <c r="Q1337" s="224" t="s">
        <v>231</v>
      </c>
      <c r="R1337" s="224" t="s">
        <v>490</v>
      </c>
      <c r="S1337" s="224" t="s">
        <v>466</v>
      </c>
      <c r="T1337" s="224">
        <f ca="1">OFFSET('Calculations 2'!$C$45,W1337,X1337)*OFFSET($N$6,W1337,0)</f>
        <v>0</v>
      </c>
      <c r="V1337">
        <f t="shared" si="62"/>
        <v>242</v>
      </c>
      <c r="W1337">
        <f t="shared" si="63"/>
        <v>11</v>
      </c>
      <c r="X1337">
        <f t="shared" si="64"/>
        <v>7</v>
      </c>
      <c r="AC1337" s="224" t="s">
        <v>231</v>
      </c>
      <c r="AD1337" s="224" t="s">
        <v>490</v>
      </c>
      <c r="AE1337" s="224" t="s">
        <v>466</v>
      </c>
      <c r="AF1337">
        <f ca="1">OFFSET('Calculations 2'!$CE$45,W1337,0)*OFFSET($AA$6,X1337,0)*OFFSET($N$6,W1337,)</f>
        <v>31.108316175482305</v>
      </c>
      <c r="AY1337" s="224" t="s">
        <v>231</v>
      </c>
      <c r="AZ1337" s="224" t="s">
        <v>490</v>
      </c>
      <c r="BA1337" s="224" t="s">
        <v>466</v>
      </c>
      <c r="BB1337">
        <v>0</v>
      </c>
      <c r="BE1337" s="224" t="s">
        <v>231</v>
      </c>
      <c r="BF1337" s="224" t="s">
        <v>490</v>
      </c>
      <c r="BG1337" s="224" t="s">
        <v>466</v>
      </c>
      <c r="BH1337">
        <v>0</v>
      </c>
    </row>
    <row r="1338" spans="17:60">
      <c r="Q1338" s="224" t="s">
        <v>468</v>
      </c>
      <c r="R1338" s="224" t="s">
        <v>490</v>
      </c>
      <c r="S1338" s="224" t="s">
        <v>466</v>
      </c>
      <c r="T1338" s="224">
        <f ca="1">OFFSET('Calculations 2'!$C$45,W1338,X1338)*OFFSET($N$6,W1338,0)</f>
        <v>0</v>
      </c>
      <c r="V1338">
        <f t="shared" si="62"/>
        <v>243</v>
      </c>
      <c r="W1338">
        <f t="shared" si="63"/>
        <v>12</v>
      </c>
      <c r="X1338">
        <f t="shared" si="64"/>
        <v>7</v>
      </c>
      <c r="AC1338" s="224" t="s">
        <v>468</v>
      </c>
      <c r="AD1338" s="224" t="s">
        <v>490</v>
      </c>
      <c r="AE1338" s="224" t="s">
        <v>466</v>
      </c>
      <c r="AF1338">
        <f ca="1">OFFSET('Calculations 2'!$CE$45,W1338,0)*OFFSET($AA$6,X1338,0)*OFFSET($N$6,W1338,)</f>
        <v>119.16886345281637</v>
      </c>
      <c r="AY1338" s="224" t="s">
        <v>468</v>
      </c>
      <c r="AZ1338" s="224" t="s">
        <v>490</v>
      </c>
      <c r="BA1338" s="224" t="s">
        <v>466</v>
      </c>
      <c r="BB1338">
        <v>0</v>
      </c>
      <c r="BE1338" s="224" t="s">
        <v>468</v>
      </c>
      <c r="BF1338" s="224" t="s">
        <v>490</v>
      </c>
      <c r="BG1338" s="224" t="s">
        <v>466</v>
      </c>
      <c r="BH1338">
        <v>0</v>
      </c>
    </row>
    <row r="1339" spans="17:60">
      <c r="Q1339" s="224" t="s">
        <v>469</v>
      </c>
      <c r="R1339" s="224" t="s">
        <v>490</v>
      </c>
      <c r="S1339" s="224" t="s">
        <v>466</v>
      </c>
      <c r="T1339" s="224">
        <f ca="1">OFFSET('Calculations 2'!$C$45,W1339,X1339)*OFFSET($N$6,W1339,0)</f>
        <v>0</v>
      </c>
      <c r="V1339">
        <f t="shared" si="62"/>
        <v>244</v>
      </c>
      <c r="W1339">
        <f t="shared" si="63"/>
        <v>13</v>
      </c>
      <c r="X1339">
        <f t="shared" si="64"/>
        <v>7</v>
      </c>
      <c r="AC1339" s="224" t="s">
        <v>469</v>
      </c>
      <c r="AD1339" s="224" t="s">
        <v>490</v>
      </c>
      <c r="AE1339" s="224" t="s">
        <v>466</v>
      </c>
      <c r="AF1339">
        <f ca="1">OFFSET('Calculations 2'!$CE$45,W1339,0)*OFFSET($AA$6,X1339,0)*OFFSET($N$6,W1339,)</f>
        <v>63.894709334018899</v>
      </c>
      <c r="AY1339" s="224" t="s">
        <v>469</v>
      </c>
      <c r="AZ1339" s="224" t="s">
        <v>490</v>
      </c>
      <c r="BA1339" s="224" t="s">
        <v>466</v>
      </c>
      <c r="BB1339">
        <v>0</v>
      </c>
      <c r="BE1339" s="224" t="s">
        <v>469</v>
      </c>
      <c r="BF1339" s="224" t="s">
        <v>490</v>
      </c>
      <c r="BG1339" s="224" t="s">
        <v>466</v>
      </c>
      <c r="BH1339">
        <v>0</v>
      </c>
    </row>
    <row r="1340" spans="17:60">
      <c r="Q1340" s="224" t="s">
        <v>245</v>
      </c>
      <c r="R1340" s="224" t="s">
        <v>490</v>
      </c>
      <c r="S1340" s="224" t="s">
        <v>466</v>
      </c>
      <c r="T1340" s="224">
        <f ca="1">OFFSET('Calculations 2'!$C$45,W1340,X1340)*OFFSET($N$6,W1340,0)</f>
        <v>48.153276907345216</v>
      </c>
      <c r="V1340">
        <f t="shared" si="62"/>
        <v>245</v>
      </c>
      <c r="W1340">
        <f t="shared" si="63"/>
        <v>14</v>
      </c>
      <c r="X1340">
        <f t="shared" si="64"/>
        <v>7</v>
      </c>
      <c r="AC1340" s="224" t="s">
        <v>245</v>
      </c>
      <c r="AD1340" s="224" t="s">
        <v>490</v>
      </c>
      <c r="AE1340" s="224" t="s">
        <v>466</v>
      </c>
      <c r="AF1340">
        <f ca="1">OFFSET('Calculations 2'!$CE$45,W1340,0)*OFFSET($AA$6,X1340,0)*OFFSET($N$6,W1340,)</f>
        <v>101.96876942504224</v>
      </c>
      <c r="AY1340" s="224" t="s">
        <v>245</v>
      </c>
      <c r="AZ1340" s="224" t="s">
        <v>490</v>
      </c>
      <c r="BA1340" s="224" t="s">
        <v>466</v>
      </c>
      <c r="BB1340">
        <v>0</v>
      </c>
      <c r="BE1340" s="224" t="s">
        <v>245</v>
      </c>
      <c r="BF1340" s="224" t="s">
        <v>490</v>
      </c>
      <c r="BG1340" s="224" t="s">
        <v>466</v>
      </c>
      <c r="BH1340">
        <v>0</v>
      </c>
    </row>
    <row r="1341" spans="17:60">
      <c r="Q1341" s="224" t="s">
        <v>470</v>
      </c>
      <c r="R1341" s="224" t="s">
        <v>490</v>
      </c>
      <c r="S1341" s="224" t="s">
        <v>466</v>
      </c>
      <c r="T1341" s="224">
        <f ca="1">OFFSET('Calculations 2'!$C$45,W1341,X1341)*OFFSET($N$6,W1341,0)</f>
        <v>36.921098395834562</v>
      </c>
      <c r="V1341">
        <f t="shared" si="62"/>
        <v>246</v>
      </c>
      <c r="W1341">
        <f t="shared" si="63"/>
        <v>15</v>
      </c>
      <c r="X1341">
        <f t="shared" si="64"/>
        <v>7</v>
      </c>
      <c r="AC1341" s="224" t="s">
        <v>470</v>
      </c>
      <c r="AD1341" s="224" t="s">
        <v>490</v>
      </c>
      <c r="AE1341" s="224" t="s">
        <v>466</v>
      </c>
      <c r="AF1341">
        <f ca="1">OFFSET('Calculations 2'!$CE$45,W1341,0)*OFFSET($AA$6,X1341,0)*OFFSET($N$6,W1341,)</f>
        <v>38.690486227397649</v>
      </c>
      <c r="AY1341" s="224" t="s">
        <v>470</v>
      </c>
      <c r="AZ1341" s="224" t="s">
        <v>490</v>
      </c>
      <c r="BA1341" s="224" t="s">
        <v>466</v>
      </c>
      <c r="BB1341">
        <v>0</v>
      </c>
      <c r="BE1341" s="224" t="s">
        <v>470</v>
      </c>
      <c r="BF1341" s="224" t="s">
        <v>490</v>
      </c>
      <c r="BG1341" s="224" t="s">
        <v>466</v>
      </c>
      <c r="BH1341">
        <v>0</v>
      </c>
    </row>
    <row r="1342" spans="17:60">
      <c r="Q1342" s="224" t="s">
        <v>471</v>
      </c>
      <c r="R1342" s="224" t="s">
        <v>490</v>
      </c>
      <c r="S1342" s="224" t="s">
        <v>466</v>
      </c>
      <c r="T1342" s="224">
        <f ca="1">OFFSET('Calculations 2'!$C$45,W1342,X1342)*OFFSET($N$6,W1342,0)</f>
        <v>1.8512570329472047</v>
      </c>
      <c r="V1342">
        <f t="shared" si="62"/>
        <v>247</v>
      </c>
      <c r="W1342">
        <f t="shared" si="63"/>
        <v>16</v>
      </c>
      <c r="X1342">
        <f t="shared" si="64"/>
        <v>7</v>
      </c>
      <c r="AC1342" s="224" t="s">
        <v>471</v>
      </c>
      <c r="AD1342" s="224" t="s">
        <v>490</v>
      </c>
      <c r="AE1342" s="224" t="s">
        <v>466</v>
      </c>
      <c r="AF1342">
        <f ca="1">OFFSET('Calculations 2'!$CE$45,W1342,0)*OFFSET($AA$6,X1342,0)*OFFSET($N$6,W1342,)</f>
        <v>0</v>
      </c>
      <c r="AY1342" s="224" t="s">
        <v>471</v>
      </c>
      <c r="AZ1342" s="224" t="s">
        <v>490</v>
      </c>
      <c r="BA1342" s="224" t="s">
        <v>466</v>
      </c>
      <c r="BB1342">
        <v>0</v>
      </c>
      <c r="BE1342" s="224" t="s">
        <v>471</v>
      </c>
      <c r="BF1342" s="224" t="s">
        <v>490</v>
      </c>
      <c r="BG1342" s="224" t="s">
        <v>466</v>
      </c>
      <c r="BH1342">
        <v>0</v>
      </c>
    </row>
    <row r="1343" spans="17:60">
      <c r="Q1343" s="224" t="s">
        <v>221</v>
      </c>
      <c r="R1343" s="224" t="s">
        <v>490</v>
      </c>
      <c r="S1343" s="224" t="s">
        <v>466</v>
      </c>
      <c r="T1343" s="224">
        <f ca="1">OFFSET('Calculations 2'!$C$45,W1343,X1343)*OFFSET($N$6,W1343,0)</f>
        <v>3.1072239648505626E-5</v>
      </c>
      <c r="V1343">
        <f t="shared" si="62"/>
        <v>248</v>
      </c>
      <c r="W1343">
        <f t="shared" si="63"/>
        <v>17</v>
      </c>
      <c r="X1343">
        <f t="shared" si="64"/>
        <v>7</v>
      </c>
      <c r="AC1343" s="224" t="s">
        <v>221</v>
      </c>
      <c r="AD1343" s="224" t="s">
        <v>490</v>
      </c>
      <c r="AE1343" s="224" t="s">
        <v>466</v>
      </c>
      <c r="AF1343">
        <f ca="1">OFFSET('Calculations 2'!$CE$45,W1343,0)*OFFSET($AA$6,X1343,0)*OFFSET($N$6,W1343,)</f>
        <v>7.5738854517148146</v>
      </c>
      <c r="AY1343" s="224" t="s">
        <v>221</v>
      </c>
      <c r="AZ1343" s="224" t="s">
        <v>490</v>
      </c>
      <c r="BA1343" s="224" t="s">
        <v>466</v>
      </c>
      <c r="BB1343">
        <v>0</v>
      </c>
      <c r="BE1343" s="224" t="s">
        <v>221</v>
      </c>
      <c r="BF1343" s="224" t="s">
        <v>490</v>
      </c>
      <c r="BG1343" s="224" t="s">
        <v>466</v>
      </c>
      <c r="BH1343">
        <v>0</v>
      </c>
    </row>
    <row r="1344" spans="17:60">
      <c r="Q1344" s="224" t="s">
        <v>244</v>
      </c>
      <c r="R1344" s="224" t="s">
        <v>490</v>
      </c>
      <c r="S1344" s="224" t="s">
        <v>466</v>
      </c>
      <c r="T1344" s="224">
        <f ca="1">OFFSET('Calculations 2'!$C$45,W1344,X1344)*OFFSET($N$6,W1344,0)</f>
        <v>4.4164337728515308</v>
      </c>
      <c r="V1344">
        <f t="shared" si="62"/>
        <v>249</v>
      </c>
      <c r="W1344">
        <f t="shared" si="63"/>
        <v>18</v>
      </c>
      <c r="X1344">
        <f t="shared" si="64"/>
        <v>7</v>
      </c>
      <c r="AC1344" s="224" t="s">
        <v>244</v>
      </c>
      <c r="AD1344" s="224" t="s">
        <v>490</v>
      </c>
      <c r="AE1344" s="224" t="s">
        <v>466</v>
      </c>
      <c r="AF1344">
        <f ca="1">OFFSET('Calculations 2'!$CE$45,W1344,0)*OFFSET($AA$6,X1344,0)*OFFSET($N$6,W1344,)</f>
        <v>0.66266357244255825</v>
      </c>
      <c r="AY1344" s="224" t="s">
        <v>244</v>
      </c>
      <c r="AZ1344" s="224" t="s">
        <v>490</v>
      </c>
      <c r="BA1344" s="224" t="s">
        <v>466</v>
      </c>
      <c r="BB1344">
        <v>0</v>
      </c>
      <c r="BE1344" s="224" t="s">
        <v>244</v>
      </c>
      <c r="BF1344" s="224" t="s">
        <v>490</v>
      </c>
      <c r="BG1344" s="224" t="s">
        <v>466</v>
      </c>
      <c r="BH1344">
        <v>0</v>
      </c>
    </row>
    <row r="1345" spans="17:60">
      <c r="Q1345" s="224" t="s">
        <v>472</v>
      </c>
      <c r="R1345" s="224" t="s">
        <v>490</v>
      </c>
      <c r="S1345" s="224" t="s">
        <v>466</v>
      </c>
      <c r="T1345" s="224">
        <f ca="1">OFFSET('Calculations 2'!$C$45,W1345,X1345)*OFFSET($N$6,W1345,0)</f>
        <v>0</v>
      </c>
      <c r="V1345">
        <f t="shared" si="62"/>
        <v>250</v>
      </c>
      <c r="W1345">
        <f t="shared" si="63"/>
        <v>19</v>
      </c>
      <c r="X1345">
        <f t="shared" si="64"/>
        <v>7</v>
      </c>
      <c r="AC1345" s="224" t="s">
        <v>472</v>
      </c>
      <c r="AD1345" s="224" t="s">
        <v>490</v>
      </c>
      <c r="AE1345" s="224" t="s">
        <v>466</v>
      </c>
      <c r="AF1345">
        <f ca="1">OFFSET('Calculations 2'!$CE$45,W1345,0)*OFFSET($AA$6,X1345,0)*OFFSET($N$6,W1345,)</f>
        <v>0</v>
      </c>
      <c r="AY1345" s="224" t="s">
        <v>472</v>
      </c>
      <c r="AZ1345" s="224" t="s">
        <v>490</v>
      </c>
      <c r="BA1345" s="224" t="s">
        <v>466</v>
      </c>
      <c r="BB1345">
        <v>0</v>
      </c>
      <c r="BE1345" s="224" t="s">
        <v>472</v>
      </c>
      <c r="BF1345" s="224" t="s">
        <v>490</v>
      </c>
      <c r="BG1345" s="224" t="s">
        <v>466</v>
      </c>
      <c r="BH1345">
        <v>0</v>
      </c>
    </row>
    <row r="1346" spans="17:60">
      <c r="Q1346" s="224" t="s">
        <v>238</v>
      </c>
      <c r="R1346" s="224" t="s">
        <v>490</v>
      </c>
      <c r="S1346" s="224" t="s">
        <v>466</v>
      </c>
      <c r="T1346" s="224">
        <f ca="1">OFFSET('Calculations 2'!$C$45,W1346,X1346)*OFFSET($N$6,W1346,0)</f>
        <v>0</v>
      </c>
      <c r="V1346">
        <f t="shared" si="62"/>
        <v>251</v>
      </c>
      <c r="W1346">
        <f t="shared" si="63"/>
        <v>20</v>
      </c>
      <c r="X1346">
        <f t="shared" si="64"/>
        <v>7</v>
      </c>
      <c r="AC1346" s="224" t="s">
        <v>238</v>
      </c>
      <c r="AD1346" s="224" t="s">
        <v>490</v>
      </c>
      <c r="AE1346" s="224" t="s">
        <v>466</v>
      </c>
      <c r="AF1346">
        <f ca="1">OFFSET('Calculations 2'!$CE$45,W1346,0)*OFFSET($AA$6,X1346,0)*OFFSET($N$6,W1346,)</f>
        <v>0</v>
      </c>
      <c r="AY1346" s="224" t="s">
        <v>238</v>
      </c>
      <c r="AZ1346" s="224" t="s">
        <v>490</v>
      </c>
      <c r="BA1346" s="224" t="s">
        <v>466</v>
      </c>
      <c r="BB1346">
        <v>0</v>
      </c>
      <c r="BE1346" s="224" t="s">
        <v>238</v>
      </c>
      <c r="BF1346" s="224" t="s">
        <v>490</v>
      </c>
      <c r="BG1346" s="224" t="s">
        <v>466</v>
      </c>
      <c r="BH1346">
        <v>0</v>
      </c>
    </row>
    <row r="1347" spans="17:60">
      <c r="Q1347" s="224" t="s">
        <v>247</v>
      </c>
      <c r="R1347" s="224" t="s">
        <v>490</v>
      </c>
      <c r="S1347" s="224" t="s">
        <v>466</v>
      </c>
      <c r="T1347" s="224">
        <f ca="1">OFFSET('Calculations 2'!$C$45,W1347,X1347)*OFFSET($N$6,W1347,0)</f>
        <v>0</v>
      </c>
      <c r="V1347">
        <f t="shared" si="62"/>
        <v>252</v>
      </c>
      <c r="W1347">
        <f t="shared" si="63"/>
        <v>21</v>
      </c>
      <c r="X1347">
        <f t="shared" si="64"/>
        <v>7</v>
      </c>
      <c r="AC1347" s="224" t="s">
        <v>247</v>
      </c>
      <c r="AD1347" s="224" t="s">
        <v>490</v>
      </c>
      <c r="AE1347" s="224" t="s">
        <v>466</v>
      </c>
      <c r="AF1347">
        <f ca="1">OFFSET('Calculations 2'!$CE$45,W1347,0)*OFFSET($AA$6,X1347,0)*OFFSET($N$6,W1347,)</f>
        <v>0</v>
      </c>
      <c r="AY1347" s="224" t="s">
        <v>247</v>
      </c>
      <c r="AZ1347" s="224" t="s">
        <v>490</v>
      </c>
      <c r="BA1347" s="224" t="s">
        <v>466</v>
      </c>
      <c r="BB1347">
        <v>0</v>
      </c>
      <c r="BE1347" s="224" t="s">
        <v>247</v>
      </c>
      <c r="BF1347" s="224" t="s">
        <v>490</v>
      </c>
      <c r="BG1347" s="224" t="s">
        <v>466</v>
      </c>
      <c r="BH1347">
        <v>0</v>
      </c>
    </row>
    <row r="1348" spans="17:60">
      <c r="Q1348" s="224" t="s">
        <v>218</v>
      </c>
      <c r="R1348" s="224" t="s">
        <v>490</v>
      </c>
      <c r="S1348" s="224" t="s">
        <v>466</v>
      </c>
      <c r="T1348" s="224">
        <f ca="1">OFFSET('Calculations 2'!$C$45,W1348,X1348)*OFFSET($N$6,W1348,0)</f>
        <v>0.15666417673128244</v>
      </c>
      <c r="V1348">
        <f t="shared" si="62"/>
        <v>253</v>
      </c>
      <c r="W1348">
        <f t="shared" si="63"/>
        <v>22</v>
      </c>
      <c r="X1348">
        <f t="shared" si="64"/>
        <v>7</v>
      </c>
      <c r="AC1348" s="224" t="s">
        <v>218</v>
      </c>
      <c r="AD1348" s="224" t="s">
        <v>490</v>
      </c>
      <c r="AE1348" s="224" t="s">
        <v>466</v>
      </c>
      <c r="AF1348">
        <f ca="1">OFFSET('Calculations 2'!$CE$45,W1348,0)*OFFSET($AA$6,X1348,0)*OFFSET($N$6,W1348,)</f>
        <v>0</v>
      </c>
      <c r="AY1348" s="224" t="s">
        <v>218</v>
      </c>
      <c r="AZ1348" s="224" t="s">
        <v>490</v>
      </c>
      <c r="BA1348" s="224" t="s">
        <v>466</v>
      </c>
      <c r="BB1348">
        <v>0</v>
      </c>
      <c r="BE1348" s="224" t="s">
        <v>218</v>
      </c>
      <c r="BF1348" s="224" t="s">
        <v>490</v>
      </c>
      <c r="BG1348" s="224" t="s">
        <v>466</v>
      </c>
      <c r="BH1348">
        <v>0</v>
      </c>
    </row>
    <row r="1349" spans="17:60">
      <c r="Q1349" s="224" t="s">
        <v>257</v>
      </c>
      <c r="R1349" s="224" t="s">
        <v>490</v>
      </c>
      <c r="S1349" s="224" t="s">
        <v>466</v>
      </c>
      <c r="T1349" s="224">
        <f ca="1">OFFSET('Calculations 2'!$C$45,W1349,X1349)*OFFSET($N$6,W1349,0)</f>
        <v>3.9222102174317083E-2</v>
      </c>
      <c r="V1349">
        <f t="shared" si="62"/>
        <v>254</v>
      </c>
      <c r="W1349">
        <f t="shared" si="63"/>
        <v>23</v>
      </c>
      <c r="X1349">
        <f t="shared" si="64"/>
        <v>7</v>
      </c>
      <c r="AC1349" s="224" t="s">
        <v>257</v>
      </c>
      <c r="AD1349" s="224" t="s">
        <v>490</v>
      </c>
      <c r="AE1349" s="224" t="s">
        <v>466</v>
      </c>
      <c r="AF1349">
        <f ca="1">OFFSET('Calculations 2'!$CE$45,W1349,0)*OFFSET($AA$6,X1349,0)*OFFSET($N$6,W1349,)</f>
        <v>0</v>
      </c>
      <c r="AY1349" s="224" t="s">
        <v>257</v>
      </c>
      <c r="AZ1349" s="224" t="s">
        <v>490</v>
      </c>
      <c r="BA1349" s="224" t="s">
        <v>466</v>
      </c>
      <c r="BB1349">
        <v>0</v>
      </c>
      <c r="BE1349" s="224" t="s">
        <v>257</v>
      </c>
      <c r="BF1349" s="224" t="s">
        <v>490</v>
      </c>
      <c r="BG1349" s="224" t="s">
        <v>466</v>
      </c>
      <c r="BH1349">
        <v>0</v>
      </c>
    </row>
    <row r="1350" spans="17:60">
      <c r="Q1350" s="224" t="s">
        <v>220</v>
      </c>
      <c r="R1350" s="224" t="s">
        <v>490</v>
      </c>
      <c r="S1350" s="224" t="s">
        <v>466</v>
      </c>
      <c r="T1350" s="224">
        <f ca="1">OFFSET('Calculations 2'!$C$45,W1350,X1350)*OFFSET($N$6,W1350,0)</f>
        <v>1.2531815504900755E-2</v>
      </c>
      <c r="V1350">
        <f t="shared" si="62"/>
        <v>255</v>
      </c>
      <c r="W1350">
        <f t="shared" si="63"/>
        <v>24</v>
      </c>
      <c r="X1350">
        <f t="shared" si="64"/>
        <v>7</v>
      </c>
      <c r="AC1350" s="224" t="s">
        <v>220</v>
      </c>
      <c r="AD1350" s="224" t="s">
        <v>490</v>
      </c>
      <c r="AE1350" s="224" t="s">
        <v>466</v>
      </c>
      <c r="AF1350">
        <f ca="1">OFFSET('Calculations 2'!$CE$45,W1350,0)*OFFSET($AA$6,X1350,0)*OFFSET($N$6,W1350,)</f>
        <v>0</v>
      </c>
      <c r="AY1350" s="224" t="s">
        <v>220</v>
      </c>
      <c r="AZ1350" s="224" t="s">
        <v>490</v>
      </c>
      <c r="BA1350" s="224" t="s">
        <v>466</v>
      </c>
      <c r="BB1350">
        <v>0</v>
      </c>
      <c r="BE1350" s="224" t="s">
        <v>220</v>
      </c>
      <c r="BF1350" s="224" t="s">
        <v>490</v>
      </c>
      <c r="BG1350" s="224" t="s">
        <v>466</v>
      </c>
      <c r="BH1350">
        <v>0</v>
      </c>
    </row>
    <row r="1351" spans="17:60">
      <c r="Q1351" s="224" t="s">
        <v>235</v>
      </c>
      <c r="R1351" s="224" t="s">
        <v>490</v>
      </c>
      <c r="S1351" s="224" t="s">
        <v>466</v>
      </c>
      <c r="T1351" s="224">
        <f ca="1">OFFSET('Calculations 2'!$C$45,W1351,X1351)*OFFSET($N$6,W1351,0)</f>
        <v>5.8560567587684069</v>
      </c>
      <c r="V1351">
        <f t="shared" si="62"/>
        <v>256</v>
      </c>
      <c r="W1351">
        <f t="shared" si="63"/>
        <v>25</v>
      </c>
      <c r="X1351">
        <f t="shared" si="64"/>
        <v>7</v>
      </c>
      <c r="AC1351" s="224" t="s">
        <v>235</v>
      </c>
      <c r="AD1351" s="224" t="s">
        <v>490</v>
      </c>
      <c r="AE1351" s="224" t="s">
        <v>466</v>
      </c>
      <c r="AF1351">
        <f ca="1">OFFSET('Calculations 2'!$CE$45,W1351,0)*OFFSET($AA$6,X1351,0)*OFFSET($N$6,W1351,)</f>
        <v>0</v>
      </c>
      <c r="AY1351" s="224" t="s">
        <v>235</v>
      </c>
      <c r="AZ1351" s="224" t="s">
        <v>490</v>
      </c>
      <c r="BA1351" s="224" t="s">
        <v>466</v>
      </c>
      <c r="BB1351">
        <v>0</v>
      </c>
      <c r="BE1351" s="224" t="s">
        <v>235</v>
      </c>
      <c r="BF1351" s="224" t="s">
        <v>490</v>
      </c>
      <c r="BG1351" s="224" t="s">
        <v>466</v>
      </c>
      <c r="BH1351">
        <v>0</v>
      </c>
    </row>
    <row r="1352" spans="17:60">
      <c r="Q1352" s="224" t="s">
        <v>473</v>
      </c>
      <c r="R1352" s="224" t="s">
        <v>490</v>
      </c>
      <c r="S1352" s="224" t="s">
        <v>466</v>
      </c>
      <c r="T1352" s="224">
        <f ca="1">OFFSET('Calculations 2'!$C$45,W1352,X1352)*OFFSET($N$6,W1352,0)</f>
        <v>1.2794005055504988E-2</v>
      </c>
      <c r="V1352">
        <f t="shared" si="62"/>
        <v>257</v>
      </c>
      <c r="W1352">
        <f t="shared" si="63"/>
        <v>26</v>
      </c>
      <c r="X1352">
        <f t="shared" si="64"/>
        <v>7</v>
      </c>
      <c r="AC1352" s="224" t="s">
        <v>473</v>
      </c>
      <c r="AD1352" s="224" t="s">
        <v>490</v>
      </c>
      <c r="AE1352" s="224" t="s">
        <v>466</v>
      </c>
      <c r="AF1352">
        <f ca="1">OFFSET('Calculations 2'!$CE$45,W1352,0)*OFFSET($AA$6,X1352,0)*OFFSET($N$6,W1352,)</f>
        <v>0</v>
      </c>
      <c r="AY1352" s="224" t="s">
        <v>473</v>
      </c>
      <c r="AZ1352" s="224" t="s">
        <v>490</v>
      </c>
      <c r="BA1352" s="224" t="s">
        <v>466</v>
      </c>
      <c r="BB1352">
        <v>0</v>
      </c>
      <c r="BE1352" s="224" t="s">
        <v>473</v>
      </c>
      <c r="BF1352" s="224" t="s">
        <v>490</v>
      </c>
      <c r="BG1352" s="224" t="s">
        <v>466</v>
      </c>
      <c r="BH1352">
        <v>0</v>
      </c>
    </row>
    <row r="1353" spans="17:60">
      <c r="Q1353" s="224" t="s">
        <v>233</v>
      </c>
      <c r="R1353" s="224" t="s">
        <v>490</v>
      </c>
      <c r="S1353" s="224" t="s">
        <v>466</v>
      </c>
      <c r="T1353" s="224">
        <f ca="1">OFFSET('Calculations 2'!$C$45,W1353,X1353)*OFFSET($N$6,W1353,0)</f>
        <v>4.8108489638764067E-2</v>
      </c>
      <c r="V1353">
        <f t="shared" ref="V1353:V1416" si="65">V1352+1</f>
        <v>258</v>
      </c>
      <c r="W1353">
        <f t="shared" ref="W1353:W1416" si="66">MOD(V1353,$V$3)</f>
        <v>27</v>
      </c>
      <c r="X1353">
        <f t="shared" ref="X1353:X1416" si="67">FLOOR(V1353/$V$3,1)</f>
        <v>7</v>
      </c>
      <c r="AC1353" s="224" t="s">
        <v>233</v>
      </c>
      <c r="AD1353" s="224" t="s">
        <v>490</v>
      </c>
      <c r="AE1353" s="224" t="s">
        <v>466</v>
      </c>
      <c r="AF1353">
        <f ca="1">OFFSET('Calculations 2'!$CE$45,W1353,0)*OFFSET($AA$6,X1353,0)*OFFSET($N$6,W1353,)</f>
        <v>0</v>
      </c>
      <c r="AY1353" s="224" t="s">
        <v>233</v>
      </c>
      <c r="AZ1353" s="224" t="s">
        <v>490</v>
      </c>
      <c r="BA1353" s="224" t="s">
        <v>466</v>
      </c>
      <c r="BB1353">
        <v>0</v>
      </c>
      <c r="BE1353" s="224" t="s">
        <v>233</v>
      </c>
      <c r="BF1353" s="224" t="s">
        <v>490</v>
      </c>
      <c r="BG1353" s="224" t="s">
        <v>466</v>
      </c>
      <c r="BH1353">
        <v>0</v>
      </c>
    </row>
    <row r="1354" spans="17:60">
      <c r="Q1354" s="224" t="s">
        <v>474</v>
      </c>
      <c r="R1354" s="224" t="s">
        <v>490</v>
      </c>
      <c r="S1354" s="224" t="s">
        <v>466</v>
      </c>
      <c r="T1354" s="224">
        <f ca="1">OFFSET('Calculations 2'!$C$45,W1354,X1354)*OFFSET($N$6,W1354,0)</f>
        <v>6.3615061814486867E-2</v>
      </c>
      <c r="V1354">
        <f t="shared" si="65"/>
        <v>259</v>
      </c>
      <c r="W1354">
        <f t="shared" si="66"/>
        <v>28</v>
      </c>
      <c r="X1354">
        <f t="shared" si="67"/>
        <v>7</v>
      </c>
      <c r="AC1354" s="224" t="s">
        <v>474</v>
      </c>
      <c r="AD1354" s="224" t="s">
        <v>490</v>
      </c>
      <c r="AE1354" s="224" t="s">
        <v>466</v>
      </c>
      <c r="AF1354">
        <f ca="1">OFFSET('Calculations 2'!$CE$45,W1354,0)*OFFSET($AA$6,X1354,0)*OFFSET($N$6,W1354,)</f>
        <v>0</v>
      </c>
      <c r="AY1354" s="224" t="s">
        <v>474</v>
      </c>
      <c r="AZ1354" s="224" t="s">
        <v>490</v>
      </c>
      <c r="BA1354" s="224" t="s">
        <v>466</v>
      </c>
      <c r="BB1354">
        <v>0</v>
      </c>
      <c r="BE1354" s="224" t="s">
        <v>474</v>
      </c>
      <c r="BF1354" s="224" t="s">
        <v>490</v>
      </c>
      <c r="BG1354" s="224" t="s">
        <v>466</v>
      </c>
      <c r="BH1354">
        <v>0</v>
      </c>
    </row>
    <row r="1355" spans="17:60">
      <c r="Q1355" s="224" t="s">
        <v>223</v>
      </c>
      <c r="R1355" s="224" t="s">
        <v>490</v>
      </c>
      <c r="S1355" s="224" t="s">
        <v>466</v>
      </c>
      <c r="T1355" s="224">
        <f ca="1">OFFSET('Calculations 2'!$C$45,W1355,X1355)*OFFSET($N$6,W1355,0)</f>
        <v>0.90226019551490122</v>
      </c>
      <c r="V1355">
        <f t="shared" si="65"/>
        <v>260</v>
      </c>
      <c r="W1355">
        <f t="shared" si="66"/>
        <v>29</v>
      </c>
      <c r="X1355">
        <f t="shared" si="67"/>
        <v>7</v>
      </c>
      <c r="AC1355" s="224" t="s">
        <v>223</v>
      </c>
      <c r="AD1355" s="224" t="s">
        <v>490</v>
      </c>
      <c r="AE1355" s="224" t="s">
        <v>466</v>
      </c>
      <c r="AF1355">
        <f ca="1">OFFSET('Calculations 2'!$CE$45,W1355,0)*OFFSET($AA$6,X1355,0)*OFFSET($N$6,W1355,)</f>
        <v>0</v>
      </c>
      <c r="AY1355" s="224" t="s">
        <v>223</v>
      </c>
      <c r="AZ1355" s="224" t="s">
        <v>490</v>
      </c>
      <c r="BA1355" s="224" t="s">
        <v>466</v>
      </c>
      <c r="BB1355">
        <v>0</v>
      </c>
      <c r="BE1355" s="224" t="s">
        <v>223</v>
      </c>
      <c r="BF1355" s="224" t="s">
        <v>490</v>
      </c>
      <c r="BG1355" s="224" t="s">
        <v>466</v>
      </c>
      <c r="BH1355">
        <v>0</v>
      </c>
    </row>
    <row r="1356" spans="17:60">
      <c r="Q1356" s="224" t="s">
        <v>475</v>
      </c>
      <c r="R1356" s="224" t="s">
        <v>490</v>
      </c>
      <c r="S1356" s="224" t="s">
        <v>466</v>
      </c>
      <c r="T1356" s="224">
        <f ca="1">OFFSET('Calculations 2'!$C$45,W1356,X1356)*OFFSET($N$6,W1356,0)</f>
        <v>1.6712702512669247E-3</v>
      </c>
      <c r="V1356">
        <f t="shared" si="65"/>
        <v>261</v>
      </c>
      <c r="W1356">
        <f t="shared" si="66"/>
        <v>30</v>
      </c>
      <c r="X1356">
        <f t="shared" si="67"/>
        <v>7</v>
      </c>
      <c r="AC1356" s="224" t="s">
        <v>475</v>
      </c>
      <c r="AD1356" s="224" t="s">
        <v>490</v>
      </c>
      <c r="AE1356" s="224" t="s">
        <v>466</v>
      </c>
      <c r="AF1356">
        <f ca="1">OFFSET('Calculations 2'!$CE$45,W1356,0)*OFFSET($AA$6,X1356,0)*OFFSET($N$6,W1356,)</f>
        <v>0</v>
      </c>
      <c r="AY1356" s="224" t="s">
        <v>475</v>
      </c>
      <c r="AZ1356" s="224" t="s">
        <v>490</v>
      </c>
      <c r="BA1356" s="224" t="s">
        <v>466</v>
      </c>
      <c r="BB1356">
        <v>0</v>
      </c>
      <c r="BE1356" s="224" t="s">
        <v>475</v>
      </c>
      <c r="BF1356" s="224" t="s">
        <v>490</v>
      </c>
      <c r="BG1356" s="224" t="s">
        <v>466</v>
      </c>
      <c r="BH1356">
        <v>0</v>
      </c>
    </row>
    <row r="1357" spans="17:60">
      <c r="Q1357" s="224" t="s">
        <v>476</v>
      </c>
      <c r="R1357" s="224" t="s">
        <v>490</v>
      </c>
      <c r="S1357" s="224" t="s">
        <v>466</v>
      </c>
      <c r="T1357" s="224">
        <f ca="1">OFFSET('Calculations 2'!$C$45,W1357,X1357)*OFFSET($N$6,W1357,0)</f>
        <v>3.0239171700891049E-2</v>
      </c>
      <c r="V1357">
        <f t="shared" si="65"/>
        <v>262</v>
      </c>
      <c r="W1357">
        <f t="shared" si="66"/>
        <v>31</v>
      </c>
      <c r="X1357">
        <f t="shared" si="67"/>
        <v>7</v>
      </c>
      <c r="AC1357" s="224" t="s">
        <v>476</v>
      </c>
      <c r="AD1357" s="224" t="s">
        <v>490</v>
      </c>
      <c r="AE1357" s="224" t="s">
        <v>466</v>
      </c>
      <c r="AF1357">
        <f ca="1">OFFSET('Calculations 2'!$CE$45,W1357,0)*OFFSET($AA$6,X1357,0)*OFFSET($N$6,W1357,)</f>
        <v>0</v>
      </c>
      <c r="AY1357" s="224" t="s">
        <v>476</v>
      </c>
      <c r="AZ1357" s="224" t="s">
        <v>490</v>
      </c>
      <c r="BA1357" s="224" t="s">
        <v>466</v>
      </c>
      <c r="BB1357">
        <v>0</v>
      </c>
      <c r="BE1357" s="224" t="s">
        <v>476</v>
      </c>
      <c r="BF1357" s="224" t="s">
        <v>490</v>
      </c>
      <c r="BG1357" s="224" t="s">
        <v>466</v>
      </c>
      <c r="BH1357">
        <v>0</v>
      </c>
    </row>
    <row r="1358" spans="17:60">
      <c r="Q1358" s="224" t="s">
        <v>222</v>
      </c>
      <c r="R1358" s="224" t="s">
        <v>490</v>
      </c>
      <c r="S1358" s="224" t="s">
        <v>466</v>
      </c>
      <c r="T1358" s="224">
        <f ca="1">OFFSET('Calculations 2'!$C$45,W1358,X1358)*OFFSET($N$6,W1358,0)</f>
        <v>0</v>
      </c>
      <c r="V1358">
        <f t="shared" si="65"/>
        <v>263</v>
      </c>
      <c r="W1358">
        <f t="shared" si="66"/>
        <v>32</v>
      </c>
      <c r="X1358">
        <f t="shared" si="67"/>
        <v>7</v>
      </c>
      <c r="AC1358" s="224" t="s">
        <v>222</v>
      </c>
      <c r="AD1358" s="224" t="s">
        <v>490</v>
      </c>
      <c r="AE1358" s="224" t="s">
        <v>466</v>
      </c>
      <c r="AF1358">
        <f ca="1">OFFSET('Calculations 2'!$CE$45,W1358,0)*OFFSET($AA$6,X1358,0)*OFFSET($N$6,W1358,)</f>
        <v>0</v>
      </c>
      <c r="AY1358" s="224" t="s">
        <v>222</v>
      </c>
      <c r="AZ1358" s="224" t="s">
        <v>490</v>
      </c>
      <c r="BA1358" s="224" t="s">
        <v>466</v>
      </c>
      <c r="BB1358">
        <v>0</v>
      </c>
      <c r="BE1358" s="224" t="s">
        <v>222</v>
      </c>
      <c r="BF1358" s="224" t="s">
        <v>490</v>
      </c>
      <c r="BG1358" s="224" t="s">
        <v>466</v>
      </c>
      <c r="BH1358">
        <v>0</v>
      </c>
    </row>
    <row r="1359" spans="17:60">
      <c r="Q1359" s="224" t="s">
        <v>217</v>
      </c>
      <c r="R1359" s="224" t="s">
        <v>490</v>
      </c>
      <c r="S1359" s="224" t="s">
        <v>219</v>
      </c>
      <c r="T1359" s="224">
        <f ca="1">OFFSET('Calculations 2'!$C$45,W1359,X1359)*OFFSET($N$6,W1359,0)</f>
        <v>0</v>
      </c>
      <c r="V1359">
        <f t="shared" si="65"/>
        <v>264</v>
      </c>
      <c r="W1359">
        <f t="shared" si="66"/>
        <v>0</v>
      </c>
      <c r="X1359">
        <f t="shared" si="67"/>
        <v>8</v>
      </c>
      <c r="AC1359" s="224" t="s">
        <v>217</v>
      </c>
      <c r="AD1359" s="224" t="s">
        <v>490</v>
      </c>
      <c r="AE1359" s="224" t="s">
        <v>219</v>
      </c>
      <c r="AF1359">
        <f ca="1">OFFSET('Calculations 2'!$CE$45,W1359,0)*OFFSET($AA$6,X1359,0)*OFFSET($N$6,W1359,)</f>
        <v>3.0246650016551957</v>
      </c>
      <c r="AY1359" s="224" t="s">
        <v>217</v>
      </c>
      <c r="AZ1359" s="224" t="s">
        <v>490</v>
      </c>
      <c r="BA1359" s="224" t="s">
        <v>219</v>
      </c>
      <c r="BB1359">
        <v>0</v>
      </c>
      <c r="BE1359" s="224" t="s">
        <v>217</v>
      </c>
      <c r="BF1359" s="224" t="s">
        <v>490</v>
      </c>
      <c r="BG1359" s="224" t="s">
        <v>219</v>
      </c>
      <c r="BH1359">
        <v>0</v>
      </c>
    </row>
    <row r="1360" spans="17:60">
      <c r="Q1360" s="224" t="s">
        <v>232</v>
      </c>
      <c r="R1360" s="224" t="s">
        <v>490</v>
      </c>
      <c r="S1360" s="224" t="s">
        <v>219</v>
      </c>
      <c r="T1360" s="224">
        <f ca="1">OFFSET('Calculations 2'!$C$45,W1360,X1360)*OFFSET($N$6,W1360,0)</f>
        <v>20.780698067484213</v>
      </c>
      <c r="V1360">
        <f t="shared" si="65"/>
        <v>265</v>
      </c>
      <c r="W1360">
        <f t="shared" si="66"/>
        <v>1</v>
      </c>
      <c r="X1360">
        <f t="shared" si="67"/>
        <v>8</v>
      </c>
      <c r="AC1360" s="224" t="s">
        <v>232</v>
      </c>
      <c r="AD1360" s="224" t="s">
        <v>490</v>
      </c>
      <c r="AE1360" s="224" t="s">
        <v>219</v>
      </c>
      <c r="AF1360">
        <f ca="1">OFFSET('Calculations 2'!$CE$45,W1360,0)*OFFSET($AA$6,X1360,0)*OFFSET($N$6,W1360,)</f>
        <v>4.7718075476619113</v>
      </c>
      <c r="AY1360" s="224" t="s">
        <v>232</v>
      </c>
      <c r="AZ1360" s="224" t="s">
        <v>490</v>
      </c>
      <c r="BA1360" s="224" t="s">
        <v>219</v>
      </c>
      <c r="BB1360">
        <v>0</v>
      </c>
      <c r="BE1360" s="224" t="s">
        <v>232</v>
      </c>
      <c r="BF1360" s="224" t="s">
        <v>490</v>
      </c>
      <c r="BG1360" s="224" t="s">
        <v>219</v>
      </c>
      <c r="BH1360">
        <v>0</v>
      </c>
    </row>
    <row r="1361" spans="17:60">
      <c r="Q1361" s="224" t="s">
        <v>226</v>
      </c>
      <c r="R1361" s="224" t="s">
        <v>490</v>
      </c>
      <c r="S1361" s="224" t="s">
        <v>219</v>
      </c>
      <c r="T1361" s="224">
        <f ca="1">OFFSET('Calculations 2'!$C$45,W1361,X1361)*OFFSET($N$6,W1361,0)</f>
        <v>29.189182785541526</v>
      </c>
      <c r="V1361">
        <f t="shared" si="65"/>
        <v>266</v>
      </c>
      <c r="W1361">
        <f t="shared" si="66"/>
        <v>2</v>
      </c>
      <c r="X1361">
        <f t="shared" si="67"/>
        <v>8</v>
      </c>
      <c r="AC1361" s="224" t="s">
        <v>226</v>
      </c>
      <c r="AD1361" s="224" t="s">
        <v>490</v>
      </c>
      <c r="AE1361" s="224" t="s">
        <v>219</v>
      </c>
      <c r="AF1361">
        <f ca="1">OFFSET('Calculations 2'!$CE$45,W1361,0)*OFFSET($AA$6,X1361,0)*OFFSET($N$6,W1361,)</f>
        <v>1.1940523701833472</v>
      </c>
      <c r="AY1361" s="224" t="s">
        <v>226</v>
      </c>
      <c r="AZ1361" s="224" t="s">
        <v>490</v>
      </c>
      <c r="BA1361" s="224" t="s">
        <v>219</v>
      </c>
      <c r="BB1361">
        <v>0</v>
      </c>
      <c r="BE1361" s="224" t="s">
        <v>226</v>
      </c>
      <c r="BF1361" s="224" t="s">
        <v>490</v>
      </c>
      <c r="BG1361" s="224" t="s">
        <v>219</v>
      </c>
      <c r="BH1361">
        <v>0</v>
      </c>
    </row>
    <row r="1362" spans="17:60">
      <c r="Q1362" s="224" t="s">
        <v>243</v>
      </c>
      <c r="R1362" s="224" t="s">
        <v>490</v>
      </c>
      <c r="S1362" s="224" t="s">
        <v>219</v>
      </c>
      <c r="T1362" s="224">
        <f ca="1">OFFSET('Calculations 2'!$C$45,W1362,X1362)*OFFSET($N$6,W1362,0)</f>
        <v>3.4396972715213128</v>
      </c>
      <c r="V1362">
        <f t="shared" si="65"/>
        <v>267</v>
      </c>
      <c r="W1362">
        <f t="shared" si="66"/>
        <v>3</v>
      </c>
      <c r="X1362">
        <f t="shared" si="67"/>
        <v>8</v>
      </c>
      <c r="AC1362" s="224" t="s">
        <v>243</v>
      </c>
      <c r="AD1362" s="224" t="s">
        <v>490</v>
      </c>
      <c r="AE1362" s="224" t="s">
        <v>219</v>
      </c>
      <c r="AF1362">
        <f ca="1">OFFSET('Calculations 2'!$CE$45,W1362,0)*OFFSET($AA$6,X1362,0)*OFFSET($N$6,W1362,)</f>
        <v>23.432108810803452</v>
      </c>
      <c r="AY1362" s="224" t="s">
        <v>243</v>
      </c>
      <c r="AZ1362" s="224" t="s">
        <v>490</v>
      </c>
      <c r="BA1362" s="224" t="s">
        <v>219</v>
      </c>
      <c r="BB1362">
        <v>0</v>
      </c>
      <c r="BE1362" s="224" t="s">
        <v>243</v>
      </c>
      <c r="BF1362" s="224" t="s">
        <v>490</v>
      </c>
      <c r="BG1362" s="224" t="s">
        <v>219</v>
      </c>
      <c r="BH1362">
        <v>0</v>
      </c>
    </row>
    <row r="1363" spans="17:60">
      <c r="Q1363" s="224" t="s">
        <v>228</v>
      </c>
      <c r="R1363" s="224" t="s">
        <v>490</v>
      </c>
      <c r="S1363" s="224" t="s">
        <v>219</v>
      </c>
      <c r="T1363" s="224">
        <f ca="1">OFFSET('Calculations 2'!$C$45,W1363,X1363)*OFFSET($N$6,W1363,0)</f>
        <v>0</v>
      </c>
      <c r="V1363">
        <f t="shared" si="65"/>
        <v>268</v>
      </c>
      <c r="W1363">
        <f t="shared" si="66"/>
        <v>4</v>
      </c>
      <c r="X1363">
        <f t="shared" si="67"/>
        <v>8</v>
      </c>
      <c r="AC1363" s="224" t="s">
        <v>228</v>
      </c>
      <c r="AD1363" s="224" t="s">
        <v>490</v>
      </c>
      <c r="AE1363" s="224" t="s">
        <v>219</v>
      </c>
      <c r="AF1363">
        <f ca="1">OFFSET('Calculations 2'!$CE$45,W1363,0)*OFFSET($AA$6,X1363,0)*OFFSET($N$6,W1363,)</f>
        <v>12.212099761250927</v>
      </c>
      <c r="AY1363" s="224" t="s">
        <v>228</v>
      </c>
      <c r="AZ1363" s="224" t="s">
        <v>490</v>
      </c>
      <c r="BA1363" s="224" t="s">
        <v>219</v>
      </c>
      <c r="BB1363">
        <v>0</v>
      </c>
      <c r="BE1363" s="224" t="s">
        <v>228</v>
      </c>
      <c r="BF1363" s="224" t="s">
        <v>490</v>
      </c>
      <c r="BG1363" s="224" t="s">
        <v>219</v>
      </c>
      <c r="BH1363">
        <v>0</v>
      </c>
    </row>
    <row r="1364" spans="17:60">
      <c r="Q1364" s="224" t="s">
        <v>246</v>
      </c>
      <c r="R1364" s="224" t="s">
        <v>490</v>
      </c>
      <c r="S1364" s="224" t="s">
        <v>219</v>
      </c>
      <c r="T1364" s="224">
        <f ca="1">OFFSET('Calculations 2'!$C$45,W1364,X1364)*OFFSET($N$6,W1364,0)</f>
        <v>0</v>
      </c>
      <c r="V1364">
        <f t="shared" si="65"/>
        <v>269</v>
      </c>
      <c r="W1364">
        <f t="shared" si="66"/>
        <v>5</v>
      </c>
      <c r="X1364">
        <f t="shared" si="67"/>
        <v>8</v>
      </c>
      <c r="AC1364" s="224" t="s">
        <v>246</v>
      </c>
      <c r="AD1364" s="224" t="s">
        <v>490</v>
      </c>
      <c r="AE1364" s="224" t="s">
        <v>219</v>
      </c>
      <c r="AF1364">
        <f ca="1">OFFSET('Calculations 2'!$CE$45,W1364,0)*OFFSET($AA$6,X1364,0)*OFFSET($N$6,W1364,)</f>
        <v>0.21858732853392698</v>
      </c>
      <c r="AY1364" s="224" t="s">
        <v>246</v>
      </c>
      <c r="AZ1364" s="224" t="s">
        <v>490</v>
      </c>
      <c r="BA1364" s="224" t="s">
        <v>219</v>
      </c>
      <c r="BB1364">
        <v>0</v>
      </c>
      <c r="BE1364" s="224" t="s">
        <v>246</v>
      </c>
      <c r="BF1364" s="224" t="s">
        <v>490</v>
      </c>
      <c r="BG1364" s="224" t="s">
        <v>219</v>
      </c>
      <c r="BH1364">
        <v>0</v>
      </c>
    </row>
    <row r="1365" spans="17:60">
      <c r="Q1365" s="224" t="s">
        <v>239</v>
      </c>
      <c r="R1365" s="224" t="s">
        <v>490</v>
      </c>
      <c r="S1365" s="224" t="s">
        <v>219</v>
      </c>
      <c r="T1365" s="224">
        <f ca="1">OFFSET('Calculations 2'!$C$45,W1365,X1365)*OFFSET($N$6,W1365,0)</f>
        <v>17.199236509287214</v>
      </c>
      <c r="V1365">
        <f t="shared" si="65"/>
        <v>270</v>
      </c>
      <c r="W1365">
        <f t="shared" si="66"/>
        <v>6</v>
      </c>
      <c r="X1365">
        <f t="shared" si="67"/>
        <v>8</v>
      </c>
      <c r="AC1365" s="224" t="s">
        <v>239</v>
      </c>
      <c r="AD1365" s="224" t="s">
        <v>490</v>
      </c>
      <c r="AE1365" s="224" t="s">
        <v>219</v>
      </c>
      <c r="AF1365">
        <f ca="1">OFFSET('Calculations 2'!$CE$45,W1365,0)*OFFSET($AA$6,X1365,0)*OFFSET($N$6,W1365,)</f>
        <v>3.1476398554485781</v>
      </c>
      <c r="AY1365" s="224" t="s">
        <v>239</v>
      </c>
      <c r="AZ1365" s="224" t="s">
        <v>490</v>
      </c>
      <c r="BA1365" s="224" t="s">
        <v>219</v>
      </c>
      <c r="BB1365">
        <v>0</v>
      </c>
      <c r="BE1365" s="224" t="s">
        <v>239</v>
      </c>
      <c r="BF1365" s="224" t="s">
        <v>490</v>
      </c>
      <c r="BG1365" s="224" t="s">
        <v>219</v>
      </c>
      <c r="BH1365">
        <v>0</v>
      </c>
    </row>
    <row r="1366" spans="17:60">
      <c r="Q1366" s="224" t="s">
        <v>466</v>
      </c>
      <c r="R1366" s="224" t="s">
        <v>490</v>
      </c>
      <c r="S1366" s="224" t="s">
        <v>219</v>
      </c>
      <c r="T1366" s="224">
        <f ca="1">OFFSET('Calculations 2'!$C$45,W1366,X1366)*OFFSET($N$6,W1366,0)</f>
        <v>87.464072625411902</v>
      </c>
      <c r="V1366">
        <f t="shared" si="65"/>
        <v>271</v>
      </c>
      <c r="W1366">
        <f t="shared" si="66"/>
        <v>7</v>
      </c>
      <c r="X1366">
        <f t="shared" si="67"/>
        <v>8</v>
      </c>
      <c r="AC1366" s="224" t="s">
        <v>466</v>
      </c>
      <c r="AD1366" s="224" t="s">
        <v>490</v>
      </c>
      <c r="AE1366" s="224" t="s">
        <v>219</v>
      </c>
      <c r="AF1366">
        <f ca="1">OFFSET('Calculations 2'!$CE$45,W1366,0)*OFFSET($AA$6,X1366,0)*OFFSET($N$6,W1366,)</f>
        <v>0.79261248379219817</v>
      </c>
      <c r="AY1366" s="224" t="s">
        <v>466</v>
      </c>
      <c r="AZ1366" s="224" t="s">
        <v>490</v>
      </c>
      <c r="BA1366" s="224" t="s">
        <v>219</v>
      </c>
      <c r="BB1366">
        <v>0</v>
      </c>
      <c r="BE1366" s="224" t="s">
        <v>466</v>
      </c>
      <c r="BF1366" s="224" t="s">
        <v>490</v>
      </c>
      <c r="BG1366" s="224" t="s">
        <v>219</v>
      </c>
      <c r="BH1366">
        <v>0</v>
      </c>
    </row>
    <row r="1367" spans="17:60">
      <c r="Q1367" s="224" t="s">
        <v>219</v>
      </c>
      <c r="R1367" s="224" t="s">
        <v>490</v>
      </c>
      <c r="S1367" s="224" t="s">
        <v>219</v>
      </c>
      <c r="T1367" s="224">
        <f ca="1">OFFSET('Calculations 2'!$C$45,W1367,X1367)*OFFSET($N$6,W1367,0)</f>
        <v>3980.3412901518227</v>
      </c>
      <c r="V1367">
        <f t="shared" si="65"/>
        <v>272</v>
      </c>
      <c r="W1367">
        <f t="shared" si="66"/>
        <v>8</v>
      </c>
      <c r="X1367">
        <f t="shared" si="67"/>
        <v>8</v>
      </c>
      <c r="AC1367" s="224" t="s">
        <v>219</v>
      </c>
      <c r="AD1367" s="224" t="s">
        <v>490</v>
      </c>
      <c r="AE1367" s="224" t="s">
        <v>219</v>
      </c>
      <c r="AF1367">
        <f ca="1">OFFSET('Calculations 2'!$CE$45,W1367,0)*OFFSET($AA$6,X1367,0)*OFFSET($N$6,W1367,)</f>
        <v>10.865397878103256</v>
      </c>
      <c r="AY1367" s="224" t="s">
        <v>219</v>
      </c>
      <c r="AZ1367" s="224" t="s">
        <v>490</v>
      </c>
      <c r="BA1367" s="224" t="s">
        <v>219</v>
      </c>
      <c r="BB1367">
        <v>0</v>
      </c>
      <c r="BE1367" s="224" t="s">
        <v>219</v>
      </c>
      <c r="BF1367" s="224" t="s">
        <v>490</v>
      </c>
      <c r="BG1367" s="224" t="s">
        <v>219</v>
      </c>
      <c r="BH1367">
        <v>0</v>
      </c>
    </row>
    <row r="1368" spans="17:60">
      <c r="Q1368" s="224" t="s">
        <v>242</v>
      </c>
      <c r="R1368" s="224" t="s">
        <v>490</v>
      </c>
      <c r="S1368" s="224" t="s">
        <v>219</v>
      </c>
      <c r="T1368" s="224">
        <f ca="1">OFFSET('Calculations 2'!$C$45,W1368,X1368)*OFFSET($N$6,W1368,0)</f>
        <v>371.95443456237433</v>
      </c>
      <c r="V1368">
        <f t="shared" si="65"/>
        <v>273</v>
      </c>
      <c r="W1368">
        <f t="shared" si="66"/>
        <v>9</v>
      </c>
      <c r="X1368">
        <f t="shared" si="67"/>
        <v>8</v>
      </c>
      <c r="AC1368" s="224" t="s">
        <v>242</v>
      </c>
      <c r="AD1368" s="224" t="s">
        <v>490</v>
      </c>
      <c r="AE1368" s="224" t="s">
        <v>219</v>
      </c>
      <c r="AF1368">
        <f ca="1">OFFSET('Calculations 2'!$CE$45,W1368,0)*OFFSET($AA$6,X1368,0)*OFFSET($N$6,W1368,)</f>
        <v>8.3214505365913602</v>
      </c>
      <c r="AY1368" s="224" t="s">
        <v>242</v>
      </c>
      <c r="AZ1368" s="224" t="s">
        <v>490</v>
      </c>
      <c r="BA1368" s="224" t="s">
        <v>219</v>
      </c>
      <c r="BB1368">
        <v>0</v>
      </c>
      <c r="BE1368" s="224" t="s">
        <v>242</v>
      </c>
      <c r="BF1368" s="224" t="s">
        <v>490</v>
      </c>
      <c r="BG1368" s="224" t="s">
        <v>219</v>
      </c>
      <c r="BH1368">
        <v>0</v>
      </c>
    </row>
    <row r="1369" spans="17:60">
      <c r="Q1369" s="224" t="s">
        <v>467</v>
      </c>
      <c r="R1369" s="224" t="s">
        <v>490</v>
      </c>
      <c r="S1369" s="224" t="s">
        <v>219</v>
      </c>
      <c r="T1369" s="224">
        <f ca="1">OFFSET('Calculations 2'!$C$45,W1369,X1369)*OFFSET($N$6,W1369,0)</f>
        <v>97.543063473483514</v>
      </c>
      <c r="V1369">
        <f t="shared" si="65"/>
        <v>274</v>
      </c>
      <c r="W1369">
        <f t="shared" si="66"/>
        <v>10</v>
      </c>
      <c r="X1369">
        <f t="shared" si="67"/>
        <v>8</v>
      </c>
      <c r="AC1369" s="224" t="s">
        <v>467</v>
      </c>
      <c r="AD1369" s="224" t="s">
        <v>490</v>
      </c>
      <c r="AE1369" s="224" t="s">
        <v>219</v>
      </c>
      <c r="AF1369">
        <f ca="1">OFFSET('Calculations 2'!$CE$45,W1369,0)*OFFSET($AA$6,X1369,0)*OFFSET($N$6,W1369,)</f>
        <v>3.1412423274956511</v>
      </c>
      <c r="AY1369" s="224" t="s">
        <v>467</v>
      </c>
      <c r="AZ1369" s="224" t="s">
        <v>490</v>
      </c>
      <c r="BA1369" s="224" t="s">
        <v>219</v>
      </c>
      <c r="BB1369">
        <v>0</v>
      </c>
      <c r="BE1369" s="224" t="s">
        <v>467</v>
      </c>
      <c r="BF1369" s="224" t="s">
        <v>490</v>
      </c>
      <c r="BG1369" s="224" t="s">
        <v>219</v>
      </c>
      <c r="BH1369">
        <v>0</v>
      </c>
    </row>
    <row r="1370" spans="17:60">
      <c r="Q1370" s="224" t="s">
        <v>231</v>
      </c>
      <c r="R1370" s="224" t="s">
        <v>490</v>
      </c>
      <c r="S1370" s="224" t="s">
        <v>219</v>
      </c>
      <c r="T1370" s="224">
        <f ca="1">OFFSET('Calculations 2'!$C$45,W1370,X1370)*OFFSET($N$6,W1370,0)</f>
        <v>1.3580893919699684</v>
      </c>
      <c r="V1370">
        <f t="shared" si="65"/>
        <v>275</v>
      </c>
      <c r="W1370">
        <f t="shared" si="66"/>
        <v>11</v>
      </c>
      <c r="X1370">
        <f t="shared" si="67"/>
        <v>8</v>
      </c>
      <c r="AC1370" s="224" t="s">
        <v>231</v>
      </c>
      <c r="AD1370" s="224" t="s">
        <v>490</v>
      </c>
      <c r="AE1370" s="224" t="s">
        <v>219</v>
      </c>
      <c r="AF1370">
        <f ca="1">OFFSET('Calculations 2'!$CE$45,W1370,0)*OFFSET($AA$6,X1370,0)*OFFSET($N$6,W1370,)</f>
        <v>39.319366657318035</v>
      </c>
      <c r="AY1370" s="224" t="s">
        <v>231</v>
      </c>
      <c r="AZ1370" s="224" t="s">
        <v>490</v>
      </c>
      <c r="BA1370" s="224" t="s">
        <v>219</v>
      </c>
      <c r="BB1370">
        <v>0</v>
      </c>
      <c r="BE1370" s="224" t="s">
        <v>231</v>
      </c>
      <c r="BF1370" s="224" t="s">
        <v>490</v>
      </c>
      <c r="BG1370" s="224" t="s">
        <v>219</v>
      </c>
      <c r="BH1370">
        <v>0</v>
      </c>
    </row>
    <row r="1371" spans="17:60">
      <c r="Q1371" s="224" t="s">
        <v>468</v>
      </c>
      <c r="R1371" s="224" t="s">
        <v>490</v>
      </c>
      <c r="S1371" s="224" t="s">
        <v>219</v>
      </c>
      <c r="T1371" s="224">
        <f ca="1">OFFSET('Calculations 2'!$C$45,W1371,X1371)*OFFSET($N$6,W1371,0)</f>
        <v>31.64671958022247</v>
      </c>
      <c r="V1371">
        <f t="shared" si="65"/>
        <v>276</v>
      </c>
      <c r="W1371">
        <f t="shared" si="66"/>
        <v>12</v>
      </c>
      <c r="X1371">
        <f t="shared" si="67"/>
        <v>8</v>
      </c>
      <c r="AC1371" s="224" t="s">
        <v>468</v>
      </c>
      <c r="AD1371" s="224" t="s">
        <v>490</v>
      </c>
      <c r="AE1371" s="224" t="s">
        <v>219</v>
      </c>
      <c r="AF1371">
        <f ca="1">OFFSET('Calculations 2'!$CE$45,W1371,0)*OFFSET($AA$6,X1371,0)*OFFSET($N$6,W1371,)</f>
        <v>150.6235249058609</v>
      </c>
      <c r="AY1371" s="224" t="s">
        <v>468</v>
      </c>
      <c r="AZ1371" s="224" t="s">
        <v>490</v>
      </c>
      <c r="BA1371" s="224" t="s">
        <v>219</v>
      </c>
      <c r="BB1371">
        <v>0</v>
      </c>
      <c r="BE1371" s="224" t="s">
        <v>468</v>
      </c>
      <c r="BF1371" s="224" t="s">
        <v>490</v>
      </c>
      <c r="BG1371" s="224" t="s">
        <v>219</v>
      </c>
      <c r="BH1371">
        <v>0</v>
      </c>
    </row>
    <row r="1372" spans="17:60">
      <c r="Q1372" s="224" t="s">
        <v>469</v>
      </c>
      <c r="R1372" s="224" t="s">
        <v>490</v>
      </c>
      <c r="S1372" s="224" t="s">
        <v>219</v>
      </c>
      <c r="T1372" s="224">
        <f ca="1">OFFSET('Calculations 2'!$C$45,W1372,X1372)*OFFSET($N$6,W1372,0)</f>
        <v>0.16256937894342088</v>
      </c>
      <c r="V1372">
        <f t="shared" si="65"/>
        <v>277</v>
      </c>
      <c r="W1372">
        <f t="shared" si="66"/>
        <v>13</v>
      </c>
      <c r="X1372">
        <f t="shared" si="67"/>
        <v>8</v>
      </c>
      <c r="AC1372" s="224" t="s">
        <v>469</v>
      </c>
      <c r="AD1372" s="224" t="s">
        <v>490</v>
      </c>
      <c r="AE1372" s="224" t="s">
        <v>219</v>
      </c>
      <c r="AF1372">
        <f ca="1">OFFSET('Calculations 2'!$CE$45,W1372,0)*OFFSET($AA$6,X1372,0)*OFFSET($N$6,W1372,)</f>
        <v>80.759739279848688</v>
      </c>
      <c r="AY1372" s="224" t="s">
        <v>469</v>
      </c>
      <c r="AZ1372" s="224" t="s">
        <v>490</v>
      </c>
      <c r="BA1372" s="224" t="s">
        <v>219</v>
      </c>
      <c r="BB1372">
        <v>0</v>
      </c>
      <c r="BE1372" s="224" t="s">
        <v>469</v>
      </c>
      <c r="BF1372" s="224" t="s">
        <v>490</v>
      </c>
      <c r="BG1372" s="224" t="s">
        <v>219</v>
      </c>
      <c r="BH1372">
        <v>0</v>
      </c>
    </row>
    <row r="1373" spans="17:60">
      <c r="Q1373" s="224" t="s">
        <v>245</v>
      </c>
      <c r="R1373" s="224" t="s">
        <v>490</v>
      </c>
      <c r="S1373" s="224" t="s">
        <v>219</v>
      </c>
      <c r="T1373" s="224">
        <f ca="1">OFFSET('Calculations 2'!$C$45,W1373,X1373)*OFFSET($N$6,W1373,0)</f>
        <v>54.545758778591164</v>
      </c>
      <c r="V1373">
        <f t="shared" si="65"/>
        <v>278</v>
      </c>
      <c r="W1373">
        <f t="shared" si="66"/>
        <v>14</v>
      </c>
      <c r="X1373">
        <f t="shared" si="67"/>
        <v>8</v>
      </c>
      <c r="AC1373" s="224" t="s">
        <v>245</v>
      </c>
      <c r="AD1373" s="224" t="s">
        <v>490</v>
      </c>
      <c r="AE1373" s="224" t="s">
        <v>219</v>
      </c>
      <c r="AF1373">
        <f ca="1">OFFSET('Calculations 2'!$CE$45,W1373,0)*OFFSET($AA$6,X1373,0)*OFFSET($N$6,W1373,)</f>
        <v>128.88346029408953</v>
      </c>
      <c r="AY1373" s="224" t="s">
        <v>245</v>
      </c>
      <c r="AZ1373" s="224" t="s">
        <v>490</v>
      </c>
      <c r="BA1373" s="224" t="s">
        <v>219</v>
      </c>
      <c r="BB1373">
        <v>0</v>
      </c>
      <c r="BE1373" s="224" t="s">
        <v>245</v>
      </c>
      <c r="BF1373" s="224" t="s">
        <v>490</v>
      </c>
      <c r="BG1373" s="224" t="s">
        <v>219</v>
      </c>
      <c r="BH1373">
        <v>0</v>
      </c>
    </row>
    <row r="1374" spans="17:60">
      <c r="Q1374" s="224" t="s">
        <v>470</v>
      </c>
      <c r="R1374" s="224" t="s">
        <v>490</v>
      </c>
      <c r="S1374" s="224" t="s">
        <v>219</v>
      </c>
      <c r="T1374" s="224">
        <f ca="1">OFFSET('Calculations 2'!$C$45,W1374,X1374)*OFFSET($N$6,W1374,0)</f>
        <v>41.104548299529256</v>
      </c>
      <c r="V1374">
        <f t="shared" si="65"/>
        <v>279</v>
      </c>
      <c r="W1374">
        <f t="shared" si="66"/>
        <v>15</v>
      </c>
      <c r="X1374">
        <f t="shared" si="67"/>
        <v>8</v>
      </c>
      <c r="AC1374" s="224" t="s">
        <v>470</v>
      </c>
      <c r="AD1374" s="224" t="s">
        <v>490</v>
      </c>
      <c r="AE1374" s="224" t="s">
        <v>219</v>
      </c>
      <c r="AF1374">
        <f ca="1">OFFSET('Calculations 2'!$CE$45,W1374,0)*OFFSET($AA$6,X1374,0)*OFFSET($N$6,W1374,)</f>
        <v>48.902853035933433</v>
      </c>
      <c r="AY1374" s="224" t="s">
        <v>470</v>
      </c>
      <c r="AZ1374" s="224" t="s">
        <v>490</v>
      </c>
      <c r="BA1374" s="224" t="s">
        <v>219</v>
      </c>
      <c r="BB1374">
        <v>0</v>
      </c>
      <c r="BE1374" s="224" t="s">
        <v>470</v>
      </c>
      <c r="BF1374" s="224" t="s">
        <v>490</v>
      </c>
      <c r="BG1374" s="224" t="s">
        <v>219</v>
      </c>
      <c r="BH1374">
        <v>0</v>
      </c>
    </row>
    <row r="1375" spans="17:60">
      <c r="Q1375" s="224" t="s">
        <v>471</v>
      </c>
      <c r="R1375" s="224" t="s">
        <v>490</v>
      </c>
      <c r="S1375" s="224" t="s">
        <v>219</v>
      </c>
      <c r="T1375" s="224">
        <f ca="1">OFFSET('Calculations 2'!$C$45,W1375,X1375)*OFFSET($N$6,W1375,0)</f>
        <v>1.1335922599420185</v>
      </c>
      <c r="V1375">
        <f t="shared" si="65"/>
        <v>280</v>
      </c>
      <c r="W1375">
        <f t="shared" si="66"/>
        <v>16</v>
      </c>
      <c r="X1375">
        <f t="shared" si="67"/>
        <v>8</v>
      </c>
      <c r="AC1375" s="224" t="s">
        <v>471</v>
      </c>
      <c r="AD1375" s="224" t="s">
        <v>490</v>
      </c>
      <c r="AE1375" s="224" t="s">
        <v>219</v>
      </c>
      <c r="AF1375">
        <f ca="1">OFFSET('Calculations 2'!$CE$45,W1375,0)*OFFSET($AA$6,X1375,0)*OFFSET($N$6,W1375,)</f>
        <v>0</v>
      </c>
      <c r="AY1375" s="224" t="s">
        <v>471</v>
      </c>
      <c r="AZ1375" s="224" t="s">
        <v>490</v>
      </c>
      <c r="BA1375" s="224" t="s">
        <v>219</v>
      </c>
      <c r="BB1375">
        <v>0</v>
      </c>
      <c r="BE1375" s="224" t="s">
        <v>471</v>
      </c>
      <c r="BF1375" s="224" t="s">
        <v>490</v>
      </c>
      <c r="BG1375" s="224" t="s">
        <v>219</v>
      </c>
      <c r="BH1375">
        <v>0</v>
      </c>
    </row>
    <row r="1376" spans="17:60">
      <c r="Q1376" s="224" t="s">
        <v>221</v>
      </c>
      <c r="R1376" s="224" t="s">
        <v>490</v>
      </c>
      <c r="S1376" s="224" t="s">
        <v>219</v>
      </c>
      <c r="T1376" s="224">
        <f ca="1">OFFSET('Calculations 2'!$C$45,W1376,X1376)*OFFSET($N$6,W1376,0)</f>
        <v>0.29259888698804137</v>
      </c>
      <c r="V1376">
        <f t="shared" si="65"/>
        <v>281</v>
      </c>
      <c r="W1376">
        <f t="shared" si="66"/>
        <v>17</v>
      </c>
      <c r="X1376">
        <f t="shared" si="67"/>
        <v>8</v>
      </c>
      <c r="AC1376" s="224" t="s">
        <v>221</v>
      </c>
      <c r="AD1376" s="224" t="s">
        <v>490</v>
      </c>
      <c r="AE1376" s="224" t="s">
        <v>219</v>
      </c>
      <c r="AF1376">
        <f ca="1">OFFSET('Calculations 2'!$CE$45,W1376,0)*OFFSET($AA$6,X1376,0)*OFFSET($N$6,W1376,)</f>
        <v>9.5730150554149862</v>
      </c>
      <c r="AY1376" s="224" t="s">
        <v>221</v>
      </c>
      <c r="AZ1376" s="224" t="s">
        <v>490</v>
      </c>
      <c r="BA1376" s="224" t="s">
        <v>219</v>
      </c>
      <c r="BB1376">
        <v>0</v>
      </c>
      <c r="BE1376" s="224" t="s">
        <v>221</v>
      </c>
      <c r="BF1376" s="224" t="s">
        <v>490</v>
      </c>
      <c r="BG1376" s="224" t="s">
        <v>219</v>
      </c>
      <c r="BH1376">
        <v>0</v>
      </c>
    </row>
    <row r="1377" spans="17:60">
      <c r="Q1377" s="224" t="s">
        <v>244</v>
      </c>
      <c r="R1377" s="224" t="s">
        <v>490</v>
      </c>
      <c r="S1377" s="224" t="s">
        <v>219</v>
      </c>
      <c r="T1377" s="224">
        <f ca="1">OFFSET('Calculations 2'!$C$45,W1377,X1377)*OFFSET($N$6,W1377,0)</f>
        <v>11.654935005960995</v>
      </c>
      <c r="V1377">
        <f t="shared" si="65"/>
        <v>282</v>
      </c>
      <c r="W1377">
        <f t="shared" si="66"/>
        <v>18</v>
      </c>
      <c r="X1377">
        <f t="shared" si="67"/>
        <v>8</v>
      </c>
      <c r="AC1377" s="224" t="s">
        <v>244</v>
      </c>
      <c r="AD1377" s="224" t="s">
        <v>490</v>
      </c>
      <c r="AE1377" s="224" t="s">
        <v>219</v>
      </c>
      <c r="AF1377">
        <f ca="1">OFFSET('Calculations 2'!$CE$45,W1377,0)*OFFSET($AA$6,X1377,0)*OFFSET($N$6,W1377,)</f>
        <v>0.83757384450954497</v>
      </c>
      <c r="AY1377" s="224" t="s">
        <v>244</v>
      </c>
      <c r="AZ1377" s="224" t="s">
        <v>490</v>
      </c>
      <c r="BA1377" s="224" t="s">
        <v>219</v>
      </c>
      <c r="BB1377">
        <v>0</v>
      </c>
      <c r="BE1377" s="224" t="s">
        <v>244</v>
      </c>
      <c r="BF1377" s="224" t="s">
        <v>490</v>
      </c>
      <c r="BG1377" s="224" t="s">
        <v>219</v>
      </c>
      <c r="BH1377">
        <v>0</v>
      </c>
    </row>
    <row r="1378" spans="17:60">
      <c r="Q1378" s="224" t="s">
        <v>472</v>
      </c>
      <c r="R1378" s="224" t="s">
        <v>490</v>
      </c>
      <c r="S1378" s="224" t="s">
        <v>219</v>
      </c>
      <c r="T1378" s="224">
        <f ca="1">OFFSET('Calculations 2'!$C$45,W1378,X1378)*OFFSET($N$6,W1378,0)</f>
        <v>0</v>
      </c>
      <c r="V1378">
        <f t="shared" si="65"/>
        <v>283</v>
      </c>
      <c r="W1378">
        <f t="shared" si="66"/>
        <v>19</v>
      </c>
      <c r="X1378">
        <f t="shared" si="67"/>
        <v>8</v>
      </c>
      <c r="AC1378" s="224" t="s">
        <v>472</v>
      </c>
      <c r="AD1378" s="224" t="s">
        <v>490</v>
      </c>
      <c r="AE1378" s="224" t="s">
        <v>219</v>
      </c>
      <c r="AF1378">
        <f ca="1">OFFSET('Calculations 2'!$CE$45,W1378,0)*OFFSET($AA$6,X1378,0)*OFFSET($N$6,W1378,)</f>
        <v>0</v>
      </c>
      <c r="AY1378" s="224" t="s">
        <v>472</v>
      </c>
      <c r="AZ1378" s="224" t="s">
        <v>490</v>
      </c>
      <c r="BA1378" s="224" t="s">
        <v>219</v>
      </c>
      <c r="BB1378">
        <v>0</v>
      </c>
      <c r="BE1378" s="224" t="s">
        <v>472</v>
      </c>
      <c r="BF1378" s="224" t="s">
        <v>490</v>
      </c>
      <c r="BG1378" s="224" t="s">
        <v>219</v>
      </c>
      <c r="BH1378">
        <v>0</v>
      </c>
    </row>
    <row r="1379" spans="17:60">
      <c r="Q1379" s="224" t="s">
        <v>238</v>
      </c>
      <c r="R1379" s="224" t="s">
        <v>490</v>
      </c>
      <c r="S1379" s="224" t="s">
        <v>219</v>
      </c>
      <c r="T1379" s="224">
        <f ca="1">OFFSET('Calculations 2'!$C$45,W1379,X1379)*OFFSET($N$6,W1379,0)</f>
        <v>0.34549915568460959</v>
      </c>
      <c r="V1379">
        <f t="shared" si="65"/>
        <v>284</v>
      </c>
      <c r="W1379">
        <f t="shared" si="66"/>
        <v>20</v>
      </c>
      <c r="X1379">
        <f t="shared" si="67"/>
        <v>8</v>
      </c>
      <c r="AC1379" s="224" t="s">
        <v>238</v>
      </c>
      <c r="AD1379" s="224" t="s">
        <v>490</v>
      </c>
      <c r="AE1379" s="224" t="s">
        <v>219</v>
      </c>
      <c r="AF1379">
        <f ca="1">OFFSET('Calculations 2'!$CE$45,W1379,0)*OFFSET($AA$6,X1379,0)*OFFSET($N$6,W1379,)</f>
        <v>0</v>
      </c>
      <c r="AY1379" s="224" t="s">
        <v>238</v>
      </c>
      <c r="AZ1379" s="224" t="s">
        <v>490</v>
      </c>
      <c r="BA1379" s="224" t="s">
        <v>219</v>
      </c>
      <c r="BB1379">
        <v>0</v>
      </c>
      <c r="BE1379" s="224" t="s">
        <v>238</v>
      </c>
      <c r="BF1379" s="224" t="s">
        <v>490</v>
      </c>
      <c r="BG1379" s="224" t="s">
        <v>219</v>
      </c>
      <c r="BH1379">
        <v>0</v>
      </c>
    </row>
    <row r="1380" spans="17:60">
      <c r="Q1380" s="224" t="s">
        <v>247</v>
      </c>
      <c r="R1380" s="224" t="s">
        <v>490</v>
      </c>
      <c r="S1380" s="224" t="s">
        <v>219</v>
      </c>
      <c r="T1380" s="224">
        <f ca="1">OFFSET('Calculations 2'!$C$45,W1380,X1380)*OFFSET($N$6,W1380,0)</f>
        <v>0</v>
      </c>
      <c r="V1380">
        <f t="shared" si="65"/>
        <v>285</v>
      </c>
      <c r="W1380">
        <f t="shared" si="66"/>
        <v>21</v>
      </c>
      <c r="X1380">
        <f t="shared" si="67"/>
        <v>8</v>
      </c>
      <c r="AC1380" s="224" t="s">
        <v>247</v>
      </c>
      <c r="AD1380" s="224" t="s">
        <v>490</v>
      </c>
      <c r="AE1380" s="224" t="s">
        <v>219</v>
      </c>
      <c r="AF1380">
        <f ca="1">OFFSET('Calculations 2'!$CE$45,W1380,0)*OFFSET($AA$6,X1380,0)*OFFSET($N$6,W1380,)</f>
        <v>0</v>
      </c>
      <c r="AY1380" s="224" t="s">
        <v>247</v>
      </c>
      <c r="AZ1380" s="224" t="s">
        <v>490</v>
      </c>
      <c r="BA1380" s="224" t="s">
        <v>219</v>
      </c>
      <c r="BB1380">
        <v>0</v>
      </c>
      <c r="BE1380" s="224" t="s">
        <v>247</v>
      </c>
      <c r="BF1380" s="224" t="s">
        <v>490</v>
      </c>
      <c r="BG1380" s="224" t="s">
        <v>219</v>
      </c>
      <c r="BH1380">
        <v>0</v>
      </c>
    </row>
    <row r="1381" spans="17:60">
      <c r="Q1381" s="224" t="s">
        <v>218</v>
      </c>
      <c r="R1381" s="224" t="s">
        <v>490</v>
      </c>
      <c r="S1381" s="224" t="s">
        <v>219</v>
      </c>
      <c r="T1381" s="224">
        <f ca="1">OFFSET('Calculations 2'!$C$45,W1381,X1381)*OFFSET($N$6,W1381,0)</f>
        <v>13.097787231572747</v>
      </c>
      <c r="V1381">
        <f t="shared" si="65"/>
        <v>286</v>
      </c>
      <c r="W1381">
        <f t="shared" si="66"/>
        <v>22</v>
      </c>
      <c r="X1381">
        <f t="shared" si="67"/>
        <v>8</v>
      </c>
      <c r="AC1381" s="224" t="s">
        <v>218</v>
      </c>
      <c r="AD1381" s="224" t="s">
        <v>490</v>
      </c>
      <c r="AE1381" s="224" t="s">
        <v>219</v>
      </c>
      <c r="AF1381">
        <f ca="1">OFFSET('Calculations 2'!$CE$45,W1381,0)*OFFSET($AA$6,X1381,0)*OFFSET($N$6,W1381,)</f>
        <v>0</v>
      </c>
      <c r="AY1381" s="224" t="s">
        <v>218</v>
      </c>
      <c r="AZ1381" s="224" t="s">
        <v>490</v>
      </c>
      <c r="BA1381" s="224" t="s">
        <v>219</v>
      </c>
      <c r="BB1381">
        <v>0</v>
      </c>
      <c r="BE1381" s="224" t="s">
        <v>218</v>
      </c>
      <c r="BF1381" s="224" t="s">
        <v>490</v>
      </c>
      <c r="BG1381" s="224" t="s">
        <v>219</v>
      </c>
      <c r="BH1381">
        <v>0</v>
      </c>
    </row>
    <row r="1382" spans="17:60">
      <c r="Q1382" s="224" t="s">
        <v>257</v>
      </c>
      <c r="R1382" s="224" t="s">
        <v>490</v>
      </c>
      <c r="S1382" s="224" t="s">
        <v>219</v>
      </c>
      <c r="T1382" s="224">
        <f ca="1">OFFSET('Calculations 2'!$C$45,W1382,X1382)*OFFSET($N$6,W1382,0)</f>
        <v>1.2412215339183152</v>
      </c>
      <c r="V1382">
        <f t="shared" si="65"/>
        <v>287</v>
      </c>
      <c r="W1382">
        <f t="shared" si="66"/>
        <v>23</v>
      </c>
      <c r="X1382">
        <f t="shared" si="67"/>
        <v>8</v>
      </c>
      <c r="AC1382" s="224" t="s">
        <v>257</v>
      </c>
      <c r="AD1382" s="224" t="s">
        <v>490</v>
      </c>
      <c r="AE1382" s="224" t="s">
        <v>219</v>
      </c>
      <c r="AF1382">
        <f ca="1">OFFSET('Calculations 2'!$CE$45,W1382,0)*OFFSET($AA$6,X1382,0)*OFFSET($N$6,W1382,)</f>
        <v>0</v>
      </c>
      <c r="AY1382" s="224" t="s">
        <v>257</v>
      </c>
      <c r="AZ1382" s="224" t="s">
        <v>490</v>
      </c>
      <c r="BA1382" s="224" t="s">
        <v>219</v>
      </c>
      <c r="BB1382">
        <v>0</v>
      </c>
      <c r="BE1382" s="224" t="s">
        <v>257</v>
      </c>
      <c r="BF1382" s="224" t="s">
        <v>490</v>
      </c>
      <c r="BG1382" s="224" t="s">
        <v>219</v>
      </c>
      <c r="BH1382">
        <v>0</v>
      </c>
    </row>
    <row r="1383" spans="17:60">
      <c r="Q1383" s="224" t="s">
        <v>220</v>
      </c>
      <c r="R1383" s="224" t="s">
        <v>490</v>
      </c>
      <c r="S1383" s="224" t="s">
        <v>219</v>
      </c>
      <c r="T1383" s="224">
        <f ca="1">OFFSET('Calculations 2'!$C$45,W1383,X1383)*OFFSET($N$6,W1383,0)</f>
        <v>0.65840247459239065</v>
      </c>
      <c r="V1383">
        <f t="shared" si="65"/>
        <v>288</v>
      </c>
      <c r="W1383">
        <f t="shared" si="66"/>
        <v>24</v>
      </c>
      <c r="X1383">
        <f t="shared" si="67"/>
        <v>8</v>
      </c>
      <c r="AC1383" s="224" t="s">
        <v>220</v>
      </c>
      <c r="AD1383" s="224" t="s">
        <v>490</v>
      </c>
      <c r="AE1383" s="224" t="s">
        <v>219</v>
      </c>
      <c r="AF1383">
        <f ca="1">OFFSET('Calculations 2'!$CE$45,W1383,0)*OFFSET($AA$6,X1383,0)*OFFSET($N$6,W1383,)</f>
        <v>0</v>
      </c>
      <c r="AY1383" s="224" t="s">
        <v>220</v>
      </c>
      <c r="AZ1383" s="224" t="s">
        <v>490</v>
      </c>
      <c r="BA1383" s="224" t="s">
        <v>219</v>
      </c>
      <c r="BB1383">
        <v>0</v>
      </c>
      <c r="BE1383" s="224" t="s">
        <v>220</v>
      </c>
      <c r="BF1383" s="224" t="s">
        <v>490</v>
      </c>
      <c r="BG1383" s="224" t="s">
        <v>219</v>
      </c>
      <c r="BH1383">
        <v>0</v>
      </c>
    </row>
    <row r="1384" spans="17:60">
      <c r="Q1384" s="224" t="s">
        <v>235</v>
      </c>
      <c r="R1384" s="224" t="s">
        <v>490</v>
      </c>
      <c r="S1384" s="224" t="s">
        <v>219</v>
      </c>
      <c r="T1384" s="224">
        <f ca="1">OFFSET('Calculations 2'!$C$45,W1384,X1384)*OFFSET($N$6,W1384,0)</f>
        <v>0.5135318497980027</v>
      </c>
      <c r="V1384">
        <f t="shared" si="65"/>
        <v>289</v>
      </c>
      <c r="W1384">
        <f t="shared" si="66"/>
        <v>25</v>
      </c>
      <c r="X1384">
        <f t="shared" si="67"/>
        <v>8</v>
      </c>
      <c r="AC1384" s="224" t="s">
        <v>235</v>
      </c>
      <c r="AD1384" s="224" t="s">
        <v>490</v>
      </c>
      <c r="AE1384" s="224" t="s">
        <v>219</v>
      </c>
      <c r="AF1384">
        <f ca="1">OFFSET('Calculations 2'!$CE$45,W1384,0)*OFFSET($AA$6,X1384,0)*OFFSET($N$6,W1384,)</f>
        <v>0</v>
      </c>
      <c r="AY1384" s="224" t="s">
        <v>235</v>
      </c>
      <c r="AZ1384" s="224" t="s">
        <v>490</v>
      </c>
      <c r="BA1384" s="224" t="s">
        <v>219</v>
      </c>
      <c r="BB1384">
        <v>0</v>
      </c>
      <c r="BE1384" s="224" t="s">
        <v>235</v>
      </c>
      <c r="BF1384" s="224" t="s">
        <v>490</v>
      </c>
      <c r="BG1384" s="224" t="s">
        <v>219</v>
      </c>
      <c r="BH1384">
        <v>0</v>
      </c>
    </row>
    <row r="1385" spans="17:60">
      <c r="Q1385" s="224" t="s">
        <v>473</v>
      </c>
      <c r="R1385" s="224" t="s">
        <v>490</v>
      </c>
      <c r="S1385" s="224" t="s">
        <v>219</v>
      </c>
      <c r="T1385" s="224">
        <f ca="1">OFFSET('Calculations 2'!$C$45,W1385,X1385)*OFFSET($N$6,W1385,0)</f>
        <v>0.45378899800550737</v>
      </c>
      <c r="V1385">
        <f t="shared" si="65"/>
        <v>290</v>
      </c>
      <c r="W1385">
        <f t="shared" si="66"/>
        <v>26</v>
      </c>
      <c r="X1385">
        <f t="shared" si="67"/>
        <v>8</v>
      </c>
      <c r="AC1385" s="224" t="s">
        <v>473</v>
      </c>
      <c r="AD1385" s="224" t="s">
        <v>490</v>
      </c>
      <c r="AE1385" s="224" t="s">
        <v>219</v>
      </c>
      <c r="AF1385">
        <f ca="1">OFFSET('Calculations 2'!$CE$45,W1385,0)*OFFSET($AA$6,X1385,0)*OFFSET($N$6,W1385,)</f>
        <v>0</v>
      </c>
      <c r="AY1385" s="224" t="s">
        <v>473</v>
      </c>
      <c r="AZ1385" s="224" t="s">
        <v>490</v>
      </c>
      <c r="BA1385" s="224" t="s">
        <v>219</v>
      </c>
      <c r="BB1385">
        <v>0</v>
      </c>
      <c r="BE1385" s="224" t="s">
        <v>473</v>
      </c>
      <c r="BF1385" s="224" t="s">
        <v>490</v>
      </c>
      <c r="BG1385" s="224" t="s">
        <v>219</v>
      </c>
      <c r="BH1385">
        <v>0</v>
      </c>
    </row>
    <row r="1386" spans="17:60">
      <c r="Q1386" s="224" t="s">
        <v>233</v>
      </c>
      <c r="R1386" s="224" t="s">
        <v>490</v>
      </c>
      <c r="S1386" s="224" t="s">
        <v>219</v>
      </c>
      <c r="T1386" s="224">
        <f ca="1">OFFSET('Calculations 2'!$C$45,W1386,X1386)*OFFSET($N$6,W1386,0)</f>
        <v>2.92179108036858</v>
      </c>
      <c r="V1386">
        <f t="shared" si="65"/>
        <v>291</v>
      </c>
      <c r="W1386">
        <f t="shared" si="66"/>
        <v>27</v>
      </c>
      <c r="X1386">
        <f t="shared" si="67"/>
        <v>8</v>
      </c>
      <c r="AC1386" s="224" t="s">
        <v>233</v>
      </c>
      <c r="AD1386" s="224" t="s">
        <v>490</v>
      </c>
      <c r="AE1386" s="224" t="s">
        <v>219</v>
      </c>
      <c r="AF1386">
        <f ca="1">OFFSET('Calculations 2'!$CE$45,W1386,0)*OFFSET($AA$6,X1386,0)*OFFSET($N$6,W1386,)</f>
        <v>0</v>
      </c>
      <c r="AY1386" s="224" t="s">
        <v>233</v>
      </c>
      <c r="AZ1386" s="224" t="s">
        <v>490</v>
      </c>
      <c r="BA1386" s="224" t="s">
        <v>219</v>
      </c>
      <c r="BB1386">
        <v>0</v>
      </c>
      <c r="BE1386" s="224" t="s">
        <v>233</v>
      </c>
      <c r="BF1386" s="224" t="s">
        <v>490</v>
      </c>
      <c r="BG1386" s="224" t="s">
        <v>219</v>
      </c>
      <c r="BH1386">
        <v>0</v>
      </c>
    </row>
    <row r="1387" spans="17:60">
      <c r="Q1387" s="224" t="s">
        <v>474</v>
      </c>
      <c r="R1387" s="224" t="s">
        <v>490</v>
      </c>
      <c r="S1387" s="224" t="s">
        <v>219</v>
      </c>
      <c r="T1387" s="224">
        <f ca="1">OFFSET('Calculations 2'!$C$45,W1387,X1387)*OFFSET($N$6,W1387,0)</f>
        <v>0.20903796739331604</v>
      </c>
      <c r="V1387">
        <f t="shared" si="65"/>
        <v>292</v>
      </c>
      <c r="W1387">
        <f t="shared" si="66"/>
        <v>28</v>
      </c>
      <c r="X1387">
        <f t="shared" si="67"/>
        <v>8</v>
      </c>
      <c r="AC1387" s="224" t="s">
        <v>474</v>
      </c>
      <c r="AD1387" s="224" t="s">
        <v>490</v>
      </c>
      <c r="AE1387" s="224" t="s">
        <v>219</v>
      </c>
      <c r="AF1387">
        <f ca="1">OFFSET('Calculations 2'!$CE$45,W1387,0)*OFFSET($AA$6,X1387,0)*OFFSET($N$6,W1387,)</f>
        <v>0</v>
      </c>
      <c r="AY1387" s="224" t="s">
        <v>474</v>
      </c>
      <c r="AZ1387" s="224" t="s">
        <v>490</v>
      </c>
      <c r="BA1387" s="224" t="s">
        <v>219</v>
      </c>
      <c r="BB1387">
        <v>0</v>
      </c>
      <c r="BE1387" s="224" t="s">
        <v>474</v>
      </c>
      <c r="BF1387" s="224" t="s">
        <v>490</v>
      </c>
      <c r="BG1387" s="224" t="s">
        <v>219</v>
      </c>
      <c r="BH1387">
        <v>0</v>
      </c>
    </row>
    <row r="1388" spans="17:60">
      <c r="Q1388" s="224" t="s">
        <v>223</v>
      </c>
      <c r="R1388" s="224" t="s">
        <v>490</v>
      </c>
      <c r="S1388" s="224" t="s">
        <v>219</v>
      </c>
      <c r="T1388" s="224">
        <f ca="1">OFFSET('Calculations 2'!$C$45,W1388,X1388)*OFFSET($N$6,W1388,0)</f>
        <v>1.7583241879846514</v>
      </c>
      <c r="V1388">
        <f t="shared" si="65"/>
        <v>293</v>
      </c>
      <c r="W1388">
        <f t="shared" si="66"/>
        <v>29</v>
      </c>
      <c r="X1388">
        <f t="shared" si="67"/>
        <v>8</v>
      </c>
      <c r="AC1388" s="224" t="s">
        <v>223</v>
      </c>
      <c r="AD1388" s="224" t="s">
        <v>490</v>
      </c>
      <c r="AE1388" s="224" t="s">
        <v>219</v>
      </c>
      <c r="AF1388">
        <f ca="1">OFFSET('Calculations 2'!$CE$45,W1388,0)*OFFSET($AA$6,X1388,0)*OFFSET($N$6,W1388,)</f>
        <v>0</v>
      </c>
      <c r="AY1388" s="224" t="s">
        <v>223</v>
      </c>
      <c r="AZ1388" s="224" t="s">
        <v>490</v>
      </c>
      <c r="BA1388" s="224" t="s">
        <v>219</v>
      </c>
      <c r="BB1388">
        <v>0</v>
      </c>
      <c r="BE1388" s="224" t="s">
        <v>223</v>
      </c>
      <c r="BF1388" s="224" t="s">
        <v>490</v>
      </c>
      <c r="BG1388" s="224" t="s">
        <v>219</v>
      </c>
      <c r="BH1388">
        <v>0</v>
      </c>
    </row>
    <row r="1389" spans="17:60">
      <c r="Q1389" s="224" t="s">
        <v>475</v>
      </c>
      <c r="R1389" s="224" t="s">
        <v>490</v>
      </c>
      <c r="S1389" s="224" t="s">
        <v>219</v>
      </c>
      <c r="T1389" s="224">
        <f ca="1">OFFSET('Calculations 2'!$C$45,W1389,X1389)*OFFSET($N$6,W1389,0)</f>
        <v>6.91403061978179E-3</v>
      </c>
      <c r="V1389">
        <f t="shared" si="65"/>
        <v>294</v>
      </c>
      <c r="W1389">
        <f t="shared" si="66"/>
        <v>30</v>
      </c>
      <c r="X1389">
        <f t="shared" si="67"/>
        <v>8</v>
      </c>
      <c r="AC1389" s="224" t="s">
        <v>475</v>
      </c>
      <c r="AD1389" s="224" t="s">
        <v>490</v>
      </c>
      <c r="AE1389" s="224" t="s">
        <v>219</v>
      </c>
      <c r="AF1389">
        <f ca="1">OFFSET('Calculations 2'!$CE$45,W1389,0)*OFFSET($AA$6,X1389,0)*OFFSET($N$6,W1389,)</f>
        <v>0</v>
      </c>
      <c r="AY1389" s="224" t="s">
        <v>475</v>
      </c>
      <c r="AZ1389" s="224" t="s">
        <v>490</v>
      </c>
      <c r="BA1389" s="224" t="s">
        <v>219</v>
      </c>
      <c r="BB1389">
        <v>0</v>
      </c>
      <c r="BE1389" s="224" t="s">
        <v>475</v>
      </c>
      <c r="BF1389" s="224" t="s">
        <v>490</v>
      </c>
      <c r="BG1389" s="224" t="s">
        <v>219</v>
      </c>
      <c r="BH1389">
        <v>0</v>
      </c>
    </row>
    <row r="1390" spans="17:60">
      <c r="Q1390" s="224" t="s">
        <v>476</v>
      </c>
      <c r="R1390" s="224" t="s">
        <v>490</v>
      </c>
      <c r="S1390" s="224" t="s">
        <v>219</v>
      </c>
      <c r="T1390" s="224">
        <f ca="1">OFFSET('Calculations 2'!$C$45,W1390,X1390)*OFFSET($N$6,W1390,0)</f>
        <v>1.0379574495066799</v>
      </c>
      <c r="V1390">
        <f t="shared" si="65"/>
        <v>295</v>
      </c>
      <c r="W1390">
        <f t="shared" si="66"/>
        <v>31</v>
      </c>
      <c r="X1390">
        <f t="shared" si="67"/>
        <v>8</v>
      </c>
      <c r="AC1390" s="224" t="s">
        <v>476</v>
      </c>
      <c r="AD1390" s="224" t="s">
        <v>490</v>
      </c>
      <c r="AE1390" s="224" t="s">
        <v>219</v>
      </c>
      <c r="AF1390">
        <f ca="1">OFFSET('Calculations 2'!$CE$45,W1390,0)*OFFSET($AA$6,X1390,0)*OFFSET($N$6,W1390,)</f>
        <v>0</v>
      </c>
      <c r="AY1390" s="224" t="s">
        <v>476</v>
      </c>
      <c r="AZ1390" s="224" t="s">
        <v>490</v>
      </c>
      <c r="BA1390" s="224" t="s">
        <v>219</v>
      </c>
      <c r="BB1390">
        <v>0</v>
      </c>
      <c r="BE1390" s="224" t="s">
        <v>476</v>
      </c>
      <c r="BF1390" s="224" t="s">
        <v>490</v>
      </c>
      <c r="BG1390" s="224" t="s">
        <v>219</v>
      </c>
      <c r="BH1390">
        <v>0</v>
      </c>
    </row>
    <row r="1391" spans="17:60">
      <c r="Q1391" s="224" t="s">
        <v>222</v>
      </c>
      <c r="R1391" s="224" t="s">
        <v>490</v>
      </c>
      <c r="S1391" s="224" t="s">
        <v>219</v>
      </c>
      <c r="T1391" s="224">
        <f ca="1">OFFSET('Calculations 2'!$C$45,W1391,X1391)*OFFSET($N$6,W1391,0)</f>
        <v>0</v>
      </c>
      <c r="V1391">
        <f t="shared" si="65"/>
        <v>296</v>
      </c>
      <c r="W1391">
        <f t="shared" si="66"/>
        <v>32</v>
      </c>
      <c r="X1391">
        <f t="shared" si="67"/>
        <v>8</v>
      </c>
      <c r="AC1391" s="224" t="s">
        <v>222</v>
      </c>
      <c r="AD1391" s="224" t="s">
        <v>490</v>
      </c>
      <c r="AE1391" s="224" t="s">
        <v>219</v>
      </c>
      <c r="AF1391">
        <f ca="1">OFFSET('Calculations 2'!$CE$45,W1391,0)*OFFSET($AA$6,X1391,0)*OFFSET($N$6,W1391,)</f>
        <v>0</v>
      </c>
      <c r="AY1391" s="224" t="s">
        <v>222</v>
      </c>
      <c r="AZ1391" s="224" t="s">
        <v>490</v>
      </c>
      <c r="BA1391" s="224" t="s">
        <v>219</v>
      </c>
      <c r="BB1391">
        <v>0</v>
      </c>
      <c r="BE1391" s="224" t="s">
        <v>222</v>
      </c>
      <c r="BF1391" s="224" t="s">
        <v>490</v>
      </c>
      <c r="BG1391" s="224" t="s">
        <v>219</v>
      </c>
      <c r="BH1391">
        <v>0</v>
      </c>
    </row>
    <row r="1392" spans="17:60">
      <c r="Q1392" s="224" t="s">
        <v>217</v>
      </c>
      <c r="R1392" s="224" t="s">
        <v>490</v>
      </c>
      <c r="S1392" s="224" t="s">
        <v>242</v>
      </c>
      <c r="T1392" s="224">
        <f ca="1">OFFSET('Calculations 2'!$C$45,W1392,X1392)*OFFSET($N$6,W1392,0)</f>
        <v>4.9315527430491199</v>
      </c>
      <c r="V1392">
        <f t="shared" si="65"/>
        <v>297</v>
      </c>
      <c r="W1392">
        <f t="shared" si="66"/>
        <v>0</v>
      </c>
      <c r="X1392">
        <f t="shared" si="67"/>
        <v>9</v>
      </c>
      <c r="AC1392" s="224" t="s">
        <v>217</v>
      </c>
      <c r="AD1392" s="224" t="s">
        <v>490</v>
      </c>
      <c r="AE1392" s="224" t="s">
        <v>242</v>
      </c>
      <c r="AF1392">
        <f ca="1">OFFSET('Calculations 2'!$CE$45,W1392,0)*OFFSET($AA$6,X1392,0)*OFFSET($N$6,W1392,)</f>
        <v>1.4923962811155813</v>
      </c>
      <c r="AY1392" s="224" t="s">
        <v>217</v>
      </c>
      <c r="AZ1392" s="224" t="s">
        <v>490</v>
      </c>
      <c r="BA1392" s="224" t="s">
        <v>242</v>
      </c>
      <c r="BB1392">
        <v>0</v>
      </c>
      <c r="BE1392" s="224" t="s">
        <v>217</v>
      </c>
      <c r="BF1392" s="224" t="s">
        <v>490</v>
      </c>
      <c r="BG1392" s="224" t="s">
        <v>242</v>
      </c>
      <c r="BH1392">
        <v>0</v>
      </c>
    </row>
    <row r="1393" spans="17:60">
      <c r="Q1393" s="224" t="s">
        <v>232</v>
      </c>
      <c r="R1393" s="224" t="s">
        <v>490</v>
      </c>
      <c r="S1393" s="224" t="s">
        <v>242</v>
      </c>
      <c r="T1393" s="224">
        <f ca="1">OFFSET('Calculations 2'!$C$45,W1393,X1393)*OFFSET($N$6,W1393,0)</f>
        <v>0</v>
      </c>
      <c r="V1393">
        <f t="shared" si="65"/>
        <v>298</v>
      </c>
      <c r="W1393">
        <f t="shared" si="66"/>
        <v>1</v>
      </c>
      <c r="X1393">
        <f t="shared" si="67"/>
        <v>9</v>
      </c>
      <c r="AC1393" s="224" t="s">
        <v>232</v>
      </c>
      <c r="AD1393" s="224" t="s">
        <v>490</v>
      </c>
      <c r="AE1393" s="224" t="s">
        <v>242</v>
      </c>
      <c r="AF1393">
        <f ca="1">OFFSET('Calculations 2'!$CE$45,W1393,0)*OFFSET($AA$6,X1393,0)*OFFSET($N$6,W1393,)</f>
        <v>2.3544517605859885</v>
      </c>
      <c r="AY1393" s="224" t="s">
        <v>232</v>
      </c>
      <c r="AZ1393" s="224" t="s">
        <v>490</v>
      </c>
      <c r="BA1393" s="224" t="s">
        <v>242</v>
      </c>
      <c r="BB1393">
        <v>0</v>
      </c>
      <c r="BE1393" s="224" t="s">
        <v>232</v>
      </c>
      <c r="BF1393" s="224" t="s">
        <v>490</v>
      </c>
      <c r="BG1393" s="224" t="s">
        <v>242</v>
      </c>
      <c r="BH1393">
        <v>0</v>
      </c>
    </row>
    <row r="1394" spans="17:60">
      <c r="Q1394" s="224" t="s">
        <v>226</v>
      </c>
      <c r="R1394" s="224" t="s">
        <v>490</v>
      </c>
      <c r="S1394" s="224" t="s">
        <v>242</v>
      </c>
      <c r="T1394" s="224">
        <f ca="1">OFFSET('Calculations 2'!$C$45,W1394,X1394)*OFFSET($N$6,W1394,0)</f>
        <v>0</v>
      </c>
      <c r="V1394">
        <f t="shared" si="65"/>
        <v>299</v>
      </c>
      <c r="W1394">
        <f t="shared" si="66"/>
        <v>2</v>
      </c>
      <c r="X1394">
        <f t="shared" si="67"/>
        <v>9</v>
      </c>
      <c r="AC1394" s="224" t="s">
        <v>226</v>
      </c>
      <c r="AD1394" s="224" t="s">
        <v>490</v>
      </c>
      <c r="AE1394" s="224" t="s">
        <v>242</v>
      </c>
      <c r="AF1394">
        <f ca="1">OFFSET('Calculations 2'!$CE$45,W1394,0)*OFFSET($AA$6,X1394,0)*OFFSET($N$6,W1394,)</f>
        <v>0.58915592825774243</v>
      </c>
      <c r="AY1394" s="224" t="s">
        <v>226</v>
      </c>
      <c r="AZ1394" s="224" t="s">
        <v>490</v>
      </c>
      <c r="BA1394" s="224" t="s">
        <v>242</v>
      </c>
      <c r="BB1394">
        <v>0</v>
      </c>
      <c r="BE1394" s="224" t="s">
        <v>226</v>
      </c>
      <c r="BF1394" s="224" t="s">
        <v>490</v>
      </c>
      <c r="BG1394" s="224" t="s">
        <v>242</v>
      </c>
      <c r="BH1394">
        <v>0</v>
      </c>
    </row>
    <row r="1395" spans="17:60">
      <c r="Q1395" s="224" t="s">
        <v>243</v>
      </c>
      <c r="R1395" s="224" t="s">
        <v>490</v>
      </c>
      <c r="S1395" s="224" t="s">
        <v>242</v>
      </c>
      <c r="T1395" s="224">
        <f ca="1">OFFSET('Calculations 2'!$C$45,W1395,X1395)*OFFSET($N$6,W1395,0)</f>
        <v>0.24176252207755394</v>
      </c>
      <c r="V1395">
        <f t="shared" si="65"/>
        <v>300</v>
      </c>
      <c r="W1395">
        <f t="shared" si="66"/>
        <v>3</v>
      </c>
      <c r="X1395">
        <f t="shared" si="67"/>
        <v>9</v>
      </c>
      <c r="AC1395" s="224" t="s">
        <v>243</v>
      </c>
      <c r="AD1395" s="224" t="s">
        <v>490</v>
      </c>
      <c r="AE1395" s="224" t="s">
        <v>242</v>
      </c>
      <c r="AF1395">
        <f ca="1">OFFSET('Calculations 2'!$CE$45,W1395,0)*OFFSET($AA$6,X1395,0)*OFFSET($N$6,W1395,)</f>
        <v>11.561608319864181</v>
      </c>
      <c r="AY1395" s="224" t="s">
        <v>243</v>
      </c>
      <c r="AZ1395" s="224" t="s">
        <v>490</v>
      </c>
      <c r="BA1395" s="224" t="s">
        <v>242</v>
      </c>
      <c r="BB1395">
        <v>0</v>
      </c>
      <c r="BE1395" s="224" t="s">
        <v>243</v>
      </c>
      <c r="BF1395" s="224" t="s">
        <v>490</v>
      </c>
      <c r="BG1395" s="224" t="s">
        <v>242</v>
      </c>
      <c r="BH1395">
        <v>0</v>
      </c>
    </row>
    <row r="1396" spans="17:60">
      <c r="Q1396" s="224" t="s">
        <v>228</v>
      </c>
      <c r="R1396" s="224" t="s">
        <v>490</v>
      </c>
      <c r="S1396" s="224" t="s">
        <v>242</v>
      </c>
      <c r="T1396" s="224">
        <f ca="1">OFFSET('Calculations 2'!$C$45,W1396,X1396)*OFFSET($N$6,W1396,0)</f>
        <v>0</v>
      </c>
      <c r="V1396">
        <f t="shared" si="65"/>
        <v>301</v>
      </c>
      <c r="W1396">
        <f t="shared" si="66"/>
        <v>4</v>
      </c>
      <c r="X1396">
        <f t="shared" si="67"/>
        <v>9</v>
      </c>
      <c r="AC1396" s="224" t="s">
        <v>228</v>
      </c>
      <c r="AD1396" s="224" t="s">
        <v>490</v>
      </c>
      <c r="AE1396" s="224" t="s">
        <v>242</v>
      </c>
      <c r="AF1396">
        <f ca="1">OFFSET('Calculations 2'!$CE$45,W1396,0)*OFFSET($AA$6,X1396,0)*OFFSET($N$6,W1396,)</f>
        <v>6.0255572958757027</v>
      </c>
      <c r="AY1396" s="224" t="s">
        <v>228</v>
      </c>
      <c r="AZ1396" s="224" t="s">
        <v>490</v>
      </c>
      <c r="BA1396" s="224" t="s">
        <v>242</v>
      </c>
      <c r="BB1396">
        <v>0</v>
      </c>
      <c r="BE1396" s="224" t="s">
        <v>228</v>
      </c>
      <c r="BF1396" s="224" t="s">
        <v>490</v>
      </c>
      <c r="BG1396" s="224" t="s">
        <v>242</v>
      </c>
      <c r="BH1396">
        <v>0</v>
      </c>
    </row>
    <row r="1397" spans="17:60">
      <c r="Q1397" s="224" t="s">
        <v>246</v>
      </c>
      <c r="R1397" s="224" t="s">
        <v>490</v>
      </c>
      <c r="S1397" s="224" t="s">
        <v>242</v>
      </c>
      <c r="T1397" s="224">
        <f ca="1">OFFSET('Calculations 2'!$C$45,W1397,X1397)*OFFSET($N$6,W1397,0)</f>
        <v>0</v>
      </c>
      <c r="V1397">
        <f t="shared" si="65"/>
        <v>302</v>
      </c>
      <c r="W1397">
        <f t="shared" si="66"/>
        <v>5</v>
      </c>
      <c r="X1397">
        <f t="shared" si="67"/>
        <v>9</v>
      </c>
      <c r="AC1397" s="224" t="s">
        <v>246</v>
      </c>
      <c r="AD1397" s="224" t="s">
        <v>490</v>
      </c>
      <c r="AE1397" s="224" t="s">
        <v>242</v>
      </c>
      <c r="AF1397">
        <f ca="1">OFFSET('Calculations 2'!$CE$45,W1397,0)*OFFSET($AA$6,X1397,0)*OFFSET($N$6,W1397,)</f>
        <v>0.10785290801609593</v>
      </c>
      <c r="AY1397" s="224" t="s">
        <v>246</v>
      </c>
      <c r="AZ1397" s="224" t="s">
        <v>490</v>
      </c>
      <c r="BA1397" s="224" t="s">
        <v>242</v>
      </c>
      <c r="BB1397">
        <v>0</v>
      </c>
      <c r="BE1397" s="224" t="s">
        <v>246</v>
      </c>
      <c r="BF1397" s="224" t="s">
        <v>490</v>
      </c>
      <c r="BG1397" s="224" t="s">
        <v>242</v>
      </c>
      <c r="BH1397">
        <v>0</v>
      </c>
    </row>
    <row r="1398" spans="17:60">
      <c r="Q1398" s="224" t="s">
        <v>239</v>
      </c>
      <c r="R1398" s="224" t="s">
        <v>490</v>
      </c>
      <c r="S1398" s="224" t="s">
        <v>242</v>
      </c>
      <c r="T1398" s="224">
        <f ca="1">OFFSET('Calculations 2'!$C$45,W1398,X1398)*OFFSET($N$6,W1398,0)</f>
        <v>9.6995893648524252</v>
      </c>
      <c r="V1398">
        <f t="shared" si="65"/>
        <v>303</v>
      </c>
      <c r="W1398">
        <f t="shared" si="66"/>
        <v>6</v>
      </c>
      <c r="X1398">
        <f t="shared" si="67"/>
        <v>9</v>
      </c>
      <c r="AC1398" s="224" t="s">
        <v>239</v>
      </c>
      <c r="AD1398" s="224" t="s">
        <v>490</v>
      </c>
      <c r="AE1398" s="224" t="s">
        <v>242</v>
      </c>
      <c r="AF1398">
        <f ca="1">OFFSET('Calculations 2'!$CE$45,W1398,0)*OFFSET($AA$6,X1398,0)*OFFSET($N$6,W1398,)</f>
        <v>1.5530731542144349</v>
      </c>
      <c r="AY1398" s="224" t="s">
        <v>239</v>
      </c>
      <c r="AZ1398" s="224" t="s">
        <v>490</v>
      </c>
      <c r="BA1398" s="224" t="s">
        <v>242</v>
      </c>
      <c r="BB1398">
        <v>0</v>
      </c>
      <c r="BE1398" s="224" t="s">
        <v>239</v>
      </c>
      <c r="BF1398" s="224" t="s">
        <v>490</v>
      </c>
      <c r="BG1398" s="224" t="s">
        <v>242</v>
      </c>
      <c r="BH1398">
        <v>0</v>
      </c>
    </row>
    <row r="1399" spans="17:60">
      <c r="Q1399" s="224" t="s">
        <v>466</v>
      </c>
      <c r="R1399" s="224" t="s">
        <v>490</v>
      </c>
      <c r="S1399" s="224" t="s">
        <v>242</v>
      </c>
      <c r="T1399" s="224">
        <f ca="1">OFFSET('Calculations 2'!$C$45,W1399,X1399)*OFFSET($N$6,W1399,0)</f>
        <v>6.6588120173946495</v>
      </c>
      <c r="V1399">
        <f t="shared" si="65"/>
        <v>304</v>
      </c>
      <c r="W1399">
        <f t="shared" si="66"/>
        <v>7</v>
      </c>
      <c r="X1399">
        <f t="shared" si="67"/>
        <v>9</v>
      </c>
      <c r="AC1399" s="224" t="s">
        <v>466</v>
      </c>
      <c r="AD1399" s="224" t="s">
        <v>490</v>
      </c>
      <c r="AE1399" s="224" t="s">
        <v>242</v>
      </c>
      <c r="AF1399">
        <f ca="1">OFFSET('Calculations 2'!$CE$45,W1399,0)*OFFSET($AA$6,X1399,0)*OFFSET($N$6,W1399,)</f>
        <v>0.39108196197924172</v>
      </c>
      <c r="AY1399" s="224" t="s">
        <v>466</v>
      </c>
      <c r="AZ1399" s="224" t="s">
        <v>490</v>
      </c>
      <c r="BA1399" s="224" t="s">
        <v>242</v>
      </c>
      <c r="BB1399">
        <v>0</v>
      </c>
      <c r="BE1399" s="224" t="s">
        <v>466</v>
      </c>
      <c r="BF1399" s="224" t="s">
        <v>490</v>
      </c>
      <c r="BG1399" s="224" t="s">
        <v>242</v>
      </c>
      <c r="BH1399">
        <v>0</v>
      </c>
    </row>
    <row r="1400" spans="17:60">
      <c r="Q1400" s="224" t="s">
        <v>219</v>
      </c>
      <c r="R1400" s="224" t="s">
        <v>490</v>
      </c>
      <c r="S1400" s="224" t="s">
        <v>242</v>
      </c>
      <c r="T1400" s="224">
        <f ca="1">OFFSET('Calculations 2'!$C$45,W1400,X1400)*OFFSET($N$6,W1400,0)</f>
        <v>1653.0387604305045</v>
      </c>
      <c r="V1400">
        <f t="shared" si="65"/>
        <v>305</v>
      </c>
      <c r="W1400">
        <f t="shared" si="66"/>
        <v>8</v>
      </c>
      <c r="X1400">
        <f t="shared" si="67"/>
        <v>9</v>
      </c>
      <c r="AC1400" s="224" t="s">
        <v>219</v>
      </c>
      <c r="AD1400" s="224" t="s">
        <v>490</v>
      </c>
      <c r="AE1400" s="224" t="s">
        <v>242</v>
      </c>
      <c r="AF1400">
        <f ca="1">OFFSET('Calculations 2'!$CE$45,W1400,0)*OFFSET($AA$6,X1400,0)*OFFSET($N$6,W1400,)</f>
        <v>5.3610827570156649</v>
      </c>
      <c r="AY1400" s="224" t="s">
        <v>219</v>
      </c>
      <c r="AZ1400" s="224" t="s">
        <v>490</v>
      </c>
      <c r="BA1400" s="224" t="s">
        <v>242</v>
      </c>
      <c r="BB1400">
        <v>0</v>
      </c>
      <c r="BE1400" s="224" t="s">
        <v>219</v>
      </c>
      <c r="BF1400" s="224" t="s">
        <v>490</v>
      </c>
      <c r="BG1400" s="224" t="s">
        <v>242</v>
      </c>
      <c r="BH1400">
        <v>0</v>
      </c>
    </row>
    <row r="1401" spans="17:60">
      <c r="Q1401" s="224" t="s">
        <v>242</v>
      </c>
      <c r="R1401" s="224" t="s">
        <v>490</v>
      </c>
      <c r="S1401" s="224" t="s">
        <v>242</v>
      </c>
      <c r="T1401" s="224">
        <f ca="1">OFFSET('Calculations 2'!$C$45,W1401,X1401)*OFFSET($N$6,W1401,0)</f>
        <v>460.84113262974824</v>
      </c>
      <c r="V1401">
        <f t="shared" si="65"/>
        <v>306</v>
      </c>
      <c r="W1401">
        <f t="shared" si="66"/>
        <v>9</v>
      </c>
      <c r="X1401">
        <f t="shared" si="67"/>
        <v>9</v>
      </c>
      <c r="AC1401" s="224" t="s">
        <v>242</v>
      </c>
      <c r="AD1401" s="224" t="s">
        <v>490</v>
      </c>
      <c r="AE1401" s="224" t="s">
        <v>242</v>
      </c>
      <c r="AF1401">
        <f ca="1">OFFSET('Calculations 2'!$CE$45,W1401,0)*OFFSET($AA$6,X1401,0)*OFFSET($N$6,W1401,)</f>
        <v>4.1058767921406742</v>
      </c>
      <c r="AY1401" s="224" t="s">
        <v>242</v>
      </c>
      <c r="AZ1401" s="224" t="s">
        <v>490</v>
      </c>
      <c r="BA1401" s="224" t="s">
        <v>242</v>
      </c>
      <c r="BB1401">
        <v>0</v>
      </c>
      <c r="BE1401" s="224" t="s">
        <v>242</v>
      </c>
      <c r="BF1401" s="224" t="s">
        <v>490</v>
      </c>
      <c r="BG1401" s="224" t="s">
        <v>242</v>
      </c>
      <c r="BH1401">
        <v>0</v>
      </c>
    </row>
    <row r="1402" spans="17:60">
      <c r="Q1402" s="224" t="s">
        <v>467</v>
      </c>
      <c r="R1402" s="224" t="s">
        <v>490</v>
      </c>
      <c r="S1402" s="224" t="s">
        <v>242</v>
      </c>
      <c r="T1402" s="224">
        <f ca="1">OFFSET('Calculations 2'!$C$45,W1402,X1402)*OFFSET($N$6,W1402,0)</f>
        <v>2.1840967696031188</v>
      </c>
      <c r="V1402">
        <f t="shared" si="65"/>
        <v>307</v>
      </c>
      <c r="W1402">
        <f t="shared" si="66"/>
        <v>10</v>
      </c>
      <c r="X1402">
        <f t="shared" si="67"/>
        <v>9</v>
      </c>
      <c r="AC1402" s="224" t="s">
        <v>467</v>
      </c>
      <c r="AD1402" s="224" t="s">
        <v>490</v>
      </c>
      <c r="AE1402" s="224" t="s">
        <v>242</v>
      </c>
      <c r="AF1402">
        <f ca="1">OFFSET('Calculations 2'!$CE$45,W1402,0)*OFFSET($AA$6,X1402,0)*OFFSET($N$6,W1402,)</f>
        <v>1.5499165577252183</v>
      </c>
      <c r="AY1402" s="224" t="s">
        <v>467</v>
      </c>
      <c r="AZ1402" s="224" t="s">
        <v>490</v>
      </c>
      <c r="BA1402" s="224" t="s">
        <v>242</v>
      </c>
      <c r="BB1402">
        <v>0</v>
      </c>
      <c r="BE1402" s="224" t="s">
        <v>467</v>
      </c>
      <c r="BF1402" s="224" t="s">
        <v>490</v>
      </c>
      <c r="BG1402" s="224" t="s">
        <v>242</v>
      </c>
      <c r="BH1402">
        <v>0</v>
      </c>
    </row>
    <row r="1403" spans="17:60">
      <c r="Q1403" s="224" t="s">
        <v>231</v>
      </c>
      <c r="R1403" s="224" t="s">
        <v>490</v>
      </c>
      <c r="S1403" s="224" t="s">
        <v>242</v>
      </c>
      <c r="T1403" s="224">
        <f ca="1">OFFSET('Calculations 2'!$C$45,W1403,X1403)*OFFSET($N$6,W1403,0)</f>
        <v>292.48203536095082</v>
      </c>
      <c r="V1403">
        <f t="shared" si="65"/>
        <v>308</v>
      </c>
      <c r="W1403">
        <f t="shared" si="66"/>
        <v>11</v>
      </c>
      <c r="X1403">
        <f t="shared" si="67"/>
        <v>9</v>
      </c>
      <c r="AC1403" s="224" t="s">
        <v>231</v>
      </c>
      <c r="AD1403" s="224" t="s">
        <v>490</v>
      </c>
      <c r="AE1403" s="224" t="s">
        <v>242</v>
      </c>
      <c r="AF1403">
        <f ca="1">OFFSET('Calculations 2'!$CE$45,W1403,0)*OFFSET($AA$6,X1403,0)*OFFSET($N$6,W1403,)</f>
        <v>19.400520898377099</v>
      </c>
      <c r="AY1403" s="224" t="s">
        <v>231</v>
      </c>
      <c r="AZ1403" s="224" t="s">
        <v>490</v>
      </c>
      <c r="BA1403" s="224" t="s">
        <v>242</v>
      </c>
      <c r="BB1403">
        <v>0</v>
      </c>
      <c r="BE1403" s="224" t="s">
        <v>231</v>
      </c>
      <c r="BF1403" s="224" t="s">
        <v>490</v>
      </c>
      <c r="BG1403" s="224" t="s">
        <v>242</v>
      </c>
      <c r="BH1403">
        <v>0</v>
      </c>
    </row>
    <row r="1404" spans="17:60">
      <c r="Q1404" s="224" t="s">
        <v>468</v>
      </c>
      <c r="R1404" s="224" t="s">
        <v>490</v>
      </c>
      <c r="S1404" s="224" t="s">
        <v>242</v>
      </c>
      <c r="T1404" s="224">
        <f ca="1">OFFSET('Calculations 2'!$C$45,W1404,X1404)*OFFSET($N$6,W1404,0)</f>
        <v>13.139471027058361</v>
      </c>
      <c r="V1404">
        <f t="shared" si="65"/>
        <v>309</v>
      </c>
      <c r="W1404">
        <f t="shared" si="66"/>
        <v>12</v>
      </c>
      <c r="X1404">
        <f t="shared" si="67"/>
        <v>9</v>
      </c>
      <c r="AC1404" s="224" t="s">
        <v>468</v>
      </c>
      <c r="AD1404" s="224" t="s">
        <v>490</v>
      </c>
      <c r="AE1404" s="224" t="s">
        <v>242</v>
      </c>
      <c r="AF1404">
        <f ca="1">OFFSET('Calculations 2'!$CE$45,W1404,0)*OFFSET($AA$6,X1404,0)*OFFSET($N$6,W1404,)</f>
        <v>74.318970297541867</v>
      </c>
      <c r="AY1404" s="224" t="s">
        <v>468</v>
      </c>
      <c r="AZ1404" s="224" t="s">
        <v>490</v>
      </c>
      <c r="BA1404" s="224" t="s">
        <v>242</v>
      </c>
      <c r="BB1404">
        <v>0</v>
      </c>
      <c r="BE1404" s="224" t="s">
        <v>468</v>
      </c>
      <c r="BF1404" s="224" t="s">
        <v>490</v>
      </c>
      <c r="BG1404" s="224" t="s">
        <v>242</v>
      </c>
      <c r="BH1404">
        <v>0</v>
      </c>
    </row>
    <row r="1405" spans="17:60">
      <c r="Q1405" s="224" t="s">
        <v>469</v>
      </c>
      <c r="R1405" s="224" t="s">
        <v>490</v>
      </c>
      <c r="S1405" s="224" t="s">
        <v>242</v>
      </c>
      <c r="T1405" s="224">
        <f ca="1">OFFSET('Calculations 2'!$C$45,W1405,X1405)*OFFSET($N$6,W1405,0)</f>
        <v>14.586324928951607</v>
      </c>
      <c r="V1405">
        <f t="shared" si="65"/>
        <v>310</v>
      </c>
      <c r="W1405">
        <f t="shared" si="66"/>
        <v>13</v>
      </c>
      <c r="X1405">
        <f t="shared" si="67"/>
        <v>9</v>
      </c>
      <c r="AC1405" s="224" t="s">
        <v>469</v>
      </c>
      <c r="AD1405" s="224" t="s">
        <v>490</v>
      </c>
      <c r="AE1405" s="224" t="s">
        <v>242</v>
      </c>
      <c r="AF1405">
        <f ca="1">OFFSET('Calculations 2'!$CE$45,W1405,0)*OFFSET($AA$6,X1405,0)*OFFSET($N$6,W1405,)</f>
        <v>39.84756477135636</v>
      </c>
      <c r="AY1405" s="224" t="s">
        <v>469</v>
      </c>
      <c r="AZ1405" s="224" t="s">
        <v>490</v>
      </c>
      <c r="BA1405" s="224" t="s">
        <v>242</v>
      </c>
      <c r="BB1405">
        <v>0</v>
      </c>
      <c r="BE1405" s="224" t="s">
        <v>469</v>
      </c>
      <c r="BF1405" s="224" t="s">
        <v>490</v>
      </c>
      <c r="BG1405" s="224" t="s">
        <v>242</v>
      </c>
      <c r="BH1405">
        <v>0</v>
      </c>
    </row>
    <row r="1406" spans="17:60">
      <c r="Q1406" s="224" t="s">
        <v>245</v>
      </c>
      <c r="R1406" s="224" t="s">
        <v>490</v>
      </c>
      <c r="S1406" s="224" t="s">
        <v>242</v>
      </c>
      <c r="T1406" s="224">
        <f ca="1">OFFSET('Calculations 2'!$C$45,W1406,X1406)*OFFSET($N$6,W1406,0)</f>
        <v>20.995605270095968</v>
      </c>
      <c r="V1406">
        <f t="shared" si="65"/>
        <v>311</v>
      </c>
      <c r="W1406">
        <f t="shared" si="66"/>
        <v>14</v>
      </c>
      <c r="X1406">
        <f t="shared" si="67"/>
        <v>9</v>
      </c>
      <c r="AC1406" s="224" t="s">
        <v>245</v>
      </c>
      <c r="AD1406" s="224" t="s">
        <v>490</v>
      </c>
      <c r="AE1406" s="224" t="s">
        <v>242</v>
      </c>
      <c r="AF1406">
        <f ca="1">OFFSET('Calculations 2'!$CE$45,W1406,0)*OFFSET($AA$6,X1406,0)*OFFSET($N$6,W1406,)</f>
        <v>63.592231448755257</v>
      </c>
      <c r="AY1406" s="224" t="s">
        <v>245</v>
      </c>
      <c r="AZ1406" s="224" t="s">
        <v>490</v>
      </c>
      <c r="BA1406" s="224" t="s">
        <v>242</v>
      </c>
      <c r="BB1406">
        <v>0</v>
      </c>
      <c r="BE1406" s="224" t="s">
        <v>245</v>
      </c>
      <c r="BF1406" s="224" t="s">
        <v>490</v>
      </c>
      <c r="BG1406" s="224" t="s">
        <v>242</v>
      </c>
      <c r="BH1406">
        <v>0</v>
      </c>
    </row>
    <row r="1407" spans="17:60">
      <c r="Q1407" s="224" t="s">
        <v>470</v>
      </c>
      <c r="R1407" s="224" t="s">
        <v>490</v>
      </c>
      <c r="S1407" s="224" t="s">
        <v>242</v>
      </c>
      <c r="T1407" s="224">
        <f ca="1">OFFSET('Calculations 2'!$C$45,W1407,X1407)*OFFSET($N$6,W1407,0)</f>
        <v>15.468478980576871</v>
      </c>
      <c r="V1407">
        <f t="shared" si="65"/>
        <v>312</v>
      </c>
      <c r="W1407">
        <f t="shared" si="66"/>
        <v>15</v>
      </c>
      <c r="X1407">
        <f t="shared" si="67"/>
        <v>9</v>
      </c>
      <c r="AC1407" s="224" t="s">
        <v>470</v>
      </c>
      <c r="AD1407" s="224" t="s">
        <v>490</v>
      </c>
      <c r="AE1407" s="224" t="s">
        <v>242</v>
      </c>
      <c r="AF1407">
        <f ca="1">OFFSET('Calculations 2'!$CE$45,W1407,0)*OFFSET($AA$6,X1407,0)*OFFSET($N$6,W1407,)</f>
        <v>24.129097260962947</v>
      </c>
      <c r="AY1407" s="224" t="s">
        <v>470</v>
      </c>
      <c r="AZ1407" s="224" t="s">
        <v>490</v>
      </c>
      <c r="BA1407" s="224" t="s">
        <v>242</v>
      </c>
      <c r="BB1407">
        <v>0</v>
      </c>
      <c r="BE1407" s="224" t="s">
        <v>470</v>
      </c>
      <c r="BF1407" s="224" t="s">
        <v>490</v>
      </c>
      <c r="BG1407" s="224" t="s">
        <v>242</v>
      </c>
      <c r="BH1407">
        <v>0</v>
      </c>
    </row>
    <row r="1408" spans="17:60">
      <c r="Q1408" s="224" t="s">
        <v>471</v>
      </c>
      <c r="R1408" s="224" t="s">
        <v>490</v>
      </c>
      <c r="S1408" s="224" t="s">
        <v>242</v>
      </c>
      <c r="T1408" s="224">
        <f ca="1">OFFSET('Calculations 2'!$C$45,W1408,X1408)*OFFSET($N$6,W1408,0)</f>
        <v>1.3529399438409919</v>
      </c>
      <c r="V1408">
        <f t="shared" si="65"/>
        <v>313</v>
      </c>
      <c r="W1408">
        <f t="shared" si="66"/>
        <v>16</v>
      </c>
      <c r="X1408">
        <f t="shared" si="67"/>
        <v>9</v>
      </c>
      <c r="AC1408" s="224" t="s">
        <v>471</v>
      </c>
      <c r="AD1408" s="224" t="s">
        <v>490</v>
      </c>
      <c r="AE1408" s="224" t="s">
        <v>242</v>
      </c>
      <c r="AF1408">
        <f ca="1">OFFSET('Calculations 2'!$CE$45,W1408,0)*OFFSET($AA$6,X1408,0)*OFFSET($N$6,W1408,)</f>
        <v>0</v>
      </c>
      <c r="AY1408" s="224" t="s">
        <v>471</v>
      </c>
      <c r="AZ1408" s="224" t="s">
        <v>490</v>
      </c>
      <c r="BA1408" s="224" t="s">
        <v>242</v>
      </c>
      <c r="BB1408">
        <v>0</v>
      </c>
      <c r="BE1408" s="224" t="s">
        <v>471</v>
      </c>
      <c r="BF1408" s="224" t="s">
        <v>490</v>
      </c>
      <c r="BG1408" s="224" t="s">
        <v>242</v>
      </c>
      <c r="BH1408">
        <v>0</v>
      </c>
    </row>
    <row r="1409" spans="17:60">
      <c r="Q1409" s="224" t="s">
        <v>221</v>
      </c>
      <c r="R1409" s="224" t="s">
        <v>490</v>
      </c>
      <c r="S1409" s="224" t="s">
        <v>242</v>
      </c>
      <c r="T1409" s="224">
        <f ca="1">OFFSET('Calculations 2'!$C$45,W1409,X1409)*OFFSET($N$6,W1409,0)</f>
        <v>0.30766815216915633</v>
      </c>
      <c r="V1409">
        <f t="shared" si="65"/>
        <v>314</v>
      </c>
      <c r="W1409">
        <f t="shared" si="66"/>
        <v>17</v>
      </c>
      <c r="X1409">
        <f t="shared" si="67"/>
        <v>9</v>
      </c>
      <c r="AC1409" s="224" t="s">
        <v>221</v>
      </c>
      <c r="AD1409" s="224" t="s">
        <v>490</v>
      </c>
      <c r="AE1409" s="224" t="s">
        <v>242</v>
      </c>
      <c r="AF1409">
        <f ca="1">OFFSET('Calculations 2'!$CE$45,W1409,0)*OFFSET($AA$6,X1409,0)*OFFSET($N$6,W1409,)</f>
        <v>4.7234097197364431</v>
      </c>
      <c r="AY1409" s="224" t="s">
        <v>221</v>
      </c>
      <c r="AZ1409" s="224" t="s">
        <v>490</v>
      </c>
      <c r="BA1409" s="224" t="s">
        <v>242</v>
      </c>
      <c r="BB1409">
        <v>0</v>
      </c>
      <c r="BE1409" s="224" t="s">
        <v>221</v>
      </c>
      <c r="BF1409" s="224" t="s">
        <v>490</v>
      </c>
      <c r="BG1409" s="224" t="s">
        <v>242</v>
      </c>
      <c r="BH1409">
        <v>0</v>
      </c>
    </row>
    <row r="1410" spans="17:60">
      <c r="Q1410" s="224" t="s">
        <v>244</v>
      </c>
      <c r="R1410" s="224" t="s">
        <v>490</v>
      </c>
      <c r="S1410" s="224" t="s">
        <v>242</v>
      </c>
      <c r="T1410" s="224">
        <f ca="1">OFFSET('Calculations 2'!$C$45,W1410,X1410)*OFFSET($N$6,W1410,0)</f>
        <v>6.4226179497400118</v>
      </c>
      <c r="V1410">
        <f t="shared" si="65"/>
        <v>315</v>
      </c>
      <c r="W1410">
        <f t="shared" si="66"/>
        <v>18</v>
      </c>
      <c r="X1410">
        <f t="shared" si="67"/>
        <v>9</v>
      </c>
      <c r="AC1410" s="224" t="s">
        <v>244</v>
      </c>
      <c r="AD1410" s="224" t="s">
        <v>490</v>
      </c>
      <c r="AE1410" s="224" t="s">
        <v>242</v>
      </c>
      <c r="AF1410">
        <f ca="1">OFFSET('Calculations 2'!$CE$45,W1410,0)*OFFSET($AA$6,X1410,0)*OFFSET($N$6,W1410,)</f>
        <v>0.4132662923073096</v>
      </c>
      <c r="AY1410" s="224" t="s">
        <v>244</v>
      </c>
      <c r="AZ1410" s="224" t="s">
        <v>490</v>
      </c>
      <c r="BA1410" s="224" t="s">
        <v>242</v>
      </c>
      <c r="BB1410">
        <v>0</v>
      </c>
      <c r="BE1410" s="224" t="s">
        <v>244</v>
      </c>
      <c r="BF1410" s="224" t="s">
        <v>490</v>
      </c>
      <c r="BG1410" s="224" t="s">
        <v>242</v>
      </c>
      <c r="BH1410">
        <v>0</v>
      </c>
    </row>
    <row r="1411" spans="17:60">
      <c r="Q1411" s="224" t="s">
        <v>472</v>
      </c>
      <c r="R1411" s="224" t="s">
        <v>490</v>
      </c>
      <c r="S1411" s="224" t="s">
        <v>242</v>
      </c>
      <c r="T1411" s="224">
        <f ca="1">OFFSET('Calculations 2'!$C$45,W1411,X1411)*OFFSET($N$6,W1411,0)</f>
        <v>0</v>
      </c>
      <c r="V1411">
        <f t="shared" si="65"/>
        <v>316</v>
      </c>
      <c r="W1411">
        <f t="shared" si="66"/>
        <v>19</v>
      </c>
      <c r="X1411">
        <f t="shared" si="67"/>
        <v>9</v>
      </c>
      <c r="AC1411" s="224" t="s">
        <v>472</v>
      </c>
      <c r="AD1411" s="224" t="s">
        <v>490</v>
      </c>
      <c r="AE1411" s="224" t="s">
        <v>242</v>
      </c>
      <c r="AF1411">
        <f ca="1">OFFSET('Calculations 2'!$CE$45,W1411,0)*OFFSET($AA$6,X1411,0)*OFFSET($N$6,W1411,)</f>
        <v>0</v>
      </c>
      <c r="AY1411" s="224" t="s">
        <v>472</v>
      </c>
      <c r="AZ1411" s="224" t="s">
        <v>490</v>
      </c>
      <c r="BA1411" s="224" t="s">
        <v>242</v>
      </c>
      <c r="BB1411">
        <v>0</v>
      </c>
      <c r="BE1411" s="224" t="s">
        <v>472</v>
      </c>
      <c r="BF1411" s="224" t="s">
        <v>490</v>
      </c>
      <c r="BG1411" s="224" t="s">
        <v>242</v>
      </c>
      <c r="BH1411">
        <v>0</v>
      </c>
    </row>
    <row r="1412" spans="17:60">
      <c r="Q1412" s="224" t="s">
        <v>238</v>
      </c>
      <c r="R1412" s="224" t="s">
        <v>490</v>
      </c>
      <c r="S1412" s="224" t="s">
        <v>242</v>
      </c>
      <c r="T1412" s="224">
        <f ca="1">OFFSET('Calculations 2'!$C$45,W1412,X1412)*OFFSET($N$6,W1412,0)</f>
        <v>0.40149401074176383</v>
      </c>
      <c r="V1412">
        <f t="shared" si="65"/>
        <v>317</v>
      </c>
      <c r="W1412">
        <f t="shared" si="66"/>
        <v>20</v>
      </c>
      <c r="X1412">
        <f t="shared" si="67"/>
        <v>9</v>
      </c>
      <c r="AC1412" s="224" t="s">
        <v>238</v>
      </c>
      <c r="AD1412" s="224" t="s">
        <v>490</v>
      </c>
      <c r="AE1412" s="224" t="s">
        <v>242</v>
      </c>
      <c r="AF1412">
        <f ca="1">OFFSET('Calculations 2'!$CE$45,W1412,0)*OFFSET($AA$6,X1412,0)*OFFSET($N$6,W1412,)</f>
        <v>0</v>
      </c>
      <c r="AY1412" s="224" t="s">
        <v>238</v>
      </c>
      <c r="AZ1412" s="224" t="s">
        <v>490</v>
      </c>
      <c r="BA1412" s="224" t="s">
        <v>242</v>
      </c>
      <c r="BB1412">
        <v>0</v>
      </c>
      <c r="BE1412" s="224" t="s">
        <v>238</v>
      </c>
      <c r="BF1412" s="224" t="s">
        <v>490</v>
      </c>
      <c r="BG1412" s="224" t="s">
        <v>242</v>
      </c>
      <c r="BH1412">
        <v>0</v>
      </c>
    </row>
    <row r="1413" spans="17:60">
      <c r="Q1413" s="224" t="s">
        <v>247</v>
      </c>
      <c r="R1413" s="224" t="s">
        <v>490</v>
      </c>
      <c r="S1413" s="224" t="s">
        <v>242</v>
      </c>
      <c r="T1413" s="224">
        <f ca="1">OFFSET('Calculations 2'!$C$45,W1413,X1413)*OFFSET($N$6,W1413,0)</f>
        <v>0</v>
      </c>
      <c r="V1413">
        <f t="shared" si="65"/>
        <v>318</v>
      </c>
      <c r="W1413">
        <f t="shared" si="66"/>
        <v>21</v>
      </c>
      <c r="X1413">
        <f t="shared" si="67"/>
        <v>9</v>
      </c>
      <c r="AC1413" s="224" t="s">
        <v>247</v>
      </c>
      <c r="AD1413" s="224" t="s">
        <v>490</v>
      </c>
      <c r="AE1413" s="224" t="s">
        <v>242</v>
      </c>
      <c r="AF1413">
        <f ca="1">OFFSET('Calculations 2'!$CE$45,W1413,0)*OFFSET($AA$6,X1413,0)*OFFSET($N$6,W1413,)</f>
        <v>0</v>
      </c>
      <c r="AY1413" s="224" t="s">
        <v>247</v>
      </c>
      <c r="AZ1413" s="224" t="s">
        <v>490</v>
      </c>
      <c r="BA1413" s="224" t="s">
        <v>242</v>
      </c>
      <c r="BB1413">
        <v>0</v>
      </c>
      <c r="BE1413" s="224" t="s">
        <v>247</v>
      </c>
      <c r="BF1413" s="224" t="s">
        <v>490</v>
      </c>
      <c r="BG1413" s="224" t="s">
        <v>242</v>
      </c>
      <c r="BH1413">
        <v>0</v>
      </c>
    </row>
    <row r="1414" spans="17:60">
      <c r="Q1414" s="224" t="s">
        <v>218</v>
      </c>
      <c r="R1414" s="224" t="s">
        <v>490</v>
      </c>
      <c r="S1414" s="224" t="s">
        <v>242</v>
      </c>
      <c r="T1414" s="224">
        <f ca="1">OFFSET('Calculations 2'!$C$45,W1414,X1414)*OFFSET($N$6,W1414,0)</f>
        <v>0.37086317231188587</v>
      </c>
      <c r="V1414">
        <f t="shared" si="65"/>
        <v>319</v>
      </c>
      <c r="W1414">
        <f t="shared" si="66"/>
        <v>22</v>
      </c>
      <c r="X1414">
        <f t="shared" si="67"/>
        <v>9</v>
      </c>
      <c r="AC1414" s="224" t="s">
        <v>218</v>
      </c>
      <c r="AD1414" s="224" t="s">
        <v>490</v>
      </c>
      <c r="AE1414" s="224" t="s">
        <v>242</v>
      </c>
      <c r="AF1414">
        <f ca="1">OFFSET('Calculations 2'!$CE$45,W1414,0)*OFFSET($AA$6,X1414,0)*OFFSET($N$6,W1414,)</f>
        <v>0</v>
      </c>
      <c r="AY1414" s="224" t="s">
        <v>218</v>
      </c>
      <c r="AZ1414" s="224" t="s">
        <v>490</v>
      </c>
      <c r="BA1414" s="224" t="s">
        <v>242</v>
      </c>
      <c r="BB1414">
        <v>0</v>
      </c>
      <c r="BE1414" s="224" t="s">
        <v>218</v>
      </c>
      <c r="BF1414" s="224" t="s">
        <v>490</v>
      </c>
      <c r="BG1414" s="224" t="s">
        <v>242</v>
      </c>
      <c r="BH1414">
        <v>0</v>
      </c>
    </row>
    <row r="1415" spans="17:60">
      <c r="Q1415" s="224" t="s">
        <v>257</v>
      </c>
      <c r="R1415" s="224" t="s">
        <v>490</v>
      </c>
      <c r="S1415" s="224" t="s">
        <v>242</v>
      </c>
      <c r="T1415" s="224">
        <f ca="1">OFFSET('Calculations 2'!$C$45,W1415,X1415)*OFFSET($N$6,W1415,0)</f>
        <v>0.62110991274084959</v>
      </c>
      <c r="V1415">
        <f t="shared" si="65"/>
        <v>320</v>
      </c>
      <c r="W1415">
        <f t="shared" si="66"/>
        <v>23</v>
      </c>
      <c r="X1415">
        <f t="shared" si="67"/>
        <v>9</v>
      </c>
      <c r="AC1415" s="224" t="s">
        <v>257</v>
      </c>
      <c r="AD1415" s="224" t="s">
        <v>490</v>
      </c>
      <c r="AE1415" s="224" t="s">
        <v>242</v>
      </c>
      <c r="AF1415">
        <f ca="1">OFFSET('Calculations 2'!$CE$45,W1415,0)*OFFSET($AA$6,X1415,0)*OFFSET($N$6,W1415,)</f>
        <v>0</v>
      </c>
      <c r="AY1415" s="224" t="s">
        <v>257</v>
      </c>
      <c r="AZ1415" s="224" t="s">
        <v>490</v>
      </c>
      <c r="BA1415" s="224" t="s">
        <v>242</v>
      </c>
      <c r="BB1415">
        <v>0</v>
      </c>
      <c r="BE1415" s="224" t="s">
        <v>257</v>
      </c>
      <c r="BF1415" s="224" t="s">
        <v>490</v>
      </c>
      <c r="BG1415" s="224" t="s">
        <v>242</v>
      </c>
      <c r="BH1415">
        <v>0</v>
      </c>
    </row>
    <row r="1416" spans="17:60">
      <c r="Q1416" s="224" t="s">
        <v>220</v>
      </c>
      <c r="R1416" s="224" t="s">
        <v>490</v>
      </c>
      <c r="S1416" s="224" t="s">
        <v>242</v>
      </c>
      <c r="T1416" s="224">
        <f ca="1">OFFSET('Calculations 2'!$C$45,W1416,X1416)*OFFSET($N$6,W1416,0)</f>
        <v>0.12013546102976359</v>
      </c>
      <c r="V1416">
        <f t="shared" si="65"/>
        <v>321</v>
      </c>
      <c r="W1416">
        <f t="shared" si="66"/>
        <v>24</v>
      </c>
      <c r="X1416">
        <f t="shared" si="67"/>
        <v>9</v>
      </c>
      <c r="AC1416" s="224" t="s">
        <v>220</v>
      </c>
      <c r="AD1416" s="224" t="s">
        <v>490</v>
      </c>
      <c r="AE1416" s="224" t="s">
        <v>242</v>
      </c>
      <c r="AF1416">
        <f ca="1">OFFSET('Calculations 2'!$CE$45,W1416,0)*OFFSET($AA$6,X1416,0)*OFFSET($N$6,W1416,)</f>
        <v>0</v>
      </c>
      <c r="AY1416" s="224" t="s">
        <v>220</v>
      </c>
      <c r="AZ1416" s="224" t="s">
        <v>490</v>
      </c>
      <c r="BA1416" s="224" t="s">
        <v>242</v>
      </c>
      <c r="BB1416">
        <v>0</v>
      </c>
      <c r="BE1416" s="224" t="s">
        <v>220</v>
      </c>
      <c r="BF1416" s="224" t="s">
        <v>490</v>
      </c>
      <c r="BG1416" s="224" t="s">
        <v>242</v>
      </c>
      <c r="BH1416">
        <v>0</v>
      </c>
    </row>
    <row r="1417" spans="17:60">
      <c r="Q1417" s="224" t="s">
        <v>235</v>
      </c>
      <c r="R1417" s="224" t="s">
        <v>490</v>
      </c>
      <c r="S1417" s="224" t="s">
        <v>242</v>
      </c>
      <c r="T1417" s="224">
        <f ca="1">OFFSET('Calculations 2'!$C$45,W1417,X1417)*OFFSET($N$6,W1417,0)</f>
        <v>1.4353884340416356</v>
      </c>
      <c r="V1417">
        <f t="shared" ref="V1417:V1480" si="68">V1416+1</f>
        <v>322</v>
      </c>
      <c r="W1417">
        <f t="shared" ref="W1417:W1480" si="69">MOD(V1417,$V$3)</f>
        <v>25</v>
      </c>
      <c r="X1417">
        <f t="shared" ref="X1417:X1480" si="70">FLOOR(V1417/$V$3,1)</f>
        <v>9</v>
      </c>
      <c r="AC1417" s="224" t="s">
        <v>235</v>
      </c>
      <c r="AD1417" s="224" t="s">
        <v>490</v>
      </c>
      <c r="AE1417" s="224" t="s">
        <v>242</v>
      </c>
      <c r="AF1417">
        <f ca="1">OFFSET('Calculations 2'!$CE$45,W1417,0)*OFFSET($AA$6,X1417,0)*OFFSET($N$6,W1417,)</f>
        <v>0</v>
      </c>
      <c r="AY1417" s="224" t="s">
        <v>235</v>
      </c>
      <c r="AZ1417" s="224" t="s">
        <v>490</v>
      </c>
      <c r="BA1417" s="224" t="s">
        <v>242</v>
      </c>
      <c r="BB1417">
        <v>0</v>
      </c>
      <c r="BE1417" s="224" t="s">
        <v>235</v>
      </c>
      <c r="BF1417" s="224" t="s">
        <v>490</v>
      </c>
      <c r="BG1417" s="224" t="s">
        <v>242</v>
      </c>
      <c r="BH1417">
        <v>0</v>
      </c>
    </row>
    <row r="1418" spans="17:60">
      <c r="Q1418" s="224" t="s">
        <v>473</v>
      </c>
      <c r="R1418" s="224" t="s">
        <v>490</v>
      </c>
      <c r="S1418" s="224" t="s">
        <v>242</v>
      </c>
      <c r="T1418" s="224">
        <f ca="1">OFFSET('Calculations 2'!$C$45,W1418,X1418)*OFFSET($N$6,W1418,0)</f>
        <v>0.49539171638195939</v>
      </c>
      <c r="V1418">
        <f t="shared" si="68"/>
        <v>323</v>
      </c>
      <c r="W1418">
        <f t="shared" si="69"/>
        <v>26</v>
      </c>
      <c r="X1418">
        <f t="shared" si="70"/>
        <v>9</v>
      </c>
      <c r="AC1418" s="224" t="s">
        <v>473</v>
      </c>
      <c r="AD1418" s="224" t="s">
        <v>490</v>
      </c>
      <c r="AE1418" s="224" t="s">
        <v>242</v>
      </c>
      <c r="AF1418">
        <f ca="1">OFFSET('Calculations 2'!$CE$45,W1418,0)*OFFSET($AA$6,X1418,0)*OFFSET($N$6,W1418,)</f>
        <v>0</v>
      </c>
      <c r="AY1418" s="224" t="s">
        <v>473</v>
      </c>
      <c r="AZ1418" s="224" t="s">
        <v>490</v>
      </c>
      <c r="BA1418" s="224" t="s">
        <v>242</v>
      </c>
      <c r="BB1418">
        <v>0</v>
      </c>
      <c r="BE1418" s="224" t="s">
        <v>473</v>
      </c>
      <c r="BF1418" s="224" t="s">
        <v>490</v>
      </c>
      <c r="BG1418" s="224" t="s">
        <v>242</v>
      </c>
      <c r="BH1418">
        <v>0</v>
      </c>
    </row>
    <row r="1419" spans="17:60">
      <c r="Q1419" s="224" t="s">
        <v>233</v>
      </c>
      <c r="R1419" s="224" t="s">
        <v>490</v>
      </c>
      <c r="S1419" s="224" t="s">
        <v>242</v>
      </c>
      <c r="T1419" s="224">
        <f ca="1">OFFSET('Calculations 2'!$C$45,W1419,X1419)*OFFSET($N$6,W1419,0)</f>
        <v>0.33664682143853353</v>
      </c>
      <c r="V1419">
        <f t="shared" si="68"/>
        <v>324</v>
      </c>
      <c r="W1419">
        <f t="shared" si="69"/>
        <v>27</v>
      </c>
      <c r="X1419">
        <f t="shared" si="70"/>
        <v>9</v>
      </c>
      <c r="AC1419" s="224" t="s">
        <v>233</v>
      </c>
      <c r="AD1419" s="224" t="s">
        <v>490</v>
      </c>
      <c r="AE1419" s="224" t="s">
        <v>242</v>
      </c>
      <c r="AF1419">
        <f ca="1">OFFSET('Calculations 2'!$CE$45,W1419,0)*OFFSET($AA$6,X1419,0)*OFFSET($N$6,W1419,)</f>
        <v>0</v>
      </c>
      <c r="AY1419" s="224" t="s">
        <v>233</v>
      </c>
      <c r="AZ1419" s="224" t="s">
        <v>490</v>
      </c>
      <c r="BA1419" s="224" t="s">
        <v>242</v>
      </c>
      <c r="BB1419">
        <v>0</v>
      </c>
      <c r="BE1419" s="224" t="s">
        <v>233</v>
      </c>
      <c r="BF1419" s="224" t="s">
        <v>490</v>
      </c>
      <c r="BG1419" s="224" t="s">
        <v>242</v>
      </c>
      <c r="BH1419">
        <v>0</v>
      </c>
    </row>
    <row r="1420" spans="17:60">
      <c r="Q1420" s="224" t="s">
        <v>474</v>
      </c>
      <c r="R1420" s="224" t="s">
        <v>490</v>
      </c>
      <c r="S1420" s="224" t="s">
        <v>242</v>
      </c>
      <c r="T1420" s="224">
        <f ca="1">OFFSET('Calculations 2'!$C$45,W1420,X1420)*OFFSET($N$6,W1420,0)</f>
        <v>0.14617418894101092</v>
      </c>
      <c r="V1420">
        <f t="shared" si="68"/>
        <v>325</v>
      </c>
      <c r="W1420">
        <f t="shared" si="69"/>
        <v>28</v>
      </c>
      <c r="X1420">
        <f t="shared" si="70"/>
        <v>9</v>
      </c>
      <c r="AC1420" s="224" t="s">
        <v>474</v>
      </c>
      <c r="AD1420" s="224" t="s">
        <v>490</v>
      </c>
      <c r="AE1420" s="224" t="s">
        <v>242</v>
      </c>
      <c r="AF1420">
        <f ca="1">OFFSET('Calculations 2'!$CE$45,W1420,0)*OFFSET($AA$6,X1420,0)*OFFSET($N$6,W1420,)</f>
        <v>0</v>
      </c>
      <c r="AY1420" s="224" t="s">
        <v>474</v>
      </c>
      <c r="AZ1420" s="224" t="s">
        <v>490</v>
      </c>
      <c r="BA1420" s="224" t="s">
        <v>242</v>
      </c>
      <c r="BB1420">
        <v>0</v>
      </c>
      <c r="BE1420" s="224" t="s">
        <v>474</v>
      </c>
      <c r="BF1420" s="224" t="s">
        <v>490</v>
      </c>
      <c r="BG1420" s="224" t="s">
        <v>242</v>
      </c>
      <c r="BH1420">
        <v>0</v>
      </c>
    </row>
    <row r="1421" spans="17:60">
      <c r="Q1421" s="224" t="s">
        <v>223</v>
      </c>
      <c r="R1421" s="224" t="s">
        <v>490</v>
      </c>
      <c r="S1421" s="224" t="s">
        <v>242</v>
      </c>
      <c r="T1421" s="224">
        <f ca="1">OFFSET('Calculations 2'!$C$45,W1421,X1421)*OFFSET($N$6,W1421,0)</f>
        <v>0.4114731355178986</v>
      </c>
      <c r="V1421">
        <f t="shared" si="68"/>
        <v>326</v>
      </c>
      <c r="W1421">
        <f t="shared" si="69"/>
        <v>29</v>
      </c>
      <c r="X1421">
        <f t="shared" si="70"/>
        <v>9</v>
      </c>
      <c r="AC1421" s="224" t="s">
        <v>223</v>
      </c>
      <c r="AD1421" s="224" t="s">
        <v>490</v>
      </c>
      <c r="AE1421" s="224" t="s">
        <v>242</v>
      </c>
      <c r="AF1421">
        <f ca="1">OFFSET('Calculations 2'!$CE$45,W1421,0)*OFFSET($AA$6,X1421,0)*OFFSET($N$6,W1421,)</f>
        <v>0</v>
      </c>
      <c r="AY1421" s="224" t="s">
        <v>223</v>
      </c>
      <c r="AZ1421" s="224" t="s">
        <v>490</v>
      </c>
      <c r="BA1421" s="224" t="s">
        <v>242</v>
      </c>
      <c r="BB1421">
        <v>0</v>
      </c>
      <c r="BE1421" s="224" t="s">
        <v>223</v>
      </c>
      <c r="BF1421" s="224" t="s">
        <v>490</v>
      </c>
      <c r="BG1421" s="224" t="s">
        <v>242</v>
      </c>
      <c r="BH1421">
        <v>0</v>
      </c>
    </row>
    <row r="1422" spans="17:60">
      <c r="Q1422" s="224" t="s">
        <v>475</v>
      </c>
      <c r="R1422" s="224" t="s">
        <v>490</v>
      </c>
      <c r="S1422" s="224" t="s">
        <v>242</v>
      </c>
      <c r="T1422" s="224">
        <f ca="1">OFFSET('Calculations 2'!$C$45,W1422,X1422)*OFFSET($N$6,W1422,0)</f>
        <v>1.3216875724834808E-2</v>
      </c>
      <c r="V1422">
        <f t="shared" si="68"/>
        <v>327</v>
      </c>
      <c r="W1422">
        <f t="shared" si="69"/>
        <v>30</v>
      </c>
      <c r="X1422">
        <f t="shared" si="70"/>
        <v>9</v>
      </c>
      <c r="AC1422" s="224" t="s">
        <v>475</v>
      </c>
      <c r="AD1422" s="224" t="s">
        <v>490</v>
      </c>
      <c r="AE1422" s="224" t="s">
        <v>242</v>
      </c>
      <c r="AF1422">
        <f ca="1">OFFSET('Calculations 2'!$CE$45,W1422,0)*OFFSET($AA$6,X1422,0)*OFFSET($N$6,W1422,)</f>
        <v>0</v>
      </c>
      <c r="AY1422" s="224" t="s">
        <v>475</v>
      </c>
      <c r="AZ1422" s="224" t="s">
        <v>490</v>
      </c>
      <c r="BA1422" s="224" t="s">
        <v>242</v>
      </c>
      <c r="BB1422">
        <v>0</v>
      </c>
      <c r="BE1422" s="224" t="s">
        <v>475</v>
      </c>
      <c r="BF1422" s="224" t="s">
        <v>490</v>
      </c>
      <c r="BG1422" s="224" t="s">
        <v>242</v>
      </c>
      <c r="BH1422">
        <v>0</v>
      </c>
    </row>
    <row r="1423" spans="17:60">
      <c r="Q1423" s="224" t="s">
        <v>476</v>
      </c>
      <c r="R1423" s="224" t="s">
        <v>490</v>
      </c>
      <c r="S1423" s="224" t="s">
        <v>242</v>
      </c>
      <c r="T1423" s="224">
        <f ca="1">OFFSET('Calculations 2'!$C$45,W1423,X1423)*OFFSET($N$6,W1423,0)</f>
        <v>5.7390175419228473E-2</v>
      </c>
      <c r="V1423">
        <f t="shared" si="68"/>
        <v>328</v>
      </c>
      <c r="W1423">
        <f t="shared" si="69"/>
        <v>31</v>
      </c>
      <c r="X1423">
        <f t="shared" si="70"/>
        <v>9</v>
      </c>
      <c r="AC1423" s="224" t="s">
        <v>476</v>
      </c>
      <c r="AD1423" s="224" t="s">
        <v>490</v>
      </c>
      <c r="AE1423" s="224" t="s">
        <v>242</v>
      </c>
      <c r="AF1423">
        <f ca="1">OFFSET('Calculations 2'!$CE$45,W1423,0)*OFFSET($AA$6,X1423,0)*OFFSET($N$6,W1423,)</f>
        <v>0</v>
      </c>
      <c r="AY1423" s="224" t="s">
        <v>476</v>
      </c>
      <c r="AZ1423" s="224" t="s">
        <v>490</v>
      </c>
      <c r="BA1423" s="224" t="s">
        <v>242</v>
      </c>
      <c r="BB1423">
        <v>0</v>
      </c>
      <c r="BE1423" s="224" t="s">
        <v>476</v>
      </c>
      <c r="BF1423" s="224" t="s">
        <v>490</v>
      </c>
      <c r="BG1423" s="224" t="s">
        <v>242</v>
      </c>
      <c r="BH1423">
        <v>0</v>
      </c>
    </row>
    <row r="1424" spans="17:60">
      <c r="Q1424" s="224" t="s">
        <v>222</v>
      </c>
      <c r="R1424" s="224" t="s">
        <v>490</v>
      </c>
      <c r="S1424" s="224" t="s">
        <v>242</v>
      </c>
      <c r="T1424" s="224">
        <f ca="1">OFFSET('Calculations 2'!$C$45,W1424,X1424)*OFFSET($N$6,W1424,0)</f>
        <v>0</v>
      </c>
      <c r="V1424">
        <f t="shared" si="68"/>
        <v>329</v>
      </c>
      <c r="W1424">
        <f t="shared" si="69"/>
        <v>32</v>
      </c>
      <c r="X1424">
        <f t="shared" si="70"/>
        <v>9</v>
      </c>
      <c r="AC1424" s="224" t="s">
        <v>222</v>
      </c>
      <c r="AD1424" s="224" t="s">
        <v>490</v>
      </c>
      <c r="AE1424" s="224" t="s">
        <v>242</v>
      </c>
      <c r="AF1424">
        <f ca="1">OFFSET('Calculations 2'!$CE$45,W1424,0)*OFFSET($AA$6,X1424,0)*OFFSET($N$6,W1424,)</f>
        <v>0</v>
      </c>
      <c r="AY1424" s="224" t="s">
        <v>222</v>
      </c>
      <c r="AZ1424" s="224" t="s">
        <v>490</v>
      </c>
      <c r="BA1424" s="224" t="s">
        <v>242</v>
      </c>
      <c r="BB1424">
        <v>0</v>
      </c>
      <c r="BE1424" s="224" t="s">
        <v>222</v>
      </c>
      <c r="BF1424" s="224" t="s">
        <v>490</v>
      </c>
      <c r="BG1424" s="224" t="s">
        <v>242</v>
      </c>
      <c r="BH1424">
        <v>0</v>
      </c>
    </row>
    <row r="1425" spans="17:60">
      <c r="Q1425" s="224" t="s">
        <v>217</v>
      </c>
      <c r="R1425" s="224" t="s">
        <v>490</v>
      </c>
      <c r="S1425" s="224" t="s">
        <v>467</v>
      </c>
      <c r="T1425" s="224">
        <f ca="1">OFFSET('Calculations 2'!$C$45,W1425,X1425)*OFFSET($N$6,W1425,0)</f>
        <v>0</v>
      </c>
      <c r="V1425">
        <f t="shared" si="68"/>
        <v>330</v>
      </c>
      <c r="W1425">
        <f t="shared" si="69"/>
        <v>0</v>
      </c>
      <c r="X1425">
        <f t="shared" si="70"/>
        <v>10</v>
      </c>
      <c r="AC1425" s="224" t="s">
        <v>217</v>
      </c>
      <c r="AD1425" s="224" t="s">
        <v>490</v>
      </c>
      <c r="AE1425" s="224" t="s">
        <v>467</v>
      </c>
      <c r="AF1425">
        <f ca="1">OFFSET('Calculations 2'!$CE$45,W1425,0)*OFFSET($AA$6,X1425,0)*OFFSET($N$6,W1425,)</f>
        <v>1.0512293138632682</v>
      </c>
      <c r="AY1425" s="224" t="s">
        <v>217</v>
      </c>
      <c r="AZ1425" s="224" t="s">
        <v>490</v>
      </c>
      <c r="BA1425" s="224" t="s">
        <v>467</v>
      </c>
      <c r="BB1425">
        <v>0</v>
      </c>
      <c r="BE1425" s="224" t="s">
        <v>217</v>
      </c>
      <c r="BF1425" s="224" t="s">
        <v>490</v>
      </c>
      <c r="BG1425" s="224" t="s">
        <v>467</v>
      </c>
      <c r="BH1425">
        <v>0</v>
      </c>
    </row>
    <row r="1426" spans="17:60">
      <c r="Q1426" s="224" t="s">
        <v>232</v>
      </c>
      <c r="R1426" s="224" t="s">
        <v>490</v>
      </c>
      <c r="S1426" s="224" t="s">
        <v>467</v>
      </c>
      <c r="T1426" s="224">
        <f ca="1">OFFSET('Calculations 2'!$C$45,W1426,X1426)*OFFSET($N$6,W1426,0)</f>
        <v>275.12943325825529</v>
      </c>
      <c r="V1426">
        <f t="shared" si="68"/>
        <v>331</v>
      </c>
      <c r="W1426">
        <f t="shared" si="69"/>
        <v>1</v>
      </c>
      <c r="X1426">
        <f t="shared" si="70"/>
        <v>10</v>
      </c>
      <c r="AC1426" s="224" t="s">
        <v>232</v>
      </c>
      <c r="AD1426" s="224" t="s">
        <v>490</v>
      </c>
      <c r="AE1426" s="224" t="s">
        <v>467</v>
      </c>
      <c r="AF1426">
        <f ca="1">OFFSET('Calculations 2'!$CE$45,W1426,0)*OFFSET($AA$6,X1426,0)*OFFSET($N$6,W1426,)</f>
        <v>1.6584527448398851</v>
      </c>
      <c r="AY1426" s="224" t="s">
        <v>232</v>
      </c>
      <c r="AZ1426" s="224" t="s">
        <v>490</v>
      </c>
      <c r="BA1426" s="224" t="s">
        <v>467</v>
      </c>
      <c r="BB1426">
        <v>0</v>
      </c>
      <c r="BE1426" s="224" t="s">
        <v>232</v>
      </c>
      <c r="BF1426" s="224" t="s">
        <v>490</v>
      </c>
      <c r="BG1426" s="224" t="s">
        <v>467</v>
      </c>
      <c r="BH1426">
        <v>0</v>
      </c>
    </row>
    <row r="1427" spans="17:60">
      <c r="Q1427" s="224" t="s">
        <v>226</v>
      </c>
      <c r="R1427" s="224" t="s">
        <v>490</v>
      </c>
      <c r="S1427" s="224" t="s">
        <v>467</v>
      </c>
      <c r="T1427" s="224">
        <f ca="1">OFFSET('Calculations 2'!$C$45,W1427,X1427)*OFFSET($N$6,W1427,0)</f>
        <v>0</v>
      </c>
      <c r="V1427">
        <f t="shared" si="68"/>
        <v>332</v>
      </c>
      <c r="W1427">
        <f t="shared" si="69"/>
        <v>2</v>
      </c>
      <c r="X1427">
        <f t="shared" si="70"/>
        <v>10</v>
      </c>
      <c r="AC1427" s="224" t="s">
        <v>226</v>
      </c>
      <c r="AD1427" s="224" t="s">
        <v>490</v>
      </c>
      <c r="AE1427" s="224" t="s">
        <v>467</v>
      </c>
      <c r="AF1427">
        <f ca="1">OFFSET('Calculations 2'!$CE$45,W1427,0)*OFFSET($AA$6,X1427,0)*OFFSET($N$6,W1427,)</f>
        <v>0.41499566171385927</v>
      </c>
      <c r="AY1427" s="224" t="s">
        <v>226</v>
      </c>
      <c r="AZ1427" s="224" t="s">
        <v>490</v>
      </c>
      <c r="BA1427" s="224" t="s">
        <v>467</v>
      </c>
      <c r="BB1427">
        <v>0</v>
      </c>
      <c r="BE1427" s="224" t="s">
        <v>226</v>
      </c>
      <c r="BF1427" s="224" t="s">
        <v>490</v>
      </c>
      <c r="BG1427" s="224" t="s">
        <v>467</v>
      </c>
      <c r="BH1427">
        <v>0</v>
      </c>
    </row>
    <row r="1428" spans="17:60">
      <c r="Q1428" s="224" t="s">
        <v>243</v>
      </c>
      <c r="R1428" s="224" t="s">
        <v>490</v>
      </c>
      <c r="S1428" s="224" t="s">
        <v>467</v>
      </c>
      <c r="T1428" s="224">
        <f ca="1">OFFSET('Calculations 2'!$C$45,W1428,X1428)*OFFSET($N$6,W1428,0)</f>
        <v>2.7839004010772492</v>
      </c>
      <c r="V1428">
        <f t="shared" si="68"/>
        <v>333</v>
      </c>
      <c r="W1428">
        <f t="shared" si="69"/>
        <v>3</v>
      </c>
      <c r="X1428">
        <f t="shared" si="70"/>
        <v>10</v>
      </c>
      <c r="AC1428" s="224" t="s">
        <v>243</v>
      </c>
      <c r="AD1428" s="224" t="s">
        <v>490</v>
      </c>
      <c r="AE1428" s="224" t="s">
        <v>467</v>
      </c>
      <c r="AF1428">
        <f ca="1">OFFSET('Calculations 2'!$CE$45,W1428,0)*OFFSET($AA$6,X1428,0)*OFFSET($N$6,W1428,)</f>
        <v>8.1438835884538072</v>
      </c>
      <c r="AY1428" s="224" t="s">
        <v>243</v>
      </c>
      <c r="AZ1428" s="224" t="s">
        <v>490</v>
      </c>
      <c r="BA1428" s="224" t="s">
        <v>467</v>
      </c>
      <c r="BB1428">
        <v>0</v>
      </c>
      <c r="BE1428" s="224" t="s">
        <v>243</v>
      </c>
      <c r="BF1428" s="224" t="s">
        <v>490</v>
      </c>
      <c r="BG1428" s="224" t="s">
        <v>467</v>
      </c>
      <c r="BH1428">
        <v>0</v>
      </c>
    </row>
    <row r="1429" spans="17:60">
      <c r="Q1429" s="224" t="s">
        <v>228</v>
      </c>
      <c r="R1429" s="224" t="s">
        <v>490</v>
      </c>
      <c r="S1429" s="224" t="s">
        <v>467</v>
      </c>
      <c r="T1429" s="224">
        <f ca="1">OFFSET('Calculations 2'!$C$45,W1429,X1429)*OFFSET($N$6,W1429,0)</f>
        <v>0</v>
      </c>
      <c r="V1429">
        <f t="shared" si="68"/>
        <v>334</v>
      </c>
      <c r="W1429">
        <f t="shared" si="69"/>
        <v>4</v>
      </c>
      <c r="X1429">
        <f t="shared" si="70"/>
        <v>10</v>
      </c>
      <c r="AC1429" s="224" t="s">
        <v>228</v>
      </c>
      <c r="AD1429" s="224" t="s">
        <v>490</v>
      </c>
      <c r="AE1429" s="224" t="s">
        <v>467</v>
      </c>
      <c r="AF1429">
        <f ca="1">OFFSET('Calculations 2'!$CE$45,W1429,0)*OFFSET($AA$6,X1429,0)*OFFSET($N$6,W1429,)</f>
        <v>4.2443435044292093</v>
      </c>
      <c r="AY1429" s="224" t="s">
        <v>228</v>
      </c>
      <c r="AZ1429" s="224" t="s">
        <v>490</v>
      </c>
      <c r="BA1429" s="224" t="s">
        <v>467</v>
      </c>
      <c r="BB1429">
        <v>0</v>
      </c>
      <c r="BE1429" s="224" t="s">
        <v>228</v>
      </c>
      <c r="BF1429" s="224" t="s">
        <v>490</v>
      </c>
      <c r="BG1429" s="224" t="s">
        <v>467</v>
      </c>
      <c r="BH1429">
        <v>0</v>
      </c>
    </row>
    <row r="1430" spans="17:60">
      <c r="Q1430" s="224" t="s">
        <v>246</v>
      </c>
      <c r="R1430" s="224" t="s">
        <v>490</v>
      </c>
      <c r="S1430" s="224" t="s">
        <v>467</v>
      </c>
      <c r="T1430" s="224">
        <f ca="1">OFFSET('Calculations 2'!$C$45,W1430,X1430)*OFFSET($N$6,W1430,0)</f>
        <v>1.5197341504232118</v>
      </c>
      <c r="V1430">
        <f t="shared" si="68"/>
        <v>335</v>
      </c>
      <c r="W1430">
        <f t="shared" si="69"/>
        <v>5</v>
      </c>
      <c r="X1430">
        <f t="shared" si="70"/>
        <v>10</v>
      </c>
      <c r="AC1430" s="224" t="s">
        <v>246</v>
      </c>
      <c r="AD1430" s="224" t="s">
        <v>490</v>
      </c>
      <c r="AE1430" s="224" t="s">
        <v>467</v>
      </c>
      <c r="AF1430">
        <f ca="1">OFFSET('Calculations 2'!$CE$45,W1430,0)*OFFSET($AA$6,X1430,0)*OFFSET($N$6,W1430,)</f>
        <v>7.5970531370640623E-2</v>
      </c>
      <c r="AY1430" s="224" t="s">
        <v>246</v>
      </c>
      <c r="AZ1430" s="224" t="s">
        <v>490</v>
      </c>
      <c r="BA1430" s="224" t="s">
        <v>467</v>
      </c>
      <c r="BB1430">
        <v>0</v>
      </c>
      <c r="BE1430" s="224" t="s">
        <v>246</v>
      </c>
      <c r="BF1430" s="224" t="s">
        <v>490</v>
      </c>
      <c r="BG1430" s="224" t="s">
        <v>467</v>
      </c>
      <c r="BH1430">
        <v>0</v>
      </c>
    </row>
    <row r="1431" spans="17:60">
      <c r="Q1431" s="224" t="s">
        <v>239</v>
      </c>
      <c r="R1431" s="224" t="s">
        <v>490</v>
      </c>
      <c r="S1431" s="224" t="s">
        <v>467</v>
      </c>
      <c r="T1431" s="224">
        <f ca="1">OFFSET('Calculations 2'!$C$45,W1431,X1431)*OFFSET($N$6,W1431,0)</f>
        <v>12.275333305157615</v>
      </c>
      <c r="V1431">
        <f t="shared" si="68"/>
        <v>336</v>
      </c>
      <c r="W1431">
        <f t="shared" si="69"/>
        <v>6</v>
      </c>
      <c r="X1431">
        <f t="shared" si="70"/>
        <v>10</v>
      </c>
      <c r="AC1431" s="224" t="s">
        <v>239</v>
      </c>
      <c r="AD1431" s="224" t="s">
        <v>490</v>
      </c>
      <c r="AE1431" s="224" t="s">
        <v>467</v>
      </c>
      <c r="AF1431">
        <f ca="1">OFFSET('Calculations 2'!$CE$45,W1431,0)*OFFSET($AA$6,X1431,0)*OFFSET($N$6,W1431,)</f>
        <v>1.0939695085972005</v>
      </c>
      <c r="AY1431" s="224" t="s">
        <v>239</v>
      </c>
      <c r="AZ1431" s="224" t="s">
        <v>490</v>
      </c>
      <c r="BA1431" s="224" t="s">
        <v>467</v>
      </c>
      <c r="BB1431">
        <v>0</v>
      </c>
      <c r="BE1431" s="224" t="s">
        <v>239</v>
      </c>
      <c r="BF1431" s="224" t="s">
        <v>490</v>
      </c>
      <c r="BG1431" s="224" t="s">
        <v>467</v>
      </c>
      <c r="BH1431">
        <v>0</v>
      </c>
    </row>
    <row r="1432" spans="17:60">
      <c r="Q1432" s="224" t="s">
        <v>466</v>
      </c>
      <c r="R1432" s="224" t="s">
        <v>490</v>
      </c>
      <c r="S1432" s="224" t="s">
        <v>467</v>
      </c>
      <c r="T1432" s="224">
        <f ca="1">OFFSET('Calculations 2'!$C$45,W1432,X1432)*OFFSET($N$6,W1432,0)</f>
        <v>282.39202189917665</v>
      </c>
      <c r="V1432">
        <f t="shared" si="68"/>
        <v>337</v>
      </c>
      <c r="W1432">
        <f t="shared" si="69"/>
        <v>7</v>
      </c>
      <c r="X1432">
        <f t="shared" si="70"/>
        <v>10</v>
      </c>
      <c r="AC1432" s="224" t="s">
        <v>466</v>
      </c>
      <c r="AD1432" s="224" t="s">
        <v>490</v>
      </c>
      <c r="AE1432" s="224" t="s">
        <v>467</v>
      </c>
      <c r="AF1432">
        <f ca="1">OFFSET('Calculations 2'!$CE$45,W1432,0)*OFFSET($AA$6,X1432,0)*OFFSET($N$6,W1432,)</f>
        <v>0.27547430113429727</v>
      </c>
      <c r="AY1432" s="224" t="s">
        <v>466</v>
      </c>
      <c r="AZ1432" s="224" t="s">
        <v>490</v>
      </c>
      <c r="BA1432" s="224" t="s">
        <v>467</v>
      </c>
      <c r="BB1432">
        <v>0</v>
      </c>
      <c r="BE1432" s="224" t="s">
        <v>466</v>
      </c>
      <c r="BF1432" s="224" t="s">
        <v>490</v>
      </c>
      <c r="BG1432" s="224" t="s">
        <v>467</v>
      </c>
      <c r="BH1432">
        <v>0</v>
      </c>
    </row>
    <row r="1433" spans="17:60">
      <c r="Q1433" s="224" t="s">
        <v>219</v>
      </c>
      <c r="R1433" s="224" t="s">
        <v>490</v>
      </c>
      <c r="S1433" s="224" t="s">
        <v>467</v>
      </c>
      <c r="T1433" s="224">
        <f ca="1">OFFSET('Calculations 2'!$C$45,W1433,X1433)*OFFSET($N$6,W1433,0)</f>
        <v>222.3963513994004</v>
      </c>
      <c r="V1433">
        <f t="shared" si="68"/>
        <v>338</v>
      </c>
      <c r="W1433">
        <f t="shared" si="69"/>
        <v>8</v>
      </c>
      <c r="X1433">
        <f t="shared" si="70"/>
        <v>10</v>
      </c>
      <c r="AC1433" s="224" t="s">
        <v>219</v>
      </c>
      <c r="AD1433" s="224" t="s">
        <v>490</v>
      </c>
      <c r="AE1433" s="224" t="s">
        <v>467</v>
      </c>
      <c r="AF1433">
        <f ca="1">OFFSET('Calculations 2'!$CE$45,W1433,0)*OFFSET($AA$6,X1433,0)*OFFSET($N$6,W1433,)</f>
        <v>3.7762941515835275</v>
      </c>
      <c r="AY1433" s="224" t="s">
        <v>219</v>
      </c>
      <c r="AZ1433" s="224" t="s">
        <v>490</v>
      </c>
      <c r="BA1433" s="224" t="s">
        <v>467</v>
      </c>
      <c r="BB1433">
        <v>0</v>
      </c>
      <c r="BE1433" s="224" t="s">
        <v>219</v>
      </c>
      <c r="BF1433" s="224" t="s">
        <v>490</v>
      </c>
      <c r="BG1433" s="224" t="s">
        <v>467</v>
      </c>
      <c r="BH1433">
        <v>0</v>
      </c>
    </row>
    <row r="1434" spans="17:60">
      <c r="Q1434" s="224" t="s">
        <v>242</v>
      </c>
      <c r="R1434" s="224" t="s">
        <v>490</v>
      </c>
      <c r="S1434" s="224" t="s">
        <v>467</v>
      </c>
      <c r="T1434" s="224">
        <f ca="1">OFFSET('Calculations 2'!$C$45,W1434,X1434)*OFFSET($N$6,W1434,0)</f>
        <v>93.512571400341926</v>
      </c>
      <c r="V1434">
        <f t="shared" si="68"/>
        <v>339</v>
      </c>
      <c r="W1434">
        <f t="shared" si="69"/>
        <v>9</v>
      </c>
      <c r="X1434">
        <f t="shared" si="70"/>
        <v>10</v>
      </c>
      <c r="AC1434" s="224" t="s">
        <v>242</v>
      </c>
      <c r="AD1434" s="224" t="s">
        <v>490</v>
      </c>
      <c r="AE1434" s="224" t="s">
        <v>467</v>
      </c>
      <c r="AF1434">
        <f ca="1">OFFSET('Calculations 2'!$CE$45,W1434,0)*OFFSET($AA$6,X1434,0)*OFFSET($N$6,W1434,)</f>
        <v>2.892139371844817</v>
      </c>
      <c r="AY1434" s="224" t="s">
        <v>242</v>
      </c>
      <c r="AZ1434" s="224" t="s">
        <v>490</v>
      </c>
      <c r="BA1434" s="224" t="s">
        <v>467</v>
      </c>
      <c r="BB1434">
        <v>0</v>
      </c>
      <c r="BE1434" s="224" t="s">
        <v>242</v>
      </c>
      <c r="BF1434" s="224" t="s">
        <v>490</v>
      </c>
      <c r="BG1434" s="224" t="s">
        <v>467</v>
      </c>
      <c r="BH1434">
        <v>0</v>
      </c>
    </row>
    <row r="1435" spans="17:60">
      <c r="Q1435" s="224" t="s">
        <v>467</v>
      </c>
      <c r="R1435" s="224" t="s">
        <v>490</v>
      </c>
      <c r="S1435" s="224" t="s">
        <v>467</v>
      </c>
      <c r="T1435" s="224">
        <f ca="1">OFFSET('Calculations 2'!$C$45,W1435,X1435)*OFFSET($N$6,W1435,0)</f>
        <v>589.08389327236148</v>
      </c>
      <c r="V1435">
        <f t="shared" si="68"/>
        <v>340</v>
      </c>
      <c r="W1435">
        <f t="shared" si="69"/>
        <v>10</v>
      </c>
      <c r="X1435">
        <f t="shared" si="70"/>
        <v>10</v>
      </c>
      <c r="AC1435" s="224" t="s">
        <v>467</v>
      </c>
      <c r="AD1435" s="224" t="s">
        <v>490</v>
      </c>
      <c r="AE1435" s="224" t="s">
        <v>467</v>
      </c>
      <c r="AF1435">
        <f ca="1">OFFSET('Calculations 2'!$CE$45,W1435,0)*OFFSET($AA$6,X1435,0)*OFFSET($N$6,W1435,)</f>
        <v>1.0917460329671071</v>
      </c>
      <c r="AY1435" s="224" t="s">
        <v>467</v>
      </c>
      <c r="AZ1435" s="224" t="s">
        <v>490</v>
      </c>
      <c r="BA1435" s="224" t="s">
        <v>467</v>
      </c>
      <c r="BB1435">
        <v>0</v>
      </c>
      <c r="BE1435" s="224" t="s">
        <v>467</v>
      </c>
      <c r="BF1435" s="224" t="s">
        <v>490</v>
      </c>
      <c r="BG1435" s="224" t="s">
        <v>467</v>
      </c>
      <c r="BH1435">
        <v>0</v>
      </c>
    </row>
    <row r="1436" spans="17:60">
      <c r="Q1436" s="224" t="s">
        <v>231</v>
      </c>
      <c r="R1436" s="224" t="s">
        <v>490</v>
      </c>
      <c r="S1436" s="224" t="s">
        <v>467</v>
      </c>
      <c r="T1436" s="224">
        <f ca="1">OFFSET('Calculations 2'!$C$45,W1436,X1436)*OFFSET($N$6,W1436,0)</f>
        <v>101.02884589968706</v>
      </c>
      <c r="V1436">
        <f t="shared" si="68"/>
        <v>341</v>
      </c>
      <c r="W1436">
        <f t="shared" si="69"/>
        <v>11</v>
      </c>
      <c r="X1436">
        <f t="shared" si="70"/>
        <v>10</v>
      </c>
      <c r="AC1436" s="224" t="s">
        <v>231</v>
      </c>
      <c r="AD1436" s="224" t="s">
        <v>490</v>
      </c>
      <c r="AE1436" s="224" t="s">
        <v>467</v>
      </c>
      <c r="AF1436">
        <f ca="1">OFFSET('Calculations 2'!$CE$45,W1436,0)*OFFSET($AA$6,X1436,0)*OFFSET($N$6,W1436,)</f>
        <v>13.665536781789577</v>
      </c>
      <c r="AY1436" s="224" t="s">
        <v>231</v>
      </c>
      <c r="AZ1436" s="224" t="s">
        <v>490</v>
      </c>
      <c r="BA1436" s="224" t="s">
        <v>467</v>
      </c>
      <c r="BB1436">
        <v>0</v>
      </c>
      <c r="BE1436" s="224" t="s">
        <v>231</v>
      </c>
      <c r="BF1436" s="224" t="s">
        <v>490</v>
      </c>
      <c r="BG1436" s="224" t="s">
        <v>467</v>
      </c>
      <c r="BH1436">
        <v>0</v>
      </c>
    </row>
    <row r="1437" spans="17:60">
      <c r="Q1437" s="224" t="s">
        <v>468</v>
      </c>
      <c r="R1437" s="224" t="s">
        <v>490</v>
      </c>
      <c r="S1437" s="224" t="s">
        <v>467</v>
      </c>
      <c r="T1437" s="224">
        <f ca="1">OFFSET('Calculations 2'!$C$45,W1437,X1437)*OFFSET($N$6,W1437,0)</f>
        <v>255.64552341142786</v>
      </c>
      <c r="V1437">
        <f t="shared" si="68"/>
        <v>342</v>
      </c>
      <c r="W1437">
        <f t="shared" si="69"/>
        <v>12</v>
      </c>
      <c r="X1437">
        <f t="shared" si="70"/>
        <v>10</v>
      </c>
      <c r="AC1437" s="224" t="s">
        <v>468</v>
      </c>
      <c r="AD1437" s="224" t="s">
        <v>490</v>
      </c>
      <c r="AE1437" s="224" t="s">
        <v>467</v>
      </c>
      <c r="AF1437">
        <f ca="1">OFFSET('Calculations 2'!$CE$45,W1437,0)*OFFSET($AA$6,X1437,0)*OFFSET($N$6,W1437,)</f>
        <v>52.349554298345858</v>
      </c>
      <c r="AY1437" s="224" t="s">
        <v>468</v>
      </c>
      <c r="AZ1437" s="224" t="s">
        <v>490</v>
      </c>
      <c r="BA1437" s="224" t="s">
        <v>467</v>
      </c>
      <c r="BB1437">
        <v>0</v>
      </c>
      <c r="BE1437" s="224" t="s">
        <v>468</v>
      </c>
      <c r="BF1437" s="224" t="s">
        <v>490</v>
      </c>
      <c r="BG1437" s="224" t="s">
        <v>467</v>
      </c>
      <c r="BH1437">
        <v>0</v>
      </c>
    </row>
    <row r="1438" spans="17:60">
      <c r="Q1438" s="224" t="s">
        <v>469</v>
      </c>
      <c r="R1438" s="224" t="s">
        <v>490</v>
      </c>
      <c r="S1438" s="224" t="s">
        <v>467</v>
      </c>
      <c r="T1438" s="224">
        <f ca="1">OFFSET('Calculations 2'!$C$45,W1438,X1438)*OFFSET($N$6,W1438,0)</f>
        <v>0</v>
      </c>
      <c r="V1438">
        <f t="shared" si="68"/>
        <v>343</v>
      </c>
      <c r="W1438">
        <f t="shared" si="69"/>
        <v>13</v>
      </c>
      <c r="X1438">
        <f t="shared" si="70"/>
        <v>10</v>
      </c>
      <c r="AC1438" s="224" t="s">
        <v>469</v>
      </c>
      <c r="AD1438" s="224" t="s">
        <v>490</v>
      </c>
      <c r="AE1438" s="224" t="s">
        <v>467</v>
      </c>
      <c r="AF1438">
        <f ca="1">OFFSET('Calculations 2'!$CE$45,W1438,0)*OFFSET($AA$6,X1438,0)*OFFSET($N$6,W1438,)</f>
        <v>28.068234090212748</v>
      </c>
      <c r="AY1438" s="224" t="s">
        <v>469</v>
      </c>
      <c r="AZ1438" s="224" t="s">
        <v>490</v>
      </c>
      <c r="BA1438" s="224" t="s">
        <v>467</v>
      </c>
      <c r="BB1438">
        <v>0</v>
      </c>
      <c r="BE1438" s="224" t="s">
        <v>469</v>
      </c>
      <c r="BF1438" s="224" t="s">
        <v>490</v>
      </c>
      <c r="BG1438" s="224" t="s">
        <v>467</v>
      </c>
      <c r="BH1438">
        <v>0</v>
      </c>
    </row>
    <row r="1439" spans="17:60">
      <c r="Q1439" s="224" t="s">
        <v>245</v>
      </c>
      <c r="R1439" s="224" t="s">
        <v>490</v>
      </c>
      <c r="S1439" s="224" t="s">
        <v>467</v>
      </c>
      <c r="T1439" s="224">
        <f ca="1">OFFSET('Calculations 2'!$C$45,W1439,X1439)*OFFSET($N$6,W1439,0)</f>
        <v>98.759454188821124</v>
      </c>
      <c r="V1439">
        <f t="shared" si="68"/>
        <v>344</v>
      </c>
      <c r="W1439">
        <f t="shared" si="69"/>
        <v>14</v>
      </c>
      <c r="X1439">
        <f t="shared" si="70"/>
        <v>10</v>
      </c>
      <c r="AC1439" s="224" t="s">
        <v>245</v>
      </c>
      <c r="AD1439" s="224" t="s">
        <v>490</v>
      </c>
      <c r="AE1439" s="224" t="s">
        <v>467</v>
      </c>
      <c r="AF1439">
        <f ca="1">OFFSET('Calculations 2'!$CE$45,W1439,0)*OFFSET($AA$6,X1439,0)*OFFSET($N$6,W1439,)</f>
        <v>44.793744582999146</v>
      </c>
      <c r="AY1439" s="224" t="s">
        <v>245</v>
      </c>
      <c r="AZ1439" s="224" t="s">
        <v>490</v>
      </c>
      <c r="BA1439" s="224" t="s">
        <v>467</v>
      </c>
      <c r="BB1439">
        <v>0</v>
      </c>
      <c r="BE1439" s="224" t="s">
        <v>245</v>
      </c>
      <c r="BF1439" s="224" t="s">
        <v>490</v>
      </c>
      <c r="BG1439" s="224" t="s">
        <v>467</v>
      </c>
      <c r="BH1439">
        <v>0</v>
      </c>
    </row>
    <row r="1440" spans="17:60">
      <c r="Q1440" s="224" t="s">
        <v>470</v>
      </c>
      <c r="R1440" s="224" t="s">
        <v>490</v>
      </c>
      <c r="S1440" s="224" t="s">
        <v>467</v>
      </c>
      <c r="T1440" s="224">
        <f ca="1">OFFSET('Calculations 2'!$C$45,W1440,X1440)*OFFSET($N$6,W1440,0)</f>
        <v>56.365109040646047</v>
      </c>
      <c r="V1440">
        <f t="shared" si="68"/>
        <v>345</v>
      </c>
      <c r="W1440">
        <f t="shared" si="69"/>
        <v>15</v>
      </c>
      <c r="X1440">
        <f t="shared" si="70"/>
        <v>10</v>
      </c>
      <c r="AC1440" s="224" t="s">
        <v>470</v>
      </c>
      <c r="AD1440" s="224" t="s">
        <v>490</v>
      </c>
      <c r="AE1440" s="224" t="s">
        <v>467</v>
      </c>
      <c r="AF1440">
        <f ca="1">OFFSET('Calculations 2'!$CE$45,W1440,0)*OFFSET($AA$6,X1440,0)*OFFSET($N$6,W1440,)</f>
        <v>16.996299628153313</v>
      </c>
      <c r="AY1440" s="224" t="s">
        <v>470</v>
      </c>
      <c r="AZ1440" s="224" t="s">
        <v>490</v>
      </c>
      <c r="BA1440" s="224" t="s">
        <v>467</v>
      </c>
      <c r="BB1440">
        <v>0</v>
      </c>
      <c r="BE1440" s="224" t="s">
        <v>470</v>
      </c>
      <c r="BF1440" s="224" t="s">
        <v>490</v>
      </c>
      <c r="BG1440" s="224" t="s">
        <v>467</v>
      </c>
      <c r="BH1440">
        <v>0</v>
      </c>
    </row>
    <row r="1441" spans="17:60">
      <c r="Q1441" s="224" t="s">
        <v>471</v>
      </c>
      <c r="R1441" s="224" t="s">
        <v>490</v>
      </c>
      <c r="S1441" s="224" t="s">
        <v>467</v>
      </c>
      <c r="T1441" s="224">
        <f ca="1">OFFSET('Calculations 2'!$C$45,W1441,X1441)*OFFSET($N$6,W1441,0)</f>
        <v>2.214156059444111</v>
      </c>
      <c r="V1441">
        <f t="shared" si="68"/>
        <v>346</v>
      </c>
      <c r="W1441">
        <f t="shared" si="69"/>
        <v>16</v>
      </c>
      <c r="X1441">
        <f t="shared" si="70"/>
        <v>10</v>
      </c>
      <c r="AC1441" s="224" t="s">
        <v>471</v>
      </c>
      <c r="AD1441" s="224" t="s">
        <v>490</v>
      </c>
      <c r="AE1441" s="224" t="s">
        <v>467</v>
      </c>
      <c r="AF1441">
        <f ca="1">OFFSET('Calculations 2'!$CE$45,W1441,0)*OFFSET($AA$6,X1441,0)*OFFSET($N$6,W1441,)</f>
        <v>0</v>
      </c>
      <c r="AY1441" s="224" t="s">
        <v>471</v>
      </c>
      <c r="AZ1441" s="224" t="s">
        <v>490</v>
      </c>
      <c r="BA1441" s="224" t="s">
        <v>467</v>
      </c>
      <c r="BB1441">
        <v>0</v>
      </c>
      <c r="BE1441" s="224" t="s">
        <v>471</v>
      </c>
      <c r="BF1441" s="224" t="s">
        <v>490</v>
      </c>
      <c r="BG1441" s="224" t="s">
        <v>467</v>
      </c>
      <c r="BH1441">
        <v>0</v>
      </c>
    </row>
    <row r="1442" spans="17:60">
      <c r="Q1442" s="224" t="s">
        <v>221</v>
      </c>
      <c r="R1442" s="224" t="s">
        <v>490</v>
      </c>
      <c r="S1442" s="224" t="s">
        <v>467</v>
      </c>
      <c r="T1442" s="224">
        <f ca="1">OFFSET('Calculations 2'!$C$45,W1442,X1442)*OFFSET($N$6,W1442,0)</f>
        <v>0.66506033183128332</v>
      </c>
      <c r="V1442">
        <f t="shared" si="68"/>
        <v>347</v>
      </c>
      <c r="W1442">
        <f t="shared" si="69"/>
        <v>17</v>
      </c>
      <c r="X1442">
        <f t="shared" si="70"/>
        <v>10</v>
      </c>
      <c r="AC1442" s="224" t="s">
        <v>221</v>
      </c>
      <c r="AD1442" s="224" t="s">
        <v>490</v>
      </c>
      <c r="AE1442" s="224" t="s">
        <v>467</v>
      </c>
      <c r="AF1442">
        <f ca="1">OFFSET('Calculations 2'!$CE$45,W1442,0)*OFFSET($AA$6,X1442,0)*OFFSET($N$6,W1442,)</f>
        <v>3.3271235137774235</v>
      </c>
      <c r="AY1442" s="224" t="s">
        <v>221</v>
      </c>
      <c r="AZ1442" s="224" t="s">
        <v>490</v>
      </c>
      <c r="BA1442" s="224" t="s">
        <v>467</v>
      </c>
      <c r="BB1442">
        <v>0</v>
      </c>
      <c r="BE1442" s="224" t="s">
        <v>221</v>
      </c>
      <c r="BF1442" s="224" t="s">
        <v>490</v>
      </c>
      <c r="BG1442" s="224" t="s">
        <v>467</v>
      </c>
      <c r="BH1442">
        <v>0</v>
      </c>
    </row>
    <row r="1443" spans="17:60">
      <c r="Q1443" s="224" t="s">
        <v>244</v>
      </c>
      <c r="R1443" s="224" t="s">
        <v>490</v>
      </c>
      <c r="S1443" s="224" t="s">
        <v>467</v>
      </c>
      <c r="T1443" s="224">
        <f ca="1">OFFSET('Calculations 2'!$C$45,W1443,X1443)*OFFSET($N$6,W1443,0)</f>
        <v>10.055340829571612</v>
      </c>
      <c r="V1443">
        <f t="shared" si="68"/>
        <v>348</v>
      </c>
      <c r="W1443">
        <f t="shared" si="69"/>
        <v>18</v>
      </c>
      <c r="X1443">
        <f t="shared" si="70"/>
        <v>10</v>
      </c>
      <c r="AC1443" s="224" t="s">
        <v>244</v>
      </c>
      <c r="AD1443" s="224" t="s">
        <v>490</v>
      </c>
      <c r="AE1443" s="224" t="s">
        <v>467</v>
      </c>
      <c r="AF1443">
        <f ca="1">OFFSET('Calculations 2'!$CE$45,W1443,0)*OFFSET($AA$6,X1443,0)*OFFSET($N$6,W1443,)</f>
        <v>0.29110072599503084</v>
      </c>
      <c r="AY1443" s="224" t="s">
        <v>244</v>
      </c>
      <c r="AZ1443" s="224" t="s">
        <v>490</v>
      </c>
      <c r="BA1443" s="224" t="s">
        <v>467</v>
      </c>
      <c r="BB1443">
        <v>0</v>
      </c>
      <c r="BE1443" s="224" t="s">
        <v>244</v>
      </c>
      <c r="BF1443" s="224" t="s">
        <v>490</v>
      </c>
      <c r="BG1443" s="224" t="s">
        <v>467</v>
      </c>
      <c r="BH1443">
        <v>0</v>
      </c>
    </row>
    <row r="1444" spans="17:60">
      <c r="Q1444" s="224" t="s">
        <v>472</v>
      </c>
      <c r="R1444" s="224" t="s">
        <v>490</v>
      </c>
      <c r="S1444" s="224" t="s">
        <v>467</v>
      </c>
      <c r="T1444" s="224">
        <f ca="1">OFFSET('Calculations 2'!$C$45,W1444,X1444)*OFFSET($N$6,W1444,0)</f>
        <v>0</v>
      </c>
      <c r="V1444">
        <f t="shared" si="68"/>
        <v>349</v>
      </c>
      <c r="W1444">
        <f t="shared" si="69"/>
        <v>19</v>
      </c>
      <c r="X1444">
        <f t="shared" si="70"/>
        <v>10</v>
      </c>
      <c r="AC1444" s="224" t="s">
        <v>472</v>
      </c>
      <c r="AD1444" s="224" t="s">
        <v>490</v>
      </c>
      <c r="AE1444" s="224" t="s">
        <v>467</v>
      </c>
      <c r="AF1444">
        <f ca="1">OFFSET('Calculations 2'!$CE$45,W1444,0)*OFFSET($AA$6,X1444,0)*OFFSET($N$6,W1444,)</f>
        <v>0</v>
      </c>
      <c r="AY1444" s="224" t="s">
        <v>472</v>
      </c>
      <c r="AZ1444" s="224" t="s">
        <v>490</v>
      </c>
      <c r="BA1444" s="224" t="s">
        <v>467</v>
      </c>
      <c r="BB1444">
        <v>0</v>
      </c>
      <c r="BE1444" s="224" t="s">
        <v>472</v>
      </c>
      <c r="BF1444" s="224" t="s">
        <v>490</v>
      </c>
      <c r="BG1444" s="224" t="s">
        <v>467</v>
      </c>
      <c r="BH1444">
        <v>0</v>
      </c>
    </row>
    <row r="1445" spans="17:60">
      <c r="Q1445" s="224" t="s">
        <v>238</v>
      </c>
      <c r="R1445" s="224" t="s">
        <v>490</v>
      </c>
      <c r="S1445" s="224" t="s">
        <v>467</v>
      </c>
      <c r="T1445" s="224">
        <f ca="1">OFFSET('Calculations 2'!$C$45,W1445,X1445)*OFFSET($N$6,W1445,0)</f>
        <v>1.1049563756735641</v>
      </c>
      <c r="V1445">
        <f t="shared" si="68"/>
        <v>350</v>
      </c>
      <c r="W1445">
        <f t="shared" si="69"/>
        <v>20</v>
      </c>
      <c r="X1445">
        <f t="shared" si="70"/>
        <v>10</v>
      </c>
      <c r="AC1445" s="224" t="s">
        <v>238</v>
      </c>
      <c r="AD1445" s="224" t="s">
        <v>490</v>
      </c>
      <c r="AE1445" s="224" t="s">
        <v>467</v>
      </c>
      <c r="AF1445">
        <f ca="1">OFFSET('Calculations 2'!$CE$45,W1445,0)*OFFSET($AA$6,X1445,0)*OFFSET($N$6,W1445,)</f>
        <v>0</v>
      </c>
      <c r="AY1445" s="224" t="s">
        <v>238</v>
      </c>
      <c r="AZ1445" s="224" t="s">
        <v>490</v>
      </c>
      <c r="BA1445" s="224" t="s">
        <v>467</v>
      </c>
      <c r="BB1445">
        <v>0</v>
      </c>
      <c r="BE1445" s="224" t="s">
        <v>238</v>
      </c>
      <c r="BF1445" s="224" t="s">
        <v>490</v>
      </c>
      <c r="BG1445" s="224" t="s">
        <v>467</v>
      </c>
      <c r="BH1445">
        <v>0</v>
      </c>
    </row>
    <row r="1446" spans="17:60">
      <c r="Q1446" s="224" t="s">
        <v>247</v>
      </c>
      <c r="R1446" s="224" t="s">
        <v>490</v>
      </c>
      <c r="S1446" s="224" t="s">
        <v>467</v>
      </c>
      <c r="T1446" s="224">
        <f ca="1">OFFSET('Calculations 2'!$C$45,W1446,X1446)*OFFSET($N$6,W1446,0)</f>
        <v>0</v>
      </c>
      <c r="V1446">
        <f t="shared" si="68"/>
        <v>351</v>
      </c>
      <c r="W1446">
        <f t="shared" si="69"/>
        <v>21</v>
      </c>
      <c r="X1446">
        <f t="shared" si="70"/>
        <v>10</v>
      </c>
      <c r="AC1446" s="224" t="s">
        <v>247</v>
      </c>
      <c r="AD1446" s="224" t="s">
        <v>490</v>
      </c>
      <c r="AE1446" s="224" t="s">
        <v>467</v>
      </c>
      <c r="AF1446">
        <f ca="1">OFFSET('Calculations 2'!$CE$45,W1446,0)*OFFSET($AA$6,X1446,0)*OFFSET($N$6,W1446,)</f>
        <v>0</v>
      </c>
      <c r="AY1446" s="224" t="s">
        <v>247</v>
      </c>
      <c r="AZ1446" s="224" t="s">
        <v>490</v>
      </c>
      <c r="BA1446" s="224" t="s">
        <v>467</v>
      </c>
      <c r="BB1446">
        <v>0</v>
      </c>
      <c r="BE1446" s="224" t="s">
        <v>247</v>
      </c>
      <c r="BF1446" s="224" t="s">
        <v>490</v>
      </c>
      <c r="BG1446" s="224" t="s">
        <v>467</v>
      </c>
      <c r="BH1446">
        <v>0</v>
      </c>
    </row>
    <row r="1447" spans="17:60">
      <c r="Q1447" s="224" t="s">
        <v>218</v>
      </c>
      <c r="R1447" s="224" t="s">
        <v>490</v>
      </c>
      <c r="S1447" s="224" t="s">
        <v>467</v>
      </c>
      <c r="T1447" s="224">
        <f ca="1">OFFSET('Calculations 2'!$C$45,W1447,X1447)*OFFSET($N$6,W1447,0)</f>
        <v>3.9550790324730718</v>
      </c>
      <c r="V1447">
        <f t="shared" si="68"/>
        <v>352</v>
      </c>
      <c r="W1447">
        <f t="shared" si="69"/>
        <v>22</v>
      </c>
      <c r="X1447">
        <f t="shared" si="70"/>
        <v>10</v>
      </c>
      <c r="AC1447" s="224" t="s">
        <v>218</v>
      </c>
      <c r="AD1447" s="224" t="s">
        <v>490</v>
      </c>
      <c r="AE1447" s="224" t="s">
        <v>467</v>
      </c>
      <c r="AF1447">
        <f ca="1">OFFSET('Calculations 2'!$CE$45,W1447,0)*OFFSET($AA$6,X1447,0)*OFFSET($N$6,W1447,)</f>
        <v>0</v>
      </c>
      <c r="AY1447" s="224" t="s">
        <v>218</v>
      </c>
      <c r="AZ1447" s="224" t="s">
        <v>490</v>
      </c>
      <c r="BA1447" s="224" t="s">
        <v>467</v>
      </c>
      <c r="BB1447">
        <v>0</v>
      </c>
      <c r="BE1447" s="224" t="s">
        <v>218</v>
      </c>
      <c r="BF1447" s="224" t="s">
        <v>490</v>
      </c>
      <c r="BG1447" s="224" t="s">
        <v>467</v>
      </c>
      <c r="BH1447">
        <v>0</v>
      </c>
    </row>
    <row r="1448" spans="17:60">
      <c r="Q1448" s="224" t="s">
        <v>257</v>
      </c>
      <c r="R1448" s="224" t="s">
        <v>490</v>
      </c>
      <c r="S1448" s="224" t="s">
        <v>467</v>
      </c>
      <c r="T1448" s="224">
        <f ca="1">OFFSET('Calculations 2'!$C$45,W1448,X1448)*OFFSET($N$6,W1448,0)</f>
        <v>0.95292996911604622</v>
      </c>
      <c r="V1448">
        <f t="shared" si="68"/>
        <v>353</v>
      </c>
      <c r="W1448">
        <f t="shared" si="69"/>
        <v>23</v>
      </c>
      <c r="X1448">
        <f t="shared" si="70"/>
        <v>10</v>
      </c>
      <c r="AC1448" s="224" t="s">
        <v>257</v>
      </c>
      <c r="AD1448" s="224" t="s">
        <v>490</v>
      </c>
      <c r="AE1448" s="224" t="s">
        <v>467</v>
      </c>
      <c r="AF1448">
        <f ca="1">OFFSET('Calculations 2'!$CE$45,W1448,0)*OFFSET($AA$6,X1448,0)*OFFSET($N$6,W1448,)</f>
        <v>0</v>
      </c>
      <c r="AY1448" s="224" t="s">
        <v>257</v>
      </c>
      <c r="AZ1448" s="224" t="s">
        <v>490</v>
      </c>
      <c r="BA1448" s="224" t="s">
        <v>467</v>
      </c>
      <c r="BB1448">
        <v>0</v>
      </c>
      <c r="BE1448" s="224" t="s">
        <v>257</v>
      </c>
      <c r="BF1448" s="224" t="s">
        <v>490</v>
      </c>
      <c r="BG1448" s="224" t="s">
        <v>467</v>
      </c>
      <c r="BH1448">
        <v>0</v>
      </c>
    </row>
    <row r="1449" spans="17:60">
      <c r="Q1449" s="224" t="s">
        <v>220</v>
      </c>
      <c r="R1449" s="224" t="s">
        <v>490</v>
      </c>
      <c r="S1449" s="224" t="s">
        <v>467</v>
      </c>
      <c r="T1449" s="224">
        <f ca="1">OFFSET('Calculations 2'!$C$45,W1449,X1449)*OFFSET($N$6,W1449,0)</f>
        <v>0.2531940051360943</v>
      </c>
      <c r="V1449">
        <f t="shared" si="68"/>
        <v>354</v>
      </c>
      <c r="W1449">
        <f t="shared" si="69"/>
        <v>24</v>
      </c>
      <c r="X1449">
        <f t="shared" si="70"/>
        <v>10</v>
      </c>
      <c r="AC1449" s="224" t="s">
        <v>220</v>
      </c>
      <c r="AD1449" s="224" t="s">
        <v>490</v>
      </c>
      <c r="AE1449" s="224" t="s">
        <v>467</v>
      </c>
      <c r="AF1449">
        <f ca="1">OFFSET('Calculations 2'!$CE$45,W1449,0)*OFFSET($AA$6,X1449,0)*OFFSET($N$6,W1449,)</f>
        <v>0</v>
      </c>
      <c r="AY1449" s="224" t="s">
        <v>220</v>
      </c>
      <c r="AZ1449" s="224" t="s">
        <v>490</v>
      </c>
      <c r="BA1449" s="224" t="s">
        <v>467</v>
      </c>
      <c r="BB1449">
        <v>0</v>
      </c>
      <c r="BE1449" s="224" t="s">
        <v>220</v>
      </c>
      <c r="BF1449" s="224" t="s">
        <v>490</v>
      </c>
      <c r="BG1449" s="224" t="s">
        <v>467</v>
      </c>
      <c r="BH1449">
        <v>0</v>
      </c>
    </row>
    <row r="1450" spans="17:60">
      <c r="Q1450" s="224" t="s">
        <v>235</v>
      </c>
      <c r="R1450" s="224" t="s">
        <v>490</v>
      </c>
      <c r="S1450" s="224" t="s">
        <v>467</v>
      </c>
      <c r="T1450" s="224">
        <f ca="1">OFFSET('Calculations 2'!$C$45,W1450,X1450)*OFFSET($N$6,W1450,0)</f>
        <v>4.1517391548278626</v>
      </c>
      <c r="V1450">
        <f t="shared" si="68"/>
        <v>355</v>
      </c>
      <c r="W1450">
        <f t="shared" si="69"/>
        <v>25</v>
      </c>
      <c r="X1450">
        <f t="shared" si="70"/>
        <v>10</v>
      </c>
      <c r="AC1450" s="224" t="s">
        <v>235</v>
      </c>
      <c r="AD1450" s="224" t="s">
        <v>490</v>
      </c>
      <c r="AE1450" s="224" t="s">
        <v>467</v>
      </c>
      <c r="AF1450">
        <f ca="1">OFFSET('Calculations 2'!$CE$45,W1450,0)*OFFSET($AA$6,X1450,0)*OFFSET($N$6,W1450,)</f>
        <v>0</v>
      </c>
      <c r="AY1450" s="224" t="s">
        <v>235</v>
      </c>
      <c r="AZ1450" s="224" t="s">
        <v>490</v>
      </c>
      <c r="BA1450" s="224" t="s">
        <v>467</v>
      </c>
      <c r="BB1450">
        <v>0</v>
      </c>
      <c r="BE1450" s="224" t="s">
        <v>235</v>
      </c>
      <c r="BF1450" s="224" t="s">
        <v>490</v>
      </c>
      <c r="BG1450" s="224" t="s">
        <v>467</v>
      </c>
      <c r="BH1450">
        <v>0</v>
      </c>
    </row>
    <row r="1451" spans="17:60">
      <c r="Q1451" s="224" t="s">
        <v>473</v>
      </c>
      <c r="R1451" s="224" t="s">
        <v>490</v>
      </c>
      <c r="S1451" s="224" t="s">
        <v>467</v>
      </c>
      <c r="T1451" s="224">
        <f ca="1">OFFSET('Calculations 2'!$C$45,W1451,X1451)*OFFSET($N$6,W1451,0)</f>
        <v>1.0708465499619251</v>
      </c>
      <c r="V1451">
        <f t="shared" si="68"/>
        <v>356</v>
      </c>
      <c r="W1451">
        <f t="shared" si="69"/>
        <v>26</v>
      </c>
      <c r="X1451">
        <f t="shared" si="70"/>
        <v>10</v>
      </c>
      <c r="AC1451" s="224" t="s">
        <v>473</v>
      </c>
      <c r="AD1451" s="224" t="s">
        <v>490</v>
      </c>
      <c r="AE1451" s="224" t="s">
        <v>467</v>
      </c>
      <c r="AF1451">
        <f ca="1">OFFSET('Calculations 2'!$CE$45,W1451,0)*OFFSET($AA$6,X1451,0)*OFFSET($N$6,W1451,)</f>
        <v>0</v>
      </c>
      <c r="AY1451" s="224" t="s">
        <v>473</v>
      </c>
      <c r="AZ1451" s="224" t="s">
        <v>490</v>
      </c>
      <c r="BA1451" s="224" t="s">
        <v>467</v>
      </c>
      <c r="BB1451">
        <v>0</v>
      </c>
      <c r="BE1451" s="224" t="s">
        <v>473</v>
      </c>
      <c r="BF1451" s="224" t="s">
        <v>490</v>
      </c>
      <c r="BG1451" s="224" t="s">
        <v>467</v>
      </c>
      <c r="BH1451">
        <v>0</v>
      </c>
    </row>
    <row r="1452" spans="17:60">
      <c r="Q1452" s="224" t="s">
        <v>233</v>
      </c>
      <c r="R1452" s="224" t="s">
        <v>490</v>
      </c>
      <c r="S1452" s="224" t="s">
        <v>467</v>
      </c>
      <c r="T1452" s="224">
        <f ca="1">OFFSET('Calculations 2'!$C$45,W1452,X1452)*OFFSET($N$6,W1452,0)</f>
        <v>0.93788595953400966</v>
      </c>
      <c r="V1452">
        <f t="shared" si="68"/>
        <v>357</v>
      </c>
      <c r="W1452">
        <f t="shared" si="69"/>
        <v>27</v>
      </c>
      <c r="X1452">
        <f t="shared" si="70"/>
        <v>10</v>
      </c>
      <c r="AC1452" s="224" t="s">
        <v>233</v>
      </c>
      <c r="AD1452" s="224" t="s">
        <v>490</v>
      </c>
      <c r="AE1452" s="224" t="s">
        <v>467</v>
      </c>
      <c r="AF1452">
        <f ca="1">OFFSET('Calculations 2'!$CE$45,W1452,0)*OFFSET($AA$6,X1452,0)*OFFSET($N$6,W1452,)</f>
        <v>0</v>
      </c>
      <c r="AY1452" s="224" t="s">
        <v>233</v>
      </c>
      <c r="AZ1452" s="224" t="s">
        <v>490</v>
      </c>
      <c r="BA1452" s="224" t="s">
        <v>467</v>
      </c>
      <c r="BB1452">
        <v>0</v>
      </c>
      <c r="BE1452" s="224" t="s">
        <v>233</v>
      </c>
      <c r="BF1452" s="224" t="s">
        <v>490</v>
      </c>
      <c r="BG1452" s="224" t="s">
        <v>467</v>
      </c>
      <c r="BH1452">
        <v>0</v>
      </c>
    </row>
    <row r="1453" spans="17:60">
      <c r="Q1453" s="224" t="s">
        <v>474</v>
      </c>
      <c r="R1453" s="224" t="s">
        <v>490</v>
      </c>
      <c r="S1453" s="224" t="s">
        <v>467</v>
      </c>
      <c r="T1453" s="224">
        <f ca="1">OFFSET('Calculations 2'!$C$45,W1453,X1453)*OFFSET($N$6,W1453,0)</f>
        <v>0.39524676067202202</v>
      </c>
      <c r="V1453">
        <f t="shared" si="68"/>
        <v>358</v>
      </c>
      <c r="W1453">
        <f t="shared" si="69"/>
        <v>28</v>
      </c>
      <c r="X1453">
        <f t="shared" si="70"/>
        <v>10</v>
      </c>
      <c r="AC1453" s="224" t="s">
        <v>474</v>
      </c>
      <c r="AD1453" s="224" t="s">
        <v>490</v>
      </c>
      <c r="AE1453" s="224" t="s">
        <v>467</v>
      </c>
      <c r="AF1453">
        <f ca="1">OFFSET('Calculations 2'!$CE$45,W1453,0)*OFFSET($AA$6,X1453,0)*OFFSET($N$6,W1453,)</f>
        <v>0</v>
      </c>
      <c r="AY1453" s="224" t="s">
        <v>474</v>
      </c>
      <c r="AZ1453" s="224" t="s">
        <v>490</v>
      </c>
      <c r="BA1453" s="224" t="s">
        <v>467</v>
      </c>
      <c r="BB1453">
        <v>0</v>
      </c>
      <c r="BE1453" s="224" t="s">
        <v>474</v>
      </c>
      <c r="BF1453" s="224" t="s">
        <v>490</v>
      </c>
      <c r="BG1453" s="224" t="s">
        <v>467</v>
      </c>
      <c r="BH1453">
        <v>0</v>
      </c>
    </row>
    <row r="1454" spans="17:60">
      <c r="Q1454" s="224" t="s">
        <v>223</v>
      </c>
      <c r="R1454" s="224" t="s">
        <v>490</v>
      </c>
      <c r="S1454" s="224" t="s">
        <v>467</v>
      </c>
      <c r="T1454" s="224">
        <f ca="1">OFFSET('Calculations 2'!$C$45,W1454,X1454)*OFFSET($N$6,W1454,0)</f>
        <v>1.0616241845372916</v>
      </c>
      <c r="V1454">
        <f t="shared" si="68"/>
        <v>359</v>
      </c>
      <c r="W1454">
        <f t="shared" si="69"/>
        <v>29</v>
      </c>
      <c r="X1454">
        <f t="shared" si="70"/>
        <v>10</v>
      </c>
      <c r="AC1454" s="224" t="s">
        <v>223</v>
      </c>
      <c r="AD1454" s="224" t="s">
        <v>490</v>
      </c>
      <c r="AE1454" s="224" t="s">
        <v>467</v>
      </c>
      <c r="AF1454">
        <f ca="1">OFFSET('Calculations 2'!$CE$45,W1454,0)*OFFSET($AA$6,X1454,0)*OFFSET($N$6,W1454,)</f>
        <v>0</v>
      </c>
      <c r="AY1454" s="224" t="s">
        <v>223</v>
      </c>
      <c r="AZ1454" s="224" t="s">
        <v>490</v>
      </c>
      <c r="BA1454" s="224" t="s">
        <v>467</v>
      </c>
      <c r="BB1454">
        <v>0</v>
      </c>
      <c r="BE1454" s="224" t="s">
        <v>223</v>
      </c>
      <c r="BF1454" s="224" t="s">
        <v>490</v>
      </c>
      <c r="BG1454" s="224" t="s">
        <v>467</v>
      </c>
      <c r="BH1454">
        <v>0</v>
      </c>
    </row>
    <row r="1455" spans="17:60">
      <c r="Q1455" s="224" t="s">
        <v>475</v>
      </c>
      <c r="R1455" s="224" t="s">
        <v>490</v>
      </c>
      <c r="S1455" s="224" t="s">
        <v>467</v>
      </c>
      <c r="T1455" s="224">
        <f ca="1">OFFSET('Calculations 2'!$C$45,W1455,X1455)*OFFSET($N$6,W1455,0)</f>
        <v>4.71588467571682E-2</v>
      </c>
      <c r="V1455">
        <f t="shared" si="68"/>
        <v>360</v>
      </c>
      <c r="W1455">
        <f t="shared" si="69"/>
        <v>30</v>
      </c>
      <c r="X1455">
        <f t="shared" si="70"/>
        <v>10</v>
      </c>
      <c r="AC1455" s="224" t="s">
        <v>475</v>
      </c>
      <c r="AD1455" s="224" t="s">
        <v>490</v>
      </c>
      <c r="AE1455" s="224" t="s">
        <v>467</v>
      </c>
      <c r="AF1455">
        <f ca="1">OFFSET('Calculations 2'!$CE$45,W1455,0)*OFFSET($AA$6,X1455,0)*OFFSET($N$6,W1455,)</f>
        <v>0</v>
      </c>
      <c r="AY1455" s="224" t="s">
        <v>475</v>
      </c>
      <c r="AZ1455" s="224" t="s">
        <v>490</v>
      </c>
      <c r="BA1455" s="224" t="s">
        <v>467</v>
      </c>
      <c r="BB1455">
        <v>0</v>
      </c>
      <c r="BE1455" s="224" t="s">
        <v>475</v>
      </c>
      <c r="BF1455" s="224" t="s">
        <v>490</v>
      </c>
      <c r="BG1455" s="224" t="s">
        <v>467</v>
      </c>
      <c r="BH1455">
        <v>0</v>
      </c>
    </row>
    <row r="1456" spans="17:60">
      <c r="Q1456" s="224" t="s">
        <v>476</v>
      </c>
      <c r="R1456" s="224" t="s">
        <v>490</v>
      </c>
      <c r="S1456" s="224" t="s">
        <v>467</v>
      </c>
      <c r="T1456" s="224">
        <f ca="1">OFFSET('Calculations 2'!$C$45,W1456,X1456)*OFFSET($N$6,W1456,0)</f>
        <v>0</v>
      </c>
      <c r="V1456">
        <f t="shared" si="68"/>
        <v>361</v>
      </c>
      <c r="W1456">
        <f t="shared" si="69"/>
        <v>31</v>
      </c>
      <c r="X1456">
        <f t="shared" si="70"/>
        <v>10</v>
      </c>
      <c r="AC1456" s="224" t="s">
        <v>476</v>
      </c>
      <c r="AD1456" s="224" t="s">
        <v>490</v>
      </c>
      <c r="AE1456" s="224" t="s">
        <v>467</v>
      </c>
      <c r="AF1456">
        <f ca="1">OFFSET('Calculations 2'!$CE$45,W1456,0)*OFFSET($AA$6,X1456,0)*OFFSET($N$6,W1456,)</f>
        <v>0</v>
      </c>
      <c r="AY1456" s="224" t="s">
        <v>476</v>
      </c>
      <c r="AZ1456" s="224" t="s">
        <v>490</v>
      </c>
      <c r="BA1456" s="224" t="s">
        <v>467</v>
      </c>
      <c r="BB1456">
        <v>0</v>
      </c>
      <c r="BE1456" s="224" t="s">
        <v>476</v>
      </c>
      <c r="BF1456" s="224" t="s">
        <v>490</v>
      </c>
      <c r="BG1456" s="224" t="s">
        <v>467</v>
      </c>
      <c r="BH1456">
        <v>0</v>
      </c>
    </row>
    <row r="1457" spans="17:60">
      <c r="Q1457" s="224" t="s">
        <v>222</v>
      </c>
      <c r="R1457" s="224" t="s">
        <v>490</v>
      </c>
      <c r="S1457" s="224" t="s">
        <v>467</v>
      </c>
      <c r="T1457" s="224">
        <f ca="1">OFFSET('Calculations 2'!$C$45,W1457,X1457)*OFFSET($N$6,W1457,0)</f>
        <v>0</v>
      </c>
      <c r="V1457">
        <f t="shared" si="68"/>
        <v>362</v>
      </c>
      <c r="W1457">
        <f t="shared" si="69"/>
        <v>32</v>
      </c>
      <c r="X1457">
        <f t="shared" si="70"/>
        <v>10</v>
      </c>
      <c r="AC1457" s="224" t="s">
        <v>222</v>
      </c>
      <c r="AD1457" s="224" t="s">
        <v>490</v>
      </c>
      <c r="AE1457" s="224" t="s">
        <v>467</v>
      </c>
      <c r="AF1457">
        <f ca="1">OFFSET('Calculations 2'!$CE$45,W1457,0)*OFFSET($AA$6,X1457,0)*OFFSET($N$6,W1457,)</f>
        <v>0</v>
      </c>
      <c r="AY1457" s="224" t="s">
        <v>222</v>
      </c>
      <c r="AZ1457" s="224" t="s">
        <v>490</v>
      </c>
      <c r="BA1457" s="224" t="s">
        <v>467</v>
      </c>
      <c r="BB1457">
        <v>0</v>
      </c>
      <c r="BE1457" s="224" t="s">
        <v>222</v>
      </c>
      <c r="BF1457" s="224" t="s">
        <v>490</v>
      </c>
      <c r="BG1457" s="224" t="s">
        <v>467</v>
      </c>
      <c r="BH1457">
        <v>0</v>
      </c>
    </row>
    <row r="1458" spans="17:60">
      <c r="Q1458" s="224" t="s">
        <v>217</v>
      </c>
      <c r="R1458" s="224" t="s">
        <v>490</v>
      </c>
      <c r="S1458" s="224" t="s">
        <v>231</v>
      </c>
      <c r="T1458" s="224">
        <f ca="1">OFFSET('Calculations 2'!$C$45,W1458,X1458)*OFFSET($N$6,W1458,0)</f>
        <v>0</v>
      </c>
      <c r="V1458">
        <f t="shared" si="68"/>
        <v>363</v>
      </c>
      <c r="W1458">
        <f t="shared" si="69"/>
        <v>0</v>
      </c>
      <c r="X1458">
        <f t="shared" si="70"/>
        <v>11</v>
      </c>
      <c r="AC1458" s="224" t="s">
        <v>217</v>
      </c>
      <c r="AD1458" s="224" t="s">
        <v>490</v>
      </c>
      <c r="AE1458" s="224" t="s">
        <v>231</v>
      </c>
      <c r="AF1458">
        <f ca="1">OFFSET('Calculations 2'!$CE$45,W1458,0)*OFFSET($AA$6,X1458,0)*OFFSET($N$6,W1458,)</f>
        <v>9.0884639511277729</v>
      </c>
      <c r="AY1458" s="224" t="s">
        <v>217</v>
      </c>
      <c r="AZ1458" s="224" t="s">
        <v>490</v>
      </c>
      <c r="BA1458" s="224" t="s">
        <v>231</v>
      </c>
      <c r="BB1458">
        <v>0</v>
      </c>
      <c r="BE1458" s="224" t="s">
        <v>217</v>
      </c>
      <c r="BF1458" s="224" t="s">
        <v>490</v>
      </c>
      <c r="BG1458" s="224" t="s">
        <v>231</v>
      </c>
      <c r="BH1458">
        <v>0</v>
      </c>
    </row>
    <row r="1459" spans="17:60">
      <c r="Q1459" s="224" t="s">
        <v>232</v>
      </c>
      <c r="R1459" s="224" t="s">
        <v>490</v>
      </c>
      <c r="S1459" s="224" t="s">
        <v>231</v>
      </c>
      <c r="T1459" s="224">
        <f ca="1">OFFSET('Calculations 2'!$C$45,W1459,X1459)*OFFSET($N$6,W1459,0)</f>
        <v>21.912022931928984</v>
      </c>
      <c r="V1459">
        <f t="shared" si="68"/>
        <v>364</v>
      </c>
      <c r="W1459">
        <f t="shared" si="69"/>
        <v>1</v>
      </c>
      <c r="X1459">
        <f t="shared" si="70"/>
        <v>11</v>
      </c>
      <c r="AC1459" s="224" t="s">
        <v>232</v>
      </c>
      <c r="AD1459" s="224" t="s">
        <v>490</v>
      </c>
      <c r="AE1459" s="224" t="s">
        <v>231</v>
      </c>
      <c r="AF1459">
        <f ca="1">OFFSET('Calculations 2'!$CE$45,W1459,0)*OFFSET($AA$6,X1459,0)*OFFSET($N$6,W1459,)</f>
        <v>14.338249311878204</v>
      </c>
      <c r="AY1459" s="224" t="s">
        <v>232</v>
      </c>
      <c r="AZ1459" s="224" t="s">
        <v>490</v>
      </c>
      <c r="BA1459" s="224" t="s">
        <v>231</v>
      </c>
      <c r="BB1459">
        <v>0</v>
      </c>
      <c r="BE1459" s="224" t="s">
        <v>232</v>
      </c>
      <c r="BF1459" s="224" t="s">
        <v>490</v>
      </c>
      <c r="BG1459" s="224" t="s">
        <v>231</v>
      </c>
      <c r="BH1459">
        <v>0</v>
      </c>
    </row>
    <row r="1460" spans="17:60">
      <c r="Q1460" s="224" t="s">
        <v>226</v>
      </c>
      <c r="R1460" s="224" t="s">
        <v>490</v>
      </c>
      <c r="S1460" s="224" t="s">
        <v>231</v>
      </c>
      <c r="T1460" s="224">
        <f ca="1">OFFSET('Calculations 2'!$C$45,W1460,X1460)*OFFSET($N$6,W1460,0)</f>
        <v>2.6615441314722572</v>
      </c>
      <c r="V1460">
        <f t="shared" si="68"/>
        <v>365</v>
      </c>
      <c r="W1460">
        <f t="shared" si="69"/>
        <v>2</v>
      </c>
      <c r="X1460">
        <f t="shared" si="70"/>
        <v>11</v>
      </c>
      <c r="AC1460" s="224" t="s">
        <v>226</v>
      </c>
      <c r="AD1460" s="224" t="s">
        <v>490</v>
      </c>
      <c r="AE1460" s="224" t="s">
        <v>231</v>
      </c>
      <c r="AF1460">
        <f ca="1">OFFSET('Calculations 2'!$CE$45,W1460,0)*OFFSET($AA$6,X1460,0)*OFFSET($N$6,W1460,)</f>
        <v>3.5878690421026458</v>
      </c>
      <c r="AY1460" s="224" t="s">
        <v>226</v>
      </c>
      <c r="AZ1460" s="224" t="s">
        <v>490</v>
      </c>
      <c r="BA1460" s="224" t="s">
        <v>231</v>
      </c>
      <c r="BB1460">
        <v>0</v>
      </c>
      <c r="BE1460" s="224" t="s">
        <v>226</v>
      </c>
      <c r="BF1460" s="224" t="s">
        <v>490</v>
      </c>
      <c r="BG1460" s="224" t="s">
        <v>231</v>
      </c>
      <c r="BH1460">
        <v>0</v>
      </c>
    </row>
    <row r="1461" spans="17:60">
      <c r="Q1461" s="224" t="s">
        <v>243</v>
      </c>
      <c r="R1461" s="224" t="s">
        <v>490</v>
      </c>
      <c r="S1461" s="224" t="s">
        <v>231</v>
      </c>
      <c r="T1461" s="224">
        <f ca="1">OFFSET('Calculations 2'!$C$45,W1461,X1461)*OFFSET($N$6,W1461,0)</f>
        <v>13.270102309906578</v>
      </c>
      <c r="V1461">
        <f t="shared" si="68"/>
        <v>366</v>
      </c>
      <c r="W1461">
        <f t="shared" si="69"/>
        <v>3</v>
      </c>
      <c r="X1461">
        <f t="shared" si="70"/>
        <v>11</v>
      </c>
      <c r="AC1461" s="224" t="s">
        <v>243</v>
      </c>
      <c r="AD1461" s="224" t="s">
        <v>490</v>
      </c>
      <c r="AE1461" s="224" t="s">
        <v>231</v>
      </c>
      <c r="AF1461">
        <f ca="1">OFFSET('Calculations 2'!$CE$45,W1461,0)*OFFSET($AA$6,X1461,0)*OFFSET($N$6,W1461,)</f>
        <v>70.408417497260331</v>
      </c>
      <c r="AY1461" s="224" t="s">
        <v>243</v>
      </c>
      <c r="AZ1461" s="224" t="s">
        <v>490</v>
      </c>
      <c r="BA1461" s="224" t="s">
        <v>231</v>
      </c>
      <c r="BB1461">
        <v>0</v>
      </c>
      <c r="BE1461" s="224" t="s">
        <v>243</v>
      </c>
      <c r="BF1461" s="224" t="s">
        <v>490</v>
      </c>
      <c r="BG1461" s="224" t="s">
        <v>231</v>
      </c>
      <c r="BH1461">
        <v>0</v>
      </c>
    </row>
    <row r="1462" spans="17:60">
      <c r="Q1462" s="224" t="s">
        <v>228</v>
      </c>
      <c r="R1462" s="224" t="s">
        <v>490</v>
      </c>
      <c r="S1462" s="224" t="s">
        <v>231</v>
      </c>
      <c r="T1462" s="224">
        <f ca="1">OFFSET('Calculations 2'!$C$45,W1462,X1462)*OFFSET($N$6,W1462,0)</f>
        <v>0</v>
      </c>
      <c r="V1462">
        <f t="shared" si="68"/>
        <v>367</v>
      </c>
      <c r="W1462">
        <f t="shared" si="69"/>
        <v>4</v>
      </c>
      <c r="X1462">
        <f t="shared" si="70"/>
        <v>11</v>
      </c>
      <c r="AC1462" s="224" t="s">
        <v>228</v>
      </c>
      <c r="AD1462" s="224" t="s">
        <v>490</v>
      </c>
      <c r="AE1462" s="224" t="s">
        <v>231</v>
      </c>
      <c r="AF1462">
        <f ca="1">OFFSET('Calculations 2'!$CE$45,W1462,0)*OFFSET($AA$6,X1462,0)*OFFSET($N$6,W1462,)</f>
        <v>36.694717724762313</v>
      </c>
      <c r="AY1462" s="224" t="s">
        <v>228</v>
      </c>
      <c r="AZ1462" s="224" t="s">
        <v>490</v>
      </c>
      <c r="BA1462" s="224" t="s">
        <v>231</v>
      </c>
      <c r="BB1462">
        <v>0</v>
      </c>
      <c r="BE1462" s="224" t="s">
        <v>228</v>
      </c>
      <c r="BF1462" s="224" t="s">
        <v>490</v>
      </c>
      <c r="BG1462" s="224" t="s">
        <v>231</v>
      </c>
      <c r="BH1462">
        <v>0</v>
      </c>
    </row>
    <row r="1463" spans="17:60">
      <c r="Q1463" s="224" t="s">
        <v>246</v>
      </c>
      <c r="R1463" s="224" t="s">
        <v>490</v>
      </c>
      <c r="S1463" s="224" t="s">
        <v>231</v>
      </c>
      <c r="T1463" s="224">
        <f ca="1">OFFSET('Calculations 2'!$C$45,W1463,X1463)*OFFSET($N$6,W1463,0)</f>
        <v>71.273079450174762</v>
      </c>
      <c r="V1463">
        <f t="shared" si="68"/>
        <v>368</v>
      </c>
      <c r="W1463">
        <f t="shared" si="69"/>
        <v>5</v>
      </c>
      <c r="X1463">
        <f t="shared" si="70"/>
        <v>11</v>
      </c>
      <c r="AC1463" s="224" t="s">
        <v>246</v>
      </c>
      <c r="AD1463" s="224" t="s">
        <v>490</v>
      </c>
      <c r="AE1463" s="224" t="s">
        <v>231</v>
      </c>
      <c r="AF1463">
        <f ca="1">OFFSET('Calculations 2'!$CE$45,W1463,0)*OFFSET($AA$6,X1463,0)*OFFSET($N$6,W1463,)</f>
        <v>0.65680763141266008</v>
      </c>
      <c r="AY1463" s="224" t="s">
        <v>246</v>
      </c>
      <c r="AZ1463" s="224" t="s">
        <v>490</v>
      </c>
      <c r="BA1463" s="224" t="s">
        <v>231</v>
      </c>
      <c r="BB1463">
        <v>0</v>
      </c>
      <c r="BE1463" s="224" t="s">
        <v>246</v>
      </c>
      <c r="BF1463" s="224" t="s">
        <v>490</v>
      </c>
      <c r="BG1463" s="224" t="s">
        <v>231</v>
      </c>
      <c r="BH1463">
        <v>0</v>
      </c>
    </row>
    <row r="1464" spans="17:60">
      <c r="Q1464" s="224" t="s">
        <v>239</v>
      </c>
      <c r="R1464" s="224" t="s">
        <v>490</v>
      </c>
      <c r="S1464" s="224" t="s">
        <v>231</v>
      </c>
      <c r="T1464" s="224">
        <f ca="1">OFFSET('Calculations 2'!$C$45,W1464,X1464)*OFFSET($N$6,W1464,0)</f>
        <v>98.265212795730193</v>
      </c>
      <c r="V1464">
        <f t="shared" si="68"/>
        <v>369</v>
      </c>
      <c r="W1464">
        <f t="shared" si="69"/>
        <v>6</v>
      </c>
      <c r="X1464">
        <f t="shared" si="70"/>
        <v>11</v>
      </c>
      <c r="AC1464" s="224" t="s">
        <v>239</v>
      </c>
      <c r="AD1464" s="224" t="s">
        <v>490</v>
      </c>
      <c r="AE1464" s="224" t="s">
        <v>231</v>
      </c>
      <c r="AF1464">
        <f ca="1">OFFSET('Calculations 2'!$CE$45,W1464,0)*OFFSET($AA$6,X1464,0)*OFFSET($N$6,W1464,)</f>
        <v>9.4579767814692328</v>
      </c>
      <c r="AY1464" s="224" t="s">
        <v>239</v>
      </c>
      <c r="AZ1464" s="224" t="s">
        <v>490</v>
      </c>
      <c r="BA1464" s="224" t="s">
        <v>231</v>
      </c>
      <c r="BB1464">
        <v>0</v>
      </c>
      <c r="BE1464" s="224" t="s">
        <v>239</v>
      </c>
      <c r="BF1464" s="224" t="s">
        <v>490</v>
      </c>
      <c r="BG1464" s="224" t="s">
        <v>231</v>
      </c>
      <c r="BH1464">
        <v>0</v>
      </c>
    </row>
    <row r="1465" spans="17:60">
      <c r="Q1465" s="224" t="s">
        <v>466</v>
      </c>
      <c r="R1465" s="224" t="s">
        <v>490</v>
      </c>
      <c r="S1465" s="224" t="s">
        <v>231</v>
      </c>
      <c r="T1465" s="224">
        <f ca="1">OFFSET('Calculations 2'!$C$45,W1465,X1465)*OFFSET($N$6,W1465,0)</f>
        <v>182.77563311067513</v>
      </c>
      <c r="V1465">
        <f t="shared" si="68"/>
        <v>370</v>
      </c>
      <c r="W1465">
        <f t="shared" si="69"/>
        <v>7</v>
      </c>
      <c r="X1465">
        <f t="shared" si="70"/>
        <v>11</v>
      </c>
      <c r="AC1465" s="224" t="s">
        <v>466</v>
      </c>
      <c r="AD1465" s="224" t="s">
        <v>490</v>
      </c>
      <c r="AE1465" s="224" t="s">
        <v>231</v>
      </c>
      <c r="AF1465">
        <f ca="1">OFFSET('Calculations 2'!$CE$45,W1465,0)*OFFSET($AA$6,X1465,0)*OFFSET($N$6,W1465,)</f>
        <v>2.3816290340309347</v>
      </c>
      <c r="AY1465" s="224" t="s">
        <v>466</v>
      </c>
      <c r="AZ1465" s="224" t="s">
        <v>490</v>
      </c>
      <c r="BA1465" s="224" t="s">
        <v>231</v>
      </c>
      <c r="BB1465">
        <v>0</v>
      </c>
      <c r="BE1465" s="224" t="s">
        <v>466</v>
      </c>
      <c r="BF1465" s="224" t="s">
        <v>490</v>
      </c>
      <c r="BG1465" s="224" t="s">
        <v>231</v>
      </c>
      <c r="BH1465">
        <v>0</v>
      </c>
    </row>
    <row r="1466" spans="17:60">
      <c r="Q1466" s="224" t="s">
        <v>219</v>
      </c>
      <c r="R1466" s="224" t="s">
        <v>490</v>
      </c>
      <c r="S1466" s="224" t="s">
        <v>231</v>
      </c>
      <c r="T1466" s="224">
        <f ca="1">OFFSET('Calculations 2'!$C$45,W1466,X1466)*OFFSET($N$6,W1466,0)</f>
        <v>952.03730772049414</v>
      </c>
      <c r="V1466">
        <f t="shared" si="68"/>
        <v>371</v>
      </c>
      <c r="W1466">
        <f t="shared" si="69"/>
        <v>8</v>
      </c>
      <c r="X1466">
        <f t="shared" si="70"/>
        <v>11</v>
      </c>
      <c r="AC1466" s="224" t="s">
        <v>219</v>
      </c>
      <c r="AD1466" s="224" t="s">
        <v>490</v>
      </c>
      <c r="AE1466" s="224" t="s">
        <v>231</v>
      </c>
      <c r="AF1466">
        <f ca="1">OFFSET('Calculations 2'!$CE$45,W1466,0)*OFFSET($AA$6,X1466,0)*OFFSET($N$6,W1466,)</f>
        <v>32.648169921549176</v>
      </c>
      <c r="AY1466" s="224" t="s">
        <v>219</v>
      </c>
      <c r="AZ1466" s="224" t="s">
        <v>490</v>
      </c>
      <c r="BA1466" s="224" t="s">
        <v>231</v>
      </c>
      <c r="BB1466">
        <v>0</v>
      </c>
      <c r="BE1466" s="224" t="s">
        <v>219</v>
      </c>
      <c r="BF1466" s="224" t="s">
        <v>490</v>
      </c>
      <c r="BG1466" s="224" t="s">
        <v>231</v>
      </c>
      <c r="BH1466">
        <v>0</v>
      </c>
    </row>
    <row r="1467" spans="17:60">
      <c r="Q1467" s="224" t="s">
        <v>242</v>
      </c>
      <c r="R1467" s="224" t="s">
        <v>490</v>
      </c>
      <c r="S1467" s="224" t="s">
        <v>231</v>
      </c>
      <c r="T1467" s="224">
        <f ca="1">OFFSET('Calculations 2'!$C$45,W1467,X1467)*OFFSET($N$6,W1467,0)</f>
        <v>178.97449680323663</v>
      </c>
      <c r="V1467">
        <f t="shared" si="68"/>
        <v>372</v>
      </c>
      <c r="W1467">
        <f t="shared" si="69"/>
        <v>9</v>
      </c>
      <c r="X1467">
        <f t="shared" si="70"/>
        <v>11</v>
      </c>
      <c r="AC1467" s="224" t="s">
        <v>242</v>
      </c>
      <c r="AD1467" s="224" t="s">
        <v>490</v>
      </c>
      <c r="AE1467" s="224" t="s">
        <v>231</v>
      </c>
      <c r="AF1467">
        <f ca="1">OFFSET('Calculations 2'!$CE$45,W1467,0)*OFFSET($AA$6,X1467,0)*OFFSET($N$6,W1467,)</f>
        <v>25.004158537066637</v>
      </c>
      <c r="AY1467" s="224" t="s">
        <v>242</v>
      </c>
      <c r="AZ1467" s="224" t="s">
        <v>490</v>
      </c>
      <c r="BA1467" s="224" t="s">
        <v>231</v>
      </c>
      <c r="BB1467">
        <v>0</v>
      </c>
      <c r="BE1467" s="224" t="s">
        <v>242</v>
      </c>
      <c r="BF1467" s="224" t="s">
        <v>490</v>
      </c>
      <c r="BG1467" s="224" t="s">
        <v>231</v>
      </c>
      <c r="BH1467">
        <v>0</v>
      </c>
    </row>
    <row r="1468" spans="17:60">
      <c r="Q1468" s="224" t="s">
        <v>467</v>
      </c>
      <c r="R1468" s="224" t="s">
        <v>490</v>
      </c>
      <c r="S1468" s="224" t="s">
        <v>231</v>
      </c>
      <c r="T1468" s="224">
        <f ca="1">OFFSET('Calculations 2'!$C$45,W1468,X1468)*OFFSET($N$6,W1468,0)</f>
        <v>109.62520535204567</v>
      </c>
      <c r="V1468">
        <f t="shared" si="68"/>
        <v>373</v>
      </c>
      <c r="W1468">
        <f t="shared" si="69"/>
        <v>10</v>
      </c>
      <c r="X1468">
        <f t="shared" si="70"/>
        <v>11</v>
      </c>
      <c r="AC1468" s="224" t="s">
        <v>467</v>
      </c>
      <c r="AD1468" s="224" t="s">
        <v>490</v>
      </c>
      <c r="AE1468" s="224" t="s">
        <v>231</v>
      </c>
      <c r="AF1468">
        <f ca="1">OFFSET('Calculations 2'!$CE$45,W1468,0)*OFFSET($AA$6,X1468,0)*OFFSET($N$6,W1468,)</f>
        <v>9.4387535940601506</v>
      </c>
      <c r="AY1468" s="224" t="s">
        <v>467</v>
      </c>
      <c r="AZ1468" s="224" t="s">
        <v>490</v>
      </c>
      <c r="BA1468" s="224" t="s">
        <v>231</v>
      </c>
      <c r="BB1468">
        <v>0</v>
      </c>
      <c r="BE1468" s="224" t="s">
        <v>467</v>
      </c>
      <c r="BF1468" s="224" t="s">
        <v>490</v>
      </c>
      <c r="BG1468" s="224" t="s">
        <v>231</v>
      </c>
      <c r="BH1468">
        <v>0</v>
      </c>
    </row>
    <row r="1469" spans="17:60">
      <c r="Q1469" s="224" t="s">
        <v>231</v>
      </c>
      <c r="R1469" s="224" t="s">
        <v>490</v>
      </c>
      <c r="S1469" s="224" t="s">
        <v>231</v>
      </c>
      <c r="T1469" s="224">
        <f ca="1">OFFSET('Calculations 2'!$C$45,W1469,X1469)*OFFSET($N$6,W1469,0)</f>
        <v>11277.235034571131</v>
      </c>
      <c r="V1469">
        <f t="shared" si="68"/>
        <v>374</v>
      </c>
      <c r="W1469">
        <f t="shared" si="69"/>
        <v>11</v>
      </c>
      <c r="X1469">
        <f t="shared" si="70"/>
        <v>11</v>
      </c>
      <c r="AC1469" s="224" t="s">
        <v>231</v>
      </c>
      <c r="AD1469" s="224" t="s">
        <v>490</v>
      </c>
      <c r="AE1469" s="224" t="s">
        <v>231</v>
      </c>
      <c r="AF1469">
        <f ca="1">OFFSET('Calculations 2'!$CE$45,W1469,0)*OFFSET($AA$6,X1469,0)*OFFSET($N$6,W1469,)</f>
        <v>118.14619015681248</v>
      </c>
      <c r="AY1469" s="224" t="s">
        <v>231</v>
      </c>
      <c r="AZ1469" s="224" t="s">
        <v>490</v>
      </c>
      <c r="BA1469" s="224" t="s">
        <v>231</v>
      </c>
      <c r="BB1469">
        <v>0</v>
      </c>
      <c r="BE1469" s="224" t="s">
        <v>231</v>
      </c>
      <c r="BF1469" s="224" t="s">
        <v>490</v>
      </c>
      <c r="BG1469" s="224" t="s">
        <v>231</v>
      </c>
      <c r="BH1469">
        <v>0</v>
      </c>
    </row>
    <row r="1470" spans="17:60">
      <c r="Q1470" s="224" t="s">
        <v>468</v>
      </c>
      <c r="R1470" s="224" t="s">
        <v>490</v>
      </c>
      <c r="S1470" s="224" t="s">
        <v>231</v>
      </c>
      <c r="T1470" s="224">
        <f ca="1">OFFSET('Calculations 2'!$C$45,W1470,X1470)*OFFSET($N$6,W1470,0)</f>
        <v>596.05874530104063</v>
      </c>
      <c r="V1470">
        <f t="shared" si="68"/>
        <v>375</v>
      </c>
      <c r="W1470">
        <f t="shared" si="69"/>
        <v>12</v>
      </c>
      <c r="X1470">
        <f t="shared" si="70"/>
        <v>11</v>
      </c>
      <c r="AC1470" s="224" t="s">
        <v>468</v>
      </c>
      <c r="AD1470" s="224" t="s">
        <v>490</v>
      </c>
      <c r="AE1470" s="224" t="s">
        <v>231</v>
      </c>
      <c r="AF1470">
        <f ca="1">OFFSET('Calculations 2'!$CE$45,W1470,0)*OFFSET($AA$6,X1470,0)*OFFSET($N$6,W1470,)</f>
        <v>452.59110531235234</v>
      </c>
      <c r="AY1470" s="224" t="s">
        <v>468</v>
      </c>
      <c r="AZ1470" s="224" t="s">
        <v>490</v>
      </c>
      <c r="BA1470" s="224" t="s">
        <v>231</v>
      </c>
      <c r="BB1470">
        <v>0</v>
      </c>
      <c r="BE1470" s="224" t="s">
        <v>468</v>
      </c>
      <c r="BF1470" s="224" t="s">
        <v>490</v>
      </c>
      <c r="BG1470" s="224" t="s">
        <v>231</v>
      </c>
      <c r="BH1470">
        <v>0</v>
      </c>
    </row>
    <row r="1471" spans="17:60">
      <c r="Q1471" s="224" t="s">
        <v>469</v>
      </c>
      <c r="R1471" s="224" t="s">
        <v>490</v>
      </c>
      <c r="S1471" s="224" t="s">
        <v>231</v>
      </c>
      <c r="T1471" s="224">
        <f ca="1">OFFSET('Calculations 2'!$C$45,W1471,X1471)*OFFSET($N$6,W1471,0)</f>
        <v>1.4139909029354107</v>
      </c>
      <c r="V1471">
        <f t="shared" si="68"/>
        <v>376</v>
      </c>
      <c r="W1471">
        <f t="shared" si="69"/>
        <v>13</v>
      </c>
      <c r="X1471">
        <f t="shared" si="70"/>
        <v>11</v>
      </c>
      <c r="AC1471" s="224" t="s">
        <v>469</v>
      </c>
      <c r="AD1471" s="224" t="s">
        <v>490</v>
      </c>
      <c r="AE1471" s="224" t="s">
        <v>231</v>
      </c>
      <c r="AF1471">
        <f ca="1">OFFSET('Calculations 2'!$CE$45,W1471,0)*OFFSET($AA$6,X1471,0)*OFFSET($N$6,W1471,)</f>
        <v>242.6655443646564</v>
      </c>
      <c r="AY1471" s="224" t="s">
        <v>469</v>
      </c>
      <c r="AZ1471" s="224" t="s">
        <v>490</v>
      </c>
      <c r="BA1471" s="224" t="s">
        <v>231</v>
      </c>
      <c r="BB1471">
        <v>0</v>
      </c>
      <c r="BE1471" s="224" t="s">
        <v>469</v>
      </c>
      <c r="BF1471" s="224" t="s">
        <v>490</v>
      </c>
      <c r="BG1471" s="224" t="s">
        <v>231</v>
      </c>
      <c r="BH1471">
        <v>0</v>
      </c>
    </row>
    <row r="1472" spans="17:60">
      <c r="Q1472" s="224" t="s">
        <v>245</v>
      </c>
      <c r="R1472" s="224" t="s">
        <v>490</v>
      </c>
      <c r="S1472" s="224" t="s">
        <v>231</v>
      </c>
      <c r="T1472" s="224">
        <f ca="1">OFFSET('Calculations 2'!$C$45,W1472,X1472)*OFFSET($N$6,W1472,0)</f>
        <v>278.56947852686608</v>
      </c>
      <c r="V1472">
        <f t="shared" si="68"/>
        <v>377</v>
      </c>
      <c r="W1472">
        <f t="shared" si="69"/>
        <v>14</v>
      </c>
      <c r="X1472">
        <f t="shared" si="70"/>
        <v>11</v>
      </c>
      <c r="AC1472" s="224" t="s">
        <v>245</v>
      </c>
      <c r="AD1472" s="224" t="s">
        <v>490</v>
      </c>
      <c r="AE1472" s="224" t="s">
        <v>231</v>
      </c>
      <c r="AF1472">
        <f ca="1">OFFSET('Calculations 2'!$CE$45,W1472,0)*OFFSET($AA$6,X1472,0)*OFFSET($N$6,W1472,)</f>
        <v>387.26691456357582</v>
      </c>
      <c r="AY1472" s="224" t="s">
        <v>245</v>
      </c>
      <c r="AZ1472" s="224" t="s">
        <v>490</v>
      </c>
      <c r="BA1472" s="224" t="s">
        <v>231</v>
      </c>
      <c r="BB1472">
        <v>0</v>
      </c>
      <c r="BE1472" s="224" t="s">
        <v>245</v>
      </c>
      <c r="BF1472" s="224" t="s">
        <v>490</v>
      </c>
      <c r="BG1472" s="224" t="s">
        <v>231</v>
      </c>
      <c r="BH1472">
        <v>0</v>
      </c>
    </row>
    <row r="1473" spans="17:60">
      <c r="Q1473" s="224" t="s">
        <v>470</v>
      </c>
      <c r="R1473" s="224" t="s">
        <v>490</v>
      </c>
      <c r="S1473" s="224" t="s">
        <v>231</v>
      </c>
      <c r="T1473" s="224">
        <f ca="1">OFFSET('Calculations 2'!$C$45,W1473,X1473)*OFFSET($N$6,W1473,0)</f>
        <v>342.17542593015759</v>
      </c>
      <c r="V1473">
        <f t="shared" si="68"/>
        <v>378</v>
      </c>
      <c r="W1473">
        <f t="shared" si="69"/>
        <v>15</v>
      </c>
      <c r="X1473">
        <f t="shared" si="70"/>
        <v>11</v>
      </c>
      <c r="AC1473" s="224" t="s">
        <v>470</v>
      </c>
      <c r="AD1473" s="224" t="s">
        <v>490</v>
      </c>
      <c r="AE1473" s="224" t="s">
        <v>231</v>
      </c>
      <c r="AF1473">
        <f ca="1">OFFSET('Calculations 2'!$CE$45,W1473,0)*OFFSET($AA$6,X1473,0)*OFFSET($N$6,W1473,)</f>
        <v>146.94249336080586</v>
      </c>
      <c r="AY1473" s="224" t="s">
        <v>470</v>
      </c>
      <c r="AZ1473" s="224" t="s">
        <v>490</v>
      </c>
      <c r="BA1473" s="224" t="s">
        <v>231</v>
      </c>
      <c r="BB1473">
        <v>0</v>
      </c>
      <c r="BE1473" s="224" t="s">
        <v>470</v>
      </c>
      <c r="BF1473" s="224" t="s">
        <v>490</v>
      </c>
      <c r="BG1473" s="224" t="s">
        <v>231</v>
      </c>
      <c r="BH1473">
        <v>0</v>
      </c>
    </row>
    <row r="1474" spans="17:60">
      <c r="Q1474" s="224" t="s">
        <v>471</v>
      </c>
      <c r="R1474" s="224" t="s">
        <v>490</v>
      </c>
      <c r="S1474" s="224" t="s">
        <v>231</v>
      </c>
      <c r="T1474" s="224">
        <f ca="1">OFFSET('Calculations 2'!$C$45,W1474,X1474)*OFFSET($N$6,W1474,0)</f>
        <v>18.16418268899557</v>
      </c>
      <c r="V1474">
        <f t="shared" si="68"/>
        <v>379</v>
      </c>
      <c r="W1474">
        <f t="shared" si="69"/>
        <v>16</v>
      </c>
      <c r="X1474">
        <f t="shared" si="70"/>
        <v>11</v>
      </c>
      <c r="AC1474" s="224" t="s">
        <v>471</v>
      </c>
      <c r="AD1474" s="224" t="s">
        <v>490</v>
      </c>
      <c r="AE1474" s="224" t="s">
        <v>231</v>
      </c>
      <c r="AF1474">
        <f ca="1">OFFSET('Calculations 2'!$CE$45,W1474,0)*OFFSET($AA$6,X1474,0)*OFFSET($N$6,W1474,)</f>
        <v>0</v>
      </c>
      <c r="AY1474" s="224" t="s">
        <v>471</v>
      </c>
      <c r="AZ1474" s="224" t="s">
        <v>490</v>
      </c>
      <c r="BA1474" s="224" t="s">
        <v>231</v>
      </c>
      <c r="BB1474">
        <v>0</v>
      </c>
      <c r="BE1474" s="224" t="s">
        <v>471</v>
      </c>
      <c r="BF1474" s="224" t="s">
        <v>490</v>
      </c>
      <c r="BG1474" s="224" t="s">
        <v>231</v>
      </c>
      <c r="BH1474">
        <v>0</v>
      </c>
    </row>
    <row r="1475" spans="17:60">
      <c r="Q1475" s="224" t="s">
        <v>221</v>
      </c>
      <c r="R1475" s="224" t="s">
        <v>490</v>
      </c>
      <c r="S1475" s="224" t="s">
        <v>231</v>
      </c>
      <c r="T1475" s="224">
        <f ca="1">OFFSET('Calculations 2'!$C$45,W1475,X1475)*OFFSET($N$6,W1475,0)</f>
        <v>3.0804423457317034</v>
      </c>
      <c r="V1475">
        <f t="shared" si="68"/>
        <v>380</v>
      </c>
      <c r="W1475">
        <f t="shared" si="69"/>
        <v>17</v>
      </c>
      <c r="X1475">
        <f t="shared" si="70"/>
        <v>11</v>
      </c>
      <c r="AC1475" s="224" t="s">
        <v>221</v>
      </c>
      <c r="AD1475" s="224" t="s">
        <v>490</v>
      </c>
      <c r="AE1475" s="224" t="s">
        <v>231</v>
      </c>
      <c r="AF1475">
        <f ca="1">OFFSET('Calculations 2'!$CE$45,W1475,0)*OFFSET($AA$6,X1475,0)*OFFSET($N$6,W1475,)</f>
        <v>28.764839143221185</v>
      </c>
      <c r="AY1475" s="224" t="s">
        <v>221</v>
      </c>
      <c r="AZ1475" s="224" t="s">
        <v>490</v>
      </c>
      <c r="BA1475" s="224" t="s">
        <v>231</v>
      </c>
      <c r="BB1475">
        <v>0</v>
      </c>
      <c r="BE1475" s="224" t="s">
        <v>221</v>
      </c>
      <c r="BF1475" s="224" t="s">
        <v>490</v>
      </c>
      <c r="BG1475" s="224" t="s">
        <v>231</v>
      </c>
      <c r="BH1475">
        <v>0</v>
      </c>
    </row>
    <row r="1476" spans="17:60">
      <c r="Q1476" s="224" t="s">
        <v>244</v>
      </c>
      <c r="R1476" s="224" t="s">
        <v>490</v>
      </c>
      <c r="S1476" s="224" t="s">
        <v>231</v>
      </c>
      <c r="T1476" s="224">
        <f ca="1">OFFSET('Calculations 2'!$C$45,W1476,X1476)*OFFSET($N$6,W1476,0)</f>
        <v>38.445256943821889</v>
      </c>
      <c r="V1476">
        <f t="shared" si="68"/>
        <v>381</v>
      </c>
      <c r="W1476">
        <f t="shared" si="69"/>
        <v>18</v>
      </c>
      <c r="X1476">
        <f t="shared" si="70"/>
        <v>11</v>
      </c>
      <c r="AC1476" s="224" t="s">
        <v>244</v>
      </c>
      <c r="AD1476" s="224" t="s">
        <v>490</v>
      </c>
      <c r="AE1476" s="224" t="s">
        <v>231</v>
      </c>
      <c r="AF1476">
        <f ca="1">OFFSET('Calculations 2'!$CE$45,W1476,0)*OFFSET($AA$6,X1476,0)*OFFSET($N$6,W1476,)</f>
        <v>2.5167281957065728</v>
      </c>
      <c r="AY1476" s="224" t="s">
        <v>244</v>
      </c>
      <c r="AZ1476" s="224" t="s">
        <v>490</v>
      </c>
      <c r="BA1476" s="224" t="s">
        <v>231</v>
      </c>
      <c r="BB1476">
        <v>0</v>
      </c>
      <c r="BE1476" s="224" t="s">
        <v>244</v>
      </c>
      <c r="BF1476" s="224" t="s">
        <v>490</v>
      </c>
      <c r="BG1476" s="224" t="s">
        <v>231</v>
      </c>
      <c r="BH1476">
        <v>0</v>
      </c>
    </row>
    <row r="1477" spans="17:60">
      <c r="Q1477" s="224" t="s">
        <v>472</v>
      </c>
      <c r="R1477" s="224" t="s">
        <v>490</v>
      </c>
      <c r="S1477" s="224" t="s">
        <v>231</v>
      </c>
      <c r="T1477" s="224">
        <f ca="1">OFFSET('Calculations 2'!$C$45,W1477,X1477)*OFFSET($N$6,W1477,0)</f>
        <v>0</v>
      </c>
      <c r="V1477">
        <f t="shared" si="68"/>
        <v>382</v>
      </c>
      <c r="W1477">
        <f t="shared" si="69"/>
        <v>19</v>
      </c>
      <c r="X1477">
        <f t="shared" si="70"/>
        <v>11</v>
      </c>
      <c r="AC1477" s="224" t="s">
        <v>472</v>
      </c>
      <c r="AD1477" s="224" t="s">
        <v>490</v>
      </c>
      <c r="AE1477" s="224" t="s">
        <v>231</v>
      </c>
      <c r="AF1477">
        <f ca="1">OFFSET('Calculations 2'!$CE$45,W1477,0)*OFFSET($AA$6,X1477,0)*OFFSET($N$6,W1477,)</f>
        <v>0</v>
      </c>
      <c r="AY1477" s="224" t="s">
        <v>472</v>
      </c>
      <c r="AZ1477" s="224" t="s">
        <v>490</v>
      </c>
      <c r="BA1477" s="224" t="s">
        <v>231</v>
      </c>
      <c r="BB1477">
        <v>0</v>
      </c>
      <c r="BE1477" s="224" t="s">
        <v>472</v>
      </c>
      <c r="BF1477" s="224" t="s">
        <v>490</v>
      </c>
      <c r="BG1477" s="224" t="s">
        <v>231</v>
      </c>
      <c r="BH1477">
        <v>0</v>
      </c>
    </row>
    <row r="1478" spans="17:60">
      <c r="Q1478" s="224" t="s">
        <v>238</v>
      </c>
      <c r="R1478" s="224" t="s">
        <v>490</v>
      </c>
      <c r="S1478" s="224" t="s">
        <v>231</v>
      </c>
      <c r="T1478" s="224">
        <f ca="1">OFFSET('Calculations 2'!$C$45,W1478,X1478)*OFFSET($N$6,W1478,0)</f>
        <v>1.8987001016802194</v>
      </c>
      <c r="V1478">
        <f t="shared" si="68"/>
        <v>383</v>
      </c>
      <c r="W1478">
        <f t="shared" si="69"/>
        <v>20</v>
      </c>
      <c r="X1478">
        <f t="shared" si="70"/>
        <v>11</v>
      </c>
      <c r="AC1478" s="224" t="s">
        <v>238</v>
      </c>
      <c r="AD1478" s="224" t="s">
        <v>490</v>
      </c>
      <c r="AE1478" s="224" t="s">
        <v>231</v>
      </c>
      <c r="AF1478">
        <f ca="1">OFFSET('Calculations 2'!$CE$45,W1478,0)*OFFSET($AA$6,X1478,0)*OFFSET($N$6,W1478,)</f>
        <v>0</v>
      </c>
      <c r="AY1478" s="224" t="s">
        <v>238</v>
      </c>
      <c r="AZ1478" s="224" t="s">
        <v>490</v>
      </c>
      <c r="BA1478" s="224" t="s">
        <v>231</v>
      </c>
      <c r="BB1478">
        <v>0</v>
      </c>
      <c r="BE1478" s="224" t="s">
        <v>238</v>
      </c>
      <c r="BF1478" s="224" t="s">
        <v>490</v>
      </c>
      <c r="BG1478" s="224" t="s">
        <v>231</v>
      </c>
      <c r="BH1478">
        <v>0</v>
      </c>
    </row>
    <row r="1479" spans="17:60">
      <c r="Q1479" s="224" t="s">
        <v>247</v>
      </c>
      <c r="R1479" s="224" t="s">
        <v>490</v>
      </c>
      <c r="S1479" s="224" t="s">
        <v>231</v>
      </c>
      <c r="T1479" s="224">
        <f ca="1">OFFSET('Calculations 2'!$C$45,W1479,X1479)*OFFSET($N$6,W1479,0)</f>
        <v>0</v>
      </c>
      <c r="V1479">
        <f t="shared" si="68"/>
        <v>384</v>
      </c>
      <c r="W1479">
        <f t="shared" si="69"/>
        <v>21</v>
      </c>
      <c r="X1479">
        <f t="shared" si="70"/>
        <v>11</v>
      </c>
      <c r="AC1479" s="224" t="s">
        <v>247</v>
      </c>
      <c r="AD1479" s="224" t="s">
        <v>490</v>
      </c>
      <c r="AE1479" s="224" t="s">
        <v>231</v>
      </c>
      <c r="AF1479">
        <f ca="1">OFFSET('Calculations 2'!$CE$45,W1479,0)*OFFSET($AA$6,X1479,0)*OFFSET($N$6,W1479,)</f>
        <v>0</v>
      </c>
      <c r="AY1479" s="224" t="s">
        <v>247</v>
      </c>
      <c r="AZ1479" s="224" t="s">
        <v>490</v>
      </c>
      <c r="BA1479" s="224" t="s">
        <v>231</v>
      </c>
      <c r="BB1479">
        <v>0</v>
      </c>
      <c r="BE1479" s="224" t="s">
        <v>247</v>
      </c>
      <c r="BF1479" s="224" t="s">
        <v>490</v>
      </c>
      <c r="BG1479" s="224" t="s">
        <v>231</v>
      </c>
      <c r="BH1479">
        <v>0</v>
      </c>
    </row>
    <row r="1480" spans="17:60">
      <c r="Q1480" s="224" t="s">
        <v>218</v>
      </c>
      <c r="R1480" s="224" t="s">
        <v>490</v>
      </c>
      <c r="S1480" s="224" t="s">
        <v>231</v>
      </c>
      <c r="T1480" s="224">
        <f ca="1">OFFSET('Calculations 2'!$C$45,W1480,X1480)*OFFSET($N$6,W1480,0)</f>
        <v>11.092710349823987</v>
      </c>
      <c r="V1480">
        <f t="shared" si="68"/>
        <v>385</v>
      </c>
      <c r="W1480">
        <f t="shared" si="69"/>
        <v>22</v>
      </c>
      <c r="X1480">
        <f t="shared" si="70"/>
        <v>11</v>
      </c>
      <c r="AC1480" s="224" t="s">
        <v>218</v>
      </c>
      <c r="AD1480" s="224" t="s">
        <v>490</v>
      </c>
      <c r="AE1480" s="224" t="s">
        <v>231</v>
      </c>
      <c r="AF1480">
        <f ca="1">OFFSET('Calculations 2'!$CE$45,W1480,0)*OFFSET($AA$6,X1480,0)*OFFSET($N$6,W1480,)</f>
        <v>0</v>
      </c>
      <c r="AY1480" s="224" t="s">
        <v>218</v>
      </c>
      <c r="AZ1480" s="224" t="s">
        <v>490</v>
      </c>
      <c r="BA1480" s="224" t="s">
        <v>231</v>
      </c>
      <c r="BB1480">
        <v>0</v>
      </c>
      <c r="BE1480" s="224" t="s">
        <v>218</v>
      </c>
      <c r="BF1480" s="224" t="s">
        <v>490</v>
      </c>
      <c r="BG1480" s="224" t="s">
        <v>231</v>
      </c>
      <c r="BH1480">
        <v>0</v>
      </c>
    </row>
    <row r="1481" spans="17:60">
      <c r="Q1481" s="224" t="s">
        <v>257</v>
      </c>
      <c r="R1481" s="224" t="s">
        <v>490</v>
      </c>
      <c r="S1481" s="224" t="s">
        <v>231</v>
      </c>
      <c r="T1481" s="224">
        <f ca="1">OFFSET('Calculations 2'!$C$45,W1481,X1481)*OFFSET($N$6,W1481,0)</f>
        <v>1.8227804332713586</v>
      </c>
      <c r="V1481">
        <f t="shared" ref="V1481:V1544" si="71">V1480+1</f>
        <v>386</v>
      </c>
      <c r="W1481">
        <f t="shared" ref="W1481:W1544" si="72">MOD(V1481,$V$3)</f>
        <v>23</v>
      </c>
      <c r="X1481">
        <f t="shared" ref="X1481:X1544" si="73">FLOOR(V1481/$V$3,1)</f>
        <v>11</v>
      </c>
      <c r="AC1481" s="224" t="s">
        <v>257</v>
      </c>
      <c r="AD1481" s="224" t="s">
        <v>490</v>
      </c>
      <c r="AE1481" s="224" t="s">
        <v>231</v>
      </c>
      <c r="AF1481">
        <f ca="1">OFFSET('Calculations 2'!$CE$45,W1481,0)*OFFSET($AA$6,X1481,0)*OFFSET($N$6,W1481,)</f>
        <v>0</v>
      </c>
      <c r="AY1481" s="224" t="s">
        <v>257</v>
      </c>
      <c r="AZ1481" s="224" t="s">
        <v>490</v>
      </c>
      <c r="BA1481" s="224" t="s">
        <v>231</v>
      </c>
      <c r="BB1481">
        <v>0</v>
      </c>
      <c r="BE1481" s="224" t="s">
        <v>257</v>
      </c>
      <c r="BF1481" s="224" t="s">
        <v>490</v>
      </c>
      <c r="BG1481" s="224" t="s">
        <v>231</v>
      </c>
      <c r="BH1481">
        <v>0</v>
      </c>
    </row>
    <row r="1482" spans="17:60">
      <c r="Q1482" s="224" t="s">
        <v>220</v>
      </c>
      <c r="R1482" s="224" t="s">
        <v>490</v>
      </c>
      <c r="S1482" s="224" t="s">
        <v>231</v>
      </c>
      <c r="T1482" s="224">
        <f ca="1">OFFSET('Calculations 2'!$C$45,W1482,X1482)*OFFSET($N$6,W1482,0)</f>
        <v>1.1912802338119033</v>
      </c>
      <c r="V1482">
        <f t="shared" si="71"/>
        <v>387</v>
      </c>
      <c r="W1482">
        <f t="shared" si="72"/>
        <v>24</v>
      </c>
      <c r="X1482">
        <f t="shared" si="73"/>
        <v>11</v>
      </c>
      <c r="AC1482" s="224" t="s">
        <v>220</v>
      </c>
      <c r="AD1482" s="224" t="s">
        <v>490</v>
      </c>
      <c r="AE1482" s="224" t="s">
        <v>231</v>
      </c>
      <c r="AF1482">
        <f ca="1">OFFSET('Calculations 2'!$CE$45,W1482,0)*OFFSET($AA$6,X1482,0)*OFFSET($N$6,W1482,)</f>
        <v>0</v>
      </c>
      <c r="AY1482" s="224" t="s">
        <v>220</v>
      </c>
      <c r="AZ1482" s="224" t="s">
        <v>490</v>
      </c>
      <c r="BA1482" s="224" t="s">
        <v>231</v>
      </c>
      <c r="BB1482">
        <v>0</v>
      </c>
      <c r="BE1482" s="224" t="s">
        <v>220</v>
      </c>
      <c r="BF1482" s="224" t="s">
        <v>490</v>
      </c>
      <c r="BG1482" s="224" t="s">
        <v>231</v>
      </c>
      <c r="BH1482">
        <v>0</v>
      </c>
    </row>
    <row r="1483" spans="17:60">
      <c r="Q1483" s="224" t="s">
        <v>235</v>
      </c>
      <c r="R1483" s="224" t="s">
        <v>490</v>
      </c>
      <c r="S1483" s="224" t="s">
        <v>231</v>
      </c>
      <c r="T1483" s="224">
        <f ca="1">OFFSET('Calculations 2'!$C$45,W1483,X1483)*OFFSET($N$6,W1483,0)</f>
        <v>4.739607341529692</v>
      </c>
      <c r="V1483">
        <f t="shared" si="71"/>
        <v>388</v>
      </c>
      <c r="W1483">
        <f t="shared" si="72"/>
        <v>25</v>
      </c>
      <c r="X1483">
        <f t="shared" si="73"/>
        <v>11</v>
      </c>
      <c r="AC1483" s="224" t="s">
        <v>235</v>
      </c>
      <c r="AD1483" s="224" t="s">
        <v>490</v>
      </c>
      <c r="AE1483" s="224" t="s">
        <v>231</v>
      </c>
      <c r="AF1483">
        <f ca="1">OFFSET('Calculations 2'!$CE$45,W1483,0)*OFFSET($AA$6,X1483,0)*OFFSET($N$6,W1483,)</f>
        <v>0</v>
      </c>
      <c r="AY1483" s="224" t="s">
        <v>235</v>
      </c>
      <c r="AZ1483" s="224" t="s">
        <v>490</v>
      </c>
      <c r="BA1483" s="224" t="s">
        <v>231</v>
      </c>
      <c r="BB1483">
        <v>0</v>
      </c>
      <c r="BE1483" s="224" t="s">
        <v>235</v>
      </c>
      <c r="BF1483" s="224" t="s">
        <v>490</v>
      </c>
      <c r="BG1483" s="224" t="s">
        <v>231</v>
      </c>
      <c r="BH1483">
        <v>0</v>
      </c>
    </row>
    <row r="1484" spans="17:60">
      <c r="Q1484" s="224" t="s">
        <v>473</v>
      </c>
      <c r="R1484" s="224" t="s">
        <v>490</v>
      </c>
      <c r="S1484" s="224" t="s">
        <v>231</v>
      </c>
      <c r="T1484" s="224">
        <f ca="1">OFFSET('Calculations 2'!$C$45,W1484,X1484)*OFFSET($N$6,W1484,0)</f>
        <v>4.9599726527065373</v>
      </c>
      <c r="V1484">
        <f t="shared" si="71"/>
        <v>389</v>
      </c>
      <c r="W1484">
        <f t="shared" si="72"/>
        <v>26</v>
      </c>
      <c r="X1484">
        <f t="shared" si="73"/>
        <v>11</v>
      </c>
      <c r="AC1484" s="224" t="s">
        <v>473</v>
      </c>
      <c r="AD1484" s="224" t="s">
        <v>490</v>
      </c>
      <c r="AE1484" s="224" t="s">
        <v>231</v>
      </c>
      <c r="AF1484">
        <f ca="1">OFFSET('Calculations 2'!$CE$45,W1484,0)*OFFSET($AA$6,X1484,0)*OFFSET($N$6,W1484,)</f>
        <v>0</v>
      </c>
      <c r="AY1484" s="224" t="s">
        <v>473</v>
      </c>
      <c r="AZ1484" s="224" t="s">
        <v>490</v>
      </c>
      <c r="BA1484" s="224" t="s">
        <v>231</v>
      </c>
      <c r="BB1484">
        <v>0</v>
      </c>
      <c r="BE1484" s="224" t="s">
        <v>473</v>
      </c>
      <c r="BF1484" s="224" t="s">
        <v>490</v>
      </c>
      <c r="BG1484" s="224" t="s">
        <v>231</v>
      </c>
      <c r="BH1484">
        <v>0</v>
      </c>
    </row>
    <row r="1485" spans="17:60">
      <c r="Q1485" s="224" t="s">
        <v>233</v>
      </c>
      <c r="R1485" s="224" t="s">
        <v>490</v>
      </c>
      <c r="S1485" s="224" t="s">
        <v>231</v>
      </c>
      <c r="T1485" s="224">
        <f ca="1">OFFSET('Calculations 2'!$C$45,W1485,X1485)*OFFSET($N$6,W1485,0)</f>
        <v>4.4605206673128928</v>
      </c>
      <c r="V1485">
        <f t="shared" si="71"/>
        <v>390</v>
      </c>
      <c r="W1485">
        <f t="shared" si="72"/>
        <v>27</v>
      </c>
      <c r="X1485">
        <f t="shared" si="73"/>
        <v>11</v>
      </c>
      <c r="AC1485" s="224" t="s">
        <v>233</v>
      </c>
      <c r="AD1485" s="224" t="s">
        <v>490</v>
      </c>
      <c r="AE1485" s="224" t="s">
        <v>231</v>
      </c>
      <c r="AF1485">
        <f ca="1">OFFSET('Calculations 2'!$CE$45,W1485,0)*OFFSET($AA$6,X1485,0)*OFFSET($N$6,W1485,)</f>
        <v>0</v>
      </c>
      <c r="AY1485" s="224" t="s">
        <v>233</v>
      </c>
      <c r="AZ1485" s="224" t="s">
        <v>490</v>
      </c>
      <c r="BA1485" s="224" t="s">
        <v>231</v>
      </c>
      <c r="BB1485">
        <v>0</v>
      </c>
      <c r="BE1485" s="224" t="s">
        <v>233</v>
      </c>
      <c r="BF1485" s="224" t="s">
        <v>490</v>
      </c>
      <c r="BG1485" s="224" t="s">
        <v>231</v>
      </c>
      <c r="BH1485">
        <v>0</v>
      </c>
    </row>
    <row r="1486" spans="17:60">
      <c r="Q1486" s="224" t="s">
        <v>474</v>
      </c>
      <c r="R1486" s="224" t="s">
        <v>490</v>
      </c>
      <c r="S1486" s="224" t="s">
        <v>231</v>
      </c>
      <c r="T1486" s="224">
        <f ca="1">OFFSET('Calculations 2'!$C$45,W1486,X1486)*OFFSET($N$6,W1486,0)</f>
        <v>0.15725765393636137</v>
      </c>
      <c r="V1486">
        <f t="shared" si="71"/>
        <v>391</v>
      </c>
      <c r="W1486">
        <f t="shared" si="72"/>
        <v>28</v>
      </c>
      <c r="X1486">
        <f t="shared" si="73"/>
        <v>11</v>
      </c>
      <c r="AC1486" s="224" t="s">
        <v>474</v>
      </c>
      <c r="AD1486" s="224" t="s">
        <v>490</v>
      </c>
      <c r="AE1486" s="224" t="s">
        <v>231</v>
      </c>
      <c r="AF1486">
        <f ca="1">OFFSET('Calculations 2'!$CE$45,W1486,0)*OFFSET($AA$6,X1486,0)*OFFSET($N$6,W1486,)</f>
        <v>0</v>
      </c>
      <c r="AY1486" s="224" t="s">
        <v>474</v>
      </c>
      <c r="AZ1486" s="224" t="s">
        <v>490</v>
      </c>
      <c r="BA1486" s="224" t="s">
        <v>231</v>
      </c>
      <c r="BB1486">
        <v>0</v>
      </c>
      <c r="BE1486" s="224" t="s">
        <v>474</v>
      </c>
      <c r="BF1486" s="224" t="s">
        <v>490</v>
      </c>
      <c r="BG1486" s="224" t="s">
        <v>231</v>
      </c>
      <c r="BH1486">
        <v>0</v>
      </c>
    </row>
    <row r="1487" spans="17:60">
      <c r="Q1487" s="224" t="s">
        <v>223</v>
      </c>
      <c r="R1487" s="224" t="s">
        <v>490</v>
      </c>
      <c r="S1487" s="224" t="s">
        <v>231</v>
      </c>
      <c r="T1487" s="224">
        <f ca="1">OFFSET('Calculations 2'!$C$45,W1487,X1487)*OFFSET($N$6,W1487,0)</f>
        <v>15.288308648916789</v>
      </c>
      <c r="V1487">
        <f t="shared" si="71"/>
        <v>392</v>
      </c>
      <c r="W1487">
        <f t="shared" si="72"/>
        <v>29</v>
      </c>
      <c r="X1487">
        <f t="shared" si="73"/>
        <v>11</v>
      </c>
      <c r="AC1487" s="224" t="s">
        <v>223</v>
      </c>
      <c r="AD1487" s="224" t="s">
        <v>490</v>
      </c>
      <c r="AE1487" s="224" t="s">
        <v>231</v>
      </c>
      <c r="AF1487">
        <f ca="1">OFFSET('Calculations 2'!$CE$45,W1487,0)*OFFSET($AA$6,X1487,0)*OFFSET($N$6,W1487,)</f>
        <v>0</v>
      </c>
      <c r="AY1487" s="224" t="s">
        <v>223</v>
      </c>
      <c r="AZ1487" s="224" t="s">
        <v>490</v>
      </c>
      <c r="BA1487" s="224" t="s">
        <v>231</v>
      </c>
      <c r="BB1487">
        <v>0</v>
      </c>
      <c r="BE1487" s="224" t="s">
        <v>223</v>
      </c>
      <c r="BF1487" s="224" t="s">
        <v>490</v>
      </c>
      <c r="BG1487" s="224" t="s">
        <v>231</v>
      </c>
      <c r="BH1487">
        <v>0</v>
      </c>
    </row>
    <row r="1488" spans="17:60">
      <c r="Q1488" s="224" t="s">
        <v>475</v>
      </c>
      <c r="R1488" s="224" t="s">
        <v>490</v>
      </c>
      <c r="S1488" s="224" t="s">
        <v>231</v>
      </c>
      <c r="T1488" s="224">
        <f ca="1">OFFSET('Calculations 2'!$C$45,W1488,X1488)*OFFSET($N$6,W1488,0)</f>
        <v>0.30429677672472527</v>
      </c>
      <c r="V1488">
        <f t="shared" si="71"/>
        <v>393</v>
      </c>
      <c r="W1488">
        <f t="shared" si="72"/>
        <v>30</v>
      </c>
      <c r="X1488">
        <f t="shared" si="73"/>
        <v>11</v>
      </c>
      <c r="AC1488" s="224" t="s">
        <v>475</v>
      </c>
      <c r="AD1488" s="224" t="s">
        <v>490</v>
      </c>
      <c r="AE1488" s="224" t="s">
        <v>231</v>
      </c>
      <c r="AF1488">
        <f ca="1">OFFSET('Calculations 2'!$CE$45,W1488,0)*OFFSET($AA$6,X1488,0)*OFFSET($N$6,W1488,)</f>
        <v>0</v>
      </c>
      <c r="AY1488" s="224" t="s">
        <v>475</v>
      </c>
      <c r="AZ1488" s="224" t="s">
        <v>490</v>
      </c>
      <c r="BA1488" s="224" t="s">
        <v>231</v>
      </c>
      <c r="BB1488">
        <v>0</v>
      </c>
      <c r="BE1488" s="224" t="s">
        <v>475</v>
      </c>
      <c r="BF1488" s="224" t="s">
        <v>490</v>
      </c>
      <c r="BG1488" s="224" t="s">
        <v>231</v>
      </c>
      <c r="BH1488">
        <v>0</v>
      </c>
    </row>
    <row r="1489" spans="17:60">
      <c r="Q1489" s="224" t="s">
        <v>476</v>
      </c>
      <c r="R1489" s="224" t="s">
        <v>490</v>
      </c>
      <c r="S1489" s="224" t="s">
        <v>231</v>
      </c>
      <c r="T1489" s="224">
        <f ca="1">OFFSET('Calculations 2'!$C$45,W1489,X1489)*OFFSET($N$6,W1489,0)</f>
        <v>0.56508047963610197</v>
      </c>
      <c r="V1489">
        <f t="shared" si="71"/>
        <v>394</v>
      </c>
      <c r="W1489">
        <f t="shared" si="72"/>
        <v>31</v>
      </c>
      <c r="X1489">
        <f t="shared" si="73"/>
        <v>11</v>
      </c>
      <c r="AC1489" s="224" t="s">
        <v>476</v>
      </c>
      <c r="AD1489" s="224" t="s">
        <v>490</v>
      </c>
      <c r="AE1489" s="224" t="s">
        <v>231</v>
      </c>
      <c r="AF1489">
        <f ca="1">OFFSET('Calculations 2'!$CE$45,W1489,0)*OFFSET($AA$6,X1489,0)*OFFSET($N$6,W1489,)</f>
        <v>0</v>
      </c>
      <c r="AY1489" s="224" t="s">
        <v>476</v>
      </c>
      <c r="AZ1489" s="224" t="s">
        <v>490</v>
      </c>
      <c r="BA1489" s="224" t="s">
        <v>231</v>
      </c>
      <c r="BB1489">
        <v>0</v>
      </c>
      <c r="BE1489" s="224" t="s">
        <v>476</v>
      </c>
      <c r="BF1489" s="224" t="s">
        <v>490</v>
      </c>
      <c r="BG1489" s="224" t="s">
        <v>231</v>
      </c>
      <c r="BH1489">
        <v>0</v>
      </c>
    </row>
    <row r="1490" spans="17:60">
      <c r="Q1490" s="224" t="s">
        <v>222</v>
      </c>
      <c r="R1490" s="224" t="s">
        <v>490</v>
      </c>
      <c r="S1490" s="224" t="s">
        <v>231</v>
      </c>
      <c r="T1490" s="224">
        <f ca="1">OFFSET('Calculations 2'!$C$45,W1490,X1490)*OFFSET($N$6,W1490,0)</f>
        <v>0</v>
      </c>
      <c r="V1490">
        <f t="shared" si="71"/>
        <v>395</v>
      </c>
      <c r="W1490">
        <f t="shared" si="72"/>
        <v>32</v>
      </c>
      <c r="X1490">
        <f t="shared" si="73"/>
        <v>11</v>
      </c>
      <c r="AC1490" s="224" t="s">
        <v>222</v>
      </c>
      <c r="AD1490" s="224" t="s">
        <v>490</v>
      </c>
      <c r="AE1490" s="224" t="s">
        <v>231</v>
      </c>
      <c r="AF1490">
        <f ca="1">OFFSET('Calculations 2'!$CE$45,W1490,0)*OFFSET($AA$6,X1490,0)*OFFSET($N$6,W1490,)</f>
        <v>0</v>
      </c>
      <c r="AY1490" s="224" t="s">
        <v>222</v>
      </c>
      <c r="AZ1490" s="224" t="s">
        <v>490</v>
      </c>
      <c r="BA1490" s="224" t="s">
        <v>231</v>
      </c>
      <c r="BB1490">
        <v>0</v>
      </c>
      <c r="BE1490" s="224" t="s">
        <v>222</v>
      </c>
      <c r="BF1490" s="224" t="s">
        <v>490</v>
      </c>
      <c r="BG1490" s="224" t="s">
        <v>231</v>
      </c>
      <c r="BH1490">
        <v>0</v>
      </c>
    </row>
    <row r="1491" spans="17:60">
      <c r="Q1491" s="224" t="s">
        <v>217</v>
      </c>
      <c r="R1491" s="224" t="s">
        <v>490</v>
      </c>
      <c r="S1491" s="224" t="s">
        <v>468</v>
      </c>
      <c r="T1491" s="224">
        <f ca="1">OFFSET('Calculations 2'!$C$45,W1491,X1491)*OFFSET($N$6,W1491,0)</f>
        <v>0</v>
      </c>
      <c r="V1491">
        <f t="shared" si="71"/>
        <v>396</v>
      </c>
      <c r="W1491">
        <f t="shared" si="72"/>
        <v>0</v>
      </c>
      <c r="X1491">
        <f t="shared" si="73"/>
        <v>12</v>
      </c>
      <c r="AC1491" s="224" t="s">
        <v>217</v>
      </c>
      <c r="AD1491" s="224" t="s">
        <v>490</v>
      </c>
      <c r="AE1491" s="224" t="s">
        <v>468</v>
      </c>
      <c r="AF1491">
        <f ca="1">OFFSET('Calculations 2'!$CE$45,W1491,0)*OFFSET($AA$6,X1491,0)*OFFSET($N$6,W1491,)</f>
        <v>1.2189829631876694</v>
      </c>
      <c r="AY1491" s="224" t="s">
        <v>217</v>
      </c>
      <c r="AZ1491" s="224" t="s">
        <v>490</v>
      </c>
      <c r="BA1491" s="224" t="s">
        <v>468</v>
      </c>
      <c r="BB1491">
        <v>0</v>
      </c>
      <c r="BE1491" s="224" t="s">
        <v>217</v>
      </c>
      <c r="BF1491" s="224" t="s">
        <v>490</v>
      </c>
      <c r="BG1491" s="224" t="s">
        <v>468</v>
      </c>
      <c r="BH1491">
        <v>0</v>
      </c>
    </row>
    <row r="1492" spans="17:60">
      <c r="Q1492" s="224" t="s">
        <v>232</v>
      </c>
      <c r="R1492" s="224" t="s">
        <v>490</v>
      </c>
      <c r="S1492" s="224" t="s">
        <v>468</v>
      </c>
      <c r="T1492" s="224">
        <f ca="1">OFFSET('Calculations 2'!$C$45,W1492,X1492)*OFFSET($N$6,W1492,0)</f>
        <v>2.2477095210599981E-2</v>
      </c>
      <c r="V1492">
        <f t="shared" si="71"/>
        <v>397</v>
      </c>
      <c r="W1492">
        <f t="shared" si="72"/>
        <v>1</v>
      </c>
      <c r="X1492">
        <f t="shared" si="73"/>
        <v>12</v>
      </c>
      <c r="AC1492" s="224" t="s">
        <v>232</v>
      </c>
      <c r="AD1492" s="224" t="s">
        <v>490</v>
      </c>
      <c r="AE1492" s="224" t="s">
        <v>468</v>
      </c>
      <c r="AF1492">
        <f ca="1">OFFSET('Calculations 2'!$CE$45,W1492,0)*OFFSET($AA$6,X1492,0)*OFFSET($N$6,W1492,)</f>
        <v>1.9231062286326204</v>
      </c>
      <c r="AY1492" s="224" t="s">
        <v>232</v>
      </c>
      <c r="AZ1492" s="224" t="s">
        <v>490</v>
      </c>
      <c r="BA1492" s="224" t="s">
        <v>468</v>
      </c>
      <c r="BB1492">
        <v>0</v>
      </c>
      <c r="BE1492" s="224" t="s">
        <v>232</v>
      </c>
      <c r="BF1492" s="224" t="s">
        <v>490</v>
      </c>
      <c r="BG1492" s="224" t="s">
        <v>468</v>
      </c>
      <c r="BH1492">
        <v>0</v>
      </c>
    </row>
    <row r="1493" spans="17:60">
      <c r="Q1493" s="224" t="s">
        <v>226</v>
      </c>
      <c r="R1493" s="224" t="s">
        <v>490</v>
      </c>
      <c r="S1493" s="224" t="s">
        <v>468</v>
      </c>
      <c r="T1493" s="224">
        <f ca="1">OFFSET('Calculations 2'!$C$45,W1493,X1493)*OFFSET($N$6,W1493,0)</f>
        <v>0</v>
      </c>
      <c r="V1493">
        <f t="shared" si="71"/>
        <v>398</v>
      </c>
      <c r="W1493">
        <f t="shared" si="72"/>
        <v>2</v>
      </c>
      <c r="X1493">
        <f t="shared" si="73"/>
        <v>12</v>
      </c>
      <c r="AC1493" s="224" t="s">
        <v>226</v>
      </c>
      <c r="AD1493" s="224" t="s">
        <v>490</v>
      </c>
      <c r="AE1493" s="224" t="s">
        <v>468</v>
      </c>
      <c r="AF1493">
        <f ca="1">OFFSET('Calculations 2'!$CE$45,W1493,0)*OFFSET($AA$6,X1493,0)*OFFSET($N$6,W1493,)</f>
        <v>0.48122006754825508</v>
      </c>
      <c r="AY1493" s="224" t="s">
        <v>226</v>
      </c>
      <c r="AZ1493" s="224" t="s">
        <v>490</v>
      </c>
      <c r="BA1493" s="224" t="s">
        <v>468</v>
      </c>
      <c r="BB1493">
        <v>0</v>
      </c>
      <c r="BE1493" s="224" t="s">
        <v>226</v>
      </c>
      <c r="BF1493" s="224" t="s">
        <v>490</v>
      </c>
      <c r="BG1493" s="224" t="s">
        <v>468</v>
      </c>
      <c r="BH1493">
        <v>0</v>
      </c>
    </row>
    <row r="1494" spans="17:60">
      <c r="Q1494" s="224" t="s">
        <v>243</v>
      </c>
      <c r="R1494" s="224" t="s">
        <v>490</v>
      </c>
      <c r="S1494" s="224" t="s">
        <v>468</v>
      </c>
      <c r="T1494" s="224">
        <f ca="1">OFFSET('Calculations 2'!$C$45,W1494,X1494)*OFFSET($N$6,W1494,0)</f>
        <v>3.902232850482596</v>
      </c>
      <c r="V1494">
        <f t="shared" si="71"/>
        <v>399</v>
      </c>
      <c r="W1494">
        <f t="shared" si="72"/>
        <v>3</v>
      </c>
      <c r="X1494">
        <f t="shared" si="73"/>
        <v>12</v>
      </c>
      <c r="AC1494" s="224" t="s">
        <v>243</v>
      </c>
      <c r="AD1494" s="224" t="s">
        <v>490</v>
      </c>
      <c r="AE1494" s="224" t="s">
        <v>468</v>
      </c>
      <c r="AF1494">
        <f ca="1">OFFSET('Calculations 2'!$CE$45,W1494,0)*OFFSET($AA$6,X1494,0)*OFFSET($N$6,W1494,)</f>
        <v>9.4434727205486535</v>
      </c>
      <c r="AY1494" s="224" t="s">
        <v>243</v>
      </c>
      <c r="AZ1494" s="224" t="s">
        <v>490</v>
      </c>
      <c r="BA1494" s="224" t="s">
        <v>468</v>
      </c>
      <c r="BB1494">
        <v>0</v>
      </c>
      <c r="BE1494" s="224" t="s">
        <v>243</v>
      </c>
      <c r="BF1494" s="224" t="s">
        <v>490</v>
      </c>
      <c r="BG1494" s="224" t="s">
        <v>468</v>
      </c>
      <c r="BH1494">
        <v>0</v>
      </c>
    </row>
    <row r="1495" spans="17:60">
      <c r="Q1495" s="224" t="s">
        <v>228</v>
      </c>
      <c r="R1495" s="224" t="s">
        <v>490</v>
      </c>
      <c r="S1495" s="224" t="s">
        <v>468</v>
      </c>
      <c r="T1495" s="224">
        <f ca="1">OFFSET('Calculations 2'!$C$45,W1495,X1495)*OFFSET($N$6,W1495,0)</f>
        <v>0</v>
      </c>
      <c r="V1495">
        <f t="shared" si="71"/>
        <v>400</v>
      </c>
      <c r="W1495">
        <f t="shared" si="72"/>
        <v>4</v>
      </c>
      <c r="X1495">
        <f t="shared" si="73"/>
        <v>12</v>
      </c>
      <c r="AC1495" s="224" t="s">
        <v>228</v>
      </c>
      <c r="AD1495" s="224" t="s">
        <v>490</v>
      </c>
      <c r="AE1495" s="224" t="s">
        <v>468</v>
      </c>
      <c r="AF1495">
        <f ca="1">OFFSET('Calculations 2'!$CE$45,W1495,0)*OFFSET($AA$6,X1495,0)*OFFSET($N$6,W1495,)</f>
        <v>4.9216496853591361</v>
      </c>
      <c r="AY1495" s="224" t="s">
        <v>228</v>
      </c>
      <c r="AZ1495" s="224" t="s">
        <v>490</v>
      </c>
      <c r="BA1495" s="224" t="s">
        <v>468</v>
      </c>
      <c r="BB1495">
        <v>0</v>
      </c>
      <c r="BE1495" s="224" t="s">
        <v>228</v>
      </c>
      <c r="BF1495" s="224" t="s">
        <v>490</v>
      </c>
      <c r="BG1495" s="224" t="s">
        <v>468</v>
      </c>
      <c r="BH1495">
        <v>0</v>
      </c>
    </row>
    <row r="1496" spans="17:60">
      <c r="Q1496" s="224" t="s">
        <v>246</v>
      </c>
      <c r="R1496" s="224" t="s">
        <v>490</v>
      </c>
      <c r="S1496" s="224" t="s">
        <v>468</v>
      </c>
      <c r="T1496" s="224">
        <f ca="1">OFFSET('Calculations 2'!$C$45,W1496,X1496)*OFFSET($N$6,W1496,0)</f>
        <v>0</v>
      </c>
      <c r="V1496">
        <f t="shared" si="71"/>
        <v>401</v>
      </c>
      <c r="W1496">
        <f t="shared" si="72"/>
        <v>5</v>
      </c>
      <c r="X1496">
        <f t="shared" si="73"/>
        <v>12</v>
      </c>
      <c r="AC1496" s="224" t="s">
        <v>246</v>
      </c>
      <c r="AD1496" s="224" t="s">
        <v>490</v>
      </c>
      <c r="AE1496" s="224" t="s">
        <v>468</v>
      </c>
      <c r="AF1496">
        <f ca="1">OFFSET('Calculations 2'!$CE$45,W1496,0)*OFFSET($AA$6,X1496,0)*OFFSET($N$6,W1496,)</f>
        <v>8.8093798587860289E-2</v>
      </c>
      <c r="AY1496" s="224" t="s">
        <v>246</v>
      </c>
      <c r="AZ1496" s="224" t="s">
        <v>490</v>
      </c>
      <c r="BA1496" s="224" t="s">
        <v>468</v>
      </c>
      <c r="BB1496">
        <v>0</v>
      </c>
      <c r="BE1496" s="224" t="s">
        <v>246</v>
      </c>
      <c r="BF1496" s="224" t="s">
        <v>490</v>
      </c>
      <c r="BG1496" s="224" t="s">
        <v>468</v>
      </c>
      <c r="BH1496">
        <v>0</v>
      </c>
    </row>
    <row r="1497" spans="17:60">
      <c r="Q1497" s="224" t="s">
        <v>239</v>
      </c>
      <c r="R1497" s="224" t="s">
        <v>490</v>
      </c>
      <c r="S1497" s="224" t="s">
        <v>468</v>
      </c>
      <c r="T1497" s="224">
        <f ca="1">OFFSET('Calculations 2'!$C$45,W1497,X1497)*OFFSET($N$6,W1497,0)</f>
        <v>3.3329605037774241</v>
      </c>
      <c r="V1497">
        <f t="shared" si="71"/>
        <v>402</v>
      </c>
      <c r="W1497">
        <f t="shared" si="72"/>
        <v>6</v>
      </c>
      <c r="X1497">
        <f t="shared" si="73"/>
        <v>12</v>
      </c>
      <c r="AC1497" s="224" t="s">
        <v>239</v>
      </c>
      <c r="AD1497" s="224" t="s">
        <v>490</v>
      </c>
      <c r="AE1497" s="224" t="s">
        <v>468</v>
      </c>
      <c r="AF1497">
        <f ca="1">OFFSET('Calculations 2'!$CE$45,W1497,0)*OFFSET($AA$6,X1497,0)*OFFSET($N$6,W1497,)</f>
        <v>1.2685435762117878</v>
      </c>
      <c r="AY1497" s="224" t="s">
        <v>239</v>
      </c>
      <c r="AZ1497" s="224" t="s">
        <v>490</v>
      </c>
      <c r="BA1497" s="224" t="s">
        <v>468</v>
      </c>
      <c r="BB1497">
        <v>0</v>
      </c>
      <c r="BE1497" s="224" t="s">
        <v>239</v>
      </c>
      <c r="BF1497" s="224" t="s">
        <v>490</v>
      </c>
      <c r="BG1497" s="224" t="s">
        <v>468</v>
      </c>
      <c r="BH1497">
        <v>0</v>
      </c>
    </row>
    <row r="1498" spans="17:60">
      <c r="Q1498" s="224" t="s">
        <v>466</v>
      </c>
      <c r="R1498" s="224" t="s">
        <v>490</v>
      </c>
      <c r="S1498" s="224" t="s">
        <v>468</v>
      </c>
      <c r="T1498" s="224">
        <f ca="1">OFFSET('Calculations 2'!$C$45,W1498,X1498)*OFFSET($N$6,W1498,0)</f>
        <v>37.073553341562771</v>
      </c>
      <c r="V1498">
        <f t="shared" si="71"/>
        <v>403</v>
      </c>
      <c r="W1498">
        <f t="shared" si="72"/>
        <v>7</v>
      </c>
      <c r="X1498">
        <f t="shared" si="73"/>
        <v>12</v>
      </c>
      <c r="AC1498" s="224" t="s">
        <v>466</v>
      </c>
      <c r="AD1498" s="224" t="s">
        <v>490</v>
      </c>
      <c r="AE1498" s="224" t="s">
        <v>468</v>
      </c>
      <c r="AF1498">
        <f ca="1">OFFSET('Calculations 2'!$CE$45,W1498,0)*OFFSET($AA$6,X1498,0)*OFFSET($N$6,W1498,)</f>
        <v>0.31943409059311573</v>
      </c>
      <c r="AY1498" s="224" t="s">
        <v>466</v>
      </c>
      <c r="AZ1498" s="224" t="s">
        <v>490</v>
      </c>
      <c r="BA1498" s="224" t="s">
        <v>468</v>
      </c>
      <c r="BB1498">
        <v>0</v>
      </c>
      <c r="BE1498" s="224" t="s">
        <v>466</v>
      </c>
      <c r="BF1498" s="224" t="s">
        <v>490</v>
      </c>
      <c r="BG1498" s="224" t="s">
        <v>468</v>
      </c>
      <c r="BH1498">
        <v>0</v>
      </c>
    </row>
    <row r="1499" spans="17:60">
      <c r="Q1499" s="224" t="s">
        <v>219</v>
      </c>
      <c r="R1499" s="224" t="s">
        <v>490</v>
      </c>
      <c r="S1499" s="224" t="s">
        <v>468</v>
      </c>
      <c r="T1499" s="224">
        <f ca="1">OFFSET('Calculations 2'!$C$45,W1499,X1499)*OFFSET($N$6,W1499,0)</f>
        <v>3.6657874465456888</v>
      </c>
      <c r="V1499">
        <f t="shared" si="71"/>
        <v>404</v>
      </c>
      <c r="W1499">
        <f t="shared" si="72"/>
        <v>8</v>
      </c>
      <c r="X1499">
        <f t="shared" si="73"/>
        <v>12</v>
      </c>
      <c r="AC1499" s="224" t="s">
        <v>219</v>
      </c>
      <c r="AD1499" s="224" t="s">
        <v>490</v>
      </c>
      <c r="AE1499" s="224" t="s">
        <v>468</v>
      </c>
      <c r="AF1499">
        <f ca="1">OFFSET('Calculations 2'!$CE$45,W1499,0)*OFFSET($AA$6,X1499,0)*OFFSET($N$6,W1499,)</f>
        <v>4.3789096955912044</v>
      </c>
      <c r="AY1499" s="224" t="s">
        <v>219</v>
      </c>
      <c r="AZ1499" s="224" t="s">
        <v>490</v>
      </c>
      <c r="BA1499" s="224" t="s">
        <v>468</v>
      </c>
      <c r="BB1499">
        <v>0</v>
      </c>
      <c r="BE1499" s="224" t="s">
        <v>219</v>
      </c>
      <c r="BF1499" s="224" t="s">
        <v>490</v>
      </c>
      <c r="BG1499" s="224" t="s">
        <v>468</v>
      </c>
      <c r="BH1499">
        <v>0</v>
      </c>
    </row>
    <row r="1500" spans="17:60">
      <c r="Q1500" s="224" t="s">
        <v>242</v>
      </c>
      <c r="R1500" s="224" t="s">
        <v>490</v>
      </c>
      <c r="S1500" s="224" t="s">
        <v>468</v>
      </c>
      <c r="T1500" s="224">
        <f ca="1">OFFSET('Calculations 2'!$C$45,W1500,X1500)*OFFSET($N$6,W1500,0)</f>
        <v>10.467100529638644</v>
      </c>
      <c r="V1500">
        <f t="shared" si="71"/>
        <v>405</v>
      </c>
      <c r="W1500">
        <f t="shared" si="72"/>
        <v>9</v>
      </c>
      <c r="X1500">
        <f t="shared" si="73"/>
        <v>12</v>
      </c>
      <c r="AC1500" s="224" t="s">
        <v>242</v>
      </c>
      <c r="AD1500" s="224" t="s">
        <v>490</v>
      </c>
      <c r="AE1500" s="224" t="s">
        <v>468</v>
      </c>
      <c r="AF1500">
        <f ca="1">OFFSET('Calculations 2'!$CE$45,W1500,0)*OFFSET($AA$6,X1500,0)*OFFSET($N$6,W1500,)</f>
        <v>3.3536627783780313</v>
      </c>
      <c r="AY1500" s="224" t="s">
        <v>242</v>
      </c>
      <c r="AZ1500" s="224" t="s">
        <v>490</v>
      </c>
      <c r="BA1500" s="224" t="s">
        <v>468</v>
      </c>
      <c r="BB1500">
        <v>0</v>
      </c>
      <c r="BE1500" s="224" t="s">
        <v>242</v>
      </c>
      <c r="BF1500" s="224" t="s">
        <v>490</v>
      </c>
      <c r="BG1500" s="224" t="s">
        <v>468</v>
      </c>
      <c r="BH1500">
        <v>0</v>
      </c>
    </row>
    <row r="1501" spans="17:60">
      <c r="Q1501" s="224" t="s">
        <v>467</v>
      </c>
      <c r="R1501" s="224" t="s">
        <v>490</v>
      </c>
      <c r="S1501" s="224" t="s">
        <v>468</v>
      </c>
      <c r="T1501" s="224">
        <f ca="1">OFFSET('Calculations 2'!$C$45,W1501,X1501)*OFFSET($N$6,W1501,0)</f>
        <v>0</v>
      </c>
      <c r="V1501">
        <f t="shared" si="71"/>
        <v>406</v>
      </c>
      <c r="W1501">
        <f t="shared" si="72"/>
        <v>10</v>
      </c>
      <c r="X1501">
        <f t="shared" si="73"/>
        <v>12</v>
      </c>
      <c r="AC1501" s="224" t="s">
        <v>467</v>
      </c>
      <c r="AD1501" s="224" t="s">
        <v>490</v>
      </c>
      <c r="AE1501" s="224" t="s">
        <v>468</v>
      </c>
      <c r="AF1501">
        <f ca="1">OFFSET('Calculations 2'!$CE$45,W1501,0)*OFFSET($AA$6,X1501,0)*OFFSET($N$6,W1501,)</f>
        <v>1.2659652815653171</v>
      </c>
      <c r="AY1501" s="224" t="s">
        <v>467</v>
      </c>
      <c r="AZ1501" s="224" t="s">
        <v>490</v>
      </c>
      <c r="BA1501" s="224" t="s">
        <v>468</v>
      </c>
      <c r="BB1501">
        <v>0</v>
      </c>
      <c r="BE1501" s="224" t="s">
        <v>467</v>
      </c>
      <c r="BF1501" s="224" t="s">
        <v>490</v>
      </c>
      <c r="BG1501" s="224" t="s">
        <v>468</v>
      </c>
      <c r="BH1501">
        <v>0</v>
      </c>
    </row>
    <row r="1502" spans="17:60">
      <c r="Q1502" s="224" t="s">
        <v>231</v>
      </c>
      <c r="R1502" s="224" t="s">
        <v>490</v>
      </c>
      <c r="S1502" s="224" t="s">
        <v>468</v>
      </c>
      <c r="T1502" s="224">
        <f ca="1">OFFSET('Calculations 2'!$C$45,W1502,X1502)*OFFSET($N$6,W1502,0)</f>
        <v>1409.133407182549</v>
      </c>
      <c r="V1502">
        <f t="shared" si="71"/>
        <v>407</v>
      </c>
      <c r="W1502">
        <f t="shared" si="72"/>
        <v>11</v>
      </c>
      <c r="X1502">
        <f t="shared" si="73"/>
        <v>12</v>
      </c>
      <c r="AC1502" s="224" t="s">
        <v>231</v>
      </c>
      <c r="AD1502" s="224" t="s">
        <v>490</v>
      </c>
      <c r="AE1502" s="224" t="s">
        <v>468</v>
      </c>
      <c r="AF1502">
        <f ca="1">OFFSET('Calculations 2'!$CE$45,W1502,0)*OFFSET($AA$6,X1502,0)*OFFSET($N$6,W1502,)</f>
        <v>15.846263322507228</v>
      </c>
      <c r="AY1502" s="224" t="s">
        <v>231</v>
      </c>
      <c r="AZ1502" s="224" t="s">
        <v>490</v>
      </c>
      <c r="BA1502" s="224" t="s">
        <v>468</v>
      </c>
      <c r="BB1502">
        <v>0</v>
      </c>
      <c r="BE1502" s="224" t="s">
        <v>231</v>
      </c>
      <c r="BF1502" s="224" t="s">
        <v>490</v>
      </c>
      <c r="BG1502" s="224" t="s">
        <v>468</v>
      </c>
      <c r="BH1502">
        <v>0</v>
      </c>
    </row>
    <row r="1503" spans="17:60">
      <c r="Q1503" s="224" t="s">
        <v>468</v>
      </c>
      <c r="R1503" s="224" t="s">
        <v>490</v>
      </c>
      <c r="S1503" s="224" t="s">
        <v>468</v>
      </c>
      <c r="T1503" s="224">
        <f ca="1">OFFSET('Calculations 2'!$C$45,W1503,X1503)*OFFSET($N$6,W1503,0)</f>
        <v>839.9936203708196</v>
      </c>
      <c r="V1503">
        <f t="shared" si="71"/>
        <v>408</v>
      </c>
      <c r="W1503">
        <f t="shared" si="72"/>
        <v>12</v>
      </c>
      <c r="X1503">
        <f t="shared" si="73"/>
        <v>12</v>
      </c>
      <c r="AC1503" s="224" t="s">
        <v>468</v>
      </c>
      <c r="AD1503" s="224" t="s">
        <v>490</v>
      </c>
      <c r="AE1503" s="224" t="s">
        <v>468</v>
      </c>
      <c r="AF1503">
        <f ca="1">OFFSET('Calculations 2'!$CE$45,W1503,0)*OFFSET($AA$6,X1503,0)*OFFSET($N$6,W1503,)</f>
        <v>60.70342025151281</v>
      </c>
      <c r="AY1503" s="224" t="s">
        <v>468</v>
      </c>
      <c r="AZ1503" s="224" t="s">
        <v>490</v>
      </c>
      <c r="BA1503" s="224" t="s">
        <v>468</v>
      </c>
      <c r="BB1503">
        <v>0</v>
      </c>
      <c r="BE1503" s="224" t="s">
        <v>468</v>
      </c>
      <c r="BF1503" s="224" t="s">
        <v>490</v>
      </c>
      <c r="BG1503" s="224" t="s">
        <v>468</v>
      </c>
      <c r="BH1503">
        <v>0</v>
      </c>
    </row>
    <row r="1504" spans="17:60">
      <c r="Q1504" s="224" t="s">
        <v>469</v>
      </c>
      <c r="R1504" s="224" t="s">
        <v>490</v>
      </c>
      <c r="S1504" s="224" t="s">
        <v>468</v>
      </c>
      <c r="T1504" s="224">
        <f ca="1">OFFSET('Calculations 2'!$C$45,W1504,X1504)*OFFSET($N$6,W1504,0)</f>
        <v>447.36413248951732</v>
      </c>
      <c r="V1504">
        <f t="shared" si="71"/>
        <v>409</v>
      </c>
      <c r="W1504">
        <f t="shared" si="72"/>
        <v>13</v>
      </c>
      <c r="X1504">
        <f t="shared" si="73"/>
        <v>12</v>
      </c>
      <c r="AC1504" s="224" t="s">
        <v>469</v>
      </c>
      <c r="AD1504" s="224" t="s">
        <v>490</v>
      </c>
      <c r="AE1504" s="224" t="s">
        <v>468</v>
      </c>
      <c r="AF1504">
        <f ca="1">OFFSET('Calculations 2'!$CE$45,W1504,0)*OFFSET($AA$6,X1504,0)*OFFSET($N$6,W1504,)</f>
        <v>32.547322179395529</v>
      </c>
      <c r="AY1504" s="224" t="s">
        <v>469</v>
      </c>
      <c r="AZ1504" s="224" t="s">
        <v>490</v>
      </c>
      <c r="BA1504" s="224" t="s">
        <v>468</v>
      </c>
      <c r="BB1504">
        <v>0</v>
      </c>
      <c r="BE1504" s="224" t="s">
        <v>469</v>
      </c>
      <c r="BF1504" s="224" t="s">
        <v>490</v>
      </c>
      <c r="BG1504" s="224" t="s">
        <v>468</v>
      </c>
      <c r="BH1504">
        <v>0</v>
      </c>
    </row>
    <row r="1505" spans="17:60">
      <c r="Q1505" s="224" t="s">
        <v>245</v>
      </c>
      <c r="R1505" s="224" t="s">
        <v>490</v>
      </c>
      <c r="S1505" s="224" t="s">
        <v>468</v>
      </c>
      <c r="T1505" s="224">
        <f ca="1">OFFSET('Calculations 2'!$C$45,W1505,X1505)*OFFSET($N$6,W1505,0)</f>
        <v>61.451854548697995</v>
      </c>
      <c r="V1505">
        <f t="shared" si="71"/>
        <v>410</v>
      </c>
      <c r="W1505">
        <f t="shared" si="72"/>
        <v>14</v>
      </c>
      <c r="X1505">
        <f t="shared" si="73"/>
        <v>12</v>
      </c>
      <c r="AC1505" s="224" t="s">
        <v>245</v>
      </c>
      <c r="AD1505" s="224" t="s">
        <v>490</v>
      </c>
      <c r="AE1505" s="224" t="s">
        <v>468</v>
      </c>
      <c r="AF1505">
        <f ca="1">OFFSET('Calculations 2'!$CE$45,W1505,0)*OFFSET($AA$6,X1505,0)*OFFSET($N$6,W1505,)</f>
        <v>51.941865379867082</v>
      </c>
      <c r="AY1505" s="224" t="s">
        <v>245</v>
      </c>
      <c r="AZ1505" s="224" t="s">
        <v>490</v>
      </c>
      <c r="BA1505" s="224" t="s">
        <v>468</v>
      </c>
      <c r="BB1505">
        <v>0</v>
      </c>
      <c r="BE1505" s="224" t="s">
        <v>245</v>
      </c>
      <c r="BF1505" s="224" t="s">
        <v>490</v>
      </c>
      <c r="BG1505" s="224" t="s">
        <v>468</v>
      </c>
      <c r="BH1505">
        <v>0</v>
      </c>
    </row>
    <row r="1506" spans="17:60">
      <c r="Q1506" s="224" t="s">
        <v>470</v>
      </c>
      <c r="R1506" s="224" t="s">
        <v>490</v>
      </c>
      <c r="S1506" s="224" t="s">
        <v>468</v>
      </c>
      <c r="T1506" s="224">
        <f ca="1">OFFSET('Calculations 2'!$C$45,W1506,X1506)*OFFSET($N$6,W1506,0)</f>
        <v>9.8254305194231772</v>
      </c>
      <c r="V1506">
        <f t="shared" si="71"/>
        <v>411</v>
      </c>
      <c r="W1506">
        <f t="shared" si="72"/>
        <v>15</v>
      </c>
      <c r="X1506">
        <f t="shared" si="73"/>
        <v>12</v>
      </c>
      <c r="AC1506" s="224" t="s">
        <v>470</v>
      </c>
      <c r="AD1506" s="224" t="s">
        <v>490</v>
      </c>
      <c r="AE1506" s="224" t="s">
        <v>468</v>
      </c>
      <c r="AF1506">
        <f ca="1">OFFSET('Calculations 2'!$CE$45,W1506,0)*OFFSET($AA$6,X1506,0)*OFFSET($N$6,W1506,)</f>
        <v>19.70854447333895</v>
      </c>
      <c r="AY1506" s="224" t="s">
        <v>470</v>
      </c>
      <c r="AZ1506" s="224" t="s">
        <v>490</v>
      </c>
      <c r="BA1506" s="224" t="s">
        <v>468</v>
      </c>
      <c r="BB1506">
        <v>0</v>
      </c>
      <c r="BE1506" s="224" t="s">
        <v>470</v>
      </c>
      <c r="BF1506" s="224" t="s">
        <v>490</v>
      </c>
      <c r="BG1506" s="224" t="s">
        <v>468</v>
      </c>
      <c r="BH1506">
        <v>0</v>
      </c>
    </row>
    <row r="1507" spans="17:60">
      <c r="Q1507" s="224" t="s">
        <v>471</v>
      </c>
      <c r="R1507" s="224" t="s">
        <v>490</v>
      </c>
      <c r="S1507" s="224" t="s">
        <v>468</v>
      </c>
      <c r="T1507" s="224">
        <f ca="1">OFFSET('Calculations 2'!$C$45,W1507,X1507)*OFFSET($N$6,W1507,0)</f>
        <v>0.38211894620021658</v>
      </c>
      <c r="V1507">
        <f t="shared" si="71"/>
        <v>412</v>
      </c>
      <c r="W1507">
        <f t="shared" si="72"/>
        <v>16</v>
      </c>
      <c r="X1507">
        <f t="shared" si="73"/>
        <v>12</v>
      </c>
      <c r="AC1507" s="224" t="s">
        <v>471</v>
      </c>
      <c r="AD1507" s="224" t="s">
        <v>490</v>
      </c>
      <c r="AE1507" s="224" t="s">
        <v>468</v>
      </c>
      <c r="AF1507">
        <f ca="1">OFFSET('Calculations 2'!$CE$45,W1507,0)*OFFSET($AA$6,X1507,0)*OFFSET($N$6,W1507,)</f>
        <v>0</v>
      </c>
      <c r="AY1507" s="224" t="s">
        <v>471</v>
      </c>
      <c r="AZ1507" s="224" t="s">
        <v>490</v>
      </c>
      <c r="BA1507" s="224" t="s">
        <v>468</v>
      </c>
      <c r="BB1507">
        <v>0</v>
      </c>
      <c r="BE1507" s="224" t="s">
        <v>471</v>
      </c>
      <c r="BF1507" s="224" t="s">
        <v>490</v>
      </c>
      <c r="BG1507" s="224" t="s">
        <v>468</v>
      </c>
      <c r="BH1507">
        <v>0</v>
      </c>
    </row>
    <row r="1508" spans="17:60">
      <c r="Q1508" s="224" t="s">
        <v>221</v>
      </c>
      <c r="R1508" s="224" t="s">
        <v>490</v>
      </c>
      <c r="S1508" s="224" t="s">
        <v>468</v>
      </c>
      <c r="T1508" s="224">
        <f ca="1">OFFSET('Calculations 2'!$C$45,W1508,X1508)*OFFSET($N$6,W1508,0)</f>
        <v>0</v>
      </c>
      <c r="V1508">
        <f t="shared" si="71"/>
        <v>413</v>
      </c>
      <c r="W1508">
        <f t="shared" si="72"/>
        <v>17</v>
      </c>
      <c r="X1508">
        <f t="shared" si="73"/>
        <v>12</v>
      </c>
      <c r="AC1508" s="224" t="s">
        <v>221</v>
      </c>
      <c r="AD1508" s="224" t="s">
        <v>490</v>
      </c>
      <c r="AE1508" s="224" t="s">
        <v>468</v>
      </c>
      <c r="AF1508">
        <f ca="1">OFFSET('Calculations 2'!$CE$45,W1508,0)*OFFSET($AA$6,X1508,0)*OFFSET($N$6,W1508,)</f>
        <v>3.8580610588293531</v>
      </c>
      <c r="AY1508" s="224" t="s">
        <v>221</v>
      </c>
      <c r="AZ1508" s="224" t="s">
        <v>490</v>
      </c>
      <c r="BA1508" s="224" t="s">
        <v>468</v>
      </c>
      <c r="BB1508">
        <v>0</v>
      </c>
      <c r="BE1508" s="224" t="s">
        <v>221</v>
      </c>
      <c r="BF1508" s="224" t="s">
        <v>490</v>
      </c>
      <c r="BG1508" s="224" t="s">
        <v>468</v>
      </c>
      <c r="BH1508">
        <v>0</v>
      </c>
    </row>
    <row r="1509" spans="17:60">
      <c r="Q1509" s="224" t="s">
        <v>244</v>
      </c>
      <c r="R1509" s="224" t="s">
        <v>490</v>
      </c>
      <c r="S1509" s="224" t="s">
        <v>468</v>
      </c>
      <c r="T1509" s="224">
        <f ca="1">OFFSET('Calculations 2'!$C$45,W1509,X1509)*OFFSET($N$6,W1509,0)</f>
        <v>6.3798915993228889</v>
      </c>
      <c r="V1509">
        <f t="shared" si="71"/>
        <v>414</v>
      </c>
      <c r="W1509">
        <f t="shared" si="72"/>
        <v>18</v>
      </c>
      <c r="X1509">
        <f t="shared" si="73"/>
        <v>12</v>
      </c>
      <c r="AC1509" s="224" t="s">
        <v>244</v>
      </c>
      <c r="AD1509" s="224" t="s">
        <v>490</v>
      </c>
      <c r="AE1509" s="224" t="s">
        <v>468</v>
      </c>
      <c r="AF1509">
        <f ca="1">OFFSET('Calculations 2'!$CE$45,W1509,0)*OFFSET($AA$6,X1509,0)*OFFSET($N$6,W1509,)</f>
        <v>0.33755415767035862</v>
      </c>
      <c r="AY1509" s="224" t="s">
        <v>244</v>
      </c>
      <c r="AZ1509" s="224" t="s">
        <v>490</v>
      </c>
      <c r="BA1509" s="224" t="s">
        <v>468</v>
      </c>
      <c r="BB1509">
        <v>0</v>
      </c>
      <c r="BE1509" s="224" t="s">
        <v>244</v>
      </c>
      <c r="BF1509" s="224" t="s">
        <v>490</v>
      </c>
      <c r="BG1509" s="224" t="s">
        <v>468</v>
      </c>
      <c r="BH1509">
        <v>0</v>
      </c>
    </row>
    <row r="1510" spans="17:60">
      <c r="Q1510" s="224" t="s">
        <v>472</v>
      </c>
      <c r="R1510" s="224" t="s">
        <v>490</v>
      </c>
      <c r="S1510" s="224" t="s">
        <v>468</v>
      </c>
      <c r="T1510" s="224">
        <f ca="1">OFFSET('Calculations 2'!$C$45,W1510,X1510)*OFFSET($N$6,W1510,0)</f>
        <v>0</v>
      </c>
      <c r="V1510">
        <f t="shared" si="71"/>
        <v>415</v>
      </c>
      <c r="W1510">
        <f t="shared" si="72"/>
        <v>19</v>
      </c>
      <c r="X1510">
        <f t="shared" si="73"/>
        <v>12</v>
      </c>
      <c r="AC1510" s="224" t="s">
        <v>472</v>
      </c>
      <c r="AD1510" s="224" t="s">
        <v>490</v>
      </c>
      <c r="AE1510" s="224" t="s">
        <v>468</v>
      </c>
      <c r="AF1510">
        <f ca="1">OFFSET('Calculations 2'!$CE$45,W1510,0)*OFFSET($AA$6,X1510,0)*OFFSET($N$6,W1510,)</f>
        <v>0</v>
      </c>
      <c r="AY1510" s="224" t="s">
        <v>472</v>
      </c>
      <c r="AZ1510" s="224" t="s">
        <v>490</v>
      </c>
      <c r="BA1510" s="224" t="s">
        <v>468</v>
      </c>
      <c r="BB1510">
        <v>0</v>
      </c>
      <c r="BE1510" s="224" t="s">
        <v>472</v>
      </c>
      <c r="BF1510" s="224" t="s">
        <v>490</v>
      </c>
      <c r="BG1510" s="224" t="s">
        <v>468</v>
      </c>
      <c r="BH1510">
        <v>0</v>
      </c>
    </row>
    <row r="1511" spans="17:60">
      <c r="Q1511" s="224" t="s">
        <v>238</v>
      </c>
      <c r="R1511" s="224" t="s">
        <v>490</v>
      </c>
      <c r="S1511" s="224" t="s">
        <v>468</v>
      </c>
      <c r="T1511" s="224">
        <f ca="1">OFFSET('Calculations 2'!$C$45,W1511,X1511)*OFFSET($N$6,W1511,0)</f>
        <v>0.49806286737489736</v>
      </c>
      <c r="V1511">
        <f t="shared" si="71"/>
        <v>416</v>
      </c>
      <c r="W1511">
        <f t="shared" si="72"/>
        <v>20</v>
      </c>
      <c r="X1511">
        <f t="shared" si="73"/>
        <v>12</v>
      </c>
      <c r="AC1511" s="224" t="s">
        <v>238</v>
      </c>
      <c r="AD1511" s="224" t="s">
        <v>490</v>
      </c>
      <c r="AE1511" s="224" t="s">
        <v>468</v>
      </c>
      <c r="AF1511">
        <f ca="1">OFFSET('Calculations 2'!$CE$45,W1511,0)*OFFSET($AA$6,X1511,0)*OFFSET($N$6,W1511,)</f>
        <v>0</v>
      </c>
      <c r="AY1511" s="224" t="s">
        <v>238</v>
      </c>
      <c r="AZ1511" s="224" t="s">
        <v>490</v>
      </c>
      <c r="BA1511" s="224" t="s">
        <v>468</v>
      </c>
      <c r="BB1511">
        <v>0</v>
      </c>
      <c r="BE1511" s="224" t="s">
        <v>238</v>
      </c>
      <c r="BF1511" s="224" t="s">
        <v>490</v>
      </c>
      <c r="BG1511" s="224" t="s">
        <v>468</v>
      </c>
      <c r="BH1511">
        <v>0</v>
      </c>
    </row>
    <row r="1512" spans="17:60">
      <c r="Q1512" s="224" t="s">
        <v>247</v>
      </c>
      <c r="R1512" s="224" t="s">
        <v>490</v>
      </c>
      <c r="S1512" s="224" t="s">
        <v>468</v>
      </c>
      <c r="T1512" s="224">
        <f ca="1">OFFSET('Calculations 2'!$C$45,W1512,X1512)*OFFSET($N$6,W1512,0)</f>
        <v>0</v>
      </c>
      <c r="V1512">
        <f t="shared" si="71"/>
        <v>417</v>
      </c>
      <c r="W1512">
        <f t="shared" si="72"/>
        <v>21</v>
      </c>
      <c r="X1512">
        <f t="shared" si="73"/>
        <v>12</v>
      </c>
      <c r="AC1512" s="224" t="s">
        <v>247</v>
      </c>
      <c r="AD1512" s="224" t="s">
        <v>490</v>
      </c>
      <c r="AE1512" s="224" t="s">
        <v>468</v>
      </c>
      <c r="AF1512">
        <f ca="1">OFFSET('Calculations 2'!$CE$45,W1512,0)*OFFSET($AA$6,X1512,0)*OFFSET($N$6,W1512,)</f>
        <v>0</v>
      </c>
      <c r="AY1512" s="224" t="s">
        <v>247</v>
      </c>
      <c r="AZ1512" s="224" t="s">
        <v>490</v>
      </c>
      <c r="BA1512" s="224" t="s">
        <v>468</v>
      </c>
      <c r="BB1512">
        <v>0</v>
      </c>
      <c r="BE1512" s="224" t="s">
        <v>247</v>
      </c>
      <c r="BF1512" s="224" t="s">
        <v>490</v>
      </c>
      <c r="BG1512" s="224" t="s">
        <v>468</v>
      </c>
      <c r="BH1512">
        <v>0</v>
      </c>
    </row>
    <row r="1513" spans="17:60">
      <c r="Q1513" s="224" t="s">
        <v>218</v>
      </c>
      <c r="R1513" s="224" t="s">
        <v>490</v>
      </c>
      <c r="S1513" s="224" t="s">
        <v>468</v>
      </c>
      <c r="T1513" s="224">
        <f ca="1">OFFSET('Calculations 2'!$C$45,W1513,X1513)*OFFSET($N$6,W1513,0)</f>
        <v>2.967624892157954</v>
      </c>
      <c r="V1513">
        <f t="shared" si="71"/>
        <v>418</v>
      </c>
      <c r="W1513">
        <f t="shared" si="72"/>
        <v>22</v>
      </c>
      <c r="X1513">
        <f t="shared" si="73"/>
        <v>12</v>
      </c>
      <c r="AC1513" s="224" t="s">
        <v>218</v>
      </c>
      <c r="AD1513" s="224" t="s">
        <v>490</v>
      </c>
      <c r="AE1513" s="224" t="s">
        <v>468</v>
      </c>
      <c r="AF1513">
        <f ca="1">OFFSET('Calculations 2'!$CE$45,W1513,0)*OFFSET($AA$6,X1513,0)*OFFSET($N$6,W1513,)</f>
        <v>0</v>
      </c>
      <c r="AY1513" s="224" t="s">
        <v>218</v>
      </c>
      <c r="AZ1513" s="224" t="s">
        <v>490</v>
      </c>
      <c r="BA1513" s="224" t="s">
        <v>468</v>
      </c>
      <c r="BB1513">
        <v>0</v>
      </c>
      <c r="BE1513" s="224" t="s">
        <v>218</v>
      </c>
      <c r="BF1513" s="224" t="s">
        <v>490</v>
      </c>
      <c r="BG1513" s="224" t="s">
        <v>468</v>
      </c>
      <c r="BH1513">
        <v>0</v>
      </c>
    </row>
    <row r="1514" spans="17:60">
      <c r="Q1514" s="224" t="s">
        <v>257</v>
      </c>
      <c r="R1514" s="224" t="s">
        <v>490</v>
      </c>
      <c r="S1514" s="224" t="s">
        <v>468</v>
      </c>
      <c r="T1514" s="224">
        <f ca="1">OFFSET('Calculations 2'!$C$45,W1514,X1514)*OFFSET($N$6,W1514,0)</f>
        <v>0.59762201787483105</v>
      </c>
      <c r="V1514">
        <f t="shared" si="71"/>
        <v>419</v>
      </c>
      <c r="W1514">
        <f t="shared" si="72"/>
        <v>23</v>
      </c>
      <c r="X1514">
        <f t="shared" si="73"/>
        <v>12</v>
      </c>
      <c r="AC1514" s="224" t="s">
        <v>257</v>
      </c>
      <c r="AD1514" s="224" t="s">
        <v>490</v>
      </c>
      <c r="AE1514" s="224" t="s">
        <v>468</v>
      </c>
      <c r="AF1514">
        <f ca="1">OFFSET('Calculations 2'!$CE$45,W1514,0)*OFFSET($AA$6,X1514,0)*OFFSET($N$6,W1514,)</f>
        <v>0</v>
      </c>
      <c r="AY1514" s="224" t="s">
        <v>257</v>
      </c>
      <c r="AZ1514" s="224" t="s">
        <v>490</v>
      </c>
      <c r="BA1514" s="224" t="s">
        <v>468</v>
      </c>
      <c r="BB1514">
        <v>0</v>
      </c>
      <c r="BE1514" s="224" t="s">
        <v>257</v>
      </c>
      <c r="BF1514" s="224" t="s">
        <v>490</v>
      </c>
      <c r="BG1514" s="224" t="s">
        <v>468</v>
      </c>
      <c r="BH1514">
        <v>0</v>
      </c>
    </row>
    <row r="1515" spans="17:60">
      <c r="Q1515" s="224" t="s">
        <v>220</v>
      </c>
      <c r="R1515" s="224" t="s">
        <v>490</v>
      </c>
      <c r="S1515" s="224" t="s">
        <v>468</v>
      </c>
      <c r="T1515" s="224">
        <f ca="1">OFFSET('Calculations 2'!$C$45,W1515,X1515)*OFFSET($N$6,W1515,0)</f>
        <v>0.36646304816200787</v>
      </c>
      <c r="V1515">
        <f t="shared" si="71"/>
        <v>420</v>
      </c>
      <c r="W1515">
        <f t="shared" si="72"/>
        <v>24</v>
      </c>
      <c r="X1515">
        <f t="shared" si="73"/>
        <v>12</v>
      </c>
      <c r="AC1515" s="224" t="s">
        <v>220</v>
      </c>
      <c r="AD1515" s="224" t="s">
        <v>490</v>
      </c>
      <c r="AE1515" s="224" t="s">
        <v>468</v>
      </c>
      <c r="AF1515">
        <f ca="1">OFFSET('Calculations 2'!$CE$45,W1515,0)*OFFSET($AA$6,X1515,0)*OFFSET($N$6,W1515,)</f>
        <v>0</v>
      </c>
      <c r="AY1515" s="224" t="s">
        <v>220</v>
      </c>
      <c r="AZ1515" s="224" t="s">
        <v>490</v>
      </c>
      <c r="BA1515" s="224" t="s">
        <v>468</v>
      </c>
      <c r="BB1515">
        <v>0</v>
      </c>
      <c r="BE1515" s="224" t="s">
        <v>220</v>
      </c>
      <c r="BF1515" s="224" t="s">
        <v>490</v>
      </c>
      <c r="BG1515" s="224" t="s">
        <v>468</v>
      </c>
      <c r="BH1515">
        <v>0</v>
      </c>
    </row>
    <row r="1516" spans="17:60">
      <c r="Q1516" s="224" t="s">
        <v>235</v>
      </c>
      <c r="R1516" s="224" t="s">
        <v>490</v>
      </c>
      <c r="S1516" s="224" t="s">
        <v>468</v>
      </c>
      <c r="T1516" s="224">
        <f ca="1">OFFSET('Calculations 2'!$C$45,W1516,X1516)*OFFSET($N$6,W1516,0)</f>
        <v>0.78547601852059556</v>
      </c>
      <c r="V1516">
        <f t="shared" si="71"/>
        <v>421</v>
      </c>
      <c r="W1516">
        <f t="shared" si="72"/>
        <v>25</v>
      </c>
      <c r="X1516">
        <f t="shared" si="73"/>
        <v>12</v>
      </c>
      <c r="AC1516" s="224" t="s">
        <v>235</v>
      </c>
      <c r="AD1516" s="224" t="s">
        <v>490</v>
      </c>
      <c r="AE1516" s="224" t="s">
        <v>468</v>
      </c>
      <c r="AF1516">
        <f ca="1">OFFSET('Calculations 2'!$CE$45,W1516,0)*OFFSET($AA$6,X1516,0)*OFFSET($N$6,W1516,)</f>
        <v>0</v>
      </c>
      <c r="AY1516" s="224" t="s">
        <v>235</v>
      </c>
      <c r="AZ1516" s="224" t="s">
        <v>490</v>
      </c>
      <c r="BA1516" s="224" t="s">
        <v>468</v>
      </c>
      <c r="BB1516">
        <v>0</v>
      </c>
      <c r="BE1516" s="224" t="s">
        <v>235</v>
      </c>
      <c r="BF1516" s="224" t="s">
        <v>490</v>
      </c>
      <c r="BG1516" s="224" t="s">
        <v>468</v>
      </c>
      <c r="BH1516">
        <v>0</v>
      </c>
    </row>
    <row r="1517" spans="17:60">
      <c r="Q1517" s="224" t="s">
        <v>473</v>
      </c>
      <c r="R1517" s="224" t="s">
        <v>490</v>
      </c>
      <c r="S1517" s="224" t="s">
        <v>468</v>
      </c>
      <c r="T1517" s="224">
        <f ca="1">OFFSET('Calculations 2'!$C$45,W1517,X1517)*OFFSET($N$6,W1517,0)</f>
        <v>0.73892874521567709</v>
      </c>
      <c r="V1517">
        <f t="shared" si="71"/>
        <v>422</v>
      </c>
      <c r="W1517">
        <f t="shared" si="72"/>
        <v>26</v>
      </c>
      <c r="X1517">
        <f t="shared" si="73"/>
        <v>12</v>
      </c>
      <c r="AC1517" s="224" t="s">
        <v>473</v>
      </c>
      <c r="AD1517" s="224" t="s">
        <v>490</v>
      </c>
      <c r="AE1517" s="224" t="s">
        <v>468</v>
      </c>
      <c r="AF1517">
        <f ca="1">OFFSET('Calculations 2'!$CE$45,W1517,0)*OFFSET($AA$6,X1517,0)*OFFSET($N$6,W1517,)</f>
        <v>0</v>
      </c>
      <c r="AY1517" s="224" t="s">
        <v>473</v>
      </c>
      <c r="AZ1517" s="224" t="s">
        <v>490</v>
      </c>
      <c r="BA1517" s="224" t="s">
        <v>468</v>
      </c>
      <c r="BB1517">
        <v>0</v>
      </c>
      <c r="BE1517" s="224" t="s">
        <v>473</v>
      </c>
      <c r="BF1517" s="224" t="s">
        <v>490</v>
      </c>
      <c r="BG1517" s="224" t="s">
        <v>468</v>
      </c>
      <c r="BH1517">
        <v>0</v>
      </c>
    </row>
    <row r="1518" spans="17:60">
      <c r="Q1518" s="224" t="s">
        <v>233</v>
      </c>
      <c r="R1518" s="224" t="s">
        <v>490</v>
      </c>
      <c r="S1518" s="224" t="s">
        <v>468</v>
      </c>
      <c r="T1518" s="224">
        <f ca="1">OFFSET('Calculations 2'!$C$45,W1518,X1518)*OFFSET($N$6,W1518,0)</f>
        <v>1.2634956820384811</v>
      </c>
      <c r="V1518">
        <f t="shared" si="71"/>
        <v>423</v>
      </c>
      <c r="W1518">
        <f t="shared" si="72"/>
        <v>27</v>
      </c>
      <c r="X1518">
        <f t="shared" si="73"/>
        <v>12</v>
      </c>
      <c r="AC1518" s="224" t="s">
        <v>233</v>
      </c>
      <c r="AD1518" s="224" t="s">
        <v>490</v>
      </c>
      <c r="AE1518" s="224" t="s">
        <v>468</v>
      </c>
      <c r="AF1518">
        <f ca="1">OFFSET('Calculations 2'!$CE$45,W1518,0)*OFFSET($AA$6,X1518,0)*OFFSET($N$6,W1518,)</f>
        <v>0</v>
      </c>
      <c r="AY1518" s="224" t="s">
        <v>233</v>
      </c>
      <c r="AZ1518" s="224" t="s">
        <v>490</v>
      </c>
      <c r="BA1518" s="224" t="s">
        <v>468</v>
      </c>
      <c r="BB1518">
        <v>0</v>
      </c>
      <c r="BE1518" s="224" t="s">
        <v>233</v>
      </c>
      <c r="BF1518" s="224" t="s">
        <v>490</v>
      </c>
      <c r="BG1518" s="224" t="s">
        <v>468</v>
      </c>
      <c r="BH1518">
        <v>0</v>
      </c>
    </row>
    <row r="1519" spans="17:60">
      <c r="Q1519" s="224" t="s">
        <v>474</v>
      </c>
      <c r="R1519" s="224" t="s">
        <v>490</v>
      </c>
      <c r="S1519" s="224" t="s">
        <v>468</v>
      </c>
      <c r="T1519" s="224">
        <f ca="1">OFFSET('Calculations 2'!$C$45,W1519,X1519)*OFFSET($N$6,W1519,0)</f>
        <v>0.5211663390773198</v>
      </c>
      <c r="V1519">
        <f t="shared" si="71"/>
        <v>424</v>
      </c>
      <c r="W1519">
        <f t="shared" si="72"/>
        <v>28</v>
      </c>
      <c r="X1519">
        <f t="shared" si="73"/>
        <v>12</v>
      </c>
      <c r="AC1519" s="224" t="s">
        <v>474</v>
      </c>
      <c r="AD1519" s="224" t="s">
        <v>490</v>
      </c>
      <c r="AE1519" s="224" t="s">
        <v>468</v>
      </c>
      <c r="AF1519">
        <f ca="1">OFFSET('Calculations 2'!$CE$45,W1519,0)*OFFSET($AA$6,X1519,0)*OFFSET($N$6,W1519,)</f>
        <v>0</v>
      </c>
      <c r="AY1519" s="224" t="s">
        <v>474</v>
      </c>
      <c r="AZ1519" s="224" t="s">
        <v>490</v>
      </c>
      <c r="BA1519" s="224" t="s">
        <v>468</v>
      </c>
      <c r="BB1519">
        <v>0</v>
      </c>
      <c r="BE1519" s="224" t="s">
        <v>474</v>
      </c>
      <c r="BF1519" s="224" t="s">
        <v>490</v>
      </c>
      <c r="BG1519" s="224" t="s">
        <v>468</v>
      </c>
      <c r="BH1519">
        <v>0</v>
      </c>
    </row>
    <row r="1520" spans="17:60">
      <c r="Q1520" s="224" t="s">
        <v>223</v>
      </c>
      <c r="R1520" s="224" t="s">
        <v>490</v>
      </c>
      <c r="S1520" s="224" t="s">
        <v>468</v>
      </c>
      <c r="T1520" s="224">
        <f ca="1">OFFSET('Calculations 2'!$C$45,W1520,X1520)*OFFSET($N$6,W1520,0)</f>
        <v>11.008091261486088</v>
      </c>
      <c r="V1520">
        <f t="shared" si="71"/>
        <v>425</v>
      </c>
      <c r="W1520">
        <f t="shared" si="72"/>
        <v>29</v>
      </c>
      <c r="X1520">
        <f t="shared" si="73"/>
        <v>12</v>
      </c>
      <c r="AC1520" s="224" t="s">
        <v>223</v>
      </c>
      <c r="AD1520" s="224" t="s">
        <v>490</v>
      </c>
      <c r="AE1520" s="224" t="s">
        <v>468</v>
      </c>
      <c r="AF1520">
        <f ca="1">OFFSET('Calculations 2'!$CE$45,W1520,0)*OFFSET($AA$6,X1520,0)*OFFSET($N$6,W1520,)</f>
        <v>0</v>
      </c>
      <c r="AY1520" s="224" t="s">
        <v>223</v>
      </c>
      <c r="AZ1520" s="224" t="s">
        <v>490</v>
      </c>
      <c r="BA1520" s="224" t="s">
        <v>468</v>
      </c>
      <c r="BB1520">
        <v>0</v>
      </c>
      <c r="BE1520" s="224" t="s">
        <v>223</v>
      </c>
      <c r="BF1520" s="224" t="s">
        <v>490</v>
      </c>
      <c r="BG1520" s="224" t="s">
        <v>468</v>
      </c>
      <c r="BH1520">
        <v>0</v>
      </c>
    </row>
    <row r="1521" spans="17:60">
      <c r="Q1521" s="224" t="s">
        <v>475</v>
      </c>
      <c r="R1521" s="224" t="s">
        <v>490</v>
      </c>
      <c r="S1521" s="224" t="s">
        <v>468</v>
      </c>
      <c r="T1521" s="224">
        <f ca="1">OFFSET('Calculations 2'!$C$45,W1521,X1521)*OFFSET($N$6,W1521,0)</f>
        <v>2.6219567640470058E-2</v>
      </c>
      <c r="V1521">
        <f t="shared" si="71"/>
        <v>426</v>
      </c>
      <c r="W1521">
        <f t="shared" si="72"/>
        <v>30</v>
      </c>
      <c r="X1521">
        <f t="shared" si="73"/>
        <v>12</v>
      </c>
      <c r="AC1521" s="224" t="s">
        <v>475</v>
      </c>
      <c r="AD1521" s="224" t="s">
        <v>490</v>
      </c>
      <c r="AE1521" s="224" t="s">
        <v>468</v>
      </c>
      <c r="AF1521">
        <f ca="1">OFFSET('Calculations 2'!$CE$45,W1521,0)*OFFSET($AA$6,X1521,0)*OFFSET($N$6,W1521,)</f>
        <v>0</v>
      </c>
      <c r="AY1521" s="224" t="s">
        <v>475</v>
      </c>
      <c r="AZ1521" s="224" t="s">
        <v>490</v>
      </c>
      <c r="BA1521" s="224" t="s">
        <v>468</v>
      </c>
      <c r="BB1521">
        <v>0</v>
      </c>
      <c r="BE1521" s="224" t="s">
        <v>475</v>
      </c>
      <c r="BF1521" s="224" t="s">
        <v>490</v>
      </c>
      <c r="BG1521" s="224" t="s">
        <v>468</v>
      </c>
      <c r="BH1521">
        <v>0</v>
      </c>
    </row>
    <row r="1522" spans="17:60">
      <c r="Q1522" s="224" t="s">
        <v>476</v>
      </c>
      <c r="R1522" s="224" t="s">
        <v>490</v>
      </c>
      <c r="S1522" s="224" t="s">
        <v>468</v>
      </c>
      <c r="T1522" s="224">
        <f ca="1">OFFSET('Calculations 2'!$C$45,W1522,X1522)*OFFSET($N$6,W1522,0)</f>
        <v>0.11687569103477126</v>
      </c>
      <c r="V1522">
        <f t="shared" si="71"/>
        <v>427</v>
      </c>
      <c r="W1522">
        <f t="shared" si="72"/>
        <v>31</v>
      </c>
      <c r="X1522">
        <f t="shared" si="73"/>
        <v>12</v>
      </c>
      <c r="AC1522" s="224" t="s">
        <v>476</v>
      </c>
      <c r="AD1522" s="224" t="s">
        <v>490</v>
      </c>
      <c r="AE1522" s="224" t="s">
        <v>468</v>
      </c>
      <c r="AF1522">
        <f ca="1">OFFSET('Calculations 2'!$CE$45,W1522,0)*OFFSET($AA$6,X1522,0)*OFFSET($N$6,W1522,)</f>
        <v>0</v>
      </c>
      <c r="AY1522" s="224" t="s">
        <v>476</v>
      </c>
      <c r="AZ1522" s="224" t="s">
        <v>490</v>
      </c>
      <c r="BA1522" s="224" t="s">
        <v>468</v>
      </c>
      <c r="BB1522">
        <v>0</v>
      </c>
      <c r="BE1522" s="224" t="s">
        <v>476</v>
      </c>
      <c r="BF1522" s="224" t="s">
        <v>490</v>
      </c>
      <c r="BG1522" s="224" t="s">
        <v>468</v>
      </c>
      <c r="BH1522">
        <v>0</v>
      </c>
    </row>
    <row r="1523" spans="17:60">
      <c r="Q1523" s="224" t="s">
        <v>222</v>
      </c>
      <c r="R1523" s="224" t="s">
        <v>490</v>
      </c>
      <c r="S1523" s="224" t="s">
        <v>468</v>
      </c>
      <c r="T1523" s="224">
        <f ca="1">OFFSET('Calculations 2'!$C$45,W1523,X1523)*OFFSET($N$6,W1523,0)</f>
        <v>0</v>
      </c>
      <c r="V1523">
        <f t="shared" si="71"/>
        <v>428</v>
      </c>
      <c r="W1523">
        <f t="shared" si="72"/>
        <v>32</v>
      </c>
      <c r="X1523">
        <f t="shared" si="73"/>
        <v>12</v>
      </c>
      <c r="AC1523" s="224" t="s">
        <v>222</v>
      </c>
      <c r="AD1523" s="224" t="s">
        <v>490</v>
      </c>
      <c r="AE1523" s="224" t="s">
        <v>468</v>
      </c>
      <c r="AF1523">
        <f ca="1">OFFSET('Calculations 2'!$CE$45,W1523,0)*OFFSET($AA$6,X1523,0)*OFFSET($N$6,W1523,)</f>
        <v>0</v>
      </c>
      <c r="AY1523" s="224" t="s">
        <v>222</v>
      </c>
      <c r="AZ1523" s="224" t="s">
        <v>490</v>
      </c>
      <c r="BA1523" s="224" t="s">
        <v>468</v>
      </c>
      <c r="BB1523">
        <v>0</v>
      </c>
      <c r="BE1523" s="224" t="s">
        <v>222</v>
      </c>
      <c r="BF1523" s="224" t="s">
        <v>490</v>
      </c>
      <c r="BG1523" s="224" t="s">
        <v>468</v>
      </c>
      <c r="BH1523">
        <v>0</v>
      </c>
    </row>
    <row r="1524" spans="17:60">
      <c r="Q1524" s="224" t="s">
        <v>217</v>
      </c>
      <c r="R1524" s="224" t="s">
        <v>490</v>
      </c>
      <c r="S1524" s="224" t="s">
        <v>469</v>
      </c>
      <c r="T1524" s="224">
        <f ca="1">OFFSET('Calculations 2'!$C$45,W1524,X1524)*OFFSET($N$6,W1524,0)</f>
        <v>0</v>
      </c>
      <c r="V1524">
        <f t="shared" si="71"/>
        <v>429</v>
      </c>
      <c r="W1524">
        <f t="shared" si="72"/>
        <v>0</v>
      </c>
      <c r="X1524">
        <f t="shared" si="73"/>
        <v>13</v>
      </c>
      <c r="AC1524" s="224" t="s">
        <v>217</v>
      </c>
      <c r="AD1524" s="224" t="s">
        <v>490</v>
      </c>
      <c r="AE1524" s="224" t="s">
        <v>469</v>
      </c>
      <c r="AF1524">
        <f ca="1">OFFSET('Calculations 2'!$CE$45,W1524,0)*OFFSET($AA$6,X1524,0)*OFFSET($N$6,W1524,)</f>
        <v>0.85052310193105585</v>
      </c>
      <c r="AY1524" s="224" t="s">
        <v>217</v>
      </c>
      <c r="AZ1524" s="224" t="s">
        <v>490</v>
      </c>
      <c r="BA1524" s="224" t="s">
        <v>469</v>
      </c>
      <c r="BB1524">
        <v>0</v>
      </c>
      <c r="BE1524" s="224" t="s">
        <v>217</v>
      </c>
      <c r="BF1524" s="224" t="s">
        <v>490</v>
      </c>
      <c r="BG1524" s="224" t="s">
        <v>469</v>
      </c>
      <c r="BH1524">
        <v>0</v>
      </c>
    </row>
    <row r="1525" spans="17:60">
      <c r="Q1525" s="224" t="s">
        <v>232</v>
      </c>
      <c r="R1525" s="224" t="s">
        <v>490</v>
      </c>
      <c r="S1525" s="224" t="s">
        <v>469</v>
      </c>
      <c r="T1525" s="224">
        <f ca="1">OFFSET('Calculations 2'!$C$45,W1525,X1525)*OFFSET($N$6,W1525,0)</f>
        <v>0</v>
      </c>
      <c r="V1525">
        <f t="shared" si="71"/>
        <v>430</v>
      </c>
      <c r="W1525">
        <f t="shared" si="72"/>
        <v>1</v>
      </c>
      <c r="X1525">
        <f t="shared" si="73"/>
        <v>13</v>
      </c>
      <c r="AC1525" s="224" t="s">
        <v>232</v>
      </c>
      <c r="AD1525" s="224" t="s">
        <v>490</v>
      </c>
      <c r="AE1525" s="224" t="s">
        <v>469</v>
      </c>
      <c r="AF1525">
        <f ca="1">OFFSET('Calculations 2'!$CE$45,W1525,0)*OFFSET($AA$6,X1525,0)*OFFSET($N$6,W1525,)</f>
        <v>1.341812251946735</v>
      </c>
      <c r="AY1525" s="224" t="s">
        <v>232</v>
      </c>
      <c r="AZ1525" s="224" t="s">
        <v>490</v>
      </c>
      <c r="BA1525" s="224" t="s">
        <v>469</v>
      </c>
      <c r="BB1525">
        <v>0</v>
      </c>
      <c r="BE1525" s="224" t="s">
        <v>232</v>
      </c>
      <c r="BF1525" s="224" t="s">
        <v>490</v>
      </c>
      <c r="BG1525" s="224" t="s">
        <v>469</v>
      </c>
      <c r="BH1525">
        <v>0</v>
      </c>
    </row>
    <row r="1526" spans="17:60">
      <c r="Q1526" s="224" t="s">
        <v>226</v>
      </c>
      <c r="R1526" s="224" t="s">
        <v>490</v>
      </c>
      <c r="S1526" s="224" t="s">
        <v>469</v>
      </c>
      <c r="T1526" s="224">
        <f ca="1">OFFSET('Calculations 2'!$C$45,W1526,X1526)*OFFSET($N$6,W1526,0)</f>
        <v>0.24092109966799585</v>
      </c>
      <c r="V1526">
        <f t="shared" si="71"/>
        <v>431</v>
      </c>
      <c r="W1526">
        <f t="shared" si="72"/>
        <v>2</v>
      </c>
      <c r="X1526">
        <f t="shared" si="73"/>
        <v>13</v>
      </c>
      <c r="AC1526" s="224" t="s">
        <v>226</v>
      </c>
      <c r="AD1526" s="224" t="s">
        <v>490</v>
      </c>
      <c r="AE1526" s="224" t="s">
        <v>469</v>
      </c>
      <c r="AF1526">
        <f ca="1">OFFSET('Calculations 2'!$CE$45,W1526,0)*OFFSET($AA$6,X1526,0)*OFFSET($N$6,W1526,)</f>
        <v>0.33576251426214715</v>
      </c>
      <c r="AY1526" s="224" t="s">
        <v>226</v>
      </c>
      <c r="AZ1526" s="224" t="s">
        <v>490</v>
      </c>
      <c r="BA1526" s="224" t="s">
        <v>469</v>
      </c>
      <c r="BB1526">
        <v>0</v>
      </c>
      <c r="BE1526" s="224" t="s">
        <v>226</v>
      </c>
      <c r="BF1526" s="224" t="s">
        <v>490</v>
      </c>
      <c r="BG1526" s="224" t="s">
        <v>469</v>
      </c>
      <c r="BH1526">
        <v>0</v>
      </c>
    </row>
    <row r="1527" spans="17:60">
      <c r="Q1527" s="224" t="s">
        <v>243</v>
      </c>
      <c r="R1527" s="224" t="s">
        <v>490</v>
      </c>
      <c r="S1527" s="224" t="s">
        <v>469</v>
      </c>
      <c r="T1527" s="224">
        <f ca="1">OFFSET('Calculations 2'!$C$45,W1527,X1527)*OFFSET($N$6,W1527,0)</f>
        <v>2.3254251891855917</v>
      </c>
      <c r="V1527">
        <f t="shared" si="71"/>
        <v>432</v>
      </c>
      <c r="W1527">
        <f t="shared" si="72"/>
        <v>3</v>
      </c>
      <c r="X1527">
        <f t="shared" si="73"/>
        <v>13</v>
      </c>
      <c r="AC1527" s="224" t="s">
        <v>243</v>
      </c>
      <c r="AD1527" s="224" t="s">
        <v>490</v>
      </c>
      <c r="AE1527" s="224" t="s">
        <v>469</v>
      </c>
      <c r="AF1527">
        <f ca="1">OFFSET('Calculations 2'!$CE$45,W1527,0)*OFFSET($AA$6,X1527,0)*OFFSET($N$6,W1527,)</f>
        <v>6.5890106374241366</v>
      </c>
      <c r="AY1527" s="224" t="s">
        <v>243</v>
      </c>
      <c r="AZ1527" s="224" t="s">
        <v>490</v>
      </c>
      <c r="BA1527" s="224" t="s">
        <v>469</v>
      </c>
      <c r="BB1527">
        <v>0</v>
      </c>
      <c r="BE1527" s="224" t="s">
        <v>243</v>
      </c>
      <c r="BF1527" s="224" t="s">
        <v>490</v>
      </c>
      <c r="BG1527" s="224" t="s">
        <v>469</v>
      </c>
      <c r="BH1527">
        <v>0</v>
      </c>
    </row>
    <row r="1528" spans="17:60">
      <c r="Q1528" s="224" t="s">
        <v>228</v>
      </c>
      <c r="R1528" s="224" t="s">
        <v>490</v>
      </c>
      <c r="S1528" s="224" t="s">
        <v>469</v>
      </c>
      <c r="T1528" s="224">
        <f ca="1">OFFSET('Calculations 2'!$C$45,W1528,X1528)*OFFSET($N$6,W1528,0)</f>
        <v>0.72965168596816155</v>
      </c>
      <c r="V1528">
        <f t="shared" si="71"/>
        <v>433</v>
      </c>
      <c r="W1528">
        <f t="shared" si="72"/>
        <v>4</v>
      </c>
      <c r="X1528">
        <f t="shared" si="73"/>
        <v>13</v>
      </c>
      <c r="AC1528" s="224" t="s">
        <v>228</v>
      </c>
      <c r="AD1528" s="224" t="s">
        <v>490</v>
      </c>
      <c r="AE1528" s="224" t="s">
        <v>469</v>
      </c>
      <c r="AF1528">
        <f ca="1">OFFSET('Calculations 2'!$CE$45,W1528,0)*OFFSET($AA$6,X1528,0)*OFFSET($N$6,W1528,)</f>
        <v>3.4339911905439839</v>
      </c>
      <c r="AY1528" s="224" t="s">
        <v>228</v>
      </c>
      <c r="AZ1528" s="224" t="s">
        <v>490</v>
      </c>
      <c r="BA1528" s="224" t="s">
        <v>469</v>
      </c>
      <c r="BB1528">
        <v>0</v>
      </c>
      <c r="BE1528" s="224" t="s">
        <v>228</v>
      </c>
      <c r="BF1528" s="224" t="s">
        <v>490</v>
      </c>
      <c r="BG1528" s="224" t="s">
        <v>469</v>
      </c>
      <c r="BH1528">
        <v>0</v>
      </c>
    </row>
    <row r="1529" spans="17:60">
      <c r="Q1529" s="224" t="s">
        <v>246</v>
      </c>
      <c r="R1529" s="224" t="s">
        <v>490</v>
      </c>
      <c r="S1529" s="224" t="s">
        <v>469</v>
      </c>
      <c r="T1529" s="224">
        <f ca="1">OFFSET('Calculations 2'!$C$45,W1529,X1529)*OFFSET($N$6,W1529,0)</f>
        <v>7.9437573085661626</v>
      </c>
      <c r="V1529">
        <f t="shared" si="71"/>
        <v>434</v>
      </c>
      <c r="W1529">
        <f t="shared" si="72"/>
        <v>5</v>
      </c>
      <c r="X1529">
        <f t="shared" si="73"/>
        <v>13</v>
      </c>
      <c r="AC1529" s="224" t="s">
        <v>246</v>
      </c>
      <c r="AD1529" s="224" t="s">
        <v>490</v>
      </c>
      <c r="AE1529" s="224" t="s">
        <v>469</v>
      </c>
      <c r="AF1529">
        <f ca="1">OFFSET('Calculations 2'!$CE$45,W1529,0)*OFFSET($AA$6,X1529,0)*OFFSET($N$6,W1529,)</f>
        <v>6.1465839227074867E-2</v>
      </c>
      <c r="AY1529" s="224" t="s">
        <v>246</v>
      </c>
      <c r="AZ1529" s="224" t="s">
        <v>490</v>
      </c>
      <c r="BA1529" s="224" t="s">
        <v>469</v>
      </c>
      <c r="BB1529">
        <v>0</v>
      </c>
      <c r="BE1529" s="224" t="s">
        <v>246</v>
      </c>
      <c r="BF1529" s="224" t="s">
        <v>490</v>
      </c>
      <c r="BG1529" s="224" t="s">
        <v>469</v>
      </c>
      <c r="BH1529">
        <v>0</v>
      </c>
    </row>
    <row r="1530" spans="17:60">
      <c r="Q1530" s="224" t="s">
        <v>239</v>
      </c>
      <c r="R1530" s="224" t="s">
        <v>490</v>
      </c>
      <c r="S1530" s="224" t="s">
        <v>469</v>
      </c>
      <c r="T1530" s="224">
        <f ca="1">OFFSET('Calculations 2'!$C$45,W1530,X1530)*OFFSET($N$6,W1530,0)</f>
        <v>4.2133845020682008</v>
      </c>
      <c r="V1530">
        <f t="shared" si="71"/>
        <v>435</v>
      </c>
      <c r="W1530">
        <f t="shared" si="72"/>
        <v>6</v>
      </c>
      <c r="X1530">
        <f t="shared" si="73"/>
        <v>13</v>
      </c>
      <c r="AC1530" s="224" t="s">
        <v>239</v>
      </c>
      <c r="AD1530" s="224" t="s">
        <v>490</v>
      </c>
      <c r="AE1530" s="224" t="s">
        <v>469</v>
      </c>
      <c r="AF1530">
        <f ca="1">OFFSET('Calculations 2'!$CE$45,W1530,0)*OFFSET($AA$6,X1530,0)*OFFSET($N$6,W1530,)</f>
        <v>0.88510311461035396</v>
      </c>
      <c r="AY1530" s="224" t="s">
        <v>239</v>
      </c>
      <c r="AZ1530" s="224" t="s">
        <v>490</v>
      </c>
      <c r="BA1530" s="224" t="s">
        <v>469</v>
      </c>
      <c r="BB1530">
        <v>0</v>
      </c>
      <c r="BE1530" s="224" t="s">
        <v>239</v>
      </c>
      <c r="BF1530" s="224" t="s">
        <v>490</v>
      </c>
      <c r="BG1530" s="224" t="s">
        <v>469</v>
      </c>
      <c r="BH1530">
        <v>0</v>
      </c>
    </row>
    <row r="1531" spans="17:60">
      <c r="Q1531" s="224" t="s">
        <v>466</v>
      </c>
      <c r="R1531" s="224" t="s">
        <v>490</v>
      </c>
      <c r="S1531" s="224" t="s">
        <v>469</v>
      </c>
      <c r="T1531" s="224">
        <f ca="1">OFFSET('Calculations 2'!$C$45,W1531,X1531)*OFFSET($N$6,W1531,0)</f>
        <v>14.85621711727836</v>
      </c>
      <c r="V1531">
        <f t="shared" si="71"/>
        <v>436</v>
      </c>
      <c r="W1531">
        <f t="shared" si="72"/>
        <v>7</v>
      </c>
      <c r="X1531">
        <f t="shared" si="73"/>
        <v>13</v>
      </c>
      <c r="AC1531" s="224" t="s">
        <v>466</v>
      </c>
      <c r="AD1531" s="224" t="s">
        <v>490</v>
      </c>
      <c r="AE1531" s="224" t="s">
        <v>469</v>
      </c>
      <c r="AF1531">
        <f ca="1">OFFSET('Calculations 2'!$CE$45,W1531,0)*OFFSET($AA$6,X1531,0)*OFFSET($N$6,W1531,)</f>
        <v>0.22287930331964373</v>
      </c>
      <c r="AY1531" s="224" t="s">
        <v>466</v>
      </c>
      <c r="AZ1531" s="224" t="s">
        <v>490</v>
      </c>
      <c r="BA1531" s="224" t="s">
        <v>469</v>
      </c>
      <c r="BB1531">
        <v>0</v>
      </c>
      <c r="BE1531" s="224" t="s">
        <v>466</v>
      </c>
      <c r="BF1531" s="224" t="s">
        <v>490</v>
      </c>
      <c r="BG1531" s="224" t="s">
        <v>469</v>
      </c>
      <c r="BH1531">
        <v>0</v>
      </c>
    </row>
    <row r="1532" spans="17:60">
      <c r="Q1532" s="224" t="s">
        <v>219</v>
      </c>
      <c r="R1532" s="224" t="s">
        <v>490</v>
      </c>
      <c r="S1532" s="224" t="s">
        <v>469</v>
      </c>
      <c r="T1532" s="224">
        <f ca="1">OFFSET('Calculations 2'!$C$45,W1532,X1532)*OFFSET($N$6,W1532,0)</f>
        <v>270.03664642816005</v>
      </c>
      <c r="V1532">
        <f t="shared" si="71"/>
        <v>437</v>
      </c>
      <c r="W1532">
        <f t="shared" si="72"/>
        <v>8</v>
      </c>
      <c r="X1532">
        <f t="shared" si="73"/>
        <v>13</v>
      </c>
      <c r="AC1532" s="224" t="s">
        <v>219</v>
      </c>
      <c r="AD1532" s="224" t="s">
        <v>490</v>
      </c>
      <c r="AE1532" s="224" t="s">
        <v>469</v>
      </c>
      <c r="AF1532">
        <f ca="1">OFFSET('Calculations 2'!$CE$45,W1532,0)*OFFSET($AA$6,X1532,0)*OFFSET($N$6,W1532,)</f>
        <v>3.055304274007987</v>
      </c>
      <c r="AY1532" s="224" t="s">
        <v>219</v>
      </c>
      <c r="AZ1532" s="224" t="s">
        <v>490</v>
      </c>
      <c r="BA1532" s="224" t="s">
        <v>469</v>
      </c>
      <c r="BB1532">
        <v>0</v>
      </c>
      <c r="BE1532" s="224" t="s">
        <v>219</v>
      </c>
      <c r="BF1532" s="224" t="s">
        <v>490</v>
      </c>
      <c r="BG1532" s="224" t="s">
        <v>469</v>
      </c>
      <c r="BH1532">
        <v>0</v>
      </c>
    </row>
    <row r="1533" spans="17:60">
      <c r="Q1533" s="224" t="s">
        <v>242</v>
      </c>
      <c r="R1533" s="224" t="s">
        <v>490</v>
      </c>
      <c r="S1533" s="224" t="s">
        <v>469</v>
      </c>
      <c r="T1533" s="224">
        <f ca="1">OFFSET('Calculations 2'!$C$45,W1533,X1533)*OFFSET($N$6,W1533,0)</f>
        <v>127.97415131893537</v>
      </c>
      <c r="V1533">
        <f t="shared" si="71"/>
        <v>438</v>
      </c>
      <c r="W1533">
        <f t="shared" si="72"/>
        <v>9</v>
      </c>
      <c r="X1533">
        <f t="shared" si="73"/>
        <v>13</v>
      </c>
      <c r="AC1533" s="224" t="s">
        <v>242</v>
      </c>
      <c r="AD1533" s="224" t="s">
        <v>490</v>
      </c>
      <c r="AE1533" s="224" t="s">
        <v>469</v>
      </c>
      <c r="AF1533">
        <f ca="1">OFFSET('Calculations 2'!$CE$45,W1533,0)*OFFSET($AA$6,X1533,0)*OFFSET($N$6,W1533,)</f>
        <v>2.3399569602168988</v>
      </c>
      <c r="AY1533" s="224" t="s">
        <v>242</v>
      </c>
      <c r="AZ1533" s="224" t="s">
        <v>490</v>
      </c>
      <c r="BA1533" s="224" t="s">
        <v>469</v>
      </c>
      <c r="BB1533">
        <v>0</v>
      </c>
      <c r="BE1533" s="224" t="s">
        <v>242</v>
      </c>
      <c r="BF1533" s="224" t="s">
        <v>490</v>
      </c>
      <c r="BG1533" s="224" t="s">
        <v>469</v>
      </c>
      <c r="BH1533">
        <v>0</v>
      </c>
    </row>
    <row r="1534" spans="17:60">
      <c r="Q1534" s="224" t="s">
        <v>467</v>
      </c>
      <c r="R1534" s="224" t="s">
        <v>490</v>
      </c>
      <c r="S1534" s="224" t="s">
        <v>469</v>
      </c>
      <c r="T1534" s="224">
        <f ca="1">OFFSET('Calculations 2'!$C$45,W1534,X1534)*OFFSET($N$6,W1534,0)</f>
        <v>0</v>
      </c>
      <c r="V1534">
        <f t="shared" si="71"/>
        <v>439</v>
      </c>
      <c r="W1534">
        <f t="shared" si="72"/>
        <v>10</v>
      </c>
      <c r="X1534">
        <f t="shared" si="73"/>
        <v>13</v>
      </c>
      <c r="AC1534" s="224" t="s">
        <v>467</v>
      </c>
      <c r="AD1534" s="224" t="s">
        <v>490</v>
      </c>
      <c r="AE1534" s="224" t="s">
        <v>469</v>
      </c>
      <c r="AF1534">
        <f ca="1">OFFSET('Calculations 2'!$CE$45,W1534,0)*OFFSET($AA$6,X1534,0)*OFFSET($N$6,W1534,)</f>
        <v>0.88330415660467843</v>
      </c>
      <c r="AY1534" s="224" t="s">
        <v>467</v>
      </c>
      <c r="AZ1534" s="224" t="s">
        <v>490</v>
      </c>
      <c r="BA1534" s="224" t="s">
        <v>469</v>
      </c>
      <c r="BB1534">
        <v>0</v>
      </c>
      <c r="BE1534" s="224" t="s">
        <v>467</v>
      </c>
      <c r="BF1534" s="224" t="s">
        <v>490</v>
      </c>
      <c r="BG1534" s="224" t="s">
        <v>469</v>
      </c>
      <c r="BH1534">
        <v>0</v>
      </c>
    </row>
    <row r="1535" spans="17:60">
      <c r="Q1535" s="224" t="s">
        <v>231</v>
      </c>
      <c r="R1535" s="224" t="s">
        <v>490</v>
      </c>
      <c r="S1535" s="224" t="s">
        <v>469</v>
      </c>
      <c r="T1535" s="224">
        <f ca="1">OFFSET('Calculations 2'!$C$45,W1535,X1535)*OFFSET($N$6,W1535,0)</f>
        <v>2038.8512168662417</v>
      </c>
      <c r="V1535">
        <f t="shared" si="71"/>
        <v>440</v>
      </c>
      <c r="W1535">
        <f t="shared" si="72"/>
        <v>11</v>
      </c>
      <c r="X1535">
        <f t="shared" si="73"/>
        <v>13</v>
      </c>
      <c r="AC1535" s="224" t="s">
        <v>231</v>
      </c>
      <c r="AD1535" s="224" t="s">
        <v>490</v>
      </c>
      <c r="AE1535" s="224" t="s">
        <v>469</v>
      </c>
      <c r="AF1535">
        <f ca="1">OFFSET('Calculations 2'!$CE$45,W1535,0)*OFFSET($AA$6,X1535,0)*OFFSET($N$6,W1535,)</f>
        <v>11.056440854456973</v>
      </c>
      <c r="AY1535" s="224" t="s">
        <v>231</v>
      </c>
      <c r="AZ1535" s="224" t="s">
        <v>490</v>
      </c>
      <c r="BA1535" s="224" t="s">
        <v>469</v>
      </c>
      <c r="BB1535">
        <v>0</v>
      </c>
      <c r="BE1535" s="224" t="s">
        <v>231</v>
      </c>
      <c r="BF1535" s="224" t="s">
        <v>490</v>
      </c>
      <c r="BG1535" s="224" t="s">
        <v>469</v>
      </c>
      <c r="BH1535">
        <v>0</v>
      </c>
    </row>
    <row r="1536" spans="17:60">
      <c r="Q1536" s="224" t="s">
        <v>468</v>
      </c>
      <c r="R1536" s="224" t="s">
        <v>490</v>
      </c>
      <c r="S1536" s="224" t="s">
        <v>469</v>
      </c>
      <c r="T1536" s="224">
        <f ca="1">OFFSET('Calculations 2'!$C$45,W1536,X1536)*OFFSET($N$6,W1536,0)</f>
        <v>123.93037797378905</v>
      </c>
      <c r="V1536">
        <f t="shared" si="71"/>
        <v>441</v>
      </c>
      <c r="W1536">
        <f t="shared" si="72"/>
        <v>12</v>
      </c>
      <c r="X1536">
        <f t="shared" si="73"/>
        <v>13</v>
      </c>
      <c r="AC1536" s="224" t="s">
        <v>468</v>
      </c>
      <c r="AD1536" s="224" t="s">
        <v>490</v>
      </c>
      <c r="AE1536" s="224" t="s">
        <v>469</v>
      </c>
      <c r="AF1536">
        <f ca="1">OFFSET('Calculations 2'!$CE$45,W1536,0)*OFFSET($AA$6,X1536,0)*OFFSET($N$6,W1536,)</f>
        <v>42.354702936231668</v>
      </c>
      <c r="AY1536" s="224" t="s">
        <v>468</v>
      </c>
      <c r="AZ1536" s="224" t="s">
        <v>490</v>
      </c>
      <c r="BA1536" s="224" t="s">
        <v>469</v>
      </c>
      <c r="BB1536">
        <v>0</v>
      </c>
      <c r="BE1536" s="224" t="s">
        <v>468</v>
      </c>
      <c r="BF1536" s="224" t="s">
        <v>490</v>
      </c>
      <c r="BG1536" s="224" t="s">
        <v>469</v>
      </c>
      <c r="BH1536">
        <v>0</v>
      </c>
    </row>
    <row r="1537" spans="17:60">
      <c r="Q1537" s="224" t="s">
        <v>469</v>
      </c>
      <c r="R1537" s="224" t="s">
        <v>490</v>
      </c>
      <c r="S1537" s="224" t="s">
        <v>469</v>
      </c>
      <c r="T1537" s="224">
        <f ca="1">OFFSET('Calculations 2'!$C$45,W1537,X1537)*OFFSET($N$6,W1537,0)</f>
        <v>271.99304810098329</v>
      </c>
      <c r="V1537">
        <f t="shared" si="71"/>
        <v>442</v>
      </c>
      <c r="W1537">
        <f t="shared" si="72"/>
        <v>13</v>
      </c>
      <c r="X1537">
        <f t="shared" si="73"/>
        <v>13</v>
      </c>
      <c r="AC1537" s="224" t="s">
        <v>469</v>
      </c>
      <c r="AD1537" s="224" t="s">
        <v>490</v>
      </c>
      <c r="AE1537" s="224" t="s">
        <v>469</v>
      </c>
      <c r="AF1537">
        <f ca="1">OFFSET('Calculations 2'!$CE$45,W1537,0)*OFFSET($AA$6,X1537,0)*OFFSET($N$6,W1537,)</f>
        <v>22.709299683056443</v>
      </c>
      <c r="AY1537" s="224" t="s">
        <v>469</v>
      </c>
      <c r="AZ1537" s="224" t="s">
        <v>490</v>
      </c>
      <c r="BA1537" s="224" t="s">
        <v>469</v>
      </c>
      <c r="BB1537">
        <v>0</v>
      </c>
      <c r="BE1537" s="224" t="s">
        <v>469</v>
      </c>
      <c r="BF1537" s="224" t="s">
        <v>490</v>
      </c>
      <c r="BG1537" s="224" t="s">
        <v>469</v>
      </c>
      <c r="BH1537">
        <v>0</v>
      </c>
    </row>
    <row r="1538" spans="17:60">
      <c r="Q1538" s="224" t="s">
        <v>245</v>
      </c>
      <c r="R1538" s="224" t="s">
        <v>490</v>
      </c>
      <c r="S1538" s="224" t="s">
        <v>469</v>
      </c>
      <c r="T1538" s="224">
        <f ca="1">OFFSET('Calculations 2'!$C$45,W1538,X1538)*OFFSET($N$6,W1538,0)</f>
        <v>103.588708497672</v>
      </c>
      <c r="V1538">
        <f t="shared" si="71"/>
        <v>443</v>
      </c>
      <c r="W1538">
        <f t="shared" si="72"/>
        <v>14</v>
      </c>
      <c r="X1538">
        <f t="shared" si="73"/>
        <v>13</v>
      </c>
      <c r="AC1538" s="224" t="s">
        <v>245</v>
      </c>
      <c r="AD1538" s="224" t="s">
        <v>490</v>
      </c>
      <c r="AE1538" s="224" t="s">
        <v>469</v>
      </c>
      <c r="AF1538">
        <f ca="1">OFFSET('Calculations 2'!$CE$45,W1538,0)*OFFSET($AA$6,X1538,0)*OFFSET($N$6,W1538,)</f>
        <v>36.24148802493842</v>
      </c>
      <c r="AY1538" s="224" t="s">
        <v>245</v>
      </c>
      <c r="AZ1538" s="224" t="s">
        <v>490</v>
      </c>
      <c r="BA1538" s="224" t="s">
        <v>469</v>
      </c>
      <c r="BB1538">
        <v>0</v>
      </c>
      <c r="BE1538" s="224" t="s">
        <v>245</v>
      </c>
      <c r="BF1538" s="224" t="s">
        <v>490</v>
      </c>
      <c r="BG1538" s="224" t="s">
        <v>469</v>
      </c>
      <c r="BH1538">
        <v>0</v>
      </c>
    </row>
    <row r="1539" spans="17:60">
      <c r="Q1539" s="224" t="s">
        <v>470</v>
      </c>
      <c r="R1539" s="224" t="s">
        <v>490</v>
      </c>
      <c r="S1539" s="224" t="s">
        <v>469</v>
      </c>
      <c r="T1539" s="224">
        <f ca="1">OFFSET('Calculations 2'!$C$45,W1539,X1539)*OFFSET($N$6,W1539,0)</f>
        <v>15.753681465244714</v>
      </c>
      <c r="V1539">
        <f t="shared" si="71"/>
        <v>444</v>
      </c>
      <c r="W1539">
        <f t="shared" si="72"/>
        <v>15</v>
      </c>
      <c r="X1539">
        <f t="shared" si="73"/>
        <v>13</v>
      </c>
      <c r="AC1539" s="224" t="s">
        <v>470</v>
      </c>
      <c r="AD1539" s="224" t="s">
        <v>490</v>
      </c>
      <c r="AE1539" s="224" t="s">
        <v>469</v>
      </c>
      <c r="AF1539">
        <f ca="1">OFFSET('Calculations 2'!$CE$45,W1539,0)*OFFSET($AA$6,X1539,0)*OFFSET($N$6,W1539,)</f>
        <v>13.751276995845691</v>
      </c>
      <c r="AY1539" s="224" t="s">
        <v>470</v>
      </c>
      <c r="AZ1539" s="224" t="s">
        <v>490</v>
      </c>
      <c r="BA1539" s="224" t="s">
        <v>469</v>
      </c>
      <c r="BB1539">
        <v>0</v>
      </c>
      <c r="BE1539" s="224" t="s">
        <v>470</v>
      </c>
      <c r="BF1539" s="224" t="s">
        <v>490</v>
      </c>
      <c r="BG1539" s="224" t="s">
        <v>469</v>
      </c>
      <c r="BH1539">
        <v>0</v>
      </c>
    </row>
    <row r="1540" spans="17:60">
      <c r="Q1540" s="224" t="s">
        <v>471</v>
      </c>
      <c r="R1540" s="224" t="s">
        <v>490</v>
      </c>
      <c r="S1540" s="224" t="s">
        <v>469</v>
      </c>
      <c r="T1540" s="224">
        <f ca="1">OFFSET('Calculations 2'!$C$45,W1540,X1540)*OFFSET($N$6,W1540,0)</f>
        <v>0.3211344930218698</v>
      </c>
      <c r="V1540">
        <f t="shared" si="71"/>
        <v>445</v>
      </c>
      <c r="W1540">
        <f t="shared" si="72"/>
        <v>16</v>
      </c>
      <c r="X1540">
        <f t="shared" si="73"/>
        <v>13</v>
      </c>
      <c r="AC1540" s="224" t="s">
        <v>471</v>
      </c>
      <c r="AD1540" s="224" t="s">
        <v>490</v>
      </c>
      <c r="AE1540" s="224" t="s">
        <v>469</v>
      </c>
      <c r="AF1540">
        <f ca="1">OFFSET('Calculations 2'!$CE$45,W1540,0)*OFFSET($AA$6,X1540,0)*OFFSET($N$6,W1540,)</f>
        <v>0</v>
      </c>
      <c r="AY1540" s="224" t="s">
        <v>471</v>
      </c>
      <c r="AZ1540" s="224" t="s">
        <v>490</v>
      </c>
      <c r="BA1540" s="224" t="s">
        <v>469</v>
      </c>
      <c r="BB1540">
        <v>0</v>
      </c>
      <c r="BE1540" s="224" t="s">
        <v>471</v>
      </c>
      <c r="BF1540" s="224" t="s">
        <v>490</v>
      </c>
      <c r="BG1540" s="224" t="s">
        <v>469</v>
      </c>
      <c r="BH1540">
        <v>0</v>
      </c>
    </row>
    <row r="1541" spans="17:60">
      <c r="Q1541" s="224" t="s">
        <v>221</v>
      </c>
      <c r="R1541" s="224" t="s">
        <v>490</v>
      </c>
      <c r="S1541" s="224" t="s">
        <v>469</v>
      </c>
      <c r="T1541" s="224">
        <f ca="1">OFFSET('Calculations 2'!$C$45,W1541,X1541)*OFFSET($N$6,W1541,0)</f>
        <v>0.21342310858065902</v>
      </c>
      <c r="V1541">
        <f t="shared" si="71"/>
        <v>446</v>
      </c>
      <c r="W1541">
        <f t="shared" si="72"/>
        <v>17</v>
      </c>
      <c r="X1541">
        <f t="shared" si="73"/>
        <v>13</v>
      </c>
      <c r="AC1541" s="224" t="s">
        <v>221</v>
      </c>
      <c r="AD1541" s="224" t="s">
        <v>490</v>
      </c>
      <c r="AE1541" s="224" t="s">
        <v>469</v>
      </c>
      <c r="AF1541">
        <f ca="1">OFFSET('Calculations 2'!$CE$45,W1541,0)*OFFSET($AA$6,X1541,0)*OFFSET($N$6,W1541,)</f>
        <v>2.6918916492598837</v>
      </c>
      <c r="AY1541" s="224" t="s">
        <v>221</v>
      </c>
      <c r="AZ1541" s="224" t="s">
        <v>490</v>
      </c>
      <c r="BA1541" s="224" t="s">
        <v>469</v>
      </c>
      <c r="BB1541">
        <v>0</v>
      </c>
      <c r="BE1541" s="224" t="s">
        <v>221</v>
      </c>
      <c r="BF1541" s="224" t="s">
        <v>490</v>
      </c>
      <c r="BG1541" s="224" t="s">
        <v>469</v>
      </c>
      <c r="BH1541">
        <v>0</v>
      </c>
    </row>
    <row r="1542" spans="17:60">
      <c r="Q1542" s="224" t="s">
        <v>244</v>
      </c>
      <c r="R1542" s="224" t="s">
        <v>490</v>
      </c>
      <c r="S1542" s="224" t="s">
        <v>469</v>
      </c>
      <c r="T1542" s="224">
        <f ca="1">OFFSET('Calculations 2'!$C$45,W1542,X1542)*OFFSET($N$6,W1542,0)</f>
        <v>6.2856633632564431</v>
      </c>
      <c r="V1542">
        <f t="shared" si="71"/>
        <v>447</v>
      </c>
      <c r="W1542">
        <f t="shared" si="72"/>
        <v>18</v>
      </c>
      <c r="X1542">
        <f t="shared" si="73"/>
        <v>13</v>
      </c>
      <c r="AC1542" s="224" t="s">
        <v>244</v>
      </c>
      <c r="AD1542" s="224" t="s">
        <v>490</v>
      </c>
      <c r="AE1542" s="224" t="s">
        <v>469</v>
      </c>
      <c r="AF1542">
        <f ca="1">OFFSET('Calculations 2'!$CE$45,W1542,0)*OFFSET($AA$6,X1542,0)*OFFSET($N$6,W1542,)</f>
        <v>0.23552224922057247</v>
      </c>
      <c r="AY1542" s="224" t="s">
        <v>244</v>
      </c>
      <c r="AZ1542" s="224" t="s">
        <v>490</v>
      </c>
      <c r="BA1542" s="224" t="s">
        <v>469</v>
      </c>
      <c r="BB1542">
        <v>0</v>
      </c>
      <c r="BE1542" s="224" t="s">
        <v>244</v>
      </c>
      <c r="BF1542" s="224" t="s">
        <v>490</v>
      </c>
      <c r="BG1542" s="224" t="s">
        <v>469</v>
      </c>
      <c r="BH1542">
        <v>0</v>
      </c>
    </row>
    <row r="1543" spans="17:60">
      <c r="Q1543" s="224" t="s">
        <v>472</v>
      </c>
      <c r="R1543" s="224" t="s">
        <v>490</v>
      </c>
      <c r="S1543" s="224" t="s">
        <v>469</v>
      </c>
      <c r="T1543" s="224">
        <f ca="1">OFFSET('Calculations 2'!$C$45,W1543,X1543)*OFFSET($N$6,W1543,0)</f>
        <v>0</v>
      </c>
      <c r="V1543">
        <f t="shared" si="71"/>
        <v>448</v>
      </c>
      <c r="W1543">
        <f t="shared" si="72"/>
        <v>19</v>
      </c>
      <c r="X1543">
        <f t="shared" si="73"/>
        <v>13</v>
      </c>
      <c r="AC1543" s="224" t="s">
        <v>472</v>
      </c>
      <c r="AD1543" s="224" t="s">
        <v>490</v>
      </c>
      <c r="AE1543" s="224" t="s">
        <v>469</v>
      </c>
      <c r="AF1543">
        <f ca="1">OFFSET('Calculations 2'!$CE$45,W1543,0)*OFFSET($AA$6,X1543,0)*OFFSET($N$6,W1543,)</f>
        <v>0</v>
      </c>
      <c r="AY1543" s="224" t="s">
        <v>472</v>
      </c>
      <c r="AZ1543" s="224" t="s">
        <v>490</v>
      </c>
      <c r="BA1543" s="224" t="s">
        <v>469</v>
      </c>
      <c r="BB1543">
        <v>0</v>
      </c>
      <c r="BE1543" s="224" t="s">
        <v>472</v>
      </c>
      <c r="BF1543" s="224" t="s">
        <v>490</v>
      </c>
      <c r="BG1543" s="224" t="s">
        <v>469</v>
      </c>
      <c r="BH1543">
        <v>0</v>
      </c>
    </row>
    <row r="1544" spans="17:60">
      <c r="Q1544" s="224" t="s">
        <v>238</v>
      </c>
      <c r="R1544" s="224" t="s">
        <v>490</v>
      </c>
      <c r="S1544" s="224" t="s">
        <v>469</v>
      </c>
      <c r="T1544" s="224">
        <f ca="1">OFFSET('Calculations 2'!$C$45,W1544,X1544)*OFFSET($N$6,W1544,0)</f>
        <v>0.4020949161533719</v>
      </c>
      <c r="V1544">
        <f t="shared" si="71"/>
        <v>449</v>
      </c>
      <c r="W1544">
        <f t="shared" si="72"/>
        <v>20</v>
      </c>
      <c r="X1544">
        <f t="shared" si="73"/>
        <v>13</v>
      </c>
      <c r="AC1544" s="224" t="s">
        <v>238</v>
      </c>
      <c r="AD1544" s="224" t="s">
        <v>490</v>
      </c>
      <c r="AE1544" s="224" t="s">
        <v>469</v>
      </c>
      <c r="AF1544">
        <f ca="1">OFFSET('Calculations 2'!$CE$45,W1544,0)*OFFSET($AA$6,X1544,0)*OFFSET($N$6,W1544,)</f>
        <v>0</v>
      </c>
      <c r="AY1544" s="224" t="s">
        <v>238</v>
      </c>
      <c r="AZ1544" s="224" t="s">
        <v>490</v>
      </c>
      <c r="BA1544" s="224" t="s">
        <v>469</v>
      </c>
      <c r="BB1544">
        <v>0</v>
      </c>
      <c r="BE1544" s="224" t="s">
        <v>238</v>
      </c>
      <c r="BF1544" s="224" t="s">
        <v>490</v>
      </c>
      <c r="BG1544" s="224" t="s">
        <v>469</v>
      </c>
      <c r="BH1544">
        <v>0</v>
      </c>
    </row>
    <row r="1545" spans="17:60">
      <c r="Q1545" s="224" t="s">
        <v>247</v>
      </c>
      <c r="R1545" s="224" t="s">
        <v>490</v>
      </c>
      <c r="S1545" s="224" t="s">
        <v>469</v>
      </c>
      <c r="T1545" s="224">
        <f ca="1">OFFSET('Calculations 2'!$C$45,W1545,X1545)*OFFSET($N$6,W1545,0)</f>
        <v>0</v>
      </c>
      <c r="V1545">
        <f t="shared" ref="V1545:V1608" si="74">V1544+1</f>
        <v>450</v>
      </c>
      <c r="W1545">
        <f t="shared" ref="W1545:W1608" si="75">MOD(V1545,$V$3)</f>
        <v>21</v>
      </c>
      <c r="X1545">
        <f t="shared" ref="X1545:X1608" si="76">FLOOR(V1545/$V$3,1)</f>
        <v>13</v>
      </c>
      <c r="AC1545" s="224" t="s">
        <v>247</v>
      </c>
      <c r="AD1545" s="224" t="s">
        <v>490</v>
      </c>
      <c r="AE1545" s="224" t="s">
        <v>469</v>
      </c>
      <c r="AF1545">
        <f ca="1">OFFSET('Calculations 2'!$CE$45,W1545,0)*OFFSET($AA$6,X1545,0)*OFFSET($N$6,W1545,)</f>
        <v>0</v>
      </c>
      <c r="AY1545" s="224" t="s">
        <v>247</v>
      </c>
      <c r="AZ1545" s="224" t="s">
        <v>490</v>
      </c>
      <c r="BA1545" s="224" t="s">
        <v>469</v>
      </c>
      <c r="BB1545">
        <v>0</v>
      </c>
      <c r="BE1545" s="224" t="s">
        <v>247</v>
      </c>
      <c r="BF1545" s="224" t="s">
        <v>490</v>
      </c>
      <c r="BG1545" s="224" t="s">
        <v>469</v>
      </c>
      <c r="BH1545">
        <v>0</v>
      </c>
    </row>
    <row r="1546" spans="17:60">
      <c r="Q1546" s="224" t="s">
        <v>218</v>
      </c>
      <c r="R1546" s="224" t="s">
        <v>490</v>
      </c>
      <c r="S1546" s="224" t="s">
        <v>469</v>
      </c>
      <c r="T1546" s="224">
        <f ca="1">OFFSET('Calculations 2'!$C$45,W1546,X1546)*OFFSET($N$6,W1546,0)</f>
        <v>1.8942115446910124</v>
      </c>
      <c r="V1546">
        <f t="shared" si="74"/>
        <v>451</v>
      </c>
      <c r="W1546">
        <f t="shared" si="75"/>
        <v>22</v>
      </c>
      <c r="X1546">
        <f t="shared" si="76"/>
        <v>13</v>
      </c>
      <c r="AC1546" s="224" t="s">
        <v>218</v>
      </c>
      <c r="AD1546" s="224" t="s">
        <v>490</v>
      </c>
      <c r="AE1546" s="224" t="s">
        <v>469</v>
      </c>
      <c r="AF1546">
        <f ca="1">OFFSET('Calculations 2'!$CE$45,W1546,0)*OFFSET($AA$6,X1546,0)*OFFSET($N$6,W1546,)</f>
        <v>0</v>
      </c>
      <c r="AY1546" s="224" t="s">
        <v>218</v>
      </c>
      <c r="AZ1546" s="224" t="s">
        <v>490</v>
      </c>
      <c r="BA1546" s="224" t="s">
        <v>469</v>
      </c>
      <c r="BB1546">
        <v>0</v>
      </c>
      <c r="BE1546" s="224" t="s">
        <v>218</v>
      </c>
      <c r="BF1546" s="224" t="s">
        <v>490</v>
      </c>
      <c r="BG1546" s="224" t="s">
        <v>469</v>
      </c>
      <c r="BH1546">
        <v>0</v>
      </c>
    </row>
    <row r="1547" spans="17:60">
      <c r="Q1547" s="224" t="s">
        <v>257</v>
      </c>
      <c r="R1547" s="224" t="s">
        <v>490</v>
      </c>
      <c r="S1547" s="224" t="s">
        <v>469</v>
      </c>
      <c r="T1547" s="224">
        <f ca="1">OFFSET('Calculations 2'!$C$45,W1547,X1547)*OFFSET($N$6,W1547,0)</f>
        <v>0.17655165820628282</v>
      </c>
      <c r="V1547">
        <f t="shared" si="74"/>
        <v>452</v>
      </c>
      <c r="W1547">
        <f t="shared" si="75"/>
        <v>23</v>
      </c>
      <c r="X1547">
        <f t="shared" si="76"/>
        <v>13</v>
      </c>
      <c r="AC1547" s="224" t="s">
        <v>257</v>
      </c>
      <c r="AD1547" s="224" t="s">
        <v>490</v>
      </c>
      <c r="AE1547" s="224" t="s">
        <v>469</v>
      </c>
      <c r="AF1547">
        <f ca="1">OFFSET('Calculations 2'!$CE$45,W1547,0)*OFFSET($AA$6,X1547,0)*OFFSET($N$6,W1547,)</f>
        <v>0</v>
      </c>
      <c r="AY1547" s="224" t="s">
        <v>257</v>
      </c>
      <c r="AZ1547" s="224" t="s">
        <v>490</v>
      </c>
      <c r="BA1547" s="224" t="s">
        <v>469</v>
      </c>
      <c r="BB1547">
        <v>0</v>
      </c>
      <c r="BE1547" s="224" t="s">
        <v>257</v>
      </c>
      <c r="BF1547" s="224" t="s">
        <v>490</v>
      </c>
      <c r="BG1547" s="224" t="s">
        <v>469</v>
      </c>
      <c r="BH1547">
        <v>0</v>
      </c>
    </row>
    <row r="1548" spans="17:60">
      <c r="Q1548" s="224" t="s">
        <v>220</v>
      </c>
      <c r="R1548" s="224" t="s">
        <v>490</v>
      </c>
      <c r="S1548" s="224" t="s">
        <v>469</v>
      </c>
      <c r="T1548" s="224">
        <f ca="1">OFFSET('Calculations 2'!$C$45,W1548,X1548)*OFFSET($N$6,W1548,0)</f>
        <v>0.29907532774631118</v>
      </c>
      <c r="V1548">
        <f t="shared" si="74"/>
        <v>453</v>
      </c>
      <c r="W1548">
        <f t="shared" si="75"/>
        <v>24</v>
      </c>
      <c r="X1548">
        <f t="shared" si="76"/>
        <v>13</v>
      </c>
      <c r="AC1548" s="224" t="s">
        <v>220</v>
      </c>
      <c r="AD1548" s="224" t="s">
        <v>490</v>
      </c>
      <c r="AE1548" s="224" t="s">
        <v>469</v>
      </c>
      <c r="AF1548">
        <f ca="1">OFFSET('Calculations 2'!$CE$45,W1548,0)*OFFSET($AA$6,X1548,0)*OFFSET($N$6,W1548,)</f>
        <v>0</v>
      </c>
      <c r="AY1548" s="224" t="s">
        <v>220</v>
      </c>
      <c r="AZ1548" s="224" t="s">
        <v>490</v>
      </c>
      <c r="BA1548" s="224" t="s">
        <v>469</v>
      </c>
      <c r="BB1548">
        <v>0</v>
      </c>
      <c r="BE1548" s="224" t="s">
        <v>220</v>
      </c>
      <c r="BF1548" s="224" t="s">
        <v>490</v>
      </c>
      <c r="BG1548" s="224" t="s">
        <v>469</v>
      </c>
      <c r="BH1548">
        <v>0</v>
      </c>
    </row>
    <row r="1549" spans="17:60">
      <c r="Q1549" s="224" t="s">
        <v>235</v>
      </c>
      <c r="R1549" s="224" t="s">
        <v>490</v>
      </c>
      <c r="S1549" s="224" t="s">
        <v>469</v>
      </c>
      <c r="T1549" s="224">
        <f ca="1">OFFSET('Calculations 2'!$C$45,W1549,X1549)*OFFSET($N$6,W1549,0)</f>
        <v>0.50460966476730063</v>
      </c>
      <c r="V1549">
        <f t="shared" si="74"/>
        <v>454</v>
      </c>
      <c r="W1549">
        <f t="shared" si="75"/>
        <v>25</v>
      </c>
      <c r="X1549">
        <f t="shared" si="76"/>
        <v>13</v>
      </c>
      <c r="AC1549" s="224" t="s">
        <v>235</v>
      </c>
      <c r="AD1549" s="224" t="s">
        <v>490</v>
      </c>
      <c r="AE1549" s="224" t="s">
        <v>469</v>
      </c>
      <c r="AF1549">
        <f ca="1">OFFSET('Calculations 2'!$CE$45,W1549,0)*OFFSET($AA$6,X1549,0)*OFFSET($N$6,W1549,)</f>
        <v>0</v>
      </c>
      <c r="AY1549" s="224" t="s">
        <v>235</v>
      </c>
      <c r="AZ1549" s="224" t="s">
        <v>490</v>
      </c>
      <c r="BA1549" s="224" t="s">
        <v>469</v>
      </c>
      <c r="BB1549">
        <v>0</v>
      </c>
      <c r="BE1549" s="224" t="s">
        <v>235</v>
      </c>
      <c r="BF1549" s="224" t="s">
        <v>490</v>
      </c>
      <c r="BG1549" s="224" t="s">
        <v>469</v>
      </c>
      <c r="BH1549">
        <v>0</v>
      </c>
    </row>
    <row r="1550" spans="17:60">
      <c r="Q1550" s="224" t="s">
        <v>473</v>
      </c>
      <c r="R1550" s="224" t="s">
        <v>490</v>
      </c>
      <c r="S1550" s="224" t="s">
        <v>469</v>
      </c>
      <c r="T1550" s="224">
        <f ca="1">OFFSET('Calculations 2'!$C$45,W1550,X1550)*OFFSET($N$6,W1550,0)</f>
        <v>0.72625281756664661</v>
      </c>
      <c r="V1550">
        <f t="shared" si="74"/>
        <v>455</v>
      </c>
      <c r="W1550">
        <f t="shared" si="75"/>
        <v>26</v>
      </c>
      <c r="X1550">
        <f t="shared" si="76"/>
        <v>13</v>
      </c>
      <c r="AC1550" s="224" t="s">
        <v>473</v>
      </c>
      <c r="AD1550" s="224" t="s">
        <v>490</v>
      </c>
      <c r="AE1550" s="224" t="s">
        <v>469</v>
      </c>
      <c r="AF1550">
        <f ca="1">OFFSET('Calculations 2'!$CE$45,W1550,0)*OFFSET($AA$6,X1550,0)*OFFSET($N$6,W1550,)</f>
        <v>0</v>
      </c>
      <c r="AY1550" s="224" t="s">
        <v>473</v>
      </c>
      <c r="AZ1550" s="224" t="s">
        <v>490</v>
      </c>
      <c r="BA1550" s="224" t="s">
        <v>469</v>
      </c>
      <c r="BB1550">
        <v>0</v>
      </c>
      <c r="BE1550" s="224" t="s">
        <v>473</v>
      </c>
      <c r="BF1550" s="224" t="s">
        <v>490</v>
      </c>
      <c r="BG1550" s="224" t="s">
        <v>469</v>
      </c>
      <c r="BH1550">
        <v>0</v>
      </c>
    </row>
    <row r="1551" spans="17:60">
      <c r="Q1551" s="224" t="s">
        <v>233</v>
      </c>
      <c r="R1551" s="224" t="s">
        <v>490</v>
      </c>
      <c r="S1551" s="224" t="s">
        <v>469</v>
      </c>
      <c r="T1551" s="224">
        <f ca="1">OFFSET('Calculations 2'!$C$45,W1551,X1551)*OFFSET($N$6,W1551,0)</f>
        <v>0.35881811178160467</v>
      </c>
      <c r="V1551">
        <f t="shared" si="74"/>
        <v>456</v>
      </c>
      <c r="W1551">
        <f t="shared" si="75"/>
        <v>27</v>
      </c>
      <c r="X1551">
        <f t="shared" si="76"/>
        <v>13</v>
      </c>
      <c r="AC1551" s="224" t="s">
        <v>233</v>
      </c>
      <c r="AD1551" s="224" t="s">
        <v>490</v>
      </c>
      <c r="AE1551" s="224" t="s">
        <v>469</v>
      </c>
      <c r="AF1551">
        <f ca="1">OFFSET('Calculations 2'!$CE$45,W1551,0)*OFFSET($AA$6,X1551,0)*OFFSET($N$6,W1551,)</f>
        <v>0</v>
      </c>
      <c r="AY1551" s="224" t="s">
        <v>233</v>
      </c>
      <c r="AZ1551" s="224" t="s">
        <v>490</v>
      </c>
      <c r="BA1551" s="224" t="s">
        <v>469</v>
      </c>
      <c r="BB1551">
        <v>0</v>
      </c>
      <c r="BE1551" s="224" t="s">
        <v>233</v>
      </c>
      <c r="BF1551" s="224" t="s">
        <v>490</v>
      </c>
      <c r="BG1551" s="224" t="s">
        <v>469</v>
      </c>
      <c r="BH1551">
        <v>0</v>
      </c>
    </row>
    <row r="1552" spans="17:60">
      <c r="Q1552" s="224" t="s">
        <v>474</v>
      </c>
      <c r="R1552" s="224" t="s">
        <v>490</v>
      </c>
      <c r="S1552" s="224" t="s">
        <v>469</v>
      </c>
      <c r="T1552" s="224">
        <f ca="1">OFFSET('Calculations 2'!$C$45,W1552,X1552)*OFFSET($N$6,W1552,0)</f>
        <v>0.36638499843996875</v>
      </c>
      <c r="V1552">
        <f t="shared" si="74"/>
        <v>457</v>
      </c>
      <c r="W1552">
        <f t="shared" si="75"/>
        <v>28</v>
      </c>
      <c r="X1552">
        <f t="shared" si="76"/>
        <v>13</v>
      </c>
      <c r="AC1552" s="224" t="s">
        <v>474</v>
      </c>
      <c r="AD1552" s="224" t="s">
        <v>490</v>
      </c>
      <c r="AE1552" s="224" t="s">
        <v>469</v>
      </c>
      <c r="AF1552">
        <f ca="1">OFFSET('Calculations 2'!$CE$45,W1552,0)*OFFSET($AA$6,X1552,0)*OFFSET($N$6,W1552,)</f>
        <v>0</v>
      </c>
      <c r="AY1552" s="224" t="s">
        <v>474</v>
      </c>
      <c r="AZ1552" s="224" t="s">
        <v>490</v>
      </c>
      <c r="BA1552" s="224" t="s">
        <v>469</v>
      </c>
      <c r="BB1552">
        <v>0</v>
      </c>
      <c r="BE1552" s="224" t="s">
        <v>474</v>
      </c>
      <c r="BF1552" s="224" t="s">
        <v>490</v>
      </c>
      <c r="BG1552" s="224" t="s">
        <v>469</v>
      </c>
      <c r="BH1552">
        <v>0</v>
      </c>
    </row>
    <row r="1553" spans="17:60">
      <c r="Q1553" s="224" t="s">
        <v>223</v>
      </c>
      <c r="R1553" s="224" t="s">
        <v>490</v>
      </c>
      <c r="S1553" s="224" t="s">
        <v>469</v>
      </c>
      <c r="T1553" s="224">
        <f ca="1">OFFSET('Calculations 2'!$C$45,W1553,X1553)*OFFSET($N$6,W1553,0)</f>
        <v>2.6347466043395413</v>
      </c>
      <c r="V1553">
        <f t="shared" si="74"/>
        <v>458</v>
      </c>
      <c r="W1553">
        <f t="shared" si="75"/>
        <v>29</v>
      </c>
      <c r="X1553">
        <f t="shared" si="76"/>
        <v>13</v>
      </c>
      <c r="AC1553" s="224" t="s">
        <v>223</v>
      </c>
      <c r="AD1553" s="224" t="s">
        <v>490</v>
      </c>
      <c r="AE1553" s="224" t="s">
        <v>469</v>
      </c>
      <c r="AF1553">
        <f ca="1">OFFSET('Calculations 2'!$CE$45,W1553,0)*OFFSET($AA$6,X1553,0)*OFFSET($N$6,W1553,)</f>
        <v>0</v>
      </c>
      <c r="AY1553" s="224" t="s">
        <v>223</v>
      </c>
      <c r="AZ1553" s="224" t="s">
        <v>490</v>
      </c>
      <c r="BA1553" s="224" t="s">
        <v>469</v>
      </c>
      <c r="BB1553">
        <v>0</v>
      </c>
      <c r="BE1553" s="224" t="s">
        <v>223</v>
      </c>
      <c r="BF1553" s="224" t="s">
        <v>490</v>
      </c>
      <c r="BG1553" s="224" t="s">
        <v>469</v>
      </c>
      <c r="BH1553">
        <v>0</v>
      </c>
    </row>
    <row r="1554" spans="17:60">
      <c r="Q1554" s="224" t="s">
        <v>475</v>
      </c>
      <c r="R1554" s="224" t="s">
        <v>490</v>
      </c>
      <c r="S1554" s="224" t="s">
        <v>469</v>
      </c>
      <c r="T1554" s="224">
        <f ca="1">OFFSET('Calculations 2'!$C$45,W1554,X1554)*OFFSET($N$6,W1554,0)</f>
        <v>7.1591454475028859E-3</v>
      </c>
      <c r="V1554">
        <f t="shared" si="74"/>
        <v>459</v>
      </c>
      <c r="W1554">
        <f t="shared" si="75"/>
        <v>30</v>
      </c>
      <c r="X1554">
        <f t="shared" si="76"/>
        <v>13</v>
      </c>
      <c r="AC1554" s="224" t="s">
        <v>475</v>
      </c>
      <c r="AD1554" s="224" t="s">
        <v>490</v>
      </c>
      <c r="AE1554" s="224" t="s">
        <v>469</v>
      </c>
      <c r="AF1554">
        <f ca="1">OFFSET('Calculations 2'!$CE$45,W1554,0)*OFFSET($AA$6,X1554,0)*OFFSET($N$6,W1554,)</f>
        <v>0</v>
      </c>
      <c r="AY1554" s="224" t="s">
        <v>475</v>
      </c>
      <c r="AZ1554" s="224" t="s">
        <v>490</v>
      </c>
      <c r="BA1554" s="224" t="s">
        <v>469</v>
      </c>
      <c r="BB1554">
        <v>0</v>
      </c>
      <c r="BE1554" s="224" t="s">
        <v>475</v>
      </c>
      <c r="BF1554" s="224" t="s">
        <v>490</v>
      </c>
      <c r="BG1554" s="224" t="s">
        <v>469</v>
      </c>
      <c r="BH1554">
        <v>0</v>
      </c>
    </row>
    <row r="1555" spans="17:60">
      <c r="Q1555" s="224" t="s">
        <v>476</v>
      </c>
      <c r="R1555" s="224" t="s">
        <v>490</v>
      </c>
      <c r="S1555" s="224" t="s">
        <v>469</v>
      </c>
      <c r="T1555" s="224">
        <f ca="1">OFFSET('Calculations 2'!$C$45,W1555,X1555)*OFFSET($N$6,W1555,0)</f>
        <v>0.2384040667765315</v>
      </c>
      <c r="V1555">
        <f t="shared" si="74"/>
        <v>460</v>
      </c>
      <c r="W1555">
        <f t="shared" si="75"/>
        <v>31</v>
      </c>
      <c r="X1555">
        <f t="shared" si="76"/>
        <v>13</v>
      </c>
      <c r="AC1555" s="224" t="s">
        <v>476</v>
      </c>
      <c r="AD1555" s="224" t="s">
        <v>490</v>
      </c>
      <c r="AE1555" s="224" t="s">
        <v>469</v>
      </c>
      <c r="AF1555">
        <f ca="1">OFFSET('Calculations 2'!$CE$45,W1555,0)*OFFSET($AA$6,X1555,0)*OFFSET($N$6,W1555,)</f>
        <v>0</v>
      </c>
      <c r="AY1555" s="224" t="s">
        <v>476</v>
      </c>
      <c r="AZ1555" s="224" t="s">
        <v>490</v>
      </c>
      <c r="BA1555" s="224" t="s">
        <v>469</v>
      </c>
      <c r="BB1555">
        <v>0</v>
      </c>
      <c r="BE1555" s="224" t="s">
        <v>476</v>
      </c>
      <c r="BF1555" s="224" t="s">
        <v>490</v>
      </c>
      <c r="BG1555" s="224" t="s">
        <v>469</v>
      </c>
      <c r="BH1555">
        <v>0</v>
      </c>
    </row>
    <row r="1556" spans="17:60">
      <c r="Q1556" s="224" t="s">
        <v>222</v>
      </c>
      <c r="R1556" s="224" t="s">
        <v>490</v>
      </c>
      <c r="S1556" s="224" t="s">
        <v>469</v>
      </c>
      <c r="T1556" s="224">
        <f ca="1">OFFSET('Calculations 2'!$C$45,W1556,X1556)*OFFSET($N$6,W1556,0)</f>
        <v>0</v>
      </c>
      <c r="V1556">
        <f t="shared" si="74"/>
        <v>461</v>
      </c>
      <c r="W1556">
        <f t="shared" si="75"/>
        <v>32</v>
      </c>
      <c r="X1556">
        <f t="shared" si="76"/>
        <v>13</v>
      </c>
      <c r="AC1556" s="224" t="s">
        <v>222</v>
      </c>
      <c r="AD1556" s="224" t="s">
        <v>490</v>
      </c>
      <c r="AE1556" s="224" t="s">
        <v>469</v>
      </c>
      <c r="AF1556">
        <f ca="1">OFFSET('Calculations 2'!$CE$45,W1556,0)*OFFSET($AA$6,X1556,0)*OFFSET($N$6,W1556,)</f>
        <v>0</v>
      </c>
      <c r="AY1556" s="224" t="s">
        <v>222</v>
      </c>
      <c r="AZ1556" s="224" t="s">
        <v>490</v>
      </c>
      <c r="BA1556" s="224" t="s">
        <v>469</v>
      </c>
      <c r="BB1556">
        <v>0</v>
      </c>
      <c r="BE1556" s="224" t="s">
        <v>222</v>
      </c>
      <c r="BF1556" s="224" t="s">
        <v>490</v>
      </c>
      <c r="BG1556" s="224" t="s">
        <v>469</v>
      </c>
      <c r="BH1556">
        <v>0</v>
      </c>
    </row>
    <row r="1557" spans="17:60">
      <c r="Q1557" s="224" t="s">
        <v>217</v>
      </c>
      <c r="R1557" s="224" t="s">
        <v>490</v>
      </c>
      <c r="S1557" s="224" t="s">
        <v>245</v>
      </c>
      <c r="T1557" s="224">
        <f ca="1">OFFSET('Calculations 2'!$C$45,W1557,X1557)*OFFSET($N$6,W1557,0)</f>
        <v>0</v>
      </c>
      <c r="V1557">
        <f t="shared" si="74"/>
        <v>462</v>
      </c>
      <c r="W1557">
        <f t="shared" si="75"/>
        <v>0</v>
      </c>
      <c r="X1557">
        <f t="shared" si="76"/>
        <v>14</v>
      </c>
      <c r="AC1557" s="224" t="s">
        <v>217</v>
      </c>
      <c r="AD1557" s="224" t="s">
        <v>490</v>
      </c>
      <c r="AE1557" s="224" t="s">
        <v>245</v>
      </c>
      <c r="AF1557">
        <f ca="1">OFFSET('Calculations 2'!$CE$45,W1557,0)*OFFSET($AA$6,X1557,0)*OFFSET($N$6,W1557,)</f>
        <v>0.76237285621134765</v>
      </c>
      <c r="AY1557" s="224" t="s">
        <v>217</v>
      </c>
      <c r="AZ1557" s="224" t="s">
        <v>490</v>
      </c>
      <c r="BA1557" s="224" t="s">
        <v>245</v>
      </c>
      <c r="BB1557">
        <v>0</v>
      </c>
      <c r="BE1557" s="224" t="s">
        <v>217</v>
      </c>
      <c r="BF1557" s="224" t="s">
        <v>490</v>
      </c>
      <c r="BG1557" s="224" t="s">
        <v>245</v>
      </c>
      <c r="BH1557">
        <v>0</v>
      </c>
    </row>
    <row r="1558" spans="17:60">
      <c r="Q1558" s="224" t="s">
        <v>232</v>
      </c>
      <c r="R1558" s="224" t="s">
        <v>490</v>
      </c>
      <c r="S1558" s="224" t="s">
        <v>245</v>
      </c>
      <c r="T1558" s="224">
        <f ca="1">OFFSET('Calculations 2'!$C$45,W1558,X1558)*OFFSET($N$6,W1558,0)</f>
        <v>0</v>
      </c>
      <c r="V1558">
        <f t="shared" si="74"/>
        <v>463</v>
      </c>
      <c r="W1558">
        <f t="shared" si="75"/>
        <v>1</v>
      </c>
      <c r="X1558">
        <f t="shared" si="76"/>
        <v>14</v>
      </c>
      <c r="AC1558" s="224" t="s">
        <v>232</v>
      </c>
      <c r="AD1558" s="224" t="s">
        <v>490</v>
      </c>
      <c r="AE1558" s="224" t="s">
        <v>245</v>
      </c>
      <c r="AF1558">
        <f ca="1">OFFSET('Calculations 2'!$CE$45,W1558,0)*OFFSET($AA$6,X1558,0)*OFFSET($N$6,W1558,)</f>
        <v>1.2027436252977113</v>
      </c>
      <c r="AY1558" s="224" t="s">
        <v>232</v>
      </c>
      <c r="AZ1558" s="224" t="s">
        <v>490</v>
      </c>
      <c r="BA1558" s="224" t="s">
        <v>245</v>
      </c>
      <c r="BB1558">
        <v>0</v>
      </c>
      <c r="BE1558" s="224" t="s">
        <v>232</v>
      </c>
      <c r="BF1558" s="224" t="s">
        <v>490</v>
      </c>
      <c r="BG1558" s="224" t="s">
        <v>245</v>
      </c>
      <c r="BH1558">
        <v>0</v>
      </c>
    </row>
    <row r="1559" spans="17:60">
      <c r="Q1559" s="224" t="s">
        <v>226</v>
      </c>
      <c r="R1559" s="224" t="s">
        <v>490</v>
      </c>
      <c r="S1559" s="224" t="s">
        <v>245</v>
      </c>
      <c r="T1559" s="224">
        <f ca="1">OFFSET('Calculations 2'!$C$45,W1559,X1559)*OFFSET($N$6,W1559,0)</f>
        <v>5.5819649677987131E-2</v>
      </c>
      <c r="V1559">
        <f t="shared" si="74"/>
        <v>464</v>
      </c>
      <c r="W1559">
        <f t="shared" si="75"/>
        <v>2</v>
      </c>
      <c r="X1559">
        <f t="shared" si="76"/>
        <v>14</v>
      </c>
      <c r="AC1559" s="224" t="s">
        <v>226</v>
      </c>
      <c r="AD1559" s="224" t="s">
        <v>490</v>
      </c>
      <c r="AE1559" s="224" t="s">
        <v>245</v>
      </c>
      <c r="AF1559">
        <f ca="1">OFFSET('Calculations 2'!$CE$45,W1559,0)*OFFSET($AA$6,X1559,0)*OFFSET($N$6,W1559,)</f>
        <v>0.30096328533059186</v>
      </c>
      <c r="AY1559" s="224" t="s">
        <v>226</v>
      </c>
      <c r="AZ1559" s="224" t="s">
        <v>490</v>
      </c>
      <c r="BA1559" s="224" t="s">
        <v>245</v>
      </c>
      <c r="BB1559">
        <v>0</v>
      </c>
      <c r="BE1559" s="224" t="s">
        <v>226</v>
      </c>
      <c r="BF1559" s="224" t="s">
        <v>490</v>
      </c>
      <c r="BG1559" s="224" t="s">
        <v>245</v>
      </c>
      <c r="BH1559">
        <v>0</v>
      </c>
    </row>
    <row r="1560" spans="17:60">
      <c r="Q1560" s="224" t="s">
        <v>243</v>
      </c>
      <c r="R1560" s="224" t="s">
        <v>490</v>
      </c>
      <c r="S1560" s="224" t="s">
        <v>245</v>
      </c>
      <c r="T1560" s="224">
        <f ca="1">OFFSET('Calculations 2'!$C$45,W1560,X1560)*OFFSET($N$6,W1560,0)</f>
        <v>60.784699540489228</v>
      </c>
      <c r="V1560">
        <f t="shared" si="74"/>
        <v>465</v>
      </c>
      <c r="W1560">
        <f t="shared" si="75"/>
        <v>3</v>
      </c>
      <c r="X1560">
        <f t="shared" si="76"/>
        <v>14</v>
      </c>
      <c r="AC1560" s="224" t="s">
        <v>243</v>
      </c>
      <c r="AD1560" s="224" t="s">
        <v>490</v>
      </c>
      <c r="AE1560" s="224" t="s">
        <v>245</v>
      </c>
      <c r="AF1560">
        <f ca="1">OFFSET('Calculations 2'!$CE$45,W1560,0)*OFFSET($AA$6,X1560,0)*OFFSET($N$6,W1560,)</f>
        <v>5.9061098374106047</v>
      </c>
      <c r="AY1560" s="224" t="s">
        <v>243</v>
      </c>
      <c r="AZ1560" s="224" t="s">
        <v>490</v>
      </c>
      <c r="BA1560" s="224" t="s">
        <v>245</v>
      </c>
      <c r="BB1560">
        <v>0</v>
      </c>
      <c r="BE1560" s="224" t="s">
        <v>243</v>
      </c>
      <c r="BF1560" s="224" t="s">
        <v>490</v>
      </c>
      <c r="BG1560" s="224" t="s">
        <v>245</v>
      </c>
      <c r="BH1560">
        <v>0</v>
      </c>
    </row>
    <row r="1561" spans="17:60">
      <c r="Q1561" s="224" t="s">
        <v>228</v>
      </c>
      <c r="R1561" s="224" t="s">
        <v>490</v>
      </c>
      <c r="S1561" s="224" t="s">
        <v>245</v>
      </c>
      <c r="T1561" s="224">
        <f ca="1">OFFSET('Calculations 2'!$C$45,W1561,X1561)*OFFSET($N$6,W1561,0)</f>
        <v>0</v>
      </c>
      <c r="V1561">
        <f t="shared" si="74"/>
        <v>466</v>
      </c>
      <c r="W1561">
        <f t="shared" si="75"/>
        <v>4</v>
      </c>
      <c r="X1561">
        <f t="shared" si="76"/>
        <v>14</v>
      </c>
      <c r="AC1561" s="224" t="s">
        <v>228</v>
      </c>
      <c r="AD1561" s="224" t="s">
        <v>490</v>
      </c>
      <c r="AE1561" s="224" t="s">
        <v>245</v>
      </c>
      <c r="AF1561">
        <f ca="1">OFFSET('Calculations 2'!$CE$45,W1561,0)*OFFSET($AA$6,X1561,0)*OFFSET($N$6,W1561,)</f>
        <v>3.0780841416249252</v>
      </c>
      <c r="AY1561" s="224" t="s">
        <v>228</v>
      </c>
      <c r="AZ1561" s="224" t="s">
        <v>490</v>
      </c>
      <c r="BA1561" s="224" t="s">
        <v>245</v>
      </c>
      <c r="BB1561">
        <v>0</v>
      </c>
      <c r="BE1561" s="224" t="s">
        <v>228</v>
      </c>
      <c r="BF1561" s="224" t="s">
        <v>490</v>
      </c>
      <c r="BG1561" s="224" t="s">
        <v>245</v>
      </c>
      <c r="BH1561">
        <v>0</v>
      </c>
    </row>
    <row r="1562" spans="17:60">
      <c r="Q1562" s="224" t="s">
        <v>246</v>
      </c>
      <c r="R1562" s="224" t="s">
        <v>490</v>
      </c>
      <c r="S1562" s="224" t="s">
        <v>245</v>
      </c>
      <c r="T1562" s="224">
        <f ca="1">OFFSET('Calculations 2'!$C$45,W1562,X1562)*OFFSET($N$6,W1562,0)</f>
        <v>0.29898227243938075</v>
      </c>
      <c r="V1562">
        <f t="shared" si="74"/>
        <v>467</v>
      </c>
      <c r="W1562">
        <f t="shared" si="75"/>
        <v>5</v>
      </c>
      <c r="X1562">
        <f t="shared" si="76"/>
        <v>14</v>
      </c>
      <c r="AC1562" s="224" t="s">
        <v>246</v>
      </c>
      <c r="AD1562" s="224" t="s">
        <v>490</v>
      </c>
      <c r="AE1562" s="224" t="s">
        <v>245</v>
      </c>
      <c r="AF1562">
        <f ca="1">OFFSET('Calculations 2'!$CE$45,W1562,0)*OFFSET($AA$6,X1562,0)*OFFSET($N$6,W1562,)</f>
        <v>5.5095372841231838E-2</v>
      </c>
      <c r="AY1562" s="224" t="s">
        <v>246</v>
      </c>
      <c r="AZ1562" s="224" t="s">
        <v>490</v>
      </c>
      <c r="BA1562" s="224" t="s">
        <v>245</v>
      </c>
      <c r="BB1562">
        <v>0</v>
      </c>
      <c r="BE1562" s="224" t="s">
        <v>246</v>
      </c>
      <c r="BF1562" s="224" t="s">
        <v>490</v>
      </c>
      <c r="BG1562" s="224" t="s">
        <v>245</v>
      </c>
      <c r="BH1562">
        <v>0</v>
      </c>
    </row>
    <row r="1563" spans="17:60">
      <c r="Q1563" s="224" t="s">
        <v>239</v>
      </c>
      <c r="R1563" s="224" t="s">
        <v>490</v>
      </c>
      <c r="S1563" s="224" t="s">
        <v>245</v>
      </c>
      <c r="T1563" s="224">
        <f ca="1">OFFSET('Calculations 2'!$C$45,W1563,X1563)*OFFSET($N$6,W1563,0)</f>
        <v>0.20729184690689392</v>
      </c>
      <c r="V1563">
        <f t="shared" si="74"/>
        <v>468</v>
      </c>
      <c r="W1563">
        <f t="shared" si="75"/>
        <v>6</v>
      </c>
      <c r="X1563">
        <f t="shared" si="76"/>
        <v>14</v>
      </c>
      <c r="AC1563" s="224" t="s">
        <v>239</v>
      </c>
      <c r="AD1563" s="224" t="s">
        <v>490</v>
      </c>
      <c r="AE1563" s="224" t="s">
        <v>245</v>
      </c>
      <c r="AF1563">
        <f ca="1">OFFSET('Calculations 2'!$CE$45,W1563,0)*OFFSET($AA$6,X1563,0)*OFFSET($N$6,W1563,)</f>
        <v>0.79336891378378283</v>
      </c>
      <c r="AY1563" s="224" t="s">
        <v>239</v>
      </c>
      <c r="AZ1563" s="224" t="s">
        <v>490</v>
      </c>
      <c r="BA1563" s="224" t="s">
        <v>245</v>
      </c>
      <c r="BB1563">
        <v>0</v>
      </c>
      <c r="BE1563" s="224" t="s">
        <v>239</v>
      </c>
      <c r="BF1563" s="224" t="s">
        <v>490</v>
      </c>
      <c r="BG1563" s="224" t="s">
        <v>245</v>
      </c>
      <c r="BH1563">
        <v>0</v>
      </c>
    </row>
    <row r="1564" spans="17:60">
      <c r="Q1564" s="224" t="s">
        <v>466</v>
      </c>
      <c r="R1564" s="224" t="s">
        <v>490</v>
      </c>
      <c r="S1564" s="224" t="s">
        <v>245</v>
      </c>
      <c r="T1564" s="224">
        <f ca="1">OFFSET('Calculations 2'!$C$45,W1564,X1564)*OFFSET($N$6,W1564,0)</f>
        <v>5.7738212712782886</v>
      </c>
      <c r="V1564">
        <f t="shared" si="74"/>
        <v>469</v>
      </c>
      <c r="W1564">
        <f t="shared" si="75"/>
        <v>7</v>
      </c>
      <c r="X1564">
        <f t="shared" si="76"/>
        <v>14</v>
      </c>
      <c r="AC1564" s="224" t="s">
        <v>466</v>
      </c>
      <c r="AD1564" s="224" t="s">
        <v>490</v>
      </c>
      <c r="AE1564" s="224" t="s">
        <v>245</v>
      </c>
      <c r="AF1564">
        <f ca="1">OFFSET('Calculations 2'!$CE$45,W1564,0)*OFFSET($AA$6,X1564,0)*OFFSET($N$6,W1564,)</f>
        <v>0.19977955998656191</v>
      </c>
      <c r="AY1564" s="224" t="s">
        <v>466</v>
      </c>
      <c r="AZ1564" s="224" t="s">
        <v>490</v>
      </c>
      <c r="BA1564" s="224" t="s">
        <v>245</v>
      </c>
      <c r="BB1564">
        <v>0</v>
      </c>
      <c r="BE1564" s="224" t="s">
        <v>466</v>
      </c>
      <c r="BF1564" s="224" t="s">
        <v>490</v>
      </c>
      <c r="BG1564" s="224" t="s">
        <v>245</v>
      </c>
      <c r="BH1564">
        <v>0</v>
      </c>
    </row>
    <row r="1565" spans="17:60">
      <c r="Q1565" s="224" t="s">
        <v>219</v>
      </c>
      <c r="R1565" s="224" t="s">
        <v>490</v>
      </c>
      <c r="S1565" s="224" t="s">
        <v>245</v>
      </c>
      <c r="T1565" s="224">
        <f ca="1">OFFSET('Calculations 2'!$C$45,W1565,X1565)*OFFSET($N$6,W1565,0)</f>
        <v>64.602084710303359</v>
      </c>
      <c r="V1565">
        <f t="shared" si="74"/>
        <v>470</v>
      </c>
      <c r="W1565">
        <f t="shared" si="75"/>
        <v>8</v>
      </c>
      <c r="X1565">
        <f t="shared" si="76"/>
        <v>14</v>
      </c>
      <c r="AC1565" s="224" t="s">
        <v>219</v>
      </c>
      <c r="AD1565" s="224" t="s">
        <v>490</v>
      </c>
      <c r="AE1565" s="224" t="s">
        <v>245</v>
      </c>
      <c r="AF1565">
        <f ca="1">OFFSET('Calculations 2'!$CE$45,W1565,0)*OFFSET($AA$6,X1565,0)*OFFSET($N$6,W1565,)</f>
        <v>2.7386452415951195</v>
      </c>
      <c r="AY1565" s="224" t="s">
        <v>219</v>
      </c>
      <c r="AZ1565" s="224" t="s">
        <v>490</v>
      </c>
      <c r="BA1565" s="224" t="s">
        <v>245</v>
      </c>
      <c r="BB1565">
        <v>0</v>
      </c>
      <c r="BE1565" s="224" t="s">
        <v>219</v>
      </c>
      <c r="BF1565" s="224" t="s">
        <v>490</v>
      </c>
      <c r="BG1565" s="224" t="s">
        <v>245</v>
      </c>
      <c r="BH1565">
        <v>0</v>
      </c>
    </row>
    <row r="1566" spans="17:60">
      <c r="Q1566" s="224" t="s">
        <v>242</v>
      </c>
      <c r="R1566" s="224" t="s">
        <v>490</v>
      </c>
      <c r="S1566" s="224" t="s">
        <v>245</v>
      </c>
      <c r="T1566" s="224">
        <f ca="1">OFFSET('Calculations 2'!$C$45,W1566,X1566)*OFFSET($N$6,W1566,0)</f>
        <v>22.979095921112052</v>
      </c>
      <c r="V1566">
        <f t="shared" si="74"/>
        <v>471</v>
      </c>
      <c r="W1566">
        <f t="shared" si="75"/>
        <v>9</v>
      </c>
      <c r="X1566">
        <f t="shared" si="76"/>
        <v>14</v>
      </c>
      <c r="AC1566" s="224" t="s">
        <v>242</v>
      </c>
      <c r="AD1566" s="224" t="s">
        <v>490</v>
      </c>
      <c r="AE1566" s="224" t="s">
        <v>245</v>
      </c>
      <c r="AF1566">
        <f ca="1">OFFSET('Calculations 2'!$CE$45,W1566,0)*OFFSET($AA$6,X1566,0)*OFFSET($N$6,W1566,)</f>
        <v>2.0974382319797189</v>
      </c>
      <c r="AY1566" s="224" t="s">
        <v>242</v>
      </c>
      <c r="AZ1566" s="224" t="s">
        <v>490</v>
      </c>
      <c r="BA1566" s="224" t="s">
        <v>245</v>
      </c>
      <c r="BB1566">
        <v>0</v>
      </c>
      <c r="BE1566" s="224" t="s">
        <v>242</v>
      </c>
      <c r="BF1566" s="224" t="s">
        <v>490</v>
      </c>
      <c r="BG1566" s="224" t="s">
        <v>245</v>
      </c>
      <c r="BH1566">
        <v>0</v>
      </c>
    </row>
    <row r="1567" spans="17:60">
      <c r="Q1567" s="224" t="s">
        <v>467</v>
      </c>
      <c r="R1567" s="224" t="s">
        <v>490</v>
      </c>
      <c r="S1567" s="224" t="s">
        <v>245</v>
      </c>
      <c r="T1567" s="224">
        <f ca="1">OFFSET('Calculations 2'!$C$45,W1567,X1567)*OFFSET($N$6,W1567,0)</f>
        <v>1.7432439154980337</v>
      </c>
      <c r="V1567">
        <f t="shared" si="74"/>
        <v>472</v>
      </c>
      <c r="W1567">
        <f t="shared" si="75"/>
        <v>10</v>
      </c>
      <c r="X1567">
        <f t="shared" si="76"/>
        <v>14</v>
      </c>
      <c r="AC1567" s="224" t="s">
        <v>467</v>
      </c>
      <c r="AD1567" s="224" t="s">
        <v>490</v>
      </c>
      <c r="AE1567" s="224" t="s">
        <v>245</v>
      </c>
      <c r="AF1567">
        <f ca="1">OFFSET('Calculations 2'!$CE$45,W1567,0)*OFFSET($AA$6,X1567,0)*OFFSET($N$6,W1567,)</f>
        <v>0.79175640408254455</v>
      </c>
      <c r="AY1567" s="224" t="s">
        <v>467</v>
      </c>
      <c r="AZ1567" s="224" t="s">
        <v>490</v>
      </c>
      <c r="BA1567" s="224" t="s">
        <v>245</v>
      </c>
      <c r="BB1567">
        <v>0</v>
      </c>
      <c r="BE1567" s="224" t="s">
        <v>467</v>
      </c>
      <c r="BF1567" s="224" t="s">
        <v>490</v>
      </c>
      <c r="BG1567" s="224" t="s">
        <v>245</v>
      </c>
      <c r="BH1567">
        <v>0</v>
      </c>
    </row>
    <row r="1568" spans="17:60">
      <c r="Q1568" s="224" t="s">
        <v>231</v>
      </c>
      <c r="R1568" s="224" t="s">
        <v>490</v>
      </c>
      <c r="S1568" s="224" t="s">
        <v>245</v>
      </c>
      <c r="T1568" s="224">
        <f ca="1">OFFSET('Calculations 2'!$C$45,W1568,X1568)*OFFSET($N$6,W1568,0)</f>
        <v>177.97125759748764</v>
      </c>
      <c r="V1568">
        <f t="shared" si="74"/>
        <v>473</v>
      </c>
      <c r="W1568">
        <f t="shared" si="75"/>
        <v>11</v>
      </c>
      <c r="X1568">
        <f t="shared" si="76"/>
        <v>14</v>
      </c>
      <c r="AC1568" s="224" t="s">
        <v>231</v>
      </c>
      <c r="AD1568" s="224" t="s">
        <v>490</v>
      </c>
      <c r="AE1568" s="224" t="s">
        <v>245</v>
      </c>
      <c r="AF1568">
        <f ca="1">OFFSET('Calculations 2'!$CE$45,W1568,0)*OFFSET($AA$6,X1568,0)*OFFSET($N$6,W1568,)</f>
        <v>9.9105249164971738</v>
      </c>
      <c r="AY1568" s="224" t="s">
        <v>231</v>
      </c>
      <c r="AZ1568" s="224" t="s">
        <v>490</v>
      </c>
      <c r="BA1568" s="224" t="s">
        <v>245</v>
      </c>
      <c r="BB1568">
        <v>0</v>
      </c>
      <c r="BE1568" s="224" t="s">
        <v>231</v>
      </c>
      <c r="BF1568" s="224" t="s">
        <v>490</v>
      </c>
      <c r="BG1568" s="224" t="s">
        <v>245</v>
      </c>
      <c r="BH1568">
        <v>0</v>
      </c>
    </row>
    <row r="1569" spans="17:60">
      <c r="Q1569" s="224" t="s">
        <v>468</v>
      </c>
      <c r="R1569" s="224" t="s">
        <v>490</v>
      </c>
      <c r="S1569" s="224" t="s">
        <v>245</v>
      </c>
      <c r="T1569" s="224">
        <f ca="1">OFFSET('Calculations 2'!$C$45,W1569,X1569)*OFFSET($N$6,W1569,0)</f>
        <v>38.151294770500101</v>
      </c>
      <c r="V1569">
        <f t="shared" si="74"/>
        <v>474</v>
      </c>
      <c r="W1569">
        <f t="shared" si="75"/>
        <v>12</v>
      </c>
      <c r="X1569">
        <f t="shared" si="76"/>
        <v>14</v>
      </c>
      <c r="AC1569" s="224" t="s">
        <v>468</v>
      </c>
      <c r="AD1569" s="224" t="s">
        <v>490</v>
      </c>
      <c r="AE1569" s="224" t="s">
        <v>245</v>
      </c>
      <c r="AF1569">
        <f ca="1">OFFSET('Calculations 2'!$CE$45,W1569,0)*OFFSET($AA$6,X1569,0)*OFFSET($N$6,W1569,)</f>
        <v>37.964960361647584</v>
      </c>
      <c r="AY1569" s="224" t="s">
        <v>468</v>
      </c>
      <c r="AZ1569" s="224" t="s">
        <v>490</v>
      </c>
      <c r="BA1569" s="224" t="s">
        <v>245</v>
      </c>
      <c r="BB1569">
        <v>0</v>
      </c>
      <c r="BE1569" s="224" t="s">
        <v>468</v>
      </c>
      <c r="BF1569" s="224" t="s">
        <v>490</v>
      </c>
      <c r="BG1569" s="224" t="s">
        <v>245</v>
      </c>
      <c r="BH1569">
        <v>0</v>
      </c>
    </row>
    <row r="1570" spans="17:60">
      <c r="Q1570" s="224" t="s">
        <v>469</v>
      </c>
      <c r="R1570" s="224" t="s">
        <v>490</v>
      </c>
      <c r="S1570" s="224" t="s">
        <v>245</v>
      </c>
      <c r="T1570" s="224">
        <f ca="1">OFFSET('Calculations 2'!$C$45,W1570,X1570)*OFFSET($N$6,W1570,0)</f>
        <v>207.84041544663353</v>
      </c>
      <c r="V1570">
        <f t="shared" si="74"/>
        <v>475</v>
      </c>
      <c r="W1570">
        <f t="shared" si="75"/>
        <v>13</v>
      </c>
      <c r="X1570">
        <f t="shared" si="76"/>
        <v>14</v>
      </c>
      <c r="AC1570" s="224" t="s">
        <v>469</v>
      </c>
      <c r="AD1570" s="224" t="s">
        <v>490</v>
      </c>
      <c r="AE1570" s="224" t="s">
        <v>245</v>
      </c>
      <c r="AF1570">
        <f ca="1">OFFSET('Calculations 2'!$CE$45,W1570,0)*OFFSET($AA$6,X1570,0)*OFFSET($N$6,W1570,)</f>
        <v>20.355653623779631</v>
      </c>
      <c r="AY1570" s="224" t="s">
        <v>469</v>
      </c>
      <c r="AZ1570" s="224" t="s">
        <v>490</v>
      </c>
      <c r="BA1570" s="224" t="s">
        <v>245</v>
      </c>
      <c r="BB1570">
        <v>0</v>
      </c>
      <c r="BE1570" s="224" t="s">
        <v>469</v>
      </c>
      <c r="BF1570" s="224" t="s">
        <v>490</v>
      </c>
      <c r="BG1570" s="224" t="s">
        <v>245</v>
      </c>
      <c r="BH1570">
        <v>0</v>
      </c>
    </row>
    <row r="1571" spans="17:60">
      <c r="Q1571" s="224" t="s">
        <v>245</v>
      </c>
      <c r="R1571" s="224" t="s">
        <v>490</v>
      </c>
      <c r="S1571" s="224" t="s">
        <v>245</v>
      </c>
      <c r="T1571" s="224">
        <f ca="1">OFFSET('Calculations 2'!$C$45,W1571,X1571)*OFFSET($N$6,W1571,0)</f>
        <v>73.372104569897317</v>
      </c>
      <c r="V1571">
        <f t="shared" si="74"/>
        <v>476</v>
      </c>
      <c r="W1571">
        <f t="shared" si="75"/>
        <v>14</v>
      </c>
      <c r="X1571">
        <f t="shared" si="76"/>
        <v>14</v>
      </c>
      <c r="AC1571" s="224" t="s">
        <v>245</v>
      </c>
      <c r="AD1571" s="224" t="s">
        <v>490</v>
      </c>
      <c r="AE1571" s="224" t="s">
        <v>245</v>
      </c>
      <c r="AF1571">
        <f ca="1">OFFSET('Calculations 2'!$CE$45,W1571,0)*OFFSET($AA$6,X1571,0)*OFFSET($N$6,W1571,)</f>
        <v>32.485333644895313</v>
      </c>
      <c r="AY1571" s="224" t="s">
        <v>245</v>
      </c>
      <c r="AZ1571" s="224" t="s">
        <v>490</v>
      </c>
      <c r="BA1571" s="224" t="s">
        <v>245</v>
      </c>
      <c r="BB1571">
        <v>0</v>
      </c>
      <c r="BE1571" s="224" t="s">
        <v>245</v>
      </c>
      <c r="BF1571" s="224" t="s">
        <v>490</v>
      </c>
      <c r="BG1571" s="224" t="s">
        <v>245</v>
      </c>
      <c r="BH1571">
        <v>0</v>
      </c>
    </row>
    <row r="1572" spans="17:60">
      <c r="Q1572" s="224" t="s">
        <v>470</v>
      </c>
      <c r="R1572" s="224" t="s">
        <v>490</v>
      </c>
      <c r="S1572" s="224" t="s">
        <v>245</v>
      </c>
      <c r="T1572" s="224">
        <f ca="1">OFFSET('Calculations 2'!$C$45,W1572,X1572)*OFFSET($N$6,W1572,0)</f>
        <v>13.01492998271117</v>
      </c>
      <c r="V1572">
        <f t="shared" si="74"/>
        <v>477</v>
      </c>
      <c r="W1572">
        <f t="shared" si="75"/>
        <v>15</v>
      </c>
      <c r="X1572">
        <f t="shared" si="76"/>
        <v>14</v>
      </c>
      <c r="AC1572" s="224" t="s">
        <v>470</v>
      </c>
      <c r="AD1572" s="224" t="s">
        <v>490</v>
      </c>
      <c r="AE1572" s="224" t="s">
        <v>245</v>
      </c>
      <c r="AF1572">
        <f ca="1">OFFSET('Calculations 2'!$CE$45,W1572,0)*OFFSET($AA$6,X1572,0)*OFFSET($N$6,W1572,)</f>
        <v>12.326061803699353</v>
      </c>
      <c r="AY1572" s="224" t="s">
        <v>470</v>
      </c>
      <c r="AZ1572" s="224" t="s">
        <v>490</v>
      </c>
      <c r="BA1572" s="224" t="s">
        <v>245</v>
      </c>
      <c r="BB1572">
        <v>0</v>
      </c>
      <c r="BE1572" s="224" t="s">
        <v>470</v>
      </c>
      <c r="BF1572" s="224" t="s">
        <v>490</v>
      </c>
      <c r="BG1572" s="224" t="s">
        <v>245</v>
      </c>
      <c r="BH1572">
        <v>0</v>
      </c>
    </row>
    <row r="1573" spans="17:60">
      <c r="Q1573" s="224" t="s">
        <v>471</v>
      </c>
      <c r="R1573" s="224" t="s">
        <v>490</v>
      </c>
      <c r="S1573" s="224" t="s">
        <v>245</v>
      </c>
      <c r="T1573" s="224">
        <f ca="1">OFFSET('Calculations 2'!$C$45,W1573,X1573)*OFFSET($N$6,W1573,0)</f>
        <v>7.8875274844231361E-2</v>
      </c>
      <c r="V1573">
        <f t="shared" si="74"/>
        <v>478</v>
      </c>
      <c r="W1573">
        <f t="shared" si="75"/>
        <v>16</v>
      </c>
      <c r="X1573">
        <f t="shared" si="76"/>
        <v>14</v>
      </c>
      <c r="AC1573" s="224" t="s">
        <v>471</v>
      </c>
      <c r="AD1573" s="224" t="s">
        <v>490</v>
      </c>
      <c r="AE1573" s="224" t="s">
        <v>245</v>
      </c>
      <c r="AF1573">
        <f ca="1">OFFSET('Calculations 2'!$CE$45,W1573,0)*OFFSET($AA$6,X1573,0)*OFFSET($N$6,W1573,)</f>
        <v>0</v>
      </c>
      <c r="AY1573" s="224" t="s">
        <v>471</v>
      </c>
      <c r="AZ1573" s="224" t="s">
        <v>490</v>
      </c>
      <c r="BA1573" s="224" t="s">
        <v>245</v>
      </c>
      <c r="BB1573">
        <v>0</v>
      </c>
      <c r="BE1573" s="224" t="s">
        <v>471</v>
      </c>
      <c r="BF1573" s="224" t="s">
        <v>490</v>
      </c>
      <c r="BG1573" s="224" t="s">
        <v>245</v>
      </c>
      <c r="BH1573">
        <v>0</v>
      </c>
    </row>
    <row r="1574" spans="17:60">
      <c r="Q1574" s="224" t="s">
        <v>221</v>
      </c>
      <c r="R1574" s="224" t="s">
        <v>490</v>
      </c>
      <c r="S1574" s="224" t="s">
        <v>245</v>
      </c>
      <c r="T1574" s="224">
        <f ca="1">OFFSET('Calculations 2'!$C$45,W1574,X1574)*OFFSET($N$6,W1574,0)</f>
        <v>0</v>
      </c>
      <c r="V1574">
        <f t="shared" si="74"/>
        <v>479</v>
      </c>
      <c r="W1574">
        <f t="shared" si="75"/>
        <v>17</v>
      </c>
      <c r="X1574">
        <f t="shared" si="76"/>
        <v>14</v>
      </c>
      <c r="AC1574" s="224" t="s">
        <v>221</v>
      </c>
      <c r="AD1574" s="224" t="s">
        <v>490</v>
      </c>
      <c r="AE1574" s="224" t="s">
        <v>245</v>
      </c>
      <c r="AF1574">
        <f ca="1">OFFSET('Calculations 2'!$CE$45,W1574,0)*OFFSET($AA$6,X1574,0)*OFFSET($N$6,W1574,)</f>
        <v>2.4128975692703616</v>
      </c>
      <c r="AY1574" s="224" t="s">
        <v>221</v>
      </c>
      <c r="AZ1574" s="224" t="s">
        <v>490</v>
      </c>
      <c r="BA1574" s="224" t="s">
        <v>245</v>
      </c>
      <c r="BB1574">
        <v>0</v>
      </c>
      <c r="BE1574" s="224" t="s">
        <v>221</v>
      </c>
      <c r="BF1574" s="224" t="s">
        <v>490</v>
      </c>
      <c r="BG1574" s="224" t="s">
        <v>245</v>
      </c>
      <c r="BH1574">
        <v>0</v>
      </c>
    </row>
    <row r="1575" spans="17:60">
      <c r="Q1575" s="224" t="s">
        <v>244</v>
      </c>
      <c r="R1575" s="224" t="s">
        <v>490</v>
      </c>
      <c r="S1575" s="224" t="s">
        <v>245</v>
      </c>
      <c r="T1575" s="224">
        <f ca="1">OFFSET('Calculations 2'!$C$45,W1575,X1575)*OFFSET($N$6,W1575,0)</f>
        <v>1.4818814880182583</v>
      </c>
      <c r="V1575">
        <f t="shared" si="74"/>
        <v>480</v>
      </c>
      <c r="W1575">
        <f t="shared" si="75"/>
        <v>18</v>
      </c>
      <c r="X1575">
        <f t="shared" si="76"/>
        <v>14</v>
      </c>
      <c r="AC1575" s="224" t="s">
        <v>244</v>
      </c>
      <c r="AD1575" s="224" t="s">
        <v>490</v>
      </c>
      <c r="AE1575" s="224" t="s">
        <v>245</v>
      </c>
      <c r="AF1575">
        <f ca="1">OFFSET('Calculations 2'!$CE$45,W1575,0)*OFFSET($AA$6,X1575,0)*OFFSET($N$6,W1575,)</f>
        <v>0.21111216077721967</v>
      </c>
      <c r="AY1575" s="224" t="s">
        <v>244</v>
      </c>
      <c r="AZ1575" s="224" t="s">
        <v>490</v>
      </c>
      <c r="BA1575" s="224" t="s">
        <v>245</v>
      </c>
      <c r="BB1575">
        <v>0</v>
      </c>
      <c r="BE1575" s="224" t="s">
        <v>244</v>
      </c>
      <c r="BF1575" s="224" t="s">
        <v>490</v>
      </c>
      <c r="BG1575" s="224" t="s">
        <v>245</v>
      </c>
      <c r="BH1575">
        <v>0</v>
      </c>
    </row>
    <row r="1576" spans="17:60">
      <c r="Q1576" s="224" t="s">
        <v>472</v>
      </c>
      <c r="R1576" s="224" t="s">
        <v>490</v>
      </c>
      <c r="S1576" s="224" t="s">
        <v>245</v>
      </c>
      <c r="T1576" s="224">
        <f ca="1">OFFSET('Calculations 2'!$C$45,W1576,X1576)*OFFSET($N$6,W1576,0)</f>
        <v>0</v>
      </c>
      <c r="V1576">
        <f t="shared" si="74"/>
        <v>481</v>
      </c>
      <c r="W1576">
        <f t="shared" si="75"/>
        <v>19</v>
      </c>
      <c r="X1576">
        <f t="shared" si="76"/>
        <v>14</v>
      </c>
      <c r="AC1576" s="224" t="s">
        <v>472</v>
      </c>
      <c r="AD1576" s="224" t="s">
        <v>490</v>
      </c>
      <c r="AE1576" s="224" t="s">
        <v>245</v>
      </c>
      <c r="AF1576">
        <f ca="1">OFFSET('Calculations 2'!$CE$45,W1576,0)*OFFSET($AA$6,X1576,0)*OFFSET($N$6,W1576,)</f>
        <v>0</v>
      </c>
      <c r="AY1576" s="224" t="s">
        <v>472</v>
      </c>
      <c r="AZ1576" s="224" t="s">
        <v>490</v>
      </c>
      <c r="BA1576" s="224" t="s">
        <v>245</v>
      </c>
      <c r="BB1576">
        <v>0</v>
      </c>
      <c r="BE1576" s="224" t="s">
        <v>472</v>
      </c>
      <c r="BF1576" s="224" t="s">
        <v>490</v>
      </c>
      <c r="BG1576" s="224" t="s">
        <v>245</v>
      </c>
      <c r="BH1576">
        <v>0</v>
      </c>
    </row>
    <row r="1577" spans="17:60">
      <c r="Q1577" s="224" t="s">
        <v>238</v>
      </c>
      <c r="R1577" s="224" t="s">
        <v>490</v>
      </c>
      <c r="S1577" s="224" t="s">
        <v>245</v>
      </c>
      <c r="T1577" s="224">
        <f ca="1">OFFSET('Calculations 2'!$C$45,W1577,X1577)*OFFSET($N$6,W1577,0)</f>
        <v>2.1854508847356444E-2</v>
      </c>
      <c r="V1577">
        <f t="shared" si="74"/>
        <v>482</v>
      </c>
      <c r="W1577">
        <f t="shared" si="75"/>
        <v>20</v>
      </c>
      <c r="X1577">
        <f t="shared" si="76"/>
        <v>14</v>
      </c>
      <c r="AC1577" s="224" t="s">
        <v>238</v>
      </c>
      <c r="AD1577" s="224" t="s">
        <v>490</v>
      </c>
      <c r="AE1577" s="224" t="s">
        <v>245</v>
      </c>
      <c r="AF1577">
        <f ca="1">OFFSET('Calculations 2'!$CE$45,W1577,0)*OFFSET($AA$6,X1577,0)*OFFSET($N$6,W1577,)</f>
        <v>0</v>
      </c>
      <c r="AY1577" s="224" t="s">
        <v>238</v>
      </c>
      <c r="AZ1577" s="224" t="s">
        <v>490</v>
      </c>
      <c r="BA1577" s="224" t="s">
        <v>245</v>
      </c>
      <c r="BB1577">
        <v>0</v>
      </c>
      <c r="BE1577" s="224" t="s">
        <v>238</v>
      </c>
      <c r="BF1577" s="224" t="s">
        <v>490</v>
      </c>
      <c r="BG1577" s="224" t="s">
        <v>245</v>
      </c>
      <c r="BH1577">
        <v>0</v>
      </c>
    </row>
    <row r="1578" spans="17:60">
      <c r="Q1578" s="224" t="s">
        <v>247</v>
      </c>
      <c r="R1578" s="224" t="s">
        <v>490</v>
      </c>
      <c r="S1578" s="224" t="s">
        <v>245</v>
      </c>
      <c r="T1578" s="224">
        <f ca="1">OFFSET('Calculations 2'!$C$45,W1578,X1578)*OFFSET($N$6,W1578,0)</f>
        <v>0</v>
      </c>
      <c r="V1578">
        <f t="shared" si="74"/>
        <v>483</v>
      </c>
      <c r="W1578">
        <f t="shared" si="75"/>
        <v>21</v>
      </c>
      <c r="X1578">
        <f t="shared" si="76"/>
        <v>14</v>
      </c>
      <c r="AC1578" s="224" t="s">
        <v>247</v>
      </c>
      <c r="AD1578" s="224" t="s">
        <v>490</v>
      </c>
      <c r="AE1578" s="224" t="s">
        <v>245</v>
      </c>
      <c r="AF1578">
        <f ca="1">OFFSET('Calculations 2'!$CE$45,W1578,0)*OFFSET($AA$6,X1578,0)*OFFSET($N$6,W1578,)</f>
        <v>0</v>
      </c>
      <c r="AY1578" s="224" t="s">
        <v>247</v>
      </c>
      <c r="AZ1578" s="224" t="s">
        <v>490</v>
      </c>
      <c r="BA1578" s="224" t="s">
        <v>245</v>
      </c>
      <c r="BB1578">
        <v>0</v>
      </c>
      <c r="BE1578" s="224" t="s">
        <v>247</v>
      </c>
      <c r="BF1578" s="224" t="s">
        <v>490</v>
      </c>
      <c r="BG1578" s="224" t="s">
        <v>245</v>
      </c>
      <c r="BH1578">
        <v>0</v>
      </c>
    </row>
    <row r="1579" spans="17:60">
      <c r="Q1579" s="224" t="s">
        <v>218</v>
      </c>
      <c r="R1579" s="224" t="s">
        <v>490</v>
      </c>
      <c r="S1579" s="224" t="s">
        <v>245</v>
      </c>
      <c r="T1579" s="224">
        <f ca="1">OFFSET('Calculations 2'!$C$45,W1579,X1579)*OFFSET($N$6,W1579,0)</f>
        <v>0.66282027397992438</v>
      </c>
      <c r="V1579">
        <f t="shared" si="74"/>
        <v>484</v>
      </c>
      <c r="W1579">
        <f t="shared" si="75"/>
        <v>22</v>
      </c>
      <c r="X1579">
        <f t="shared" si="76"/>
        <v>14</v>
      </c>
      <c r="AC1579" s="224" t="s">
        <v>218</v>
      </c>
      <c r="AD1579" s="224" t="s">
        <v>490</v>
      </c>
      <c r="AE1579" s="224" t="s">
        <v>245</v>
      </c>
      <c r="AF1579">
        <f ca="1">OFFSET('Calculations 2'!$CE$45,W1579,0)*OFFSET($AA$6,X1579,0)*OFFSET($N$6,W1579,)</f>
        <v>0</v>
      </c>
      <c r="AY1579" s="224" t="s">
        <v>218</v>
      </c>
      <c r="AZ1579" s="224" t="s">
        <v>490</v>
      </c>
      <c r="BA1579" s="224" t="s">
        <v>245</v>
      </c>
      <c r="BB1579">
        <v>0</v>
      </c>
      <c r="BE1579" s="224" t="s">
        <v>218</v>
      </c>
      <c r="BF1579" s="224" t="s">
        <v>490</v>
      </c>
      <c r="BG1579" s="224" t="s">
        <v>245</v>
      </c>
      <c r="BH1579">
        <v>0</v>
      </c>
    </row>
    <row r="1580" spans="17:60">
      <c r="Q1580" s="224" t="s">
        <v>257</v>
      </c>
      <c r="R1580" s="224" t="s">
        <v>490</v>
      </c>
      <c r="S1580" s="224" t="s">
        <v>245</v>
      </c>
      <c r="T1580" s="224">
        <f ca="1">OFFSET('Calculations 2'!$C$45,W1580,X1580)*OFFSET($N$6,W1580,0)</f>
        <v>6.5214550580939196E-2</v>
      </c>
      <c r="V1580">
        <f t="shared" si="74"/>
        <v>485</v>
      </c>
      <c r="W1580">
        <f t="shared" si="75"/>
        <v>23</v>
      </c>
      <c r="X1580">
        <f t="shared" si="76"/>
        <v>14</v>
      </c>
      <c r="AC1580" s="224" t="s">
        <v>257</v>
      </c>
      <c r="AD1580" s="224" t="s">
        <v>490</v>
      </c>
      <c r="AE1580" s="224" t="s">
        <v>245</v>
      </c>
      <c r="AF1580">
        <f ca="1">OFFSET('Calculations 2'!$CE$45,W1580,0)*OFFSET($AA$6,X1580,0)*OFFSET($N$6,W1580,)</f>
        <v>0</v>
      </c>
      <c r="AY1580" s="224" t="s">
        <v>257</v>
      </c>
      <c r="AZ1580" s="224" t="s">
        <v>490</v>
      </c>
      <c r="BA1580" s="224" t="s">
        <v>245</v>
      </c>
      <c r="BB1580">
        <v>0</v>
      </c>
      <c r="BE1580" s="224" t="s">
        <v>257</v>
      </c>
      <c r="BF1580" s="224" t="s">
        <v>490</v>
      </c>
      <c r="BG1580" s="224" t="s">
        <v>245</v>
      </c>
      <c r="BH1580">
        <v>0</v>
      </c>
    </row>
    <row r="1581" spans="17:60">
      <c r="Q1581" s="224" t="s">
        <v>220</v>
      </c>
      <c r="R1581" s="224" t="s">
        <v>490</v>
      </c>
      <c r="S1581" s="224" t="s">
        <v>245</v>
      </c>
      <c r="T1581" s="224">
        <f ca="1">OFFSET('Calculations 2'!$C$45,W1581,X1581)*OFFSET($N$6,W1581,0)</f>
        <v>3.5838372837457423E-2</v>
      </c>
      <c r="V1581">
        <f t="shared" si="74"/>
        <v>486</v>
      </c>
      <c r="W1581">
        <f t="shared" si="75"/>
        <v>24</v>
      </c>
      <c r="X1581">
        <f t="shared" si="76"/>
        <v>14</v>
      </c>
      <c r="AC1581" s="224" t="s">
        <v>220</v>
      </c>
      <c r="AD1581" s="224" t="s">
        <v>490</v>
      </c>
      <c r="AE1581" s="224" t="s">
        <v>245</v>
      </c>
      <c r="AF1581">
        <f ca="1">OFFSET('Calculations 2'!$CE$45,W1581,0)*OFFSET($AA$6,X1581,0)*OFFSET($N$6,W1581,)</f>
        <v>0</v>
      </c>
      <c r="AY1581" s="224" t="s">
        <v>220</v>
      </c>
      <c r="AZ1581" s="224" t="s">
        <v>490</v>
      </c>
      <c r="BA1581" s="224" t="s">
        <v>245</v>
      </c>
      <c r="BB1581">
        <v>0</v>
      </c>
      <c r="BE1581" s="224" t="s">
        <v>220</v>
      </c>
      <c r="BF1581" s="224" t="s">
        <v>490</v>
      </c>
      <c r="BG1581" s="224" t="s">
        <v>245</v>
      </c>
      <c r="BH1581">
        <v>0</v>
      </c>
    </row>
    <row r="1582" spans="17:60">
      <c r="Q1582" s="224" t="s">
        <v>235</v>
      </c>
      <c r="R1582" s="224" t="s">
        <v>490</v>
      </c>
      <c r="S1582" s="224" t="s">
        <v>245</v>
      </c>
      <c r="T1582" s="224">
        <f ca="1">OFFSET('Calculations 2'!$C$45,W1582,X1582)*OFFSET($N$6,W1582,0)</f>
        <v>9.2415320581563348E-2</v>
      </c>
      <c r="V1582">
        <f t="shared" si="74"/>
        <v>487</v>
      </c>
      <c r="W1582">
        <f t="shared" si="75"/>
        <v>25</v>
      </c>
      <c r="X1582">
        <f t="shared" si="76"/>
        <v>14</v>
      </c>
      <c r="AC1582" s="224" t="s">
        <v>235</v>
      </c>
      <c r="AD1582" s="224" t="s">
        <v>490</v>
      </c>
      <c r="AE1582" s="224" t="s">
        <v>245</v>
      </c>
      <c r="AF1582">
        <f ca="1">OFFSET('Calculations 2'!$CE$45,W1582,0)*OFFSET($AA$6,X1582,0)*OFFSET($N$6,W1582,)</f>
        <v>0</v>
      </c>
      <c r="AY1582" s="224" t="s">
        <v>235</v>
      </c>
      <c r="AZ1582" s="224" t="s">
        <v>490</v>
      </c>
      <c r="BA1582" s="224" t="s">
        <v>245</v>
      </c>
      <c r="BB1582">
        <v>0</v>
      </c>
      <c r="BE1582" s="224" t="s">
        <v>235</v>
      </c>
      <c r="BF1582" s="224" t="s">
        <v>490</v>
      </c>
      <c r="BG1582" s="224" t="s">
        <v>245</v>
      </c>
      <c r="BH1582">
        <v>0</v>
      </c>
    </row>
    <row r="1583" spans="17:60">
      <c r="Q1583" s="224" t="s">
        <v>473</v>
      </c>
      <c r="R1583" s="224" t="s">
        <v>490</v>
      </c>
      <c r="S1583" s="224" t="s">
        <v>245</v>
      </c>
      <c r="T1583" s="224">
        <f ca="1">OFFSET('Calculations 2'!$C$45,W1583,X1583)*OFFSET($N$6,W1583,0)</f>
        <v>0.75352499524898864</v>
      </c>
      <c r="V1583">
        <f t="shared" si="74"/>
        <v>488</v>
      </c>
      <c r="W1583">
        <f t="shared" si="75"/>
        <v>26</v>
      </c>
      <c r="X1583">
        <f t="shared" si="76"/>
        <v>14</v>
      </c>
      <c r="AC1583" s="224" t="s">
        <v>473</v>
      </c>
      <c r="AD1583" s="224" t="s">
        <v>490</v>
      </c>
      <c r="AE1583" s="224" t="s">
        <v>245</v>
      </c>
      <c r="AF1583">
        <f ca="1">OFFSET('Calculations 2'!$CE$45,W1583,0)*OFFSET($AA$6,X1583,0)*OFFSET($N$6,W1583,)</f>
        <v>0</v>
      </c>
      <c r="AY1583" s="224" t="s">
        <v>473</v>
      </c>
      <c r="AZ1583" s="224" t="s">
        <v>490</v>
      </c>
      <c r="BA1583" s="224" t="s">
        <v>245</v>
      </c>
      <c r="BB1583">
        <v>0</v>
      </c>
      <c r="BE1583" s="224" t="s">
        <v>473</v>
      </c>
      <c r="BF1583" s="224" t="s">
        <v>490</v>
      </c>
      <c r="BG1583" s="224" t="s">
        <v>245</v>
      </c>
      <c r="BH1583">
        <v>0</v>
      </c>
    </row>
    <row r="1584" spans="17:60">
      <c r="Q1584" s="224" t="s">
        <v>233</v>
      </c>
      <c r="R1584" s="224" t="s">
        <v>490</v>
      </c>
      <c r="S1584" s="224" t="s">
        <v>245</v>
      </c>
      <c r="T1584" s="224">
        <f ca="1">OFFSET('Calculations 2'!$C$45,W1584,X1584)*OFFSET($N$6,W1584,0)</f>
        <v>0.34367220093390516</v>
      </c>
      <c r="V1584">
        <f t="shared" si="74"/>
        <v>489</v>
      </c>
      <c r="W1584">
        <f t="shared" si="75"/>
        <v>27</v>
      </c>
      <c r="X1584">
        <f t="shared" si="76"/>
        <v>14</v>
      </c>
      <c r="AC1584" s="224" t="s">
        <v>233</v>
      </c>
      <c r="AD1584" s="224" t="s">
        <v>490</v>
      </c>
      <c r="AE1584" s="224" t="s">
        <v>245</v>
      </c>
      <c r="AF1584">
        <f ca="1">OFFSET('Calculations 2'!$CE$45,W1584,0)*OFFSET($AA$6,X1584,0)*OFFSET($N$6,W1584,)</f>
        <v>0</v>
      </c>
      <c r="AY1584" s="224" t="s">
        <v>233</v>
      </c>
      <c r="AZ1584" s="224" t="s">
        <v>490</v>
      </c>
      <c r="BA1584" s="224" t="s">
        <v>245</v>
      </c>
      <c r="BB1584">
        <v>0</v>
      </c>
      <c r="BE1584" s="224" t="s">
        <v>233</v>
      </c>
      <c r="BF1584" s="224" t="s">
        <v>490</v>
      </c>
      <c r="BG1584" s="224" t="s">
        <v>245</v>
      </c>
      <c r="BH1584">
        <v>0</v>
      </c>
    </row>
    <row r="1585" spans="17:60">
      <c r="Q1585" s="224" t="s">
        <v>474</v>
      </c>
      <c r="R1585" s="224" t="s">
        <v>490</v>
      </c>
      <c r="S1585" s="224" t="s">
        <v>245</v>
      </c>
      <c r="T1585" s="224">
        <f ca="1">OFFSET('Calculations 2'!$C$45,W1585,X1585)*OFFSET($N$6,W1585,0)</f>
        <v>0.16857284607466605</v>
      </c>
      <c r="V1585">
        <f t="shared" si="74"/>
        <v>490</v>
      </c>
      <c r="W1585">
        <f t="shared" si="75"/>
        <v>28</v>
      </c>
      <c r="X1585">
        <f t="shared" si="76"/>
        <v>14</v>
      </c>
      <c r="AC1585" s="224" t="s">
        <v>474</v>
      </c>
      <c r="AD1585" s="224" t="s">
        <v>490</v>
      </c>
      <c r="AE1585" s="224" t="s">
        <v>245</v>
      </c>
      <c r="AF1585">
        <f ca="1">OFFSET('Calculations 2'!$CE$45,W1585,0)*OFFSET($AA$6,X1585,0)*OFFSET($N$6,W1585,)</f>
        <v>0</v>
      </c>
      <c r="AY1585" s="224" t="s">
        <v>474</v>
      </c>
      <c r="AZ1585" s="224" t="s">
        <v>490</v>
      </c>
      <c r="BA1585" s="224" t="s">
        <v>245</v>
      </c>
      <c r="BB1585">
        <v>0</v>
      </c>
      <c r="BE1585" s="224" t="s">
        <v>474</v>
      </c>
      <c r="BF1585" s="224" t="s">
        <v>490</v>
      </c>
      <c r="BG1585" s="224" t="s">
        <v>245</v>
      </c>
      <c r="BH1585">
        <v>0</v>
      </c>
    </row>
    <row r="1586" spans="17:60">
      <c r="Q1586" s="224" t="s">
        <v>223</v>
      </c>
      <c r="R1586" s="224" t="s">
        <v>490</v>
      </c>
      <c r="S1586" s="224" t="s">
        <v>245</v>
      </c>
      <c r="T1586" s="224">
        <f ca="1">OFFSET('Calculations 2'!$C$45,W1586,X1586)*OFFSET($N$6,W1586,0)</f>
        <v>7.0833680352284531E-2</v>
      </c>
      <c r="V1586">
        <f t="shared" si="74"/>
        <v>491</v>
      </c>
      <c r="W1586">
        <f t="shared" si="75"/>
        <v>29</v>
      </c>
      <c r="X1586">
        <f t="shared" si="76"/>
        <v>14</v>
      </c>
      <c r="AC1586" s="224" t="s">
        <v>223</v>
      </c>
      <c r="AD1586" s="224" t="s">
        <v>490</v>
      </c>
      <c r="AE1586" s="224" t="s">
        <v>245</v>
      </c>
      <c r="AF1586">
        <f ca="1">OFFSET('Calculations 2'!$CE$45,W1586,0)*OFFSET($AA$6,X1586,0)*OFFSET($N$6,W1586,)</f>
        <v>0</v>
      </c>
      <c r="AY1586" s="224" t="s">
        <v>223</v>
      </c>
      <c r="AZ1586" s="224" t="s">
        <v>490</v>
      </c>
      <c r="BA1586" s="224" t="s">
        <v>245</v>
      </c>
      <c r="BB1586">
        <v>0</v>
      </c>
      <c r="BE1586" s="224" t="s">
        <v>223</v>
      </c>
      <c r="BF1586" s="224" t="s">
        <v>490</v>
      </c>
      <c r="BG1586" s="224" t="s">
        <v>245</v>
      </c>
      <c r="BH1586">
        <v>0</v>
      </c>
    </row>
    <row r="1587" spans="17:60">
      <c r="Q1587" s="224" t="s">
        <v>475</v>
      </c>
      <c r="R1587" s="224" t="s">
        <v>490</v>
      </c>
      <c r="S1587" s="224" t="s">
        <v>245</v>
      </c>
      <c r="T1587" s="224">
        <f ca="1">OFFSET('Calculations 2'!$C$45,W1587,X1587)*OFFSET($N$6,W1587,0)</f>
        <v>4.6695400813255426E-2</v>
      </c>
      <c r="V1587">
        <f t="shared" si="74"/>
        <v>492</v>
      </c>
      <c r="W1587">
        <f t="shared" si="75"/>
        <v>30</v>
      </c>
      <c r="X1587">
        <f t="shared" si="76"/>
        <v>14</v>
      </c>
      <c r="AC1587" s="224" t="s">
        <v>475</v>
      </c>
      <c r="AD1587" s="224" t="s">
        <v>490</v>
      </c>
      <c r="AE1587" s="224" t="s">
        <v>245</v>
      </c>
      <c r="AF1587">
        <f ca="1">OFFSET('Calculations 2'!$CE$45,W1587,0)*OFFSET($AA$6,X1587,0)*OFFSET($N$6,W1587,)</f>
        <v>0</v>
      </c>
      <c r="AY1587" s="224" t="s">
        <v>475</v>
      </c>
      <c r="AZ1587" s="224" t="s">
        <v>490</v>
      </c>
      <c r="BA1587" s="224" t="s">
        <v>245</v>
      </c>
      <c r="BB1587">
        <v>0</v>
      </c>
      <c r="BE1587" s="224" t="s">
        <v>475</v>
      </c>
      <c r="BF1587" s="224" t="s">
        <v>490</v>
      </c>
      <c r="BG1587" s="224" t="s">
        <v>245</v>
      </c>
      <c r="BH1587">
        <v>0</v>
      </c>
    </row>
    <row r="1588" spans="17:60">
      <c r="Q1588" s="224" t="s">
        <v>476</v>
      </c>
      <c r="R1588" s="224" t="s">
        <v>490</v>
      </c>
      <c r="S1588" s="224" t="s">
        <v>245</v>
      </c>
      <c r="T1588" s="224">
        <f ca="1">OFFSET('Calculations 2'!$C$45,W1588,X1588)*OFFSET($N$6,W1588,0)</f>
        <v>2.4105642988055561E-2</v>
      </c>
      <c r="V1588">
        <f t="shared" si="74"/>
        <v>493</v>
      </c>
      <c r="W1588">
        <f t="shared" si="75"/>
        <v>31</v>
      </c>
      <c r="X1588">
        <f t="shared" si="76"/>
        <v>14</v>
      </c>
      <c r="AC1588" s="224" t="s">
        <v>476</v>
      </c>
      <c r="AD1588" s="224" t="s">
        <v>490</v>
      </c>
      <c r="AE1588" s="224" t="s">
        <v>245</v>
      </c>
      <c r="AF1588">
        <f ca="1">OFFSET('Calculations 2'!$CE$45,W1588,0)*OFFSET($AA$6,X1588,0)*OFFSET($N$6,W1588,)</f>
        <v>0</v>
      </c>
      <c r="AY1588" s="224" t="s">
        <v>476</v>
      </c>
      <c r="AZ1588" s="224" t="s">
        <v>490</v>
      </c>
      <c r="BA1588" s="224" t="s">
        <v>245</v>
      </c>
      <c r="BB1588">
        <v>0</v>
      </c>
      <c r="BE1588" s="224" t="s">
        <v>476</v>
      </c>
      <c r="BF1588" s="224" t="s">
        <v>490</v>
      </c>
      <c r="BG1588" s="224" t="s">
        <v>245</v>
      </c>
      <c r="BH1588">
        <v>0</v>
      </c>
    </row>
    <row r="1589" spans="17:60">
      <c r="Q1589" s="224" t="s">
        <v>222</v>
      </c>
      <c r="R1589" s="224" t="s">
        <v>490</v>
      </c>
      <c r="S1589" s="224" t="s">
        <v>245</v>
      </c>
      <c r="T1589" s="224">
        <f ca="1">OFFSET('Calculations 2'!$C$45,W1589,X1589)*OFFSET($N$6,W1589,0)</f>
        <v>0</v>
      </c>
      <c r="V1589">
        <f t="shared" si="74"/>
        <v>494</v>
      </c>
      <c r="W1589">
        <f t="shared" si="75"/>
        <v>32</v>
      </c>
      <c r="X1589">
        <f t="shared" si="76"/>
        <v>14</v>
      </c>
      <c r="AC1589" s="224" t="s">
        <v>222</v>
      </c>
      <c r="AD1589" s="224" t="s">
        <v>490</v>
      </c>
      <c r="AE1589" s="224" t="s">
        <v>245</v>
      </c>
      <c r="AF1589">
        <f ca="1">OFFSET('Calculations 2'!$CE$45,W1589,0)*OFFSET($AA$6,X1589,0)*OFFSET($N$6,W1589,)</f>
        <v>0</v>
      </c>
      <c r="AY1589" s="224" t="s">
        <v>222</v>
      </c>
      <c r="AZ1589" s="224" t="s">
        <v>490</v>
      </c>
      <c r="BA1589" s="224" t="s">
        <v>245</v>
      </c>
      <c r="BB1589">
        <v>0</v>
      </c>
      <c r="BE1589" s="224" t="s">
        <v>222</v>
      </c>
      <c r="BF1589" s="224" t="s">
        <v>490</v>
      </c>
      <c r="BG1589" s="224" t="s">
        <v>245</v>
      </c>
      <c r="BH1589">
        <v>0</v>
      </c>
    </row>
    <row r="1590" spans="17:60">
      <c r="Q1590" s="224" t="s">
        <v>217</v>
      </c>
      <c r="R1590" s="224" t="s">
        <v>490</v>
      </c>
      <c r="S1590" s="224" t="s">
        <v>470</v>
      </c>
      <c r="T1590" s="224">
        <f ca="1">OFFSET('Calculations 2'!$C$45,W1590,X1590)*OFFSET($N$6,W1590,0)</f>
        <v>0</v>
      </c>
      <c r="V1590">
        <f t="shared" si="74"/>
        <v>495</v>
      </c>
      <c r="W1590">
        <f t="shared" si="75"/>
        <v>0</v>
      </c>
      <c r="X1590">
        <f t="shared" si="76"/>
        <v>15</v>
      </c>
      <c r="AC1590" s="224" t="s">
        <v>217</v>
      </c>
      <c r="AD1590" s="224" t="s">
        <v>490</v>
      </c>
      <c r="AE1590" s="224" t="s">
        <v>470</v>
      </c>
      <c r="AF1590">
        <f ca="1">OFFSET('Calculations 2'!$CE$45,W1590,0)*OFFSET($AA$6,X1590,0)*OFFSET($N$6,W1590,)</f>
        <v>2.4867463420882605</v>
      </c>
      <c r="AY1590" s="224" t="s">
        <v>217</v>
      </c>
      <c r="AZ1590" s="224" t="s">
        <v>490</v>
      </c>
      <c r="BA1590" s="224" t="s">
        <v>470</v>
      </c>
      <c r="BB1590">
        <v>0</v>
      </c>
      <c r="BE1590" s="224" t="s">
        <v>217</v>
      </c>
      <c r="BF1590" s="224" t="s">
        <v>490</v>
      </c>
      <c r="BG1590" s="224" t="s">
        <v>470</v>
      </c>
      <c r="BH1590">
        <v>0</v>
      </c>
    </row>
    <row r="1591" spans="17:60">
      <c r="Q1591" s="224" t="s">
        <v>232</v>
      </c>
      <c r="R1591" s="224" t="s">
        <v>490</v>
      </c>
      <c r="S1591" s="224" t="s">
        <v>470</v>
      </c>
      <c r="T1591" s="224">
        <f ca="1">OFFSET('Calculations 2'!$C$45,W1591,X1591)*OFFSET($N$6,W1591,0)</f>
        <v>323.41854561760414</v>
      </c>
      <c r="V1591">
        <f t="shared" si="74"/>
        <v>496</v>
      </c>
      <c r="W1591">
        <f t="shared" si="75"/>
        <v>1</v>
      </c>
      <c r="X1591">
        <f t="shared" si="76"/>
        <v>15</v>
      </c>
      <c r="AC1591" s="224" t="s">
        <v>232</v>
      </c>
      <c r="AD1591" s="224" t="s">
        <v>490</v>
      </c>
      <c r="AE1591" s="224" t="s">
        <v>470</v>
      </c>
      <c r="AF1591">
        <f ca="1">OFFSET('Calculations 2'!$CE$45,W1591,0)*OFFSET($AA$6,X1591,0)*OFFSET($N$6,W1591,)</f>
        <v>3.9231699900001473</v>
      </c>
      <c r="AY1591" s="224" t="s">
        <v>232</v>
      </c>
      <c r="AZ1591" s="224" t="s">
        <v>490</v>
      </c>
      <c r="BA1591" s="224" t="s">
        <v>470</v>
      </c>
      <c r="BB1591">
        <v>0</v>
      </c>
      <c r="BE1591" s="224" t="s">
        <v>232</v>
      </c>
      <c r="BF1591" s="224" t="s">
        <v>490</v>
      </c>
      <c r="BG1591" s="224" t="s">
        <v>470</v>
      </c>
      <c r="BH1591">
        <v>0</v>
      </c>
    </row>
    <row r="1592" spans="17:60">
      <c r="Q1592" s="224" t="s">
        <v>226</v>
      </c>
      <c r="R1592" s="224" t="s">
        <v>490</v>
      </c>
      <c r="S1592" s="224" t="s">
        <v>470</v>
      </c>
      <c r="T1592" s="224">
        <f ca="1">OFFSET('Calculations 2'!$C$45,W1592,X1592)*OFFSET($N$6,W1592,0)</f>
        <v>0.14853384872326997</v>
      </c>
      <c r="V1592">
        <f t="shared" si="74"/>
        <v>497</v>
      </c>
      <c r="W1592">
        <f t="shared" si="75"/>
        <v>2</v>
      </c>
      <c r="X1592">
        <f t="shared" si="76"/>
        <v>15</v>
      </c>
      <c r="AC1592" s="224" t="s">
        <v>226</v>
      </c>
      <c r="AD1592" s="224" t="s">
        <v>490</v>
      </c>
      <c r="AE1592" s="224" t="s">
        <v>470</v>
      </c>
      <c r="AF1592">
        <f ca="1">OFFSET('Calculations 2'!$CE$45,W1592,0)*OFFSET($AA$6,X1592,0)*OFFSET($N$6,W1592,)</f>
        <v>0.98169726637176524</v>
      </c>
      <c r="AY1592" s="224" t="s">
        <v>226</v>
      </c>
      <c r="AZ1592" s="224" t="s">
        <v>490</v>
      </c>
      <c r="BA1592" s="224" t="s">
        <v>470</v>
      </c>
      <c r="BB1592">
        <v>0</v>
      </c>
      <c r="BE1592" s="224" t="s">
        <v>226</v>
      </c>
      <c r="BF1592" s="224" t="s">
        <v>490</v>
      </c>
      <c r="BG1592" s="224" t="s">
        <v>470</v>
      </c>
      <c r="BH1592">
        <v>0</v>
      </c>
    </row>
    <row r="1593" spans="17:60">
      <c r="Q1593" s="224" t="s">
        <v>243</v>
      </c>
      <c r="R1593" s="224" t="s">
        <v>490</v>
      </c>
      <c r="S1593" s="224" t="s">
        <v>470</v>
      </c>
      <c r="T1593" s="224">
        <f ca="1">OFFSET('Calculations 2'!$C$45,W1593,X1593)*OFFSET($N$6,W1593,0)</f>
        <v>65.036508623985569</v>
      </c>
      <c r="V1593">
        <f t="shared" si="74"/>
        <v>498</v>
      </c>
      <c r="W1593">
        <f t="shared" si="75"/>
        <v>3</v>
      </c>
      <c r="X1593">
        <f t="shared" si="76"/>
        <v>15</v>
      </c>
      <c r="AC1593" s="224" t="s">
        <v>243</v>
      </c>
      <c r="AD1593" s="224" t="s">
        <v>490</v>
      </c>
      <c r="AE1593" s="224" t="s">
        <v>470</v>
      </c>
      <c r="AF1593">
        <f ca="1">OFFSET('Calculations 2'!$CE$45,W1593,0)*OFFSET($AA$6,X1593,0)*OFFSET($N$6,W1593,)</f>
        <v>19.264847790017242</v>
      </c>
      <c r="AY1593" s="224" t="s">
        <v>243</v>
      </c>
      <c r="AZ1593" s="224" t="s">
        <v>490</v>
      </c>
      <c r="BA1593" s="224" t="s">
        <v>470</v>
      </c>
      <c r="BB1593">
        <v>0</v>
      </c>
      <c r="BE1593" s="224" t="s">
        <v>243</v>
      </c>
      <c r="BF1593" s="224" t="s">
        <v>490</v>
      </c>
      <c r="BG1593" s="224" t="s">
        <v>470</v>
      </c>
      <c r="BH1593">
        <v>0</v>
      </c>
    </row>
    <row r="1594" spans="17:60">
      <c r="Q1594" s="224" t="s">
        <v>228</v>
      </c>
      <c r="R1594" s="224" t="s">
        <v>490</v>
      </c>
      <c r="S1594" s="224" t="s">
        <v>470</v>
      </c>
      <c r="T1594" s="224">
        <f ca="1">OFFSET('Calculations 2'!$C$45,W1594,X1594)*OFFSET($N$6,W1594,0)</f>
        <v>0.44912050069972143</v>
      </c>
      <c r="V1594">
        <f t="shared" si="74"/>
        <v>499</v>
      </c>
      <c r="W1594">
        <f t="shared" si="75"/>
        <v>4</v>
      </c>
      <c r="X1594">
        <f t="shared" si="76"/>
        <v>15</v>
      </c>
      <c r="AC1594" s="224" t="s">
        <v>228</v>
      </c>
      <c r="AD1594" s="224" t="s">
        <v>490</v>
      </c>
      <c r="AE1594" s="224" t="s">
        <v>470</v>
      </c>
      <c r="AF1594">
        <f ca="1">OFFSET('Calculations 2'!$CE$45,W1594,0)*OFFSET($AA$6,X1594,0)*OFFSET($N$6,W1594,)</f>
        <v>10.0402505381221</v>
      </c>
      <c r="AY1594" s="224" t="s">
        <v>228</v>
      </c>
      <c r="AZ1594" s="224" t="s">
        <v>490</v>
      </c>
      <c r="BA1594" s="224" t="s">
        <v>470</v>
      </c>
      <c r="BB1594">
        <v>0</v>
      </c>
      <c r="BE1594" s="224" t="s">
        <v>228</v>
      </c>
      <c r="BF1594" s="224" t="s">
        <v>490</v>
      </c>
      <c r="BG1594" s="224" t="s">
        <v>470</v>
      </c>
      <c r="BH1594">
        <v>0</v>
      </c>
    </row>
    <row r="1595" spans="17:60">
      <c r="Q1595" s="224" t="s">
        <v>246</v>
      </c>
      <c r="R1595" s="224" t="s">
        <v>490</v>
      </c>
      <c r="S1595" s="224" t="s">
        <v>470</v>
      </c>
      <c r="T1595" s="224">
        <f ca="1">OFFSET('Calculations 2'!$C$45,W1595,X1595)*OFFSET($N$6,W1595,0)</f>
        <v>501.2113701478217</v>
      </c>
      <c r="V1595">
        <f t="shared" si="74"/>
        <v>500</v>
      </c>
      <c r="W1595">
        <f t="shared" si="75"/>
        <v>5</v>
      </c>
      <c r="X1595">
        <f t="shared" si="76"/>
        <v>15</v>
      </c>
      <c r="AC1595" s="224" t="s">
        <v>246</v>
      </c>
      <c r="AD1595" s="224" t="s">
        <v>490</v>
      </c>
      <c r="AE1595" s="224" t="s">
        <v>470</v>
      </c>
      <c r="AF1595">
        <f ca="1">OFFSET('Calculations 2'!$CE$45,W1595,0)*OFFSET($AA$6,X1595,0)*OFFSET($N$6,W1595,)</f>
        <v>0.17971287377647702</v>
      </c>
      <c r="AY1595" s="224" t="s">
        <v>246</v>
      </c>
      <c r="AZ1595" s="224" t="s">
        <v>490</v>
      </c>
      <c r="BA1595" s="224" t="s">
        <v>470</v>
      </c>
      <c r="BB1595">
        <v>0</v>
      </c>
      <c r="BE1595" s="224" t="s">
        <v>246</v>
      </c>
      <c r="BF1595" s="224" t="s">
        <v>490</v>
      </c>
      <c r="BG1595" s="224" t="s">
        <v>470</v>
      </c>
      <c r="BH1595">
        <v>0</v>
      </c>
    </row>
    <row r="1596" spans="17:60">
      <c r="Q1596" s="224" t="s">
        <v>239</v>
      </c>
      <c r="R1596" s="224" t="s">
        <v>490</v>
      </c>
      <c r="S1596" s="224" t="s">
        <v>470</v>
      </c>
      <c r="T1596" s="224">
        <f ca="1">OFFSET('Calculations 2'!$C$45,W1596,X1596)*OFFSET($N$6,W1596,0)</f>
        <v>7.4355063562753383</v>
      </c>
      <c r="V1596">
        <f t="shared" si="74"/>
        <v>501</v>
      </c>
      <c r="W1596">
        <f t="shared" si="75"/>
        <v>6</v>
      </c>
      <c r="X1596">
        <f t="shared" si="76"/>
        <v>15</v>
      </c>
      <c r="AC1596" s="224" t="s">
        <v>239</v>
      </c>
      <c r="AD1596" s="224" t="s">
        <v>490</v>
      </c>
      <c r="AE1596" s="224" t="s">
        <v>470</v>
      </c>
      <c r="AF1596">
        <f ca="1">OFFSET('Calculations 2'!$CE$45,W1596,0)*OFFSET($AA$6,X1596,0)*OFFSET($N$6,W1596,)</f>
        <v>2.5878508504130453</v>
      </c>
      <c r="AY1596" s="224" t="s">
        <v>239</v>
      </c>
      <c r="AZ1596" s="224" t="s">
        <v>490</v>
      </c>
      <c r="BA1596" s="224" t="s">
        <v>470</v>
      </c>
      <c r="BB1596">
        <v>0</v>
      </c>
      <c r="BE1596" s="224" t="s">
        <v>239</v>
      </c>
      <c r="BF1596" s="224" t="s">
        <v>490</v>
      </c>
      <c r="BG1596" s="224" t="s">
        <v>470</v>
      </c>
      <c r="BH1596">
        <v>0</v>
      </c>
    </row>
    <row r="1597" spans="17:60">
      <c r="Q1597" s="224" t="s">
        <v>466</v>
      </c>
      <c r="R1597" s="224" t="s">
        <v>490</v>
      </c>
      <c r="S1597" s="224" t="s">
        <v>470</v>
      </c>
      <c r="T1597" s="224">
        <f ca="1">OFFSET('Calculations 2'!$C$45,W1597,X1597)*OFFSET($N$6,W1597,0)</f>
        <v>135.13021244729327</v>
      </c>
      <c r="V1597">
        <f t="shared" si="74"/>
        <v>502</v>
      </c>
      <c r="W1597">
        <f t="shared" si="75"/>
        <v>7</v>
      </c>
      <c r="X1597">
        <f t="shared" si="76"/>
        <v>15</v>
      </c>
      <c r="AC1597" s="224" t="s">
        <v>466</v>
      </c>
      <c r="AD1597" s="224" t="s">
        <v>490</v>
      </c>
      <c r="AE1597" s="224" t="s">
        <v>470</v>
      </c>
      <c r="AF1597">
        <f ca="1">OFFSET('Calculations 2'!$CE$45,W1597,0)*OFFSET($AA$6,X1597,0)*OFFSET($N$6,W1597,)</f>
        <v>0.65165107332055927</v>
      </c>
      <c r="AY1597" s="224" t="s">
        <v>466</v>
      </c>
      <c r="AZ1597" s="224" t="s">
        <v>490</v>
      </c>
      <c r="BA1597" s="224" t="s">
        <v>470</v>
      </c>
      <c r="BB1597">
        <v>0</v>
      </c>
      <c r="BE1597" s="224" t="s">
        <v>466</v>
      </c>
      <c r="BF1597" s="224" t="s">
        <v>490</v>
      </c>
      <c r="BG1597" s="224" t="s">
        <v>470</v>
      </c>
      <c r="BH1597">
        <v>0</v>
      </c>
    </row>
    <row r="1598" spans="17:60">
      <c r="Q1598" s="224" t="s">
        <v>219</v>
      </c>
      <c r="R1598" s="224" t="s">
        <v>490</v>
      </c>
      <c r="S1598" s="224" t="s">
        <v>470</v>
      </c>
      <c r="T1598" s="224">
        <f ca="1">OFFSET('Calculations 2'!$C$45,W1598,X1598)*OFFSET($N$6,W1598,0)</f>
        <v>40.266801906155891</v>
      </c>
      <c r="V1598">
        <f t="shared" si="74"/>
        <v>503</v>
      </c>
      <c r="W1598">
        <f t="shared" si="75"/>
        <v>8</v>
      </c>
      <c r="X1598">
        <f t="shared" si="76"/>
        <v>15</v>
      </c>
      <c r="AC1598" s="224" t="s">
        <v>219</v>
      </c>
      <c r="AD1598" s="224" t="s">
        <v>490</v>
      </c>
      <c r="AE1598" s="224" t="s">
        <v>470</v>
      </c>
      <c r="AF1598">
        <f ca="1">OFFSET('Calculations 2'!$CE$45,W1598,0)*OFFSET($AA$6,X1598,0)*OFFSET($N$6,W1598,)</f>
        <v>8.9330515656844227</v>
      </c>
      <c r="AY1598" s="224" t="s">
        <v>219</v>
      </c>
      <c r="AZ1598" s="224" t="s">
        <v>490</v>
      </c>
      <c r="BA1598" s="224" t="s">
        <v>470</v>
      </c>
      <c r="BB1598">
        <v>0</v>
      </c>
      <c r="BE1598" s="224" t="s">
        <v>219</v>
      </c>
      <c r="BF1598" s="224" t="s">
        <v>490</v>
      </c>
      <c r="BG1598" s="224" t="s">
        <v>470</v>
      </c>
      <c r="BH1598">
        <v>0</v>
      </c>
    </row>
    <row r="1599" spans="17:60">
      <c r="Q1599" s="224" t="s">
        <v>242</v>
      </c>
      <c r="R1599" s="224" t="s">
        <v>490</v>
      </c>
      <c r="S1599" s="224" t="s">
        <v>470</v>
      </c>
      <c r="T1599" s="224">
        <f ca="1">OFFSET('Calculations 2'!$C$45,W1599,X1599)*OFFSET($N$6,W1599,0)</f>
        <v>35.492081365983132</v>
      </c>
      <c r="V1599">
        <f t="shared" si="74"/>
        <v>504</v>
      </c>
      <c r="W1599">
        <f t="shared" si="75"/>
        <v>9</v>
      </c>
      <c r="X1599">
        <f t="shared" si="76"/>
        <v>15</v>
      </c>
      <c r="AC1599" s="224" t="s">
        <v>242</v>
      </c>
      <c r="AD1599" s="224" t="s">
        <v>490</v>
      </c>
      <c r="AE1599" s="224" t="s">
        <v>470</v>
      </c>
      <c r="AF1599">
        <f ca="1">OFFSET('Calculations 2'!$CE$45,W1599,0)*OFFSET($AA$6,X1599,0)*OFFSET($N$6,W1599,)</f>
        <v>6.8415301104131823</v>
      </c>
      <c r="AY1599" s="224" t="s">
        <v>242</v>
      </c>
      <c r="AZ1599" s="224" t="s">
        <v>490</v>
      </c>
      <c r="BA1599" s="224" t="s">
        <v>470</v>
      </c>
      <c r="BB1599">
        <v>0</v>
      </c>
      <c r="BE1599" s="224" t="s">
        <v>242</v>
      </c>
      <c r="BF1599" s="224" t="s">
        <v>490</v>
      </c>
      <c r="BG1599" s="224" t="s">
        <v>470</v>
      </c>
      <c r="BH1599">
        <v>0</v>
      </c>
    </row>
    <row r="1600" spans="17:60">
      <c r="Q1600" s="224" t="s">
        <v>467</v>
      </c>
      <c r="R1600" s="224" t="s">
        <v>490</v>
      </c>
      <c r="S1600" s="224" t="s">
        <v>470</v>
      </c>
      <c r="T1600" s="224">
        <f ca="1">OFFSET('Calculations 2'!$C$45,W1600,X1600)*OFFSET($N$6,W1600,0)</f>
        <v>150.65623539180172</v>
      </c>
      <c r="V1600">
        <f t="shared" si="74"/>
        <v>505</v>
      </c>
      <c r="W1600">
        <f t="shared" si="75"/>
        <v>10</v>
      </c>
      <c r="X1600">
        <f t="shared" si="76"/>
        <v>15</v>
      </c>
      <c r="AC1600" s="224" t="s">
        <v>467</v>
      </c>
      <c r="AD1600" s="224" t="s">
        <v>490</v>
      </c>
      <c r="AE1600" s="224" t="s">
        <v>470</v>
      </c>
      <c r="AF1600">
        <f ca="1">OFFSET('Calculations 2'!$CE$45,W1600,0)*OFFSET($AA$6,X1600,0)*OFFSET($N$6,W1600,)</f>
        <v>2.5825910847111766</v>
      </c>
      <c r="AY1600" s="224" t="s">
        <v>467</v>
      </c>
      <c r="AZ1600" s="224" t="s">
        <v>490</v>
      </c>
      <c r="BA1600" s="224" t="s">
        <v>470</v>
      </c>
      <c r="BB1600">
        <v>0</v>
      </c>
      <c r="BE1600" s="224" t="s">
        <v>467</v>
      </c>
      <c r="BF1600" s="224" t="s">
        <v>490</v>
      </c>
      <c r="BG1600" s="224" t="s">
        <v>470</v>
      </c>
      <c r="BH1600">
        <v>0</v>
      </c>
    </row>
    <row r="1601" spans="17:60">
      <c r="Q1601" s="224" t="s">
        <v>231</v>
      </c>
      <c r="R1601" s="224" t="s">
        <v>490</v>
      </c>
      <c r="S1601" s="224" t="s">
        <v>470</v>
      </c>
      <c r="T1601" s="224">
        <f ca="1">OFFSET('Calculations 2'!$C$45,W1601,X1601)*OFFSET($N$6,W1601,0)</f>
        <v>1783.5309988811871</v>
      </c>
      <c r="V1601">
        <f t="shared" si="74"/>
        <v>506</v>
      </c>
      <c r="W1601">
        <f t="shared" si="75"/>
        <v>11</v>
      </c>
      <c r="X1601">
        <f t="shared" si="76"/>
        <v>15</v>
      </c>
      <c r="AC1601" s="224" t="s">
        <v>231</v>
      </c>
      <c r="AD1601" s="224" t="s">
        <v>490</v>
      </c>
      <c r="AE1601" s="224" t="s">
        <v>470</v>
      </c>
      <c r="AF1601">
        <f ca="1">OFFSET('Calculations 2'!$CE$45,W1601,0)*OFFSET($AA$6,X1601,0)*OFFSET($N$6,W1601,)</f>
        <v>32.326651432408489</v>
      </c>
      <c r="AY1601" s="224" t="s">
        <v>231</v>
      </c>
      <c r="AZ1601" s="224" t="s">
        <v>490</v>
      </c>
      <c r="BA1601" s="224" t="s">
        <v>470</v>
      </c>
      <c r="BB1601">
        <v>0</v>
      </c>
      <c r="BE1601" s="224" t="s">
        <v>231</v>
      </c>
      <c r="BF1601" s="224" t="s">
        <v>490</v>
      </c>
      <c r="BG1601" s="224" t="s">
        <v>470</v>
      </c>
      <c r="BH1601">
        <v>0</v>
      </c>
    </row>
    <row r="1602" spans="17:60">
      <c r="Q1602" s="224" t="s">
        <v>468</v>
      </c>
      <c r="R1602" s="224" t="s">
        <v>490</v>
      </c>
      <c r="S1602" s="224" t="s">
        <v>470</v>
      </c>
      <c r="T1602" s="224">
        <f ca="1">OFFSET('Calculations 2'!$C$45,W1602,X1602)*OFFSET($N$6,W1602,0)</f>
        <v>214.92773722535458</v>
      </c>
      <c r="V1602">
        <f t="shared" si="74"/>
        <v>507</v>
      </c>
      <c r="W1602">
        <f t="shared" si="75"/>
        <v>12</v>
      </c>
      <c r="X1602">
        <f t="shared" si="76"/>
        <v>15</v>
      </c>
      <c r="AC1602" s="224" t="s">
        <v>468</v>
      </c>
      <c r="AD1602" s="224" t="s">
        <v>490</v>
      </c>
      <c r="AE1602" s="224" t="s">
        <v>470</v>
      </c>
      <c r="AF1602">
        <f ca="1">OFFSET('Calculations 2'!$CE$45,W1602,0)*OFFSET($AA$6,X1602,0)*OFFSET($N$6,W1602,)</f>
        <v>123.83602791949416</v>
      </c>
      <c r="AY1602" s="224" t="s">
        <v>468</v>
      </c>
      <c r="AZ1602" s="224" t="s">
        <v>490</v>
      </c>
      <c r="BA1602" s="224" t="s">
        <v>470</v>
      </c>
      <c r="BB1602">
        <v>0</v>
      </c>
      <c r="BE1602" s="224" t="s">
        <v>468</v>
      </c>
      <c r="BF1602" s="224" t="s">
        <v>490</v>
      </c>
      <c r="BG1602" s="224" t="s">
        <v>470</v>
      </c>
      <c r="BH1602">
        <v>0</v>
      </c>
    </row>
    <row r="1603" spans="17:60">
      <c r="Q1603" s="224" t="s">
        <v>469</v>
      </c>
      <c r="R1603" s="224" t="s">
        <v>490</v>
      </c>
      <c r="S1603" s="224" t="s">
        <v>470</v>
      </c>
      <c r="T1603" s="224">
        <f ca="1">OFFSET('Calculations 2'!$C$45,W1603,X1603)*OFFSET($N$6,W1603,0)</f>
        <v>2.5464835792648568</v>
      </c>
      <c r="V1603">
        <f t="shared" si="74"/>
        <v>508</v>
      </c>
      <c r="W1603">
        <f t="shared" si="75"/>
        <v>13</v>
      </c>
      <c r="X1603">
        <f t="shared" si="76"/>
        <v>15</v>
      </c>
      <c r="AC1603" s="224" t="s">
        <v>469</v>
      </c>
      <c r="AD1603" s="224" t="s">
        <v>490</v>
      </c>
      <c r="AE1603" s="224" t="s">
        <v>470</v>
      </c>
      <c r="AF1603">
        <f ca="1">OFFSET('Calculations 2'!$CE$45,W1603,0)*OFFSET($AA$6,X1603,0)*OFFSET($N$6,W1603,)</f>
        <v>66.397100549074082</v>
      </c>
      <c r="AY1603" s="224" t="s">
        <v>469</v>
      </c>
      <c r="AZ1603" s="224" t="s">
        <v>490</v>
      </c>
      <c r="BA1603" s="224" t="s">
        <v>470</v>
      </c>
      <c r="BB1603">
        <v>0</v>
      </c>
      <c r="BE1603" s="224" t="s">
        <v>469</v>
      </c>
      <c r="BF1603" s="224" t="s">
        <v>490</v>
      </c>
      <c r="BG1603" s="224" t="s">
        <v>470</v>
      </c>
      <c r="BH1603">
        <v>0</v>
      </c>
    </row>
    <row r="1604" spans="17:60">
      <c r="Q1604" s="224" t="s">
        <v>245</v>
      </c>
      <c r="R1604" s="224" t="s">
        <v>490</v>
      </c>
      <c r="S1604" s="224" t="s">
        <v>470</v>
      </c>
      <c r="T1604" s="224">
        <f ca="1">OFFSET('Calculations 2'!$C$45,W1604,X1604)*OFFSET($N$6,W1604,0)</f>
        <v>109.74082264515391</v>
      </c>
      <c r="V1604">
        <f t="shared" si="74"/>
        <v>509</v>
      </c>
      <c r="W1604">
        <f t="shared" si="75"/>
        <v>14</v>
      </c>
      <c r="X1604">
        <f t="shared" si="76"/>
        <v>15</v>
      </c>
      <c r="AC1604" s="224" t="s">
        <v>245</v>
      </c>
      <c r="AD1604" s="224" t="s">
        <v>490</v>
      </c>
      <c r="AE1604" s="224" t="s">
        <v>470</v>
      </c>
      <c r="AF1604">
        <f ca="1">OFFSET('Calculations 2'!$CE$45,W1604,0)*OFFSET($AA$6,X1604,0)*OFFSET($N$6,W1604,)</f>
        <v>105.96230434332939</v>
      </c>
      <c r="AY1604" s="224" t="s">
        <v>245</v>
      </c>
      <c r="AZ1604" s="224" t="s">
        <v>490</v>
      </c>
      <c r="BA1604" s="224" t="s">
        <v>470</v>
      </c>
      <c r="BB1604">
        <v>0</v>
      </c>
      <c r="BE1604" s="224" t="s">
        <v>245</v>
      </c>
      <c r="BF1604" s="224" t="s">
        <v>490</v>
      </c>
      <c r="BG1604" s="224" t="s">
        <v>470</v>
      </c>
      <c r="BH1604">
        <v>0</v>
      </c>
    </row>
    <row r="1605" spans="17:60">
      <c r="Q1605" s="224" t="s">
        <v>470</v>
      </c>
      <c r="R1605" s="224" t="s">
        <v>490</v>
      </c>
      <c r="S1605" s="224" t="s">
        <v>470</v>
      </c>
      <c r="T1605" s="224">
        <f ca="1">OFFSET('Calculations 2'!$C$45,W1605,X1605)*OFFSET($N$6,W1605,0)</f>
        <v>521.1371460020905</v>
      </c>
      <c r="V1605">
        <f t="shared" si="74"/>
        <v>510</v>
      </c>
      <c r="W1605">
        <f t="shared" si="75"/>
        <v>15</v>
      </c>
      <c r="X1605">
        <f t="shared" si="76"/>
        <v>15</v>
      </c>
      <c r="AC1605" s="224" t="s">
        <v>470</v>
      </c>
      <c r="AD1605" s="224" t="s">
        <v>490</v>
      </c>
      <c r="AE1605" s="224" t="s">
        <v>470</v>
      </c>
      <c r="AF1605">
        <f ca="1">OFFSET('Calculations 2'!$CE$45,W1605,0)*OFFSET($AA$6,X1605,0)*OFFSET($N$6,W1605,)</f>
        <v>40.205771825388545</v>
      </c>
      <c r="AY1605" s="224" t="s">
        <v>470</v>
      </c>
      <c r="AZ1605" s="224" t="s">
        <v>490</v>
      </c>
      <c r="BA1605" s="224" t="s">
        <v>470</v>
      </c>
      <c r="BB1605">
        <v>0</v>
      </c>
      <c r="BE1605" s="224" t="s">
        <v>470</v>
      </c>
      <c r="BF1605" s="224" t="s">
        <v>490</v>
      </c>
      <c r="BG1605" s="224" t="s">
        <v>470</v>
      </c>
      <c r="BH1605">
        <v>0</v>
      </c>
    </row>
    <row r="1606" spans="17:60">
      <c r="Q1606" s="224" t="s">
        <v>471</v>
      </c>
      <c r="R1606" s="224" t="s">
        <v>490</v>
      </c>
      <c r="S1606" s="224" t="s">
        <v>470</v>
      </c>
      <c r="T1606" s="224">
        <f ca="1">OFFSET('Calculations 2'!$C$45,W1606,X1606)*OFFSET($N$6,W1606,0)</f>
        <v>2.6371561610864007</v>
      </c>
      <c r="V1606">
        <f t="shared" si="74"/>
        <v>511</v>
      </c>
      <c r="W1606">
        <f t="shared" si="75"/>
        <v>16</v>
      </c>
      <c r="X1606">
        <f t="shared" si="76"/>
        <v>15</v>
      </c>
      <c r="AC1606" s="224" t="s">
        <v>471</v>
      </c>
      <c r="AD1606" s="224" t="s">
        <v>490</v>
      </c>
      <c r="AE1606" s="224" t="s">
        <v>470</v>
      </c>
      <c r="AF1606">
        <f ca="1">OFFSET('Calculations 2'!$CE$45,W1606,0)*OFFSET($AA$6,X1606,0)*OFFSET($N$6,W1606,)</f>
        <v>0</v>
      </c>
      <c r="AY1606" s="224" t="s">
        <v>471</v>
      </c>
      <c r="AZ1606" s="224" t="s">
        <v>490</v>
      </c>
      <c r="BA1606" s="224" t="s">
        <v>470</v>
      </c>
      <c r="BB1606">
        <v>0</v>
      </c>
      <c r="BE1606" s="224" t="s">
        <v>471</v>
      </c>
      <c r="BF1606" s="224" t="s">
        <v>490</v>
      </c>
      <c r="BG1606" s="224" t="s">
        <v>470</v>
      </c>
      <c r="BH1606">
        <v>0</v>
      </c>
    </row>
    <row r="1607" spans="17:60">
      <c r="Q1607" s="224" t="s">
        <v>221</v>
      </c>
      <c r="R1607" s="224" t="s">
        <v>490</v>
      </c>
      <c r="S1607" s="224" t="s">
        <v>470</v>
      </c>
      <c r="T1607" s="224">
        <f ca="1">OFFSET('Calculations 2'!$C$45,W1607,X1607)*OFFSET($N$6,W1607,0)</f>
        <v>13.177510863606754</v>
      </c>
      <c r="V1607">
        <f t="shared" si="74"/>
        <v>512</v>
      </c>
      <c r="W1607">
        <f t="shared" si="75"/>
        <v>17</v>
      </c>
      <c r="X1607">
        <f t="shared" si="76"/>
        <v>15</v>
      </c>
      <c r="AC1607" s="224" t="s">
        <v>221</v>
      </c>
      <c r="AD1607" s="224" t="s">
        <v>490</v>
      </c>
      <c r="AE1607" s="224" t="s">
        <v>470</v>
      </c>
      <c r="AF1607">
        <f ca="1">OFFSET('Calculations 2'!$CE$45,W1607,0)*OFFSET($AA$6,X1607,0)*OFFSET($N$6,W1607,)</f>
        <v>7.8705113322572346</v>
      </c>
      <c r="AY1607" s="224" t="s">
        <v>221</v>
      </c>
      <c r="AZ1607" s="224" t="s">
        <v>490</v>
      </c>
      <c r="BA1607" s="224" t="s">
        <v>470</v>
      </c>
      <c r="BB1607">
        <v>0</v>
      </c>
      <c r="BE1607" s="224" t="s">
        <v>221</v>
      </c>
      <c r="BF1607" s="224" t="s">
        <v>490</v>
      </c>
      <c r="BG1607" s="224" t="s">
        <v>470</v>
      </c>
      <c r="BH1607">
        <v>0</v>
      </c>
    </row>
    <row r="1608" spans="17:60">
      <c r="Q1608" s="224" t="s">
        <v>244</v>
      </c>
      <c r="R1608" s="224" t="s">
        <v>490</v>
      </c>
      <c r="S1608" s="224" t="s">
        <v>470</v>
      </c>
      <c r="T1608" s="224">
        <f ca="1">OFFSET('Calculations 2'!$C$45,W1608,X1608)*OFFSET($N$6,W1608,0)</f>
        <v>13.811986917340448</v>
      </c>
      <c r="V1608">
        <f t="shared" si="74"/>
        <v>513</v>
      </c>
      <c r="W1608">
        <f t="shared" si="75"/>
        <v>18</v>
      </c>
      <c r="X1608">
        <f t="shared" si="76"/>
        <v>15</v>
      </c>
      <c r="AC1608" s="224" t="s">
        <v>244</v>
      </c>
      <c r="AD1608" s="224" t="s">
        <v>490</v>
      </c>
      <c r="AE1608" s="224" t="s">
        <v>470</v>
      </c>
      <c r="AF1608">
        <f ca="1">OFFSET('Calculations 2'!$CE$45,W1608,0)*OFFSET($AA$6,X1608,0)*OFFSET($N$6,W1608,)</f>
        <v>0.68861632376581139</v>
      </c>
      <c r="AY1608" s="224" t="s">
        <v>244</v>
      </c>
      <c r="AZ1608" s="224" t="s">
        <v>490</v>
      </c>
      <c r="BA1608" s="224" t="s">
        <v>470</v>
      </c>
      <c r="BB1608">
        <v>0</v>
      </c>
      <c r="BE1608" s="224" t="s">
        <v>244</v>
      </c>
      <c r="BF1608" s="224" t="s">
        <v>490</v>
      </c>
      <c r="BG1608" s="224" t="s">
        <v>470</v>
      </c>
      <c r="BH1608">
        <v>0</v>
      </c>
    </row>
    <row r="1609" spans="17:60">
      <c r="Q1609" s="224" t="s">
        <v>472</v>
      </c>
      <c r="R1609" s="224" t="s">
        <v>490</v>
      </c>
      <c r="S1609" s="224" t="s">
        <v>470</v>
      </c>
      <c r="T1609" s="224">
        <f ca="1">OFFSET('Calculations 2'!$C$45,W1609,X1609)*OFFSET($N$6,W1609,0)</f>
        <v>0</v>
      </c>
      <c r="V1609">
        <f t="shared" ref="V1609:V1672" si="77">V1608+1</f>
        <v>514</v>
      </c>
      <c r="W1609">
        <f t="shared" ref="W1609:W1672" si="78">MOD(V1609,$V$3)</f>
        <v>19</v>
      </c>
      <c r="X1609">
        <f t="shared" ref="X1609:X1672" si="79">FLOOR(V1609/$V$3,1)</f>
        <v>15</v>
      </c>
      <c r="AC1609" s="224" t="s">
        <v>472</v>
      </c>
      <c r="AD1609" s="224" t="s">
        <v>490</v>
      </c>
      <c r="AE1609" s="224" t="s">
        <v>470</v>
      </c>
      <c r="AF1609">
        <f ca="1">OFFSET('Calculations 2'!$CE$45,W1609,0)*OFFSET($AA$6,X1609,0)*OFFSET($N$6,W1609,)</f>
        <v>0</v>
      </c>
      <c r="AY1609" s="224" t="s">
        <v>472</v>
      </c>
      <c r="AZ1609" s="224" t="s">
        <v>490</v>
      </c>
      <c r="BA1609" s="224" t="s">
        <v>470</v>
      </c>
      <c r="BB1609">
        <v>0</v>
      </c>
      <c r="BE1609" s="224" t="s">
        <v>472</v>
      </c>
      <c r="BF1609" s="224" t="s">
        <v>490</v>
      </c>
      <c r="BG1609" s="224" t="s">
        <v>470</v>
      </c>
      <c r="BH1609">
        <v>0</v>
      </c>
    </row>
    <row r="1610" spans="17:60">
      <c r="Q1610" s="224" t="s">
        <v>238</v>
      </c>
      <c r="R1610" s="224" t="s">
        <v>490</v>
      </c>
      <c r="S1610" s="224" t="s">
        <v>470</v>
      </c>
      <c r="T1610" s="224">
        <f ca="1">OFFSET('Calculations 2'!$C$45,W1610,X1610)*OFFSET($N$6,W1610,0)</f>
        <v>0.23300306669787418</v>
      </c>
      <c r="V1610">
        <f t="shared" si="77"/>
        <v>515</v>
      </c>
      <c r="W1610">
        <f t="shared" si="78"/>
        <v>20</v>
      </c>
      <c r="X1610">
        <f t="shared" si="79"/>
        <v>15</v>
      </c>
      <c r="AC1610" s="224" t="s">
        <v>238</v>
      </c>
      <c r="AD1610" s="224" t="s">
        <v>490</v>
      </c>
      <c r="AE1610" s="224" t="s">
        <v>470</v>
      </c>
      <c r="AF1610">
        <f ca="1">OFFSET('Calculations 2'!$CE$45,W1610,0)*OFFSET($AA$6,X1610,0)*OFFSET($N$6,W1610,)</f>
        <v>0</v>
      </c>
      <c r="AY1610" s="224" t="s">
        <v>238</v>
      </c>
      <c r="AZ1610" s="224" t="s">
        <v>490</v>
      </c>
      <c r="BA1610" s="224" t="s">
        <v>470</v>
      </c>
      <c r="BB1610">
        <v>0</v>
      </c>
      <c r="BE1610" s="224" t="s">
        <v>238</v>
      </c>
      <c r="BF1610" s="224" t="s">
        <v>490</v>
      </c>
      <c r="BG1610" s="224" t="s">
        <v>470</v>
      </c>
      <c r="BH1610">
        <v>0</v>
      </c>
    </row>
    <row r="1611" spans="17:60">
      <c r="Q1611" s="224" t="s">
        <v>247</v>
      </c>
      <c r="R1611" s="224" t="s">
        <v>490</v>
      </c>
      <c r="S1611" s="224" t="s">
        <v>470</v>
      </c>
      <c r="T1611" s="224">
        <f ca="1">OFFSET('Calculations 2'!$C$45,W1611,X1611)*OFFSET($N$6,W1611,0)</f>
        <v>0</v>
      </c>
      <c r="V1611">
        <f t="shared" si="77"/>
        <v>516</v>
      </c>
      <c r="W1611">
        <f t="shared" si="78"/>
        <v>21</v>
      </c>
      <c r="X1611">
        <f t="shared" si="79"/>
        <v>15</v>
      </c>
      <c r="AC1611" s="224" t="s">
        <v>247</v>
      </c>
      <c r="AD1611" s="224" t="s">
        <v>490</v>
      </c>
      <c r="AE1611" s="224" t="s">
        <v>470</v>
      </c>
      <c r="AF1611">
        <f ca="1">OFFSET('Calculations 2'!$CE$45,W1611,0)*OFFSET($AA$6,X1611,0)*OFFSET($N$6,W1611,)</f>
        <v>0</v>
      </c>
      <c r="AY1611" s="224" t="s">
        <v>247</v>
      </c>
      <c r="AZ1611" s="224" t="s">
        <v>490</v>
      </c>
      <c r="BA1611" s="224" t="s">
        <v>470</v>
      </c>
      <c r="BB1611">
        <v>0</v>
      </c>
      <c r="BE1611" s="224" t="s">
        <v>247</v>
      </c>
      <c r="BF1611" s="224" t="s">
        <v>490</v>
      </c>
      <c r="BG1611" s="224" t="s">
        <v>470</v>
      </c>
      <c r="BH1611">
        <v>0</v>
      </c>
    </row>
    <row r="1612" spans="17:60">
      <c r="Q1612" s="224" t="s">
        <v>218</v>
      </c>
      <c r="R1612" s="224" t="s">
        <v>490</v>
      </c>
      <c r="S1612" s="224" t="s">
        <v>470</v>
      </c>
      <c r="T1612" s="224">
        <f ca="1">OFFSET('Calculations 2'!$C$45,W1612,X1612)*OFFSET($N$6,W1612,0)</f>
        <v>2.744283970812921</v>
      </c>
      <c r="V1612">
        <f t="shared" si="77"/>
        <v>517</v>
      </c>
      <c r="W1612">
        <f t="shared" si="78"/>
        <v>22</v>
      </c>
      <c r="X1612">
        <f t="shared" si="79"/>
        <v>15</v>
      </c>
      <c r="AC1612" s="224" t="s">
        <v>218</v>
      </c>
      <c r="AD1612" s="224" t="s">
        <v>490</v>
      </c>
      <c r="AE1612" s="224" t="s">
        <v>470</v>
      </c>
      <c r="AF1612">
        <f ca="1">OFFSET('Calculations 2'!$CE$45,W1612,0)*OFFSET($AA$6,X1612,0)*OFFSET($N$6,W1612,)</f>
        <v>0</v>
      </c>
      <c r="AY1612" s="224" t="s">
        <v>218</v>
      </c>
      <c r="AZ1612" s="224" t="s">
        <v>490</v>
      </c>
      <c r="BA1612" s="224" t="s">
        <v>470</v>
      </c>
      <c r="BB1612">
        <v>0</v>
      </c>
      <c r="BE1612" s="224" t="s">
        <v>218</v>
      </c>
      <c r="BF1612" s="224" t="s">
        <v>490</v>
      </c>
      <c r="BG1612" s="224" t="s">
        <v>470</v>
      </c>
      <c r="BH1612">
        <v>0</v>
      </c>
    </row>
    <row r="1613" spans="17:60">
      <c r="Q1613" s="224" t="s">
        <v>257</v>
      </c>
      <c r="R1613" s="224" t="s">
        <v>490</v>
      </c>
      <c r="S1613" s="224" t="s">
        <v>470</v>
      </c>
      <c r="T1613" s="224">
        <f ca="1">OFFSET('Calculations 2'!$C$45,W1613,X1613)*OFFSET($N$6,W1613,0)</f>
        <v>0.50881443415011629</v>
      </c>
      <c r="V1613">
        <f t="shared" si="77"/>
        <v>518</v>
      </c>
      <c r="W1613">
        <f t="shared" si="78"/>
        <v>23</v>
      </c>
      <c r="X1613">
        <f t="shared" si="79"/>
        <v>15</v>
      </c>
      <c r="AC1613" s="224" t="s">
        <v>257</v>
      </c>
      <c r="AD1613" s="224" t="s">
        <v>490</v>
      </c>
      <c r="AE1613" s="224" t="s">
        <v>470</v>
      </c>
      <c r="AF1613">
        <f ca="1">OFFSET('Calculations 2'!$CE$45,W1613,0)*OFFSET($AA$6,X1613,0)*OFFSET($N$6,W1613,)</f>
        <v>0</v>
      </c>
      <c r="AY1613" s="224" t="s">
        <v>257</v>
      </c>
      <c r="AZ1613" s="224" t="s">
        <v>490</v>
      </c>
      <c r="BA1613" s="224" t="s">
        <v>470</v>
      </c>
      <c r="BB1613">
        <v>0</v>
      </c>
      <c r="BE1613" s="224" t="s">
        <v>257</v>
      </c>
      <c r="BF1613" s="224" t="s">
        <v>490</v>
      </c>
      <c r="BG1613" s="224" t="s">
        <v>470</v>
      </c>
      <c r="BH1613">
        <v>0</v>
      </c>
    </row>
    <row r="1614" spans="17:60">
      <c r="Q1614" s="224" t="s">
        <v>220</v>
      </c>
      <c r="R1614" s="224" t="s">
        <v>490</v>
      </c>
      <c r="S1614" s="224" t="s">
        <v>470</v>
      </c>
      <c r="T1614" s="224">
        <f ca="1">OFFSET('Calculations 2'!$C$45,W1614,X1614)*OFFSET($N$6,W1614,0)</f>
        <v>1.0782777300575219</v>
      </c>
      <c r="V1614">
        <f t="shared" si="77"/>
        <v>519</v>
      </c>
      <c r="W1614">
        <f t="shared" si="78"/>
        <v>24</v>
      </c>
      <c r="X1614">
        <f t="shared" si="79"/>
        <v>15</v>
      </c>
      <c r="AC1614" s="224" t="s">
        <v>220</v>
      </c>
      <c r="AD1614" s="224" t="s">
        <v>490</v>
      </c>
      <c r="AE1614" s="224" t="s">
        <v>470</v>
      </c>
      <c r="AF1614">
        <f ca="1">OFFSET('Calculations 2'!$CE$45,W1614,0)*OFFSET($AA$6,X1614,0)*OFFSET($N$6,W1614,)</f>
        <v>0</v>
      </c>
      <c r="AY1614" s="224" t="s">
        <v>220</v>
      </c>
      <c r="AZ1614" s="224" t="s">
        <v>490</v>
      </c>
      <c r="BA1614" s="224" t="s">
        <v>470</v>
      </c>
      <c r="BB1614">
        <v>0</v>
      </c>
      <c r="BE1614" s="224" t="s">
        <v>220</v>
      </c>
      <c r="BF1614" s="224" t="s">
        <v>490</v>
      </c>
      <c r="BG1614" s="224" t="s">
        <v>470</v>
      </c>
      <c r="BH1614">
        <v>0</v>
      </c>
    </row>
    <row r="1615" spans="17:60">
      <c r="Q1615" s="224" t="s">
        <v>235</v>
      </c>
      <c r="R1615" s="224" t="s">
        <v>490</v>
      </c>
      <c r="S1615" s="224" t="s">
        <v>470</v>
      </c>
      <c r="T1615" s="224">
        <f ca="1">OFFSET('Calculations 2'!$C$45,W1615,X1615)*OFFSET($N$6,W1615,0)</f>
        <v>2.9123981852237923</v>
      </c>
      <c r="V1615">
        <f t="shared" si="77"/>
        <v>520</v>
      </c>
      <c r="W1615">
        <f t="shared" si="78"/>
        <v>25</v>
      </c>
      <c r="X1615">
        <f t="shared" si="79"/>
        <v>15</v>
      </c>
      <c r="AC1615" s="224" t="s">
        <v>235</v>
      </c>
      <c r="AD1615" s="224" t="s">
        <v>490</v>
      </c>
      <c r="AE1615" s="224" t="s">
        <v>470</v>
      </c>
      <c r="AF1615">
        <f ca="1">OFFSET('Calculations 2'!$CE$45,W1615,0)*OFFSET($AA$6,X1615,0)*OFFSET($N$6,W1615,)</f>
        <v>0</v>
      </c>
      <c r="AY1615" s="224" t="s">
        <v>235</v>
      </c>
      <c r="AZ1615" s="224" t="s">
        <v>490</v>
      </c>
      <c r="BA1615" s="224" t="s">
        <v>470</v>
      </c>
      <c r="BB1615">
        <v>0</v>
      </c>
      <c r="BE1615" s="224" t="s">
        <v>235</v>
      </c>
      <c r="BF1615" s="224" t="s">
        <v>490</v>
      </c>
      <c r="BG1615" s="224" t="s">
        <v>470</v>
      </c>
      <c r="BH1615">
        <v>0</v>
      </c>
    </row>
    <row r="1616" spans="17:60">
      <c r="Q1616" s="224" t="s">
        <v>473</v>
      </c>
      <c r="R1616" s="224" t="s">
        <v>490</v>
      </c>
      <c r="S1616" s="224" t="s">
        <v>470</v>
      </c>
      <c r="T1616" s="224">
        <f ca="1">OFFSET('Calculations 2'!$C$45,W1616,X1616)*OFFSET($N$6,W1616,0)</f>
        <v>4.7027274449904981</v>
      </c>
      <c r="V1616">
        <f t="shared" si="77"/>
        <v>521</v>
      </c>
      <c r="W1616">
        <f t="shared" si="78"/>
        <v>26</v>
      </c>
      <c r="X1616">
        <f t="shared" si="79"/>
        <v>15</v>
      </c>
      <c r="AC1616" s="224" t="s">
        <v>473</v>
      </c>
      <c r="AD1616" s="224" t="s">
        <v>490</v>
      </c>
      <c r="AE1616" s="224" t="s">
        <v>470</v>
      </c>
      <c r="AF1616">
        <f ca="1">OFFSET('Calculations 2'!$CE$45,W1616,0)*OFFSET($AA$6,X1616,0)*OFFSET($N$6,W1616,)</f>
        <v>0</v>
      </c>
      <c r="AY1616" s="224" t="s">
        <v>473</v>
      </c>
      <c r="AZ1616" s="224" t="s">
        <v>490</v>
      </c>
      <c r="BA1616" s="224" t="s">
        <v>470</v>
      </c>
      <c r="BB1616">
        <v>0</v>
      </c>
      <c r="BE1616" s="224" t="s">
        <v>473</v>
      </c>
      <c r="BF1616" s="224" t="s">
        <v>490</v>
      </c>
      <c r="BG1616" s="224" t="s">
        <v>470</v>
      </c>
      <c r="BH1616">
        <v>0</v>
      </c>
    </row>
    <row r="1617" spans="17:60">
      <c r="Q1617" s="224" t="s">
        <v>233</v>
      </c>
      <c r="R1617" s="224" t="s">
        <v>490</v>
      </c>
      <c r="S1617" s="224" t="s">
        <v>470</v>
      </c>
      <c r="T1617" s="224">
        <f ca="1">OFFSET('Calculations 2'!$C$45,W1617,X1617)*OFFSET($N$6,W1617,0)</f>
        <v>1.4614637612143699</v>
      </c>
      <c r="V1617">
        <f t="shared" si="77"/>
        <v>522</v>
      </c>
      <c r="W1617">
        <f t="shared" si="78"/>
        <v>27</v>
      </c>
      <c r="X1617">
        <f t="shared" si="79"/>
        <v>15</v>
      </c>
      <c r="AC1617" s="224" t="s">
        <v>233</v>
      </c>
      <c r="AD1617" s="224" t="s">
        <v>490</v>
      </c>
      <c r="AE1617" s="224" t="s">
        <v>470</v>
      </c>
      <c r="AF1617">
        <f ca="1">OFFSET('Calculations 2'!$CE$45,W1617,0)*OFFSET($AA$6,X1617,0)*OFFSET($N$6,W1617,)</f>
        <v>0</v>
      </c>
      <c r="AY1617" s="224" t="s">
        <v>233</v>
      </c>
      <c r="AZ1617" s="224" t="s">
        <v>490</v>
      </c>
      <c r="BA1617" s="224" t="s">
        <v>470</v>
      </c>
      <c r="BB1617">
        <v>0</v>
      </c>
      <c r="BE1617" s="224" t="s">
        <v>233</v>
      </c>
      <c r="BF1617" s="224" t="s">
        <v>490</v>
      </c>
      <c r="BG1617" s="224" t="s">
        <v>470</v>
      </c>
      <c r="BH1617">
        <v>0</v>
      </c>
    </row>
    <row r="1618" spans="17:60">
      <c r="Q1618" s="224" t="s">
        <v>474</v>
      </c>
      <c r="R1618" s="224" t="s">
        <v>490</v>
      </c>
      <c r="S1618" s="224" t="s">
        <v>470</v>
      </c>
      <c r="T1618" s="224">
        <f ca="1">OFFSET('Calculations 2'!$C$45,W1618,X1618)*OFFSET($N$6,W1618,0)</f>
        <v>1.7949644183288731</v>
      </c>
      <c r="V1618">
        <f t="shared" si="77"/>
        <v>523</v>
      </c>
      <c r="W1618">
        <f t="shared" si="78"/>
        <v>28</v>
      </c>
      <c r="X1618">
        <f t="shared" si="79"/>
        <v>15</v>
      </c>
      <c r="AC1618" s="224" t="s">
        <v>474</v>
      </c>
      <c r="AD1618" s="224" t="s">
        <v>490</v>
      </c>
      <c r="AE1618" s="224" t="s">
        <v>470</v>
      </c>
      <c r="AF1618">
        <f ca="1">OFFSET('Calculations 2'!$CE$45,W1618,0)*OFFSET($AA$6,X1618,0)*OFFSET($N$6,W1618,)</f>
        <v>0</v>
      </c>
      <c r="AY1618" s="224" t="s">
        <v>474</v>
      </c>
      <c r="AZ1618" s="224" t="s">
        <v>490</v>
      </c>
      <c r="BA1618" s="224" t="s">
        <v>470</v>
      </c>
      <c r="BB1618">
        <v>0</v>
      </c>
      <c r="BE1618" s="224" t="s">
        <v>474</v>
      </c>
      <c r="BF1618" s="224" t="s">
        <v>490</v>
      </c>
      <c r="BG1618" s="224" t="s">
        <v>470</v>
      </c>
      <c r="BH1618">
        <v>0</v>
      </c>
    </row>
    <row r="1619" spans="17:60">
      <c r="Q1619" s="224" t="s">
        <v>223</v>
      </c>
      <c r="R1619" s="224" t="s">
        <v>490</v>
      </c>
      <c r="S1619" s="224" t="s">
        <v>470</v>
      </c>
      <c r="T1619" s="224">
        <f ca="1">OFFSET('Calculations 2'!$C$45,W1619,X1619)*OFFSET($N$6,W1619,0)</f>
        <v>12.814302325689447</v>
      </c>
      <c r="V1619">
        <f t="shared" si="77"/>
        <v>524</v>
      </c>
      <c r="W1619">
        <f t="shared" si="78"/>
        <v>29</v>
      </c>
      <c r="X1619">
        <f t="shared" si="79"/>
        <v>15</v>
      </c>
      <c r="AC1619" s="224" t="s">
        <v>223</v>
      </c>
      <c r="AD1619" s="224" t="s">
        <v>490</v>
      </c>
      <c r="AE1619" s="224" t="s">
        <v>470</v>
      </c>
      <c r="AF1619">
        <f ca="1">OFFSET('Calculations 2'!$CE$45,W1619,0)*OFFSET($AA$6,X1619,0)*OFFSET($N$6,W1619,)</f>
        <v>0</v>
      </c>
      <c r="AY1619" s="224" t="s">
        <v>223</v>
      </c>
      <c r="AZ1619" s="224" t="s">
        <v>490</v>
      </c>
      <c r="BA1619" s="224" t="s">
        <v>470</v>
      </c>
      <c r="BB1619">
        <v>0</v>
      </c>
      <c r="BE1619" s="224" t="s">
        <v>223</v>
      </c>
      <c r="BF1619" s="224" t="s">
        <v>490</v>
      </c>
      <c r="BG1619" s="224" t="s">
        <v>470</v>
      </c>
      <c r="BH1619">
        <v>0</v>
      </c>
    </row>
    <row r="1620" spans="17:60">
      <c r="Q1620" s="224" t="s">
        <v>475</v>
      </c>
      <c r="R1620" s="224" t="s">
        <v>490</v>
      </c>
      <c r="S1620" s="224" t="s">
        <v>470</v>
      </c>
      <c r="T1620" s="224">
        <f ca="1">OFFSET('Calculations 2'!$C$45,W1620,X1620)*OFFSET($N$6,W1620,0)</f>
        <v>0.4596505076109863</v>
      </c>
      <c r="V1620">
        <f t="shared" si="77"/>
        <v>525</v>
      </c>
      <c r="W1620">
        <f t="shared" si="78"/>
        <v>30</v>
      </c>
      <c r="X1620">
        <f t="shared" si="79"/>
        <v>15</v>
      </c>
      <c r="AC1620" s="224" t="s">
        <v>475</v>
      </c>
      <c r="AD1620" s="224" t="s">
        <v>490</v>
      </c>
      <c r="AE1620" s="224" t="s">
        <v>470</v>
      </c>
      <c r="AF1620">
        <f ca="1">OFFSET('Calculations 2'!$CE$45,W1620,0)*OFFSET($AA$6,X1620,0)*OFFSET($N$6,W1620,)</f>
        <v>0</v>
      </c>
      <c r="AY1620" s="224" t="s">
        <v>475</v>
      </c>
      <c r="AZ1620" s="224" t="s">
        <v>490</v>
      </c>
      <c r="BA1620" s="224" t="s">
        <v>470</v>
      </c>
      <c r="BB1620">
        <v>0</v>
      </c>
      <c r="BE1620" s="224" t="s">
        <v>475</v>
      </c>
      <c r="BF1620" s="224" t="s">
        <v>490</v>
      </c>
      <c r="BG1620" s="224" t="s">
        <v>470</v>
      </c>
      <c r="BH1620">
        <v>0</v>
      </c>
    </row>
    <row r="1621" spans="17:60">
      <c r="Q1621" s="224" t="s">
        <v>476</v>
      </c>
      <c r="R1621" s="224" t="s">
        <v>490</v>
      </c>
      <c r="S1621" s="224" t="s">
        <v>470</v>
      </c>
      <c r="T1621" s="224">
        <f ca="1">OFFSET('Calculations 2'!$C$45,W1621,X1621)*OFFSET($N$6,W1621,0)</f>
        <v>0.32858861906058606</v>
      </c>
      <c r="V1621">
        <f t="shared" si="77"/>
        <v>526</v>
      </c>
      <c r="W1621">
        <f t="shared" si="78"/>
        <v>31</v>
      </c>
      <c r="X1621">
        <f t="shared" si="79"/>
        <v>15</v>
      </c>
      <c r="AC1621" s="224" t="s">
        <v>476</v>
      </c>
      <c r="AD1621" s="224" t="s">
        <v>490</v>
      </c>
      <c r="AE1621" s="224" t="s">
        <v>470</v>
      </c>
      <c r="AF1621">
        <f ca="1">OFFSET('Calculations 2'!$CE$45,W1621,0)*OFFSET($AA$6,X1621,0)*OFFSET($N$6,W1621,)</f>
        <v>0</v>
      </c>
      <c r="AY1621" s="224" t="s">
        <v>476</v>
      </c>
      <c r="AZ1621" s="224" t="s">
        <v>490</v>
      </c>
      <c r="BA1621" s="224" t="s">
        <v>470</v>
      </c>
      <c r="BB1621">
        <v>0</v>
      </c>
      <c r="BE1621" s="224" t="s">
        <v>476</v>
      </c>
      <c r="BF1621" s="224" t="s">
        <v>490</v>
      </c>
      <c r="BG1621" s="224" t="s">
        <v>470</v>
      </c>
      <c r="BH1621">
        <v>0</v>
      </c>
    </row>
    <row r="1622" spans="17:60">
      <c r="Q1622" s="224" t="s">
        <v>222</v>
      </c>
      <c r="R1622" s="224" t="s">
        <v>490</v>
      </c>
      <c r="S1622" s="224" t="s">
        <v>470</v>
      </c>
      <c r="T1622" s="224">
        <f ca="1">OFFSET('Calculations 2'!$C$45,W1622,X1622)*OFFSET($N$6,W1622,0)</f>
        <v>0</v>
      </c>
      <c r="V1622">
        <f t="shared" si="77"/>
        <v>527</v>
      </c>
      <c r="W1622">
        <f t="shared" si="78"/>
        <v>32</v>
      </c>
      <c r="X1622">
        <f t="shared" si="79"/>
        <v>15</v>
      </c>
      <c r="AC1622" s="224" t="s">
        <v>222</v>
      </c>
      <c r="AD1622" s="224" t="s">
        <v>490</v>
      </c>
      <c r="AE1622" s="224" t="s">
        <v>470</v>
      </c>
      <c r="AF1622">
        <f ca="1">OFFSET('Calculations 2'!$CE$45,W1622,0)*OFFSET($AA$6,X1622,0)*OFFSET($N$6,W1622,)</f>
        <v>0</v>
      </c>
      <c r="AY1622" s="224" t="s">
        <v>222</v>
      </c>
      <c r="AZ1622" s="224" t="s">
        <v>490</v>
      </c>
      <c r="BA1622" s="224" t="s">
        <v>470</v>
      </c>
      <c r="BB1622">
        <v>0</v>
      </c>
      <c r="BE1622" s="224" t="s">
        <v>222</v>
      </c>
      <c r="BF1622" s="224" t="s">
        <v>490</v>
      </c>
      <c r="BG1622" s="224" t="s">
        <v>470</v>
      </c>
      <c r="BH1622">
        <v>0</v>
      </c>
    </row>
    <row r="1623" spans="17:60">
      <c r="Q1623" s="224" t="s">
        <v>217</v>
      </c>
      <c r="R1623" s="224" t="s">
        <v>490</v>
      </c>
      <c r="S1623" s="224" t="s">
        <v>471</v>
      </c>
      <c r="T1623" s="224">
        <f ca="1">OFFSET('Calculations 2'!$C$45,W1623,X1623)*OFFSET($N$6,W1623,0)</f>
        <v>0</v>
      </c>
      <c r="V1623">
        <f t="shared" si="77"/>
        <v>528</v>
      </c>
      <c r="W1623">
        <f t="shared" si="78"/>
        <v>0</v>
      </c>
      <c r="X1623">
        <f t="shared" si="79"/>
        <v>16</v>
      </c>
      <c r="AC1623" s="224" t="s">
        <v>217</v>
      </c>
      <c r="AD1623" s="224" t="s">
        <v>490</v>
      </c>
      <c r="AE1623" s="224" t="s">
        <v>471</v>
      </c>
      <c r="AF1623">
        <f ca="1">OFFSET('Calculations 2'!$CE$45,W1623,0)*OFFSET($AA$6,X1623,0)*OFFSET($N$6,W1623,)</f>
        <v>17.800182171606988</v>
      </c>
      <c r="AY1623" s="224" t="s">
        <v>217</v>
      </c>
      <c r="AZ1623" s="224" t="s">
        <v>490</v>
      </c>
      <c r="BA1623" s="224" t="s">
        <v>471</v>
      </c>
      <c r="BB1623">
        <v>0</v>
      </c>
      <c r="BE1623" s="224" t="s">
        <v>217</v>
      </c>
      <c r="BF1623" s="224" t="s">
        <v>490</v>
      </c>
      <c r="BG1623" s="224" t="s">
        <v>471</v>
      </c>
      <c r="BH1623">
        <v>0</v>
      </c>
    </row>
    <row r="1624" spans="17:60">
      <c r="Q1624" s="224" t="s">
        <v>232</v>
      </c>
      <c r="R1624" s="224" t="s">
        <v>490</v>
      </c>
      <c r="S1624" s="224" t="s">
        <v>471</v>
      </c>
      <c r="T1624" s="224">
        <f ca="1">OFFSET('Calculations 2'!$C$45,W1624,X1624)*OFFSET($N$6,W1624,0)</f>
        <v>0</v>
      </c>
      <c r="V1624">
        <f t="shared" si="77"/>
        <v>529</v>
      </c>
      <c r="W1624">
        <f t="shared" si="78"/>
        <v>1</v>
      </c>
      <c r="X1624">
        <f t="shared" si="79"/>
        <v>16</v>
      </c>
      <c r="AC1624" s="224" t="s">
        <v>232</v>
      </c>
      <c r="AD1624" s="224" t="s">
        <v>490</v>
      </c>
      <c r="AE1624" s="224" t="s">
        <v>471</v>
      </c>
      <c r="AF1624">
        <f ca="1">OFFSET('Calculations 2'!$CE$45,W1624,0)*OFFSET($AA$6,X1624,0)*OFFSET($N$6,W1624,)</f>
        <v>28.082132596419701</v>
      </c>
      <c r="AY1624" s="224" t="s">
        <v>232</v>
      </c>
      <c r="AZ1624" s="224" t="s">
        <v>490</v>
      </c>
      <c r="BA1624" s="224" t="s">
        <v>471</v>
      </c>
      <c r="BB1624">
        <v>0</v>
      </c>
      <c r="BE1624" s="224" t="s">
        <v>232</v>
      </c>
      <c r="BF1624" s="224" t="s">
        <v>490</v>
      </c>
      <c r="BG1624" s="224" t="s">
        <v>471</v>
      </c>
      <c r="BH1624">
        <v>0</v>
      </c>
    </row>
    <row r="1625" spans="17:60">
      <c r="Q1625" s="224" t="s">
        <v>226</v>
      </c>
      <c r="R1625" s="224" t="s">
        <v>490</v>
      </c>
      <c r="S1625" s="224" t="s">
        <v>471</v>
      </c>
      <c r="T1625" s="224">
        <f ca="1">OFFSET('Calculations 2'!$C$45,W1625,X1625)*OFFSET($N$6,W1625,0)</f>
        <v>3.1487465188481653E-2</v>
      </c>
      <c r="V1625">
        <f t="shared" si="77"/>
        <v>530</v>
      </c>
      <c r="W1625">
        <f t="shared" si="78"/>
        <v>2</v>
      </c>
      <c r="X1625">
        <f t="shared" si="79"/>
        <v>16</v>
      </c>
      <c r="AC1625" s="224" t="s">
        <v>226</v>
      </c>
      <c r="AD1625" s="224" t="s">
        <v>490</v>
      </c>
      <c r="AE1625" s="224" t="s">
        <v>471</v>
      </c>
      <c r="AF1625">
        <f ca="1">OFFSET('Calculations 2'!$CE$45,W1625,0)*OFFSET($AA$6,X1625,0)*OFFSET($N$6,W1625,)</f>
        <v>7.0270095035554716</v>
      </c>
      <c r="AY1625" s="224" t="s">
        <v>226</v>
      </c>
      <c r="AZ1625" s="224" t="s">
        <v>490</v>
      </c>
      <c r="BA1625" s="224" t="s">
        <v>471</v>
      </c>
      <c r="BB1625">
        <v>0</v>
      </c>
      <c r="BE1625" s="224" t="s">
        <v>226</v>
      </c>
      <c r="BF1625" s="224" t="s">
        <v>490</v>
      </c>
      <c r="BG1625" s="224" t="s">
        <v>471</v>
      </c>
      <c r="BH1625">
        <v>0</v>
      </c>
    </row>
    <row r="1626" spans="17:60">
      <c r="Q1626" s="224" t="s">
        <v>243</v>
      </c>
      <c r="R1626" s="224" t="s">
        <v>490</v>
      </c>
      <c r="S1626" s="224" t="s">
        <v>471</v>
      </c>
      <c r="T1626" s="224">
        <f ca="1">OFFSET('Calculations 2'!$C$45,W1626,X1626)*OFFSET($N$6,W1626,0)</f>
        <v>0.5138638633760807</v>
      </c>
      <c r="V1626">
        <f t="shared" si="77"/>
        <v>531</v>
      </c>
      <c r="W1626">
        <f t="shared" si="78"/>
        <v>3</v>
      </c>
      <c r="X1626">
        <f t="shared" si="79"/>
        <v>16</v>
      </c>
      <c r="AC1626" s="224" t="s">
        <v>243</v>
      </c>
      <c r="AD1626" s="224" t="s">
        <v>490</v>
      </c>
      <c r="AE1626" s="224" t="s">
        <v>471</v>
      </c>
      <c r="AF1626">
        <f ca="1">OFFSET('Calculations 2'!$CE$45,W1626,0)*OFFSET($AA$6,X1626,0)*OFFSET($N$6,W1626,)</f>
        <v>137.89818220165546</v>
      </c>
      <c r="AY1626" s="224" t="s">
        <v>243</v>
      </c>
      <c r="AZ1626" s="224" t="s">
        <v>490</v>
      </c>
      <c r="BA1626" s="224" t="s">
        <v>471</v>
      </c>
      <c r="BB1626">
        <v>0</v>
      </c>
      <c r="BE1626" s="224" t="s">
        <v>243</v>
      </c>
      <c r="BF1626" s="224" t="s">
        <v>490</v>
      </c>
      <c r="BG1626" s="224" t="s">
        <v>471</v>
      </c>
      <c r="BH1626">
        <v>0</v>
      </c>
    </row>
    <row r="1627" spans="17:60">
      <c r="Q1627" s="224" t="s">
        <v>228</v>
      </c>
      <c r="R1627" s="224" t="s">
        <v>490</v>
      </c>
      <c r="S1627" s="224" t="s">
        <v>471</v>
      </c>
      <c r="T1627" s="224">
        <f ca="1">OFFSET('Calculations 2'!$C$45,W1627,X1627)*OFFSET($N$6,W1627,0)</f>
        <v>0</v>
      </c>
      <c r="V1627">
        <f t="shared" si="77"/>
        <v>532</v>
      </c>
      <c r="W1627">
        <f t="shared" si="78"/>
        <v>4</v>
      </c>
      <c r="X1627">
        <f t="shared" si="79"/>
        <v>16</v>
      </c>
      <c r="AC1627" s="224" t="s">
        <v>228</v>
      </c>
      <c r="AD1627" s="224" t="s">
        <v>490</v>
      </c>
      <c r="AE1627" s="224" t="s">
        <v>471</v>
      </c>
      <c r="AF1627">
        <f ca="1">OFFSET('Calculations 2'!$CE$45,W1627,0)*OFFSET($AA$6,X1627,0)*OFFSET($N$6,W1627,)</f>
        <v>71.868322716449114</v>
      </c>
      <c r="AY1627" s="224" t="s">
        <v>228</v>
      </c>
      <c r="AZ1627" s="224" t="s">
        <v>490</v>
      </c>
      <c r="BA1627" s="224" t="s">
        <v>471</v>
      </c>
      <c r="BB1627">
        <v>0</v>
      </c>
      <c r="BE1627" s="224" t="s">
        <v>228</v>
      </c>
      <c r="BF1627" s="224" t="s">
        <v>490</v>
      </c>
      <c r="BG1627" s="224" t="s">
        <v>471</v>
      </c>
      <c r="BH1627">
        <v>0</v>
      </c>
    </row>
    <row r="1628" spans="17:60">
      <c r="Q1628" s="224" t="s">
        <v>246</v>
      </c>
      <c r="R1628" s="224" t="s">
        <v>490</v>
      </c>
      <c r="S1628" s="224" t="s">
        <v>471</v>
      </c>
      <c r="T1628" s="224">
        <f ca="1">OFFSET('Calculations 2'!$C$45,W1628,X1628)*OFFSET($N$6,W1628,0)</f>
        <v>0</v>
      </c>
      <c r="V1628">
        <f t="shared" si="77"/>
        <v>533</v>
      </c>
      <c r="W1628">
        <f t="shared" si="78"/>
        <v>5</v>
      </c>
      <c r="X1628">
        <f t="shared" si="79"/>
        <v>16</v>
      </c>
      <c r="AC1628" s="224" t="s">
        <v>246</v>
      </c>
      <c r="AD1628" s="224" t="s">
        <v>490</v>
      </c>
      <c r="AE1628" s="224" t="s">
        <v>471</v>
      </c>
      <c r="AF1628">
        <f ca="1">OFFSET('Calculations 2'!$CE$45,W1628,0)*OFFSET($AA$6,X1628,0)*OFFSET($N$6,W1628,)</f>
        <v>1.28638849795914</v>
      </c>
      <c r="AY1628" s="224" t="s">
        <v>246</v>
      </c>
      <c r="AZ1628" s="224" t="s">
        <v>490</v>
      </c>
      <c r="BA1628" s="224" t="s">
        <v>471</v>
      </c>
      <c r="BB1628">
        <v>0</v>
      </c>
      <c r="BE1628" s="224" t="s">
        <v>246</v>
      </c>
      <c r="BF1628" s="224" t="s">
        <v>490</v>
      </c>
      <c r="BG1628" s="224" t="s">
        <v>471</v>
      </c>
      <c r="BH1628">
        <v>0</v>
      </c>
    </row>
    <row r="1629" spans="17:60">
      <c r="Q1629" s="224" t="s">
        <v>239</v>
      </c>
      <c r="R1629" s="224" t="s">
        <v>490</v>
      </c>
      <c r="S1629" s="224" t="s">
        <v>471</v>
      </c>
      <c r="T1629" s="224">
        <f ca="1">OFFSET('Calculations 2'!$C$45,W1629,X1629)*OFFSET($N$6,W1629,0)</f>
        <v>3.1387613896398516</v>
      </c>
      <c r="V1629">
        <f t="shared" si="77"/>
        <v>534</v>
      </c>
      <c r="W1629">
        <f t="shared" si="78"/>
        <v>6</v>
      </c>
      <c r="X1629">
        <f t="shared" si="79"/>
        <v>16</v>
      </c>
      <c r="AC1629" s="224" t="s">
        <v>239</v>
      </c>
      <c r="AD1629" s="224" t="s">
        <v>490</v>
      </c>
      <c r="AE1629" s="224" t="s">
        <v>471</v>
      </c>
      <c r="AF1629">
        <f ca="1">OFFSET('Calculations 2'!$CE$45,W1629,0)*OFFSET($AA$6,X1629,0)*OFFSET($N$6,W1629,)</f>
        <v>18.523890350480045</v>
      </c>
      <c r="AY1629" s="224" t="s">
        <v>239</v>
      </c>
      <c r="AZ1629" s="224" t="s">
        <v>490</v>
      </c>
      <c r="BA1629" s="224" t="s">
        <v>471</v>
      </c>
      <c r="BB1629">
        <v>0</v>
      </c>
      <c r="BE1629" s="224" t="s">
        <v>239</v>
      </c>
      <c r="BF1629" s="224" t="s">
        <v>490</v>
      </c>
      <c r="BG1629" s="224" t="s">
        <v>471</v>
      </c>
      <c r="BH1629">
        <v>0</v>
      </c>
    </row>
    <row r="1630" spans="17:60">
      <c r="Q1630" s="224" t="s">
        <v>466</v>
      </c>
      <c r="R1630" s="224" t="s">
        <v>490</v>
      </c>
      <c r="S1630" s="224" t="s">
        <v>471</v>
      </c>
      <c r="T1630" s="224">
        <f ca="1">OFFSET('Calculations 2'!$C$45,W1630,X1630)*OFFSET($N$6,W1630,0)</f>
        <v>6950.8081329788047</v>
      </c>
      <c r="V1630">
        <f t="shared" si="77"/>
        <v>535</v>
      </c>
      <c r="W1630">
        <f t="shared" si="78"/>
        <v>7</v>
      </c>
      <c r="X1630">
        <f t="shared" si="79"/>
        <v>16</v>
      </c>
      <c r="AC1630" s="224" t="s">
        <v>466</v>
      </c>
      <c r="AD1630" s="224" t="s">
        <v>490</v>
      </c>
      <c r="AE1630" s="224" t="s">
        <v>471</v>
      </c>
      <c r="AF1630">
        <f ca="1">OFFSET('Calculations 2'!$CE$45,W1630,0)*OFFSET($AA$6,X1630,0)*OFFSET($N$6,W1630,)</f>
        <v>4.6645319713985867</v>
      </c>
      <c r="AY1630" s="224" t="s">
        <v>466</v>
      </c>
      <c r="AZ1630" s="224" t="s">
        <v>490</v>
      </c>
      <c r="BA1630" s="224" t="s">
        <v>471</v>
      </c>
      <c r="BB1630">
        <v>0</v>
      </c>
      <c r="BE1630" s="224" t="s">
        <v>466</v>
      </c>
      <c r="BF1630" s="224" t="s">
        <v>490</v>
      </c>
      <c r="BG1630" s="224" t="s">
        <v>471</v>
      </c>
      <c r="BH1630">
        <v>0</v>
      </c>
    </row>
    <row r="1631" spans="17:60">
      <c r="Q1631" s="224" t="s">
        <v>219</v>
      </c>
      <c r="R1631" s="224" t="s">
        <v>490</v>
      </c>
      <c r="S1631" s="224" t="s">
        <v>471</v>
      </c>
      <c r="T1631" s="224">
        <f ca="1">OFFSET('Calculations 2'!$C$45,W1631,X1631)*OFFSET($N$6,W1631,0)</f>
        <v>11.810070109341009</v>
      </c>
      <c r="V1631">
        <f t="shared" si="77"/>
        <v>536</v>
      </c>
      <c r="W1631">
        <f t="shared" si="78"/>
        <v>8</v>
      </c>
      <c r="X1631">
        <f t="shared" si="79"/>
        <v>16</v>
      </c>
      <c r="AC1631" s="224" t="s">
        <v>219</v>
      </c>
      <c r="AD1631" s="224" t="s">
        <v>490</v>
      </c>
      <c r="AE1631" s="224" t="s">
        <v>471</v>
      </c>
      <c r="AF1631">
        <f ca="1">OFFSET('Calculations 2'!$CE$45,W1631,0)*OFFSET($AA$6,X1631,0)*OFFSET($N$6,W1631,)</f>
        <v>63.942969383846432</v>
      </c>
      <c r="AY1631" s="224" t="s">
        <v>219</v>
      </c>
      <c r="AZ1631" s="224" t="s">
        <v>490</v>
      </c>
      <c r="BA1631" s="224" t="s">
        <v>471</v>
      </c>
      <c r="BB1631">
        <v>0</v>
      </c>
      <c r="BE1631" s="224" t="s">
        <v>219</v>
      </c>
      <c r="BF1631" s="224" t="s">
        <v>490</v>
      </c>
      <c r="BG1631" s="224" t="s">
        <v>471</v>
      </c>
      <c r="BH1631">
        <v>0</v>
      </c>
    </row>
    <row r="1632" spans="17:60">
      <c r="Q1632" s="224" t="s">
        <v>242</v>
      </c>
      <c r="R1632" s="224" t="s">
        <v>490</v>
      </c>
      <c r="S1632" s="224" t="s">
        <v>471</v>
      </c>
      <c r="T1632" s="224">
        <f ca="1">OFFSET('Calculations 2'!$C$45,W1632,X1632)*OFFSET($N$6,W1632,0)</f>
        <v>0.9741101012457114</v>
      </c>
      <c r="V1632">
        <f t="shared" si="77"/>
        <v>537</v>
      </c>
      <c r="W1632">
        <f t="shared" si="78"/>
        <v>9</v>
      </c>
      <c r="X1632">
        <f t="shared" si="79"/>
        <v>16</v>
      </c>
      <c r="AC1632" s="224" t="s">
        <v>242</v>
      </c>
      <c r="AD1632" s="224" t="s">
        <v>490</v>
      </c>
      <c r="AE1632" s="224" t="s">
        <v>471</v>
      </c>
      <c r="AF1632">
        <f ca="1">OFFSET('Calculations 2'!$CE$45,W1632,0)*OFFSET($AA$6,X1632,0)*OFFSET($N$6,W1632,)</f>
        <v>48.971815193512342</v>
      </c>
      <c r="AY1632" s="224" t="s">
        <v>242</v>
      </c>
      <c r="AZ1632" s="224" t="s">
        <v>490</v>
      </c>
      <c r="BA1632" s="224" t="s">
        <v>471</v>
      </c>
      <c r="BB1632">
        <v>0</v>
      </c>
      <c r="BE1632" s="224" t="s">
        <v>242</v>
      </c>
      <c r="BF1632" s="224" t="s">
        <v>490</v>
      </c>
      <c r="BG1632" s="224" t="s">
        <v>471</v>
      </c>
      <c r="BH1632">
        <v>0</v>
      </c>
    </row>
    <row r="1633" spans="17:60">
      <c r="Q1633" s="224" t="s">
        <v>467</v>
      </c>
      <c r="R1633" s="224" t="s">
        <v>490</v>
      </c>
      <c r="S1633" s="224" t="s">
        <v>471</v>
      </c>
      <c r="T1633" s="224">
        <f ca="1">OFFSET('Calculations 2'!$C$45,W1633,X1633)*OFFSET($N$6,W1633,0)</f>
        <v>0</v>
      </c>
      <c r="V1633">
        <f t="shared" si="77"/>
        <v>538</v>
      </c>
      <c r="W1633">
        <f t="shared" si="78"/>
        <v>10</v>
      </c>
      <c r="X1633">
        <f t="shared" si="79"/>
        <v>16</v>
      </c>
      <c r="AC1633" s="224" t="s">
        <v>467</v>
      </c>
      <c r="AD1633" s="224" t="s">
        <v>490</v>
      </c>
      <c r="AE1633" s="224" t="s">
        <v>471</v>
      </c>
      <c r="AF1633">
        <f ca="1">OFFSET('Calculations 2'!$CE$45,W1633,0)*OFFSET($AA$6,X1633,0)*OFFSET($N$6,W1633,)</f>
        <v>18.486240837906671</v>
      </c>
      <c r="AY1633" s="224" t="s">
        <v>467</v>
      </c>
      <c r="AZ1633" s="224" t="s">
        <v>490</v>
      </c>
      <c r="BA1633" s="224" t="s">
        <v>471</v>
      </c>
      <c r="BB1633">
        <v>0</v>
      </c>
      <c r="BE1633" s="224" t="s">
        <v>467</v>
      </c>
      <c r="BF1633" s="224" t="s">
        <v>490</v>
      </c>
      <c r="BG1633" s="224" t="s">
        <v>471</v>
      </c>
      <c r="BH1633">
        <v>0</v>
      </c>
    </row>
    <row r="1634" spans="17:60">
      <c r="Q1634" s="224" t="s">
        <v>231</v>
      </c>
      <c r="R1634" s="224" t="s">
        <v>490</v>
      </c>
      <c r="S1634" s="224" t="s">
        <v>471</v>
      </c>
      <c r="T1634" s="224">
        <f ca="1">OFFSET('Calculations 2'!$C$45,W1634,X1634)*OFFSET($N$6,W1634,0)</f>
        <v>2.7860110116347892E-4</v>
      </c>
      <c r="V1634">
        <f t="shared" si="77"/>
        <v>539</v>
      </c>
      <c r="W1634">
        <f t="shared" si="78"/>
        <v>11</v>
      </c>
      <c r="X1634">
        <f t="shared" si="79"/>
        <v>16</v>
      </c>
      <c r="AC1634" s="224" t="s">
        <v>231</v>
      </c>
      <c r="AD1634" s="224" t="s">
        <v>490</v>
      </c>
      <c r="AE1634" s="224" t="s">
        <v>471</v>
      </c>
      <c r="AF1634">
        <f ca="1">OFFSET('Calculations 2'!$CE$45,W1634,0)*OFFSET($AA$6,X1634,0)*OFFSET($N$6,W1634,)</f>
        <v>231.39484504547349</v>
      </c>
      <c r="AY1634" s="224" t="s">
        <v>231</v>
      </c>
      <c r="AZ1634" s="224" t="s">
        <v>490</v>
      </c>
      <c r="BA1634" s="224" t="s">
        <v>471</v>
      </c>
      <c r="BB1634">
        <v>0</v>
      </c>
      <c r="BE1634" s="224" t="s">
        <v>231</v>
      </c>
      <c r="BF1634" s="224" t="s">
        <v>490</v>
      </c>
      <c r="BG1634" s="224" t="s">
        <v>471</v>
      </c>
      <c r="BH1634">
        <v>0</v>
      </c>
    </row>
    <row r="1635" spans="17:60">
      <c r="Q1635" s="224" t="s">
        <v>468</v>
      </c>
      <c r="R1635" s="224" t="s">
        <v>490</v>
      </c>
      <c r="S1635" s="224" t="s">
        <v>471</v>
      </c>
      <c r="T1635" s="224">
        <f ca="1">OFFSET('Calculations 2'!$C$45,W1635,X1635)*OFFSET($N$6,W1635,0)</f>
        <v>7.9258421146519575</v>
      </c>
      <c r="V1635">
        <f t="shared" si="77"/>
        <v>540</v>
      </c>
      <c r="W1635">
        <f t="shared" si="78"/>
        <v>12</v>
      </c>
      <c r="X1635">
        <f t="shared" si="79"/>
        <v>16</v>
      </c>
      <c r="AC1635" s="224" t="s">
        <v>468</v>
      </c>
      <c r="AD1635" s="224" t="s">
        <v>490</v>
      </c>
      <c r="AE1635" s="224" t="s">
        <v>471</v>
      </c>
      <c r="AF1635">
        <f ca="1">OFFSET('Calculations 2'!$CE$45,W1635,0)*OFFSET($AA$6,X1635,0)*OFFSET($N$6,W1635,)</f>
        <v>886.42087014155504</v>
      </c>
      <c r="AY1635" s="224" t="s">
        <v>468</v>
      </c>
      <c r="AZ1635" s="224" t="s">
        <v>490</v>
      </c>
      <c r="BA1635" s="224" t="s">
        <v>471</v>
      </c>
      <c r="BB1635">
        <v>0</v>
      </c>
      <c r="BE1635" s="224" t="s">
        <v>468</v>
      </c>
      <c r="BF1635" s="224" t="s">
        <v>490</v>
      </c>
      <c r="BG1635" s="224" t="s">
        <v>471</v>
      </c>
      <c r="BH1635">
        <v>0</v>
      </c>
    </row>
    <row r="1636" spans="17:60">
      <c r="Q1636" s="224" t="s">
        <v>469</v>
      </c>
      <c r="R1636" s="224" t="s">
        <v>490</v>
      </c>
      <c r="S1636" s="224" t="s">
        <v>471</v>
      </c>
      <c r="T1636" s="224">
        <f ca="1">OFFSET('Calculations 2'!$C$45,W1636,X1636)*OFFSET($N$6,W1636,0)</f>
        <v>357.75396231093578</v>
      </c>
      <c r="V1636">
        <f t="shared" si="77"/>
        <v>541</v>
      </c>
      <c r="W1636">
        <f t="shared" si="78"/>
        <v>13</v>
      </c>
      <c r="X1636">
        <f t="shared" si="79"/>
        <v>16</v>
      </c>
      <c r="AC1636" s="224" t="s">
        <v>469</v>
      </c>
      <c r="AD1636" s="224" t="s">
        <v>490</v>
      </c>
      <c r="AE1636" s="224" t="s">
        <v>471</v>
      </c>
      <c r="AF1636">
        <f ca="1">OFFSET('Calculations 2'!$CE$45,W1636,0)*OFFSET($AA$6,X1636,0)*OFFSET($N$6,W1636,)</f>
        <v>475.27183027744343</v>
      </c>
      <c r="AY1636" s="224" t="s">
        <v>469</v>
      </c>
      <c r="AZ1636" s="224" t="s">
        <v>490</v>
      </c>
      <c r="BA1636" s="224" t="s">
        <v>471</v>
      </c>
      <c r="BB1636">
        <v>0</v>
      </c>
      <c r="BE1636" s="224" t="s">
        <v>469</v>
      </c>
      <c r="BF1636" s="224" t="s">
        <v>490</v>
      </c>
      <c r="BG1636" s="224" t="s">
        <v>471</v>
      </c>
      <c r="BH1636">
        <v>0</v>
      </c>
    </row>
    <row r="1637" spans="17:60">
      <c r="Q1637" s="224" t="s">
        <v>245</v>
      </c>
      <c r="R1637" s="224" t="s">
        <v>490</v>
      </c>
      <c r="S1637" s="224" t="s">
        <v>471</v>
      </c>
      <c r="T1637" s="224">
        <f ca="1">OFFSET('Calculations 2'!$C$45,W1637,X1637)*OFFSET($N$6,W1637,0)</f>
        <v>10.458082872877934</v>
      </c>
      <c r="V1637">
        <f t="shared" si="77"/>
        <v>542</v>
      </c>
      <c r="W1637">
        <f t="shared" si="78"/>
        <v>14</v>
      </c>
      <c r="X1637">
        <f t="shared" si="79"/>
        <v>16</v>
      </c>
      <c r="AC1637" s="224" t="s">
        <v>245</v>
      </c>
      <c r="AD1637" s="224" t="s">
        <v>490</v>
      </c>
      <c r="AE1637" s="224" t="s">
        <v>471</v>
      </c>
      <c r="AF1637">
        <f ca="1">OFFSET('Calculations 2'!$CE$45,W1637,0)*OFFSET($AA$6,X1637,0)*OFFSET($N$6,W1637,)</f>
        <v>758.48038407110755</v>
      </c>
      <c r="AY1637" s="224" t="s">
        <v>245</v>
      </c>
      <c r="AZ1637" s="224" t="s">
        <v>490</v>
      </c>
      <c r="BA1637" s="224" t="s">
        <v>471</v>
      </c>
      <c r="BB1637">
        <v>0</v>
      </c>
      <c r="BE1637" s="224" t="s">
        <v>245</v>
      </c>
      <c r="BF1637" s="224" t="s">
        <v>490</v>
      </c>
      <c r="BG1637" s="224" t="s">
        <v>471</v>
      </c>
      <c r="BH1637">
        <v>0</v>
      </c>
    </row>
    <row r="1638" spans="17:60">
      <c r="Q1638" s="224" t="s">
        <v>470</v>
      </c>
      <c r="R1638" s="224" t="s">
        <v>490</v>
      </c>
      <c r="S1638" s="224" t="s">
        <v>471</v>
      </c>
      <c r="T1638" s="224">
        <f ca="1">OFFSET('Calculations 2'!$C$45,W1638,X1638)*OFFSET($N$6,W1638,0)</f>
        <v>185.2078684260305</v>
      </c>
      <c r="V1638">
        <f t="shared" si="77"/>
        <v>543</v>
      </c>
      <c r="W1638">
        <f t="shared" si="78"/>
        <v>15</v>
      </c>
      <c r="X1638">
        <f t="shared" si="79"/>
        <v>16</v>
      </c>
      <c r="AC1638" s="224" t="s">
        <v>470</v>
      </c>
      <c r="AD1638" s="224" t="s">
        <v>490</v>
      </c>
      <c r="AE1638" s="224" t="s">
        <v>471</v>
      </c>
      <c r="AF1638">
        <f ca="1">OFFSET('Calculations 2'!$CE$45,W1638,0)*OFFSET($AA$6,X1638,0)*OFFSET($N$6,W1638,)</f>
        <v>287.79375311797645</v>
      </c>
      <c r="AY1638" s="224" t="s">
        <v>470</v>
      </c>
      <c r="AZ1638" s="224" t="s">
        <v>490</v>
      </c>
      <c r="BA1638" s="224" t="s">
        <v>471</v>
      </c>
      <c r="BB1638">
        <v>0</v>
      </c>
      <c r="BE1638" s="224" t="s">
        <v>470</v>
      </c>
      <c r="BF1638" s="224" t="s">
        <v>490</v>
      </c>
      <c r="BG1638" s="224" t="s">
        <v>471</v>
      </c>
      <c r="BH1638">
        <v>0</v>
      </c>
    </row>
    <row r="1639" spans="17:60">
      <c r="Q1639" s="224" t="s">
        <v>471</v>
      </c>
      <c r="R1639" s="224" t="s">
        <v>490</v>
      </c>
      <c r="S1639" s="224" t="s">
        <v>471</v>
      </c>
      <c r="T1639" s="224">
        <f ca="1">OFFSET('Calculations 2'!$C$45,W1639,X1639)*OFFSET($N$6,W1639,0)</f>
        <v>2.974150636942924</v>
      </c>
      <c r="V1639">
        <f t="shared" si="77"/>
        <v>544</v>
      </c>
      <c r="W1639">
        <f t="shared" si="78"/>
        <v>16</v>
      </c>
      <c r="X1639">
        <f t="shared" si="79"/>
        <v>16</v>
      </c>
      <c r="AC1639" s="224" t="s">
        <v>471</v>
      </c>
      <c r="AD1639" s="224" t="s">
        <v>490</v>
      </c>
      <c r="AE1639" s="224" t="s">
        <v>471</v>
      </c>
      <c r="AF1639">
        <f ca="1">OFFSET('Calculations 2'!$CE$45,W1639,0)*OFFSET($AA$6,X1639,0)*OFFSET($N$6,W1639,)</f>
        <v>0</v>
      </c>
      <c r="AY1639" s="224" t="s">
        <v>471</v>
      </c>
      <c r="AZ1639" s="224" t="s">
        <v>490</v>
      </c>
      <c r="BA1639" s="224" t="s">
        <v>471</v>
      </c>
      <c r="BB1639">
        <v>0</v>
      </c>
      <c r="BE1639" s="224" t="s">
        <v>471</v>
      </c>
      <c r="BF1639" s="224" t="s">
        <v>490</v>
      </c>
      <c r="BG1639" s="224" t="s">
        <v>471</v>
      </c>
      <c r="BH1639">
        <v>0</v>
      </c>
    </row>
    <row r="1640" spans="17:60">
      <c r="Q1640" s="224" t="s">
        <v>221</v>
      </c>
      <c r="R1640" s="224" t="s">
        <v>490</v>
      </c>
      <c r="S1640" s="224" t="s">
        <v>471</v>
      </c>
      <c r="T1640" s="224">
        <f ca="1">OFFSET('Calculations 2'!$C$45,W1640,X1640)*OFFSET($N$6,W1640,0)</f>
        <v>5.0034399949357162</v>
      </c>
      <c r="V1640">
        <f t="shared" si="77"/>
        <v>545</v>
      </c>
      <c r="W1640">
        <f t="shared" si="78"/>
        <v>17</v>
      </c>
      <c r="X1640">
        <f t="shared" si="79"/>
        <v>16</v>
      </c>
      <c r="AC1640" s="224" t="s">
        <v>221</v>
      </c>
      <c r="AD1640" s="224" t="s">
        <v>490</v>
      </c>
      <c r="AE1640" s="224" t="s">
        <v>471</v>
      </c>
      <c r="AF1640">
        <f ca="1">OFFSET('Calculations 2'!$CE$45,W1640,0)*OFFSET($AA$6,X1640,0)*OFFSET($N$6,W1640,)</f>
        <v>56.337284236328287</v>
      </c>
      <c r="AY1640" s="224" t="s">
        <v>221</v>
      </c>
      <c r="AZ1640" s="224" t="s">
        <v>490</v>
      </c>
      <c r="BA1640" s="224" t="s">
        <v>471</v>
      </c>
      <c r="BB1640">
        <v>0</v>
      </c>
      <c r="BE1640" s="224" t="s">
        <v>221</v>
      </c>
      <c r="BF1640" s="224" t="s">
        <v>490</v>
      </c>
      <c r="BG1640" s="224" t="s">
        <v>471</v>
      </c>
      <c r="BH1640">
        <v>0</v>
      </c>
    </row>
    <row r="1641" spans="17:60">
      <c r="Q1641" s="224" t="s">
        <v>244</v>
      </c>
      <c r="R1641" s="224" t="s">
        <v>490</v>
      </c>
      <c r="S1641" s="224" t="s">
        <v>471</v>
      </c>
      <c r="T1641" s="224">
        <f ca="1">OFFSET('Calculations 2'!$C$45,W1641,X1641)*OFFSET($N$6,W1641,0)</f>
        <v>0.72428973488159698</v>
      </c>
      <c r="V1641">
        <f t="shared" si="77"/>
        <v>546</v>
      </c>
      <c r="W1641">
        <f t="shared" si="78"/>
        <v>18</v>
      </c>
      <c r="X1641">
        <f t="shared" si="79"/>
        <v>16</v>
      </c>
      <c r="AC1641" s="224" t="s">
        <v>244</v>
      </c>
      <c r="AD1641" s="224" t="s">
        <v>490</v>
      </c>
      <c r="AE1641" s="224" t="s">
        <v>471</v>
      </c>
      <c r="AF1641">
        <f ca="1">OFFSET('Calculations 2'!$CE$45,W1641,0)*OFFSET($AA$6,X1641,0)*OFFSET($N$6,W1641,)</f>
        <v>4.9291300049044953</v>
      </c>
      <c r="AY1641" s="224" t="s">
        <v>244</v>
      </c>
      <c r="AZ1641" s="224" t="s">
        <v>490</v>
      </c>
      <c r="BA1641" s="224" t="s">
        <v>471</v>
      </c>
      <c r="BB1641">
        <v>0</v>
      </c>
      <c r="BE1641" s="224" t="s">
        <v>244</v>
      </c>
      <c r="BF1641" s="224" t="s">
        <v>490</v>
      </c>
      <c r="BG1641" s="224" t="s">
        <v>471</v>
      </c>
      <c r="BH1641">
        <v>0</v>
      </c>
    </row>
    <row r="1642" spans="17:60">
      <c r="Q1642" s="224" t="s">
        <v>472</v>
      </c>
      <c r="R1642" s="224" t="s">
        <v>490</v>
      </c>
      <c r="S1642" s="224" t="s">
        <v>471</v>
      </c>
      <c r="T1642" s="224">
        <f ca="1">OFFSET('Calculations 2'!$C$45,W1642,X1642)*OFFSET($N$6,W1642,0)</f>
        <v>0.34616751206301688</v>
      </c>
      <c r="V1642">
        <f t="shared" si="77"/>
        <v>547</v>
      </c>
      <c r="W1642">
        <f t="shared" si="78"/>
        <v>19</v>
      </c>
      <c r="X1642">
        <f t="shared" si="79"/>
        <v>16</v>
      </c>
      <c r="AC1642" s="224" t="s">
        <v>472</v>
      </c>
      <c r="AD1642" s="224" t="s">
        <v>490</v>
      </c>
      <c r="AE1642" s="224" t="s">
        <v>471</v>
      </c>
      <c r="AF1642">
        <f ca="1">OFFSET('Calculations 2'!$CE$45,W1642,0)*OFFSET($AA$6,X1642,0)*OFFSET($N$6,W1642,)</f>
        <v>0</v>
      </c>
      <c r="AY1642" s="224" t="s">
        <v>472</v>
      </c>
      <c r="AZ1642" s="224" t="s">
        <v>490</v>
      </c>
      <c r="BA1642" s="224" t="s">
        <v>471</v>
      </c>
      <c r="BB1642">
        <v>0</v>
      </c>
      <c r="BE1642" s="224" t="s">
        <v>472</v>
      </c>
      <c r="BF1642" s="224" t="s">
        <v>490</v>
      </c>
      <c r="BG1642" s="224" t="s">
        <v>471</v>
      </c>
      <c r="BH1642">
        <v>0</v>
      </c>
    </row>
    <row r="1643" spans="17:60">
      <c r="Q1643" s="224" t="s">
        <v>238</v>
      </c>
      <c r="R1643" s="224" t="s">
        <v>490</v>
      </c>
      <c r="S1643" s="224" t="s">
        <v>471</v>
      </c>
      <c r="T1643" s="224">
        <f ca="1">OFFSET('Calculations 2'!$C$45,W1643,X1643)*OFFSET($N$6,W1643,0)</f>
        <v>3.5448521275902265</v>
      </c>
      <c r="V1643">
        <f t="shared" si="77"/>
        <v>548</v>
      </c>
      <c r="W1643">
        <f t="shared" si="78"/>
        <v>20</v>
      </c>
      <c r="X1643">
        <f t="shared" si="79"/>
        <v>16</v>
      </c>
      <c r="AC1643" s="224" t="s">
        <v>238</v>
      </c>
      <c r="AD1643" s="224" t="s">
        <v>490</v>
      </c>
      <c r="AE1643" s="224" t="s">
        <v>471</v>
      </c>
      <c r="AF1643">
        <f ca="1">OFFSET('Calculations 2'!$CE$45,W1643,0)*OFFSET($AA$6,X1643,0)*OFFSET($N$6,W1643,)</f>
        <v>0</v>
      </c>
      <c r="AY1643" s="224" t="s">
        <v>238</v>
      </c>
      <c r="AZ1643" s="224" t="s">
        <v>490</v>
      </c>
      <c r="BA1643" s="224" t="s">
        <v>471</v>
      </c>
      <c r="BB1643">
        <v>0</v>
      </c>
      <c r="BE1643" s="224" t="s">
        <v>238</v>
      </c>
      <c r="BF1643" s="224" t="s">
        <v>490</v>
      </c>
      <c r="BG1643" s="224" t="s">
        <v>471</v>
      </c>
      <c r="BH1643">
        <v>0</v>
      </c>
    </row>
    <row r="1644" spans="17:60">
      <c r="Q1644" s="224" t="s">
        <v>247</v>
      </c>
      <c r="R1644" s="224" t="s">
        <v>490</v>
      </c>
      <c r="S1644" s="224" t="s">
        <v>471</v>
      </c>
      <c r="T1644" s="224">
        <f ca="1">OFFSET('Calculations 2'!$C$45,W1644,X1644)*OFFSET($N$6,W1644,0)</f>
        <v>0</v>
      </c>
      <c r="V1644">
        <f t="shared" si="77"/>
        <v>549</v>
      </c>
      <c r="W1644">
        <f t="shared" si="78"/>
        <v>21</v>
      </c>
      <c r="X1644">
        <f t="shared" si="79"/>
        <v>16</v>
      </c>
      <c r="AC1644" s="224" t="s">
        <v>247</v>
      </c>
      <c r="AD1644" s="224" t="s">
        <v>490</v>
      </c>
      <c r="AE1644" s="224" t="s">
        <v>471</v>
      </c>
      <c r="AF1644">
        <f ca="1">OFFSET('Calculations 2'!$CE$45,W1644,0)*OFFSET($AA$6,X1644,0)*OFFSET($N$6,W1644,)</f>
        <v>0</v>
      </c>
      <c r="AY1644" s="224" t="s">
        <v>247</v>
      </c>
      <c r="AZ1644" s="224" t="s">
        <v>490</v>
      </c>
      <c r="BA1644" s="224" t="s">
        <v>471</v>
      </c>
      <c r="BB1644">
        <v>0</v>
      </c>
      <c r="BE1644" s="224" t="s">
        <v>247</v>
      </c>
      <c r="BF1644" s="224" t="s">
        <v>490</v>
      </c>
      <c r="BG1644" s="224" t="s">
        <v>471</v>
      </c>
      <c r="BH1644">
        <v>0</v>
      </c>
    </row>
    <row r="1645" spans="17:60">
      <c r="Q1645" s="224" t="s">
        <v>218</v>
      </c>
      <c r="R1645" s="224" t="s">
        <v>490</v>
      </c>
      <c r="S1645" s="224" t="s">
        <v>471</v>
      </c>
      <c r="T1645" s="224">
        <f ca="1">OFFSET('Calculations 2'!$C$45,W1645,X1645)*OFFSET($N$6,W1645,0)</f>
        <v>6.0706886305076216E-2</v>
      </c>
      <c r="V1645">
        <f t="shared" si="77"/>
        <v>550</v>
      </c>
      <c r="W1645">
        <f t="shared" si="78"/>
        <v>22</v>
      </c>
      <c r="X1645">
        <f t="shared" si="79"/>
        <v>16</v>
      </c>
      <c r="AC1645" s="224" t="s">
        <v>218</v>
      </c>
      <c r="AD1645" s="224" t="s">
        <v>490</v>
      </c>
      <c r="AE1645" s="224" t="s">
        <v>471</v>
      </c>
      <c r="AF1645">
        <f ca="1">OFFSET('Calculations 2'!$CE$45,W1645,0)*OFFSET($AA$6,X1645,0)*OFFSET($N$6,W1645,)</f>
        <v>0</v>
      </c>
      <c r="AY1645" s="224" t="s">
        <v>218</v>
      </c>
      <c r="AZ1645" s="224" t="s">
        <v>490</v>
      </c>
      <c r="BA1645" s="224" t="s">
        <v>471</v>
      </c>
      <c r="BB1645">
        <v>0</v>
      </c>
      <c r="BE1645" s="224" t="s">
        <v>218</v>
      </c>
      <c r="BF1645" s="224" t="s">
        <v>490</v>
      </c>
      <c r="BG1645" s="224" t="s">
        <v>471</v>
      </c>
      <c r="BH1645">
        <v>0</v>
      </c>
    </row>
    <row r="1646" spans="17:60">
      <c r="Q1646" s="224" t="s">
        <v>257</v>
      </c>
      <c r="R1646" s="224" t="s">
        <v>490</v>
      </c>
      <c r="S1646" s="224" t="s">
        <v>471</v>
      </c>
      <c r="T1646" s="224">
        <f ca="1">OFFSET('Calculations 2'!$C$45,W1646,X1646)*OFFSET($N$6,W1646,0)</f>
        <v>9.3964413739071936E-3</v>
      </c>
      <c r="V1646">
        <f t="shared" si="77"/>
        <v>551</v>
      </c>
      <c r="W1646">
        <f t="shared" si="78"/>
        <v>23</v>
      </c>
      <c r="X1646">
        <f t="shared" si="79"/>
        <v>16</v>
      </c>
      <c r="AC1646" s="224" t="s">
        <v>257</v>
      </c>
      <c r="AD1646" s="224" t="s">
        <v>490</v>
      </c>
      <c r="AE1646" s="224" t="s">
        <v>471</v>
      </c>
      <c r="AF1646">
        <f ca="1">OFFSET('Calculations 2'!$CE$45,W1646,0)*OFFSET($AA$6,X1646,0)*OFFSET($N$6,W1646,)</f>
        <v>0</v>
      </c>
      <c r="AY1646" s="224" t="s">
        <v>257</v>
      </c>
      <c r="AZ1646" s="224" t="s">
        <v>490</v>
      </c>
      <c r="BA1646" s="224" t="s">
        <v>471</v>
      </c>
      <c r="BB1646">
        <v>0</v>
      </c>
      <c r="BE1646" s="224" t="s">
        <v>257</v>
      </c>
      <c r="BF1646" s="224" t="s">
        <v>490</v>
      </c>
      <c r="BG1646" s="224" t="s">
        <v>471</v>
      </c>
      <c r="BH1646">
        <v>0</v>
      </c>
    </row>
    <row r="1647" spans="17:60">
      <c r="Q1647" s="224" t="s">
        <v>220</v>
      </c>
      <c r="R1647" s="224" t="s">
        <v>490</v>
      </c>
      <c r="S1647" s="224" t="s">
        <v>471</v>
      </c>
      <c r="T1647" s="224">
        <f ca="1">OFFSET('Calculations 2'!$C$45,W1647,X1647)*OFFSET($N$6,W1647,0)</f>
        <v>1.3909009141121591</v>
      </c>
      <c r="V1647">
        <f t="shared" si="77"/>
        <v>552</v>
      </c>
      <c r="W1647">
        <f t="shared" si="78"/>
        <v>24</v>
      </c>
      <c r="X1647">
        <f t="shared" si="79"/>
        <v>16</v>
      </c>
      <c r="AC1647" s="224" t="s">
        <v>220</v>
      </c>
      <c r="AD1647" s="224" t="s">
        <v>490</v>
      </c>
      <c r="AE1647" s="224" t="s">
        <v>471</v>
      </c>
      <c r="AF1647">
        <f ca="1">OFFSET('Calculations 2'!$CE$45,W1647,0)*OFFSET($AA$6,X1647,0)*OFFSET($N$6,W1647,)</f>
        <v>0</v>
      </c>
      <c r="AY1647" s="224" t="s">
        <v>220</v>
      </c>
      <c r="AZ1647" s="224" t="s">
        <v>490</v>
      </c>
      <c r="BA1647" s="224" t="s">
        <v>471</v>
      </c>
      <c r="BB1647">
        <v>0</v>
      </c>
      <c r="BE1647" s="224" t="s">
        <v>220</v>
      </c>
      <c r="BF1647" s="224" t="s">
        <v>490</v>
      </c>
      <c r="BG1647" s="224" t="s">
        <v>471</v>
      </c>
      <c r="BH1647">
        <v>0</v>
      </c>
    </row>
    <row r="1648" spans="17:60">
      <c r="Q1648" s="224" t="s">
        <v>235</v>
      </c>
      <c r="R1648" s="224" t="s">
        <v>490</v>
      </c>
      <c r="S1648" s="224" t="s">
        <v>471</v>
      </c>
      <c r="T1648" s="224">
        <f ca="1">OFFSET('Calculations 2'!$C$45,W1648,X1648)*OFFSET($N$6,W1648,0)</f>
        <v>6.2676075433521587</v>
      </c>
      <c r="V1648">
        <f t="shared" si="77"/>
        <v>553</v>
      </c>
      <c r="W1648">
        <f t="shared" si="78"/>
        <v>25</v>
      </c>
      <c r="X1648">
        <f t="shared" si="79"/>
        <v>16</v>
      </c>
      <c r="AC1648" s="224" t="s">
        <v>235</v>
      </c>
      <c r="AD1648" s="224" t="s">
        <v>490</v>
      </c>
      <c r="AE1648" s="224" t="s">
        <v>471</v>
      </c>
      <c r="AF1648">
        <f ca="1">OFFSET('Calculations 2'!$CE$45,W1648,0)*OFFSET($AA$6,X1648,0)*OFFSET($N$6,W1648,)</f>
        <v>0</v>
      </c>
      <c r="AY1648" s="224" t="s">
        <v>235</v>
      </c>
      <c r="AZ1648" s="224" t="s">
        <v>490</v>
      </c>
      <c r="BA1648" s="224" t="s">
        <v>471</v>
      </c>
      <c r="BB1648">
        <v>0</v>
      </c>
      <c r="BE1648" s="224" t="s">
        <v>235</v>
      </c>
      <c r="BF1648" s="224" t="s">
        <v>490</v>
      </c>
      <c r="BG1648" s="224" t="s">
        <v>471</v>
      </c>
      <c r="BH1648">
        <v>0</v>
      </c>
    </row>
    <row r="1649" spans="17:60">
      <c r="Q1649" s="224" t="s">
        <v>473</v>
      </c>
      <c r="R1649" s="224" t="s">
        <v>490</v>
      </c>
      <c r="S1649" s="224" t="s">
        <v>471</v>
      </c>
      <c r="T1649" s="224">
        <f ca="1">OFFSET('Calculations 2'!$C$45,W1649,X1649)*OFFSET($N$6,W1649,0)</f>
        <v>2.5818290616721189</v>
      </c>
      <c r="V1649">
        <f t="shared" si="77"/>
        <v>554</v>
      </c>
      <c r="W1649">
        <f t="shared" si="78"/>
        <v>26</v>
      </c>
      <c r="X1649">
        <f t="shared" si="79"/>
        <v>16</v>
      </c>
      <c r="AC1649" s="224" t="s">
        <v>473</v>
      </c>
      <c r="AD1649" s="224" t="s">
        <v>490</v>
      </c>
      <c r="AE1649" s="224" t="s">
        <v>471</v>
      </c>
      <c r="AF1649">
        <f ca="1">OFFSET('Calculations 2'!$CE$45,W1649,0)*OFFSET($AA$6,X1649,0)*OFFSET($N$6,W1649,)</f>
        <v>0</v>
      </c>
      <c r="AY1649" s="224" t="s">
        <v>473</v>
      </c>
      <c r="AZ1649" s="224" t="s">
        <v>490</v>
      </c>
      <c r="BA1649" s="224" t="s">
        <v>471</v>
      </c>
      <c r="BB1649">
        <v>0</v>
      </c>
      <c r="BE1649" s="224" t="s">
        <v>473</v>
      </c>
      <c r="BF1649" s="224" t="s">
        <v>490</v>
      </c>
      <c r="BG1649" s="224" t="s">
        <v>471</v>
      </c>
      <c r="BH1649">
        <v>0</v>
      </c>
    </row>
    <row r="1650" spans="17:60">
      <c r="Q1650" s="224" t="s">
        <v>233</v>
      </c>
      <c r="R1650" s="224" t="s">
        <v>490</v>
      </c>
      <c r="S1650" s="224" t="s">
        <v>471</v>
      </c>
      <c r="T1650" s="224">
        <f ca="1">OFFSET('Calculations 2'!$C$45,W1650,X1650)*OFFSET($N$6,W1650,0)</f>
        <v>0.36056909218827526</v>
      </c>
      <c r="V1650">
        <f t="shared" si="77"/>
        <v>555</v>
      </c>
      <c r="W1650">
        <f t="shared" si="78"/>
        <v>27</v>
      </c>
      <c r="X1650">
        <f t="shared" si="79"/>
        <v>16</v>
      </c>
      <c r="AC1650" s="224" t="s">
        <v>233</v>
      </c>
      <c r="AD1650" s="224" t="s">
        <v>490</v>
      </c>
      <c r="AE1650" s="224" t="s">
        <v>471</v>
      </c>
      <c r="AF1650">
        <f ca="1">OFFSET('Calculations 2'!$CE$45,W1650,0)*OFFSET($AA$6,X1650,0)*OFFSET($N$6,W1650,)</f>
        <v>0</v>
      </c>
      <c r="AY1650" s="224" t="s">
        <v>233</v>
      </c>
      <c r="AZ1650" s="224" t="s">
        <v>490</v>
      </c>
      <c r="BA1650" s="224" t="s">
        <v>471</v>
      </c>
      <c r="BB1650">
        <v>0</v>
      </c>
      <c r="BE1650" s="224" t="s">
        <v>233</v>
      </c>
      <c r="BF1650" s="224" t="s">
        <v>490</v>
      </c>
      <c r="BG1650" s="224" t="s">
        <v>471</v>
      </c>
      <c r="BH1650">
        <v>0</v>
      </c>
    </row>
    <row r="1651" spans="17:60">
      <c r="Q1651" s="224" t="s">
        <v>474</v>
      </c>
      <c r="R1651" s="224" t="s">
        <v>490</v>
      </c>
      <c r="S1651" s="224" t="s">
        <v>471</v>
      </c>
      <c r="T1651" s="224">
        <f ca="1">OFFSET('Calculations 2'!$C$45,W1651,X1651)*OFFSET($N$6,W1651,0)</f>
        <v>3.6543885883147085</v>
      </c>
      <c r="V1651">
        <f t="shared" si="77"/>
        <v>556</v>
      </c>
      <c r="W1651">
        <f t="shared" si="78"/>
        <v>28</v>
      </c>
      <c r="X1651">
        <f t="shared" si="79"/>
        <v>16</v>
      </c>
      <c r="AC1651" s="224" t="s">
        <v>474</v>
      </c>
      <c r="AD1651" s="224" t="s">
        <v>490</v>
      </c>
      <c r="AE1651" s="224" t="s">
        <v>471</v>
      </c>
      <c r="AF1651">
        <f ca="1">OFFSET('Calculations 2'!$CE$45,W1651,0)*OFFSET($AA$6,X1651,0)*OFFSET($N$6,W1651,)</f>
        <v>0</v>
      </c>
      <c r="AY1651" s="224" t="s">
        <v>474</v>
      </c>
      <c r="AZ1651" s="224" t="s">
        <v>490</v>
      </c>
      <c r="BA1651" s="224" t="s">
        <v>471</v>
      </c>
      <c r="BB1651">
        <v>0</v>
      </c>
      <c r="BE1651" s="224" t="s">
        <v>474</v>
      </c>
      <c r="BF1651" s="224" t="s">
        <v>490</v>
      </c>
      <c r="BG1651" s="224" t="s">
        <v>471</v>
      </c>
      <c r="BH1651">
        <v>0</v>
      </c>
    </row>
    <row r="1652" spans="17:60">
      <c r="Q1652" s="224" t="s">
        <v>223</v>
      </c>
      <c r="R1652" s="224" t="s">
        <v>490</v>
      </c>
      <c r="S1652" s="224" t="s">
        <v>471</v>
      </c>
      <c r="T1652" s="224">
        <f ca="1">OFFSET('Calculations 2'!$C$45,W1652,X1652)*OFFSET($N$6,W1652,0)</f>
        <v>36.802400289875763</v>
      </c>
      <c r="V1652">
        <f t="shared" si="77"/>
        <v>557</v>
      </c>
      <c r="W1652">
        <f t="shared" si="78"/>
        <v>29</v>
      </c>
      <c r="X1652">
        <f t="shared" si="79"/>
        <v>16</v>
      </c>
      <c r="AC1652" s="224" t="s">
        <v>223</v>
      </c>
      <c r="AD1652" s="224" t="s">
        <v>490</v>
      </c>
      <c r="AE1652" s="224" t="s">
        <v>471</v>
      </c>
      <c r="AF1652">
        <f ca="1">OFFSET('Calculations 2'!$CE$45,W1652,0)*OFFSET($AA$6,X1652,0)*OFFSET($N$6,W1652,)</f>
        <v>0</v>
      </c>
      <c r="AY1652" s="224" t="s">
        <v>223</v>
      </c>
      <c r="AZ1652" s="224" t="s">
        <v>490</v>
      </c>
      <c r="BA1652" s="224" t="s">
        <v>471</v>
      </c>
      <c r="BB1652">
        <v>0</v>
      </c>
      <c r="BE1652" s="224" t="s">
        <v>223</v>
      </c>
      <c r="BF1652" s="224" t="s">
        <v>490</v>
      </c>
      <c r="BG1652" s="224" t="s">
        <v>471</v>
      </c>
      <c r="BH1652">
        <v>0</v>
      </c>
    </row>
    <row r="1653" spans="17:60">
      <c r="Q1653" s="224" t="s">
        <v>475</v>
      </c>
      <c r="R1653" s="224" t="s">
        <v>490</v>
      </c>
      <c r="S1653" s="224" t="s">
        <v>471</v>
      </c>
      <c r="T1653" s="224">
        <f ca="1">OFFSET('Calculations 2'!$C$45,W1653,X1653)*OFFSET($N$6,W1653,0)</f>
        <v>5.9194464031241583E-3</v>
      </c>
      <c r="V1653">
        <f t="shared" si="77"/>
        <v>558</v>
      </c>
      <c r="W1653">
        <f t="shared" si="78"/>
        <v>30</v>
      </c>
      <c r="X1653">
        <f t="shared" si="79"/>
        <v>16</v>
      </c>
      <c r="AC1653" s="224" t="s">
        <v>475</v>
      </c>
      <c r="AD1653" s="224" t="s">
        <v>490</v>
      </c>
      <c r="AE1653" s="224" t="s">
        <v>471</v>
      </c>
      <c r="AF1653">
        <f ca="1">OFFSET('Calculations 2'!$CE$45,W1653,0)*OFFSET($AA$6,X1653,0)*OFFSET($N$6,W1653,)</f>
        <v>0</v>
      </c>
      <c r="AY1653" s="224" t="s">
        <v>475</v>
      </c>
      <c r="AZ1653" s="224" t="s">
        <v>490</v>
      </c>
      <c r="BA1653" s="224" t="s">
        <v>471</v>
      </c>
      <c r="BB1653">
        <v>0</v>
      </c>
      <c r="BE1653" s="224" t="s">
        <v>475</v>
      </c>
      <c r="BF1653" s="224" t="s">
        <v>490</v>
      </c>
      <c r="BG1653" s="224" t="s">
        <v>471</v>
      </c>
      <c r="BH1653">
        <v>0</v>
      </c>
    </row>
    <row r="1654" spans="17:60">
      <c r="Q1654" s="224" t="s">
        <v>476</v>
      </c>
      <c r="R1654" s="224" t="s">
        <v>490</v>
      </c>
      <c r="S1654" s="224" t="s">
        <v>471</v>
      </c>
      <c r="T1654" s="224">
        <f ca="1">OFFSET('Calculations 2'!$C$45,W1654,X1654)*OFFSET($N$6,W1654,0)</f>
        <v>1.236774385507825</v>
      </c>
      <c r="V1654">
        <f t="shared" si="77"/>
        <v>559</v>
      </c>
      <c r="W1654">
        <f t="shared" si="78"/>
        <v>31</v>
      </c>
      <c r="X1654">
        <f t="shared" si="79"/>
        <v>16</v>
      </c>
      <c r="AC1654" s="224" t="s">
        <v>476</v>
      </c>
      <c r="AD1654" s="224" t="s">
        <v>490</v>
      </c>
      <c r="AE1654" s="224" t="s">
        <v>471</v>
      </c>
      <c r="AF1654">
        <f ca="1">OFFSET('Calculations 2'!$CE$45,W1654,0)*OFFSET($AA$6,X1654,0)*OFFSET($N$6,W1654,)</f>
        <v>0</v>
      </c>
      <c r="AY1654" s="224" t="s">
        <v>476</v>
      </c>
      <c r="AZ1654" s="224" t="s">
        <v>490</v>
      </c>
      <c r="BA1654" s="224" t="s">
        <v>471</v>
      </c>
      <c r="BB1654">
        <v>0</v>
      </c>
      <c r="BE1654" s="224" t="s">
        <v>476</v>
      </c>
      <c r="BF1654" s="224" t="s">
        <v>490</v>
      </c>
      <c r="BG1654" s="224" t="s">
        <v>471</v>
      </c>
      <c r="BH1654">
        <v>0</v>
      </c>
    </row>
    <row r="1655" spans="17:60">
      <c r="Q1655" s="224" t="s">
        <v>222</v>
      </c>
      <c r="R1655" s="224" t="s">
        <v>490</v>
      </c>
      <c r="S1655" s="224" t="s">
        <v>471</v>
      </c>
      <c r="T1655" s="224">
        <f ca="1">OFFSET('Calculations 2'!$C$45,W1655,X1655)*OFFSET($N$6,W1655,0)</f>
        <v>0</v>
      </c>
      <c r="V1655">
        <f t="shared" si="77"/>
        <v>560</v>
      </c>
      <c r="W1655">
        <f t="shared" si="78"/>
        <v>32</v>
      </c>
      <c r="X1655">
        <f t="shared" si="79"/>
        <v>16</v>
      </c>
      <c r="AC1655" s="224" t="s">
        <v>222</v>
      </c>
      <c r="AD1655" s="224" t="s">
        <v>490</v>
      </c>
      <c r="AE1655" s="224" t="s">
        <v>471</v>
      </c>
      <c r="AF1655">
        <f ca="1">OFFSET('Calculations 2'!$CE$45,W1655,0)*OFFSET($AA$6,X1655,0)*OFFSET($N$6,W1655,)</f>
        <v>0</v>
      </c>
      <c r="AY1655" s="224" t="s">
        <v>222</v>
      </c>
      <c r="AZ1655" s="224" t="s">
        <v>490</v>
      </c>
      <c r="BA1655" s="224" t="s">
        <v>471</v>
      </c>
      <c r="BB1655">
        <v>0</v>
      </c>
      <c r="BE1655" s="224" t="s">
        <v>222</v>
      </c>
      <c r="BF1655" s="224" t="s">
        <v>490</v>
      </c>
      <c r="BG1655" s="224" t="s">
        <v>471</v>
      </c>
      <c r="BH1655">
        <v>0</v>
      </c>
    </row>
    <row r="1656" spans="17:60">
      <c r="Q1656" s="224" t="s">
        <v>217</v>
      </c>
      <c r="R1656" s="224" t="s">
        <v>490</v>
      </c>
      <c r="S1656" s="224" t="s">
        <v>221</v>
      </c>
      <c r="T1656" s="224">
        <f ca="1">OFFSET('Calculations 2'!$C$45,W1656,X1656)*OFFSET($N$6,W1656,0)</f>
        <v>0</v>
      </c>
      <c r="V1656">
        <f t="shared" si="77"/>
        <v>561</v>
      </c>
      <c r="W1656">
        <f t="shared" si="78"/>
        <v>0</v>
      </c>
      <c r="X1656">
        <f t="shared" si="79"/>
        <v>17</v>
      </c>
      <c r="AC1656" s="224" t="s">
        <v>217</v>
      </c>
      <c r="AD1656" s="224" t="s">
        <v>490</v>
      </c>
      <c r="AE1656" s="224" t="s">
        <v>221</v>
      </c>
      <c r="AF1656">
        <f ca="1">OFFSET('Calculations 2'!$CE$45,W1656,0)*OFFSET($AA$6,X1656,0)*OFFSET($N$6,W1656,)</f>
        <v>7.8750328150093942</v>
      </c>
      <c r="AY1656" s="224" t="s">
        <v>217</v>
      </c>
      <c r="AZ1656" s="224" t="s">
        <v>490</v>
      </c>
      <c r="BA1656" s="224" t="s">
        <v>221</v>
      </c>
      <c r="BB1656">
        <v>0</v>
      </c>
      <c r="BE1656" s="224" t="s">
        <v>217</v>
      </c>
      <c r="BF1656" s="224" t="s">
        <v>490</v>
      </c>
      <c r="BG1656" s="224" t="s">
        <v>221</v>
      </c>
      <c r="BH1656">
        <v>0</v>
      </c>
    </row>
    <row r="1657" spans="17:60">
      <c r="Q1657" s="224" t="s">
        <v>232</v>
      </c>
      <c r="R1657" s="224" t="s">
        <v>490</v>
      </c>
      <c r="S1657" s="224" t="s">
        <v>221</v>
      </c>
      <c r="T1657" s="224">
        <f ca="1">OFFSET('Calculations 2'!$C$45,W1657,X1657)*OFFSET($N$6,W1657,0)</f>
        <v>263.01971389476512</v>
      </c>
      <c r="V1657">
        <f t="shared" si="77"/>
        <v>562</v>
      </c>
      <c r="W1657">
        <f t="shared" si="78"/>
        <v>1</v>
      </c>
      <c r="X1657">
        <f t="shared" si="79"/>
        <v>17</v>
      </c>
      <c r="AC1657" s="224" t="s">
        <v>232</v>
      </c>
      <c r="AD1657" s="224" t="s">
        <v>490</v>
      </c>
      <c r="AE1657" s="224" t="s">
        <v>221</v>
      </c>
      <c r="AF1657">
        <f ca="1">OFFSET('Calculations 2'!$CE$45,W1657,0)*OFFSET($AA$6,X1657,0)*OFFSET($N$6,W1657,)</f>
        <v>12.423901821915175</v>
      </c>
      <c r="AY1657" s="224" t="s">
        <v>232</v>
      </c>
      <c r="AZ1657" s="224" t="s">
        <v>490</v>
      </c>
      <c r="BA1657" s="224" t="s">
        <v>221</v>
      </c>
      <c r="BB1657">
        <v>0</v>
      </c>
      <c r="BE1657" s="224" t="s">
        <v>232</v>
      </c>
      <c r="BF1657" s="224" t="s">
        <v>490</v>
      </c>
      <c r="BG1657" s="224" t="s">
        <v>221</v>
      </c>
      <c r="BH1657">
        <v>0</v>
      </c>
    </row>
    <row r="1658" spans="17:60">
      <c r="Q1658" s="224" t="s">
        <v>226</v>
      </c>
      <c r="R1658" s="224" t="s">
        <v>490</v>
      </c>
      <c r="S1658" s="224" t="s">
        <v>221</v>
      </c>
      <c r="T1658" s="224">
        <f ca="1">OFFSET('Calculations 2'!$C$45,W1658,X1658)*OFFSET($N$6,W1658,0)</f>
        <v>0.58440007259156668</v>
      </c>
      <c r="V1658">
        <f t="shared" si="77"/>
        <v>563</v>
      </c>
      <c r="W1658">
        <f t="shared" si="78"/>
        <v>2</v>
      </c>
      <c r="X1658">
        <f t="shared" si="79"/>
        <v>17</v>
      </c>
      <c r="AC1658" s="224" t="s">
        <v>226</v>
      </c>
      <c r="AD1658" s="224" t="s">
        <v>490</v>
      </c>
      <c r="AE1658" s="224" t="s">
        <v>221</v>
      </c>
      <c r="AF1658">
        <f ca="1">OFFSET('Calculations 2'!$CE$45,W1658,0)*OFFSET($AA$6,X1658,0)*OFFSET($N$6,W1658,)</f>
        <v>3.1088406791786407</v>
      </c>
      <c r="AY1658" s="224" t="s">
        <v>226</v>
      </c>
      <c r="AZ1658" s="224" t="s">
        <v>490</v>
      </c>
      <c r="BA1658" s="224" t="s">
        <v>221</v>
      </c>
      <c r="BB1658">
        <v>0</v>
      </c>
      <c r="BE1658" s="224" t="s">
        <v>226</v>
      </c>
      <c r="BF1658" s="224" t="s">
        <v>490</v>
      </c>
      <c r="BG1658" s="224" t="s">
        <v>221</v>
      </c>
      <c r="BH1658">
        <v>0</v>
      </c>
    </row>
    <row r="1659" spans="17:60">
      <c r="Q1659" s="224" t="s">
        <v>243</v>
      </c>
      <c r="R1659" s="224" t="s">
        <v>490</v>
      </c>
      <c r="S1659" s="224" t="s">
        <v>221</v>
      </c>
      <c r="T1659" s="224">
        <f ca="1">OFFSET('Calculations 2'!$C$45,W1659,X1659)*OFFSET($N$6,W1659,0)</f>
        <v>107.03413545207798</v>
      </c>
      <c r="V1659">
        <f t="shared" si="77"/>
        <v>564</v>
      </c>
      <c r="W1659">
        <f t="shared" si="78"/>
        <v>3</v>
      </c>
      <c r="X1659">
        <f t="shared" si="79"/>
        <v>17</v>
      </c>
      <c r="AC1659" s="224" t="s">
        <v>243</v>
      </c>
      <c r="AD1659" s="224" t="s">
        <v>490</v>
      </c>
      <c r="AE1659" s="224" t="s">
        <v>221</v>
      </c>
      <c r="AF1659">
        <f ca="1">OFFSET('Calculations 2'!$CE$45,W1659,0)*OFFSET($AA$6,X1659,0)*OFFSET($N$6,W1659,)</f>
        <v>61.007954834326384</v>
      </c>
      <c r="AY1659" s="224" t="s">
        <v>243</v>
      </c>
      <c r="AZ1659" s="224" t="s">
        <v>490</v>
      </c>
      <c r="BA1659" s="224" t="s">
        <v>221</v>
      </c>
      <c r="BB1659">
        <v>0</v>
      </c>
      <c r="BE1659" s="224" t="s">
        <v>243</v>
      </c>
      <c r="BF1659" s="224" t="s">
        <v>490</v>
      </c>
      <c r="BG1659" s="224" t="s">
        <v>221</v>
      </c>
      <c r="BH1659">
        <v>0</v>
      </c>
    </row>
    <row r="1660" spans="17:60">
      <c r="Q1660" s="224" t="s">
        <v>228</v>
      </c>
      <c r="R1660" s="224" t="s">
        <v>490</v>
      </c>
      <c r="S1660" s="224" t="s">
        <v>221</v>
      </c>
      <c r="T1660" s="224">
        <f ca="1">OFFSET('Calculations 2'!$C$45,W1660,X1660)*OFFSET($N$6,W1660,0)</f>
        <v>90.645928717374844</v>
      </c>
      <c r="V1660">
        <f t="shared" si="77"/>
        <v>565</v>
      </c>
      <c r="W1660">
        <f t="shared" si="78"/>
        <v>4</v>
      </c>
      <c r="X1660">
        <f t="shared" si="79"/>
        <v>17</v>
      </c>
      <c r="AC1660" s="224" t="s">
        <v>228</v>
      </c>
      <c r="AD1660" s="224" t="s">
        <v>490</v>
      </c>
      <c r="AE1660" s="224" t="s">
        <v>221</v>
      </c>
      <c r="AF1660">
        <f ca="1">OFFSET('Calculations 2'!$CE$45,W1660,0)*OFFSET($AA$6,X1660,0)*OFFSET($N$6,W1660,)</f>
        <v>31.795483568392427</v>
      </c>
      <c r="AY1660" s="224" t="s">
        <v>228</v>
      </c>
      <c r="AZ1660" s="224" t="s">
        <v>490</v>
      </c>
      <c r="BA1660" s="224" t="s">
        <v>221</v>
      </c>
      <c r="BB1660">
        <v>0</v>
      </c>
      <c r="BE1660" s="224" t="s">
        <v>228</v>
      </c>
      <c r="BF1660" s="224" t="s">
        <v>490</v>
      </c>
      <c r="BG1660" s="224" t="s">
        <v>221</v>
      </c>
      <c r="BH1660">
        <v>0</v>
      </c>
    </row>
    <row r="1661" spans="17:60">
      <c r="Q1661" s="224" t="s">
        <v>246</v>
      </c>
      <c r="R1661" s="224" t="s">
        <v>490</v>
      </c>
      <c r="S1661" s="224" t="s">
        <v>221</v>
      </c>
      <c r="T1661" s="224">
        <f ca="1">OFFSET('Calculations 2'!$C$45,W1661,X1661)*OFFSET($N$6,W1661,0)</f>
        <v>948.54488614977743</v>
      </c>
      <c r="V1661">
        <f t="shared" si="77"/>
        <v>566</v>
      </c>
      <c r="W1661">
        <f t="shared" si="78"/>
        <v>5</v>
      </c>
      <c r="X1661">
        <f t="shared" si="79"/>
        <v>17</v>
      </c>
      <c r="AC1661" s="224" t="s">
        <v>246</v>
      </c>
      <c r="AD1661" s="224" t="s">
        <v>490</v>
      </c>
      <c r="AE1661" s="224" t="s">
        <v>221</v>
      </c>
      <c r="AF1661">
        <f ca="1">OFFSET('Calculations 2'!$CE$45,W1661,0)*OFFSET($AA$6,X1661,0)*OFFSET($N$6,W1661,)</f>
        <v>0.56911505380196392</v>
      </c>
      <c r="AY1661" s="224" t="s">
        <v>246</v>
      </c>
      <c r="AZ1661" s="224" t="s">
        <v>490</v>
      </c>
      <c r="BA1661" s="224" t="s">
        <v>221</v>
      </c>
      <c r="BB1661">
        <v>0</v>
      </c>
      <c r="BE1661" s="224" t="s">
        <v>246</v>
      </c>
      <c r="BF1661" s="224" t="s">
        <v>490</v>
      </c>
      <c r="BG1661" s="224" t="s">
        <v>221</v>
      </c>
      <c r="BH1661">
        <v>0</v>
      </c>
    </row>
    <row r="1662" spans="17:60">
      <c r="Q1662" s="224" t="s">
        <v>239</v>
      </c>
      <c r="R1662" s="224" t="s">
        <v>490</v>
      </c>
      <c r="S1662" s="224" t="s">
        <v>221</v>
      </c>
      <c r="T1662" s="224">
        <f ca="1">OFFSET('Calculations 2'!$C$45,W1662,X1662)*OFFSET($N$6,W1662,0)</f>
        <v>118.6500171463784</v>
      </c>
      <c r="V1662">
        <f t="shared" si="77"/>
        <v>567</v>
      </c>
      <c r="W1662">
        <f t="shared" si="78"/>
        <v>6</v>
      </c>
      <c r="X1662">
        <f t="shared" si="79"/>
        <v>17</v>
      </c>
      <c r="AC1662" s="224" t="s">
        <v>239</v>
      </c>
      <c r="AD1662" s="224" t="s">
        <v>490</v>
      </c>
      <c r="AE1662" s="224" t="s">
        <v>221</v>
      </c>
      <c r="AF1662">
        <f ca="1">OFFSET('Calculations 2'!$CE$45,W1662,0)*OFFSET($AA$6,X1662,0)*OFFSET($N$6,W1662,)</f>
        <v>8.1952107548850197</v>
      </c>
      <c r="AY1662" s="224" t="s">
        <v>239</v>
      </c>
      <c r="AZ1662" s="224" t="s">
        <v>490</v>
      </c>
      <c r="BA1662" s="224" t="s">
        <v>221</v>
      </c>
      <c r="BB1662">
        <v>0</v>
      </c>
      <c r="BE1662" s="224" t="s">
        <v>239</v>
      </c>
      <c r="BF1662" s="224" t="s">
        <v>490</v>
      </c>
      <c r="BG1662" s="224" t="s">
        <v>221</v>
      </c>
      <c r="BH1662">
        <v>0</v>
      </c>
    </row>
    <row r="1663" spans="17:60">
      <c r="Q1663" s="224" t="s">
        <v>466</v>
      </c>
      <c r="R1663" s="224" t="s">
        <v>490</v>
      </c>
      <c r="S1663" s="224" t="s">
        <v>221</v>
      </c>
      <c r="T1663" s="224">
        <f ca="1">OFFSET('Calculations 2'!$C$45,W1663,X1663)*OFFSET($N$6,W1663,0)</f>
        <v>1370.0321654896081</v>
      </c>
      <c r="V1663">
        <f t="shared" si="77"/>
        <v>568</v>
      </c>
      <c r="W1663">
        <f t="shared" si="78"/>
        <v>7</v>
      </c>
      <c r="X1663">
        <f t="shared" si="79"/>
        <v>17</v>
      </c>
      <c r="AC1663" s="224" t="s">
        <v>466</v>
      </c>
      <c r="AD1663" s="224" t="s">
        <v>490</v>
      </c>
      <c r="AE1663" s="224" t="s">
        <v>221</v>
      </c>
      <c r="AF1663">
        <f ca="1">OFFSET('Calculations 2'!$CE$45,W1663,0)*OFFSET($AA$6,X1663,0)*OFFSET($N$6,W1663,)</f>
        <v>2.0636497979227175</v>
      </c>
      <c r="AY1663" s="224" t="s">
        <v>466</v>
      </c>
      <c r="AZ1663" s="224" t="s">
        <v>490</v>
      </c>
      <c r="BA1663" s="224" t="s">
        <v>221</v>
      </c>
      <c r="BB1663">
        <v>0</v>
      </c>
      <c r="BE1663" s="224" t="s">
        <v>466</v>
      </c>
      <c r="BF1663" s="224" t="s">
        <v>490</v>
      </c>
      <c r="BG1663" s="224" t="s">
        <v>221</v>
      </c>
      <c r="BH1663">
        <v>0</v>
      </c>
    </row>
    <row r="1664" spans="17:60">
      <c r="Q1664" s="224" t="s">
        <v>219</v>
      </c>
      <c r="R1664" s="224" t="s">
        <v>490</v>
      </c>
      <c r="S1664" s="224" t="s">
        <v>221</v>
      </c>
      <c r="T1664" s="224">
        <f ca="1">OFFSET('Calculations 2'!$C$45,W1664,X1664)*OFFSET($N$6,W1664,0)</f>
        <v>953.27764042635158</v>
      </c>
      <c r="V1664">
        <f t="shared" si="77"/>
        <v>569</v>
      </c>
      <c r="W1664">
        <f t="shared" si="78"/>
        <v>8</v>
      </c>
      <c r="X1664">
        <f t="shared" si="79"/>
        <v>17</v>
      </c>
      <c r="AC1664" s="224" t="s">
        <v>219</v>
      </c>
      <c r="AD1664" s="224" t="s">
        <v>490</v>
      </c>
      <c r="AE1664" s="224" t="s">
        <v>221</v>
      </c>
      <c r="AF1664">
        <f ca="1">OFFSET('Calculations 2'!$CE$45,W1664,0)*OFFSET($AA$6,X1664,0)*OFFSET($N$6,W1664,)</f>
        <v>28.289203859393488</v>
      </c>
      <c r="AY1664" s="224" t="s">
        <v>219</v>
      </c>
      <c r="AZ1664" s="224" t="s">
        <v>490</v>
      </c>
      <c r="BA1664" s="224" t="s">
        <v>221</v>
      </c>
      <c r="BB1664">
        <v>0</v>
      </c>
      <c r="BE1664" s="224" t="s">
        <v>219</v>
      </c>
      <c r="BF1664" s="224" t="s">
        <v>490</v>
      </c>
      <c r="BG1664" s="224" t="s">
        <v>221</v>
      </c>
      <c r="BH1664">
        <v>0</v>
      </c>
    </row>
    <row r="1665" spans="17:60">
      <c r="Q1665" s="224" t="s">
        <v>242</v>
      </c>
      <c r="R1665" s="224" t="s">
        <v>490</v>
      </c>
      <c r="S1665" s="224" t="s">
        <v>221</v>
      </c>
      <c r="T1665" s="224">
        <f ca="1">OFFSET('Calculations 2'!$C$45,W1665,X1665)*OFFSET($N$6,W1665,0)</f>
        <v>152.5041230505679</v>
      </c>
      <c r="V1665">
        <f t="shared" si="77"/>
        <v>570</v>
      </c>
      <c r="W1665">
        <f t="shared" si="78"/>
        <v>9</v>
      </c>
      <c r="X1665">
        <f t="shared" si="79"/>
        <v>17</v>
      </c>
      <c r="AC1665" s="224" t="s">
        <v>242</v>
      </c>
      <c r="AD1665" s="224" t="s">
        <v>490</v>
      </c>
      <c r="AE1665" s="224" t="s">
        <v>221</v>
      </c>
      <c r="AF1665">
        <f ca="1">OFFSET('Calculations 2'!$CE$45,W1665,0)*OFFSET($AA$6,X1665,0)*OFFSET($N$6,W1665,)</f>
        <v>21.665769930975294</v>
      </c>
      <c r="AY1665" s="224" t="s">
        <v>242</v>
      </c>
      <c r="AZ1665" s="224" t="s">
        <v>490</v>
      </c>
      <c r="BA1665" s="224" t="s">
        <v>221</v>
      </c>
      <c r="BB1665">
        <v>0</v>
      </c>
      <c r="BE1665" s="224" t="s">
        <v>242</v>
      </c>
      <c r="BF1665" s="224" t="s">
        <v>490</v>
      </c>
      <c r="BG1665" s="224" t="s">
        <v>221</v>
      </c>
      <c r="BH1665">
        <v>0</v>
      </c>
    </row>
    <row r="1666" spans="17:60">
      <c r="Q1666" s="224" t="s">
        <v>467</v>
      </c>
      <c r="R1666" s="224" t="s">
        <v>490</v>
      </c>
      <c r="S1666" s="224" t="s">
        <v>221</v>
      </c>
      <c r="T1666" s="224">
        <f ca="1">OFFSET('Calculations 2'!$C$45,W1666,X1666)*OFFSET($N$6,W1666,0)</f>
        <v>2792.9232553754359</v>
      </c>
      <c r="V1666">
        <f t="shared" si="77"/>
        <v>571</v>
      </c>
      <c r="W1666">
        <f t="shared" si="78"/>
        <v>10</v>
      </c>
      <c r="X1666">
        <f t="shared" si="79"/>
        <v>17</v>
      </c>
      <c r="AC1666" s="224" t="s">
        <v>467</v>
      </c>
      <c r="AD1666" s="224" t="s">
        <v>490</v>
      </c>
      <c r="AE1666" s="224" t="s">
        <v>221</v>
      </c>
      <c r="AF1666">
        <f ca="1">OFFSET('Calculations 2'!$CE$45,W1666,0)*OFFSET($AA$6,X1666,0)*OFFSET($N$6,W1666,)</f>
        <v>8.178554119344664</v>
      </c>
      <c r="AY1666" s="224" t="s">
        <v>467</v>
      </c>
      <c r="AZ1666" s="224" t="s">
        <v>490</v>
      </c>
      <c r="BA1666" s="224" t="s">
        <v>221</v>
      </c>
      <c r="BB1666">
        <v>0</v>
      </c>
      <c r="BE1666" s="224" t="s">
        <v>467</v>
      </c>
      <c r="BF1666" s="224" t="s">
        <v>490</v>
      </c>
      <c r="BG1666" s="224" t="s">
        <v>221</v>
      </c>
      <c r="BH1666">
        <v>0</v>
      </c>
    </row>
    <row r="1667" spans="17:60">
      <c r="Q1667" s="224" t="s">
        <v>231</v>
      </c>
      <c r="R1667" s="224" t="s">
        <v>490</v>
      </c>
      <c r="S1667" s="224" t="s">
        <v>221</v>
      </c>
      <c r="T1667" s="224">
        <f ca="1">OFFSET('Calculations 2'!$C$45,W1667,X1667)*OFFSET($N$6,W1667,0)</f>
        <v>4890.8808831457727</v>
      </c>
      <c r="V1667">
        <f t="shared" si="77"/>
        <v>572</v>
      </c>
      <c r="W1667">
        <f t="shared" si="78"/>
        <v>11</v>
      </c>
      <c r="X1667">
        <f t="shared" si="79"/>
        <v>17</v>
      </c>
      <c r="AC1667" s="224" t="s">
        <v>231</v>
      </c>
      <c r="AD1667" s="224" t="s">
        <v>490</v>
      </c>
      <c r="AE1667" s="224" t="s">
        <v>221</v>
      </c>
      <c r="AF1667">
        <f ca="1">OFFSET('Calculations 2'!$CE$45,W1667,0)*OFFSET($AA$6,X1667,0)*OFFSET($N$6,W1667,)</f>
        <v>102.37209823974554</v>
      </c>
      <c r="AY1667" s="224" t="s">
        <v>231</v>
      </c>
      <c r="AZ1667" s="224" t="s">
        <v>490</v>
      </c>
      <c r="BA1667" s="224" t="s">
        <v>221</v>
      </c>
      <c r="BB1667">
        <v>0</v>
      </c>
      <c r="BE1667" s="224" t="s">
        <v>231</v>
      </c>
      <c r="BF1667" s="224" t="s">
        <v>490</v>
      </c>
      <c r="BG1667" s="224" t="s">
        <v>221</v>
      </c>
      <c r="BH1667">
        <v>0</v>
      </c>
    </row>
    <row r="1668" spans="17:60">
      <c r="Q1668" s="224" t="s">
        <v>468</v>
      </c>
      <c r="R1668" s="224" t="s">
        <v>490</v>
      </c>
      <c r="S1668" s="224" t="s">
        <v>221</v>
      </c>
      <c r="T1668" s="224">
        <f ca="1">OFFSET('Calculations 2'!$C$45,W1668,X1668)*OFFSET($N$6,W1668,0)</f>
        <v>6130.4544374080269</v>
      </c>
      <c r="V1668">
        <f t="shared" si="77"/>
        <v>573</v>
      </c>
      <c r="W1668">
        <f t="shared" si="78"/>
        <v>12</v>
      </c>
      <c r="X1668">
        <f t="shared" si="79"/>
        <v>17</v>
      </c>
      <c r="AC1668" s="224" t="s">
        <v>468</v>
      </c>
      <c r="AD1668" s="224" t="s">
        <v>490</v>
      </c>
      <c r="AE1668" s="224" t="s">
        <v>221</v>
      </c>
      <c r="AF1668">
        <f ca="1">OFFSET('Calculations 2'!$CE$45,W1668,0)*OFFSET($AA$6,X1668,0)*OFFSET($N$6,W1668,)</f>
        <v>392.1641572527638</v>
      </c>
      <c r="AY1668" s="224" t="s">
        <v>468</v>
      </c>
      <c r="AZ1668" s="224" t="s">
        <v>490</v>
      </c>
      <c r="BA1668" s="224" t="s">
        <v>221</v>
      </c>
      <c r="BB1668">
        <v>0</v>
      </c>
      <c r="BE1668" s="224" t="s">
        <v>468</v>
      </c>
      <c r="BF1668" s="224" t="s">
        <v>490</v>
      </c>
      <c r="BG1668" s="224" t="s">
        <v>221</v>
      </c>
      <c r="BH1668">
        <v>0</v>
      </c>
    </row>
    <row r="1669" spans="17:60">
      <c r="Q1669" s="224" t="s">
        <v>469</v>
      </c>
      <c r="R1669" s="224" t="s">
        <v>490</v>
      </c>
      <c r="S1669" s="224" t="s">
        <v>221</v>
      </c>
      <c r="T1669" s="224">
        <f ca="1">OFFSET('Calculations 2'!$C$45,W1669,X1669)*OFFSET($N$6,W1669,0)</f>
        <v>4709.4163833695047</v>
      </c>
      <c r="V1669">
        <f t="shared" si="77"/>
        <v>574</v>
      </c>
      <c r="W1669">
        <f t="shared" si="78"/>
        <v>13</v>
      </c>
      <c r="X1669">
        <f t="shared" si="79"/>
        <v>17</v>
      </c>
      <c r="AC1669" s="224" t="s">
        <v>469</v>
      </c>
      <c r="AD1669" s="224" t="s">
        <v>490</v>
      </c>
      <c r="AE1669" s="224" t="s">
        <v>221</v>
      </c>
      <c r="AF1669">
        <f ca="1">OFFSET('Calculations 2'!$CE$45,W1669,0)*OFFSET($AA$6,X1669,0)*OFFSET($N$6,W1669,)</f>
        <v>210.26645814077901</v>
      </c>
      <c r="AY1669" s="224" t="s">
        <v>469</v>
      </c>
      <c r="AZ1669" s="224" t="s">
        <v>490</v>
      </c>
      <c r="BA1669" s="224" t="s">
        <v>221</v>
      </c>
      <c r="BB1669">
        <v>0</v>
      </c>
      <c r="BE1669" s="224" t="s">
        <v>469</v>
      </c>
      <c r="BF1669" s="224" t="s">
        <v>490</v>
      </c>
      <c r="BG1669" s="224" t="s">
        <v>221</v>
      </c>
      <c r="BH1669">
        <v>0</v>
      </c>
    </row>
    <row r="1670" spans="17:60">
      <c r="Q1670" s="224" t="s">
        <v>245</v>
      </c>
      <c r="R1670" s="224" t="s">
        <v>490</v>
      </c>
      <c r="S1670" s="224" t="s">
        <v>221</v>
      </c>
      <c r="T1670" s="224">
        <f ca="1">OFFSET('Calculations 2'!$C$45,W1670,X1670)*OFFSET($N$6,W1670,0)</f>
        <v>495.12379243677242</v>
      </c>
      <c r="V1670">
        <f t="shared" si="77"/>
        <v>575</v>
      </c>
      <c r="W1670">
        <f t="shared" si="78"/>
        <v>14</v>
      </c>
      <c r="X1670">
        <f t="shared" si="79"/>
        <v>17</v>
      </c>
      <c r="AC1670" s="224" t="s">
        <v>245</v>
      </c>
      <c r="AD1670" s="224" t="s">
        <v>490</v>
      </c>
      <c r="AE1670" s="224" t="s">
        <v>221</v>
      </c>
      <c r="AF1670">
        <f ca="1">OFFSET('Calculations 2'!$CE$45,W1670,0)*OFFSET($AA$6,X1670,0)*OFFSET($N$6,W1670,)</f>
        <v>335.56161709561064</v>
      </c>
      <c r="AY1670" s="224" t="s">
        <v>245</v>
      </c>
      <c r="AZ1670" s="224" t="s">
        <v>490</v>
      </c>
      <c r="BA1670" s="224" t="s">
        <v>221</v>
      </c>
      <c r="BB1670">
        <v>0</v>
      </c>
      <c r="BE1670" s="224" t="s">
        <v>245</v>
      </c>
      <c r="BF1670" s="224" t="s">
        <v>490</v>
      </c>
      <c r="BG1670" s="224" t="s">
        <v>221</v>
      </c>
      <c r="BH1670">
        <v>0</v>
      </c>
    </row>
    <row r="1671" spans="17:60">
      <c r="Q1671" s="224" t="s">
        <v>470</v>
      </c>
      <c r="R1671" s="224" t="s">
        <v>490</v>
      </c>
      <c r="S1671" s="224" t="s">
        <v>221</v>
      </c>
      <c r="T1671" s="224">
        <f ca="1">OFFSET('Calculations 2'!$C$45,W1671,X1671)*OFFSET($N$6,W1671,0)</f>
        <v>278.80803678460552</v>
      </c>
      <c r="V1671">
        <f t="shared" si="77"/>
        <v>576</v>
      </c>
      <c r="W1671">
        <f t="shared" si="78"/>
        <v>15</v>
      </c>
      <c r="X1671">
        <f t="shared" si="79"/>
        <v>17</v>
      </c>
      <c r="AC1671" s="224" t="s">
        <v>470</v>
      </c>
      <c r="AD1671" s="224" t="s">
        <v>490</v>
      </c>
      <c r="AE1671" s="224" t="s">
        <v>221</v>
      </c>
      <c r="AF1671">
        <f ca="1">OFFSET('Calculations 2'!$CE$45,W1671,0)*OFFSET($AA$6,X1671,0)*OFFSET($N$6,W1671,)</f>
        <v>127.32371095470471</v>
      </c>
      <c r="AY1671" s="224" t="s">
        <v>470</v>
      </c>
      <c r="AZ1671" s="224" t="s">
        <v>490</v>
      </c>
      <c r="BA1671" s="224" t="s">
        <v>221</v>
      </c>
      <c r="BB1671">
        <v>0</v>
      </c>
      <c r="BE1671" s="224" t="s">
        <v>470</v>
      </c>
      <c r="BF1671" s="224" t="s">
        <v>490</v>
      </c>
      <c r="BG1671" s="224" t="s">
        <v>221</v>
      </c>
      <c r="BH1671">
        <v>0</v>
      </c>
    </row>
    <row r="1672" spans="17:60">
      <c r="Q1672" s="224" t="s">
        <v>471</v>
      </c>
      <c r="R1672" s="224" t="s">
        <v>490</v>
      </c>
      <c r="S1672" s="224" t="s">
        <v>221</v>
      </c>
      <c r="T1672" s="224">
        <f ca="1">OFFSET('Calculations 2'!$C$45,W1672,X1672)*OFFSET($N$6,W1672,0)</f>
        <v>5.6413480764262154</v>
      </c>
      <c r="V1672">
        <f t="shared" si="77"/>
        <v>577</v>
      </c>
      <c r="W1672">
        <f t="shared" si="78"/>
        <v>16</v>
      </c>
      <c r="X1672">
        <f t="shared" si="79"/>
        <v>17</v>
      </c>
      <c r="AC1672" s="224" t="s">
        <v>471</v>
      </c>
      <c r="AD1672" s="224" t="s">
        <v>490</v>
      </c>
      <c r="AE1672" s="224" t="s">
        <v>221</v>
      </c>
      <c r="AF1672">
        <f ca="1">OFFSET('Calculations 2'!$CE$45,W1672,0)*OFFSET($AA$6,X1672,0)*OFFSET($N$6,W1672,)</f>
        <v>0</v>
      </c>
      <c r="AY1672" s="224" t="s">
        <v>471</v>
      </c>
      <c r="AZ1672" s="224" t="s">
        <v>490</v>
      </c>
      <c r="BA1672" s="224" t="s">
        <v>221</v>
      </c>
      <c r="BB1672">
        <v>0</v>
      </c>
      <c r="BE1672" s="224" t="s">
        <v>471</v>
      </c>
      <c r="BF1672" s="224" t="s">
        <v>490</v>
      </c>
      <c r="BG1672" s="224" t="s">
        <v>221</v>
      </c>
      <c r="BH1672">
        <v>0</v>
      </c>
    </row>
    <row r="1673" spans="17:60">
      <c r="Q1673" s="224" t="s">
        <v>221</v>
      </c>
      <c r="R1673" s="224" t="s">
        <v>490</v>
      </c>
      <c r="S1673" s="224" t="s">
        <v>221</v>
      </c>
      <c r="T1673" s="224">
        <f ca="1">OFFSET('Calculations 2'!$C$45,W1673,X1673)*OFFSET($N$6,W1673,0)</f>
        <v>279.5697589632457</v>
      </c>
      <c r="V1673">
        <f t="shared" ref="V1673:V1736" si="80">V1672+1</f>
        <v>578</v>
      </c>
      <c r="W1673">
        <f t="shared" ref="W1673:W1736" si="81">MOD(V1673,$V$3)</f>
        <v>17</v>
      </c>
      <c r="X1673">
        <f t="shared" ref="X1673:X1736" si="82">FLOOR(V1673/$V$3,1)</f>
        <v>17</v>
      </c>
      <c r="AC1673" s="224" t="s">
        <v>221</v>
      </c>
      <c r="AD1673" s="224" t="s">
        <v>490</v>
      </c>
      <c r="AE1673" s="224" t="s">
        <v>221</v>
      </c>
      <c r="AF1673">
        <f ca="1">OFFSET('Calculations 2'!$CE$45,W1673,0)*OFFSET($AA$6,X1673,0)*OFFSET($N$6,W1673,)</f>
        <v>24.924349525887099</v>
      </c>
      <c r="AY1673" s="224" t="s">
        <v>221</v>
      </c>
      <c r="AZ1673" s="224" t="s">
        <v>490</v>
      </c>
      <c r="BA1673" s="224" t="s">
        <v>221</v>
      </c>
      <c r="BB1673">
        <v>0</v>
      </c>
      <c r="BE1673" s="224" t="s">
        <v>221</v>
      </c>
      <c r="BF1673" s="224" t="s">
        <v>490</v>
      </c>
      <c r="BG1673" s="224" t="s">
        <v>221</v>
      </c>
      <c r="BH1673">
        <v>0</v>
      </c>
    </row>
    <row r="1674" spans="17:60">
      <c r="Q1674" s="224" t="s">
        <v>244</v>
      </c>
      <c r="R1674" s="224" t="s">
        <v>490</v>
      </c>
      <c r="S1674" s="224" t="s">
        <v>221</v>
      </c>
      <c r="T1674" s="224">
        <f ca="1">OFFSET('Calculations 2'!$C$45,W1674,X1674)*OFFSET($N$6,W1674,0)</f>
        <v>87.646346945219065</v>
      </c>
      <c r="V1674">
        <f t="shared" si="80"/>
        <v>579</v>
      </c>
      <c r="W1674">
        <f t="shared" si="81"/>
        <v>18</v>
      </c>
      <c r="X1674">
        <f t="shared" si="82"/>
        <v>17</v>
      </c>
      <c r="AC1674" s="224" t="s">
        <v>244</v>
      </c>
      <c r="AD1674" s="224" t="s">
        <v>490</v>
      </c>
      <c r="AE1674" s="224" t="s">
        <v>221</v>
      </c>
      <c r="AF1674">
        <f ca="1">OFFSET('Calculations 2'!$CE$45,W1674,0)*OFFSET($AA$6,X1674,0)*OFFSET($N$6,W1674,)</f>
        <v>2.180711419908234</v>
      </c>
      <c r="AY1674" s="224" t="s">
        <v>244</v>
      </c>
      <c r="AZ1674" s="224" t="s">
        <v>490</v>
      </c>
      <c r="BA1674" s="224" t="s">
        <v>221</v>
      </c>
      <c r="BB1674">
        <v>0</v>
      </c>
      <c r="BE1674" s="224" t="s">
        <v>244</v>
      </c>
      <c r="BF1674" s="224" t="s">
        <v>490</v>
      </c>
      <c r="BG1674" s="224" t="s">
        <v>221</v>
      </c>
      <c r="BH1674">
        <v>0</v>
      </c>
    </row>
    <row r="1675" spans="17:60">
      <c r="Q1675" s="224" t="s">
        <v>472</v>
      </c>
      <c r="R1675" s="224" t="s">
        <v>490</v>
      </c>
      <c r="S1675" s="224" t="s">
        <v>221</v>
      </c>
      <c r="T1675" s="224">
        <f ca="1">OFFSET('Calculations 2'!$C$45,W1675,X1675)*OFFSET($N$6,W1675,0)</f>
        <v>0</v>
      </c>
      <c r="V1675">
        <f t="shared" si="80"/>
        <v>580</v>
      </c>
      <c r="W1675">
        <f t="shared" si="81"/>
        <v>19</v>
      </c>
      <c r="X1675">
        <f t="shared" si="82"/>
        <v>17</v>
      </c>
      <c r="AC1675" s="224" t="s">
        <v>472</v>
      </c>
      <c r="AD1675" s="224" t="s">
        <v>490</v>
      </c>
      <c r="AE1675" s="224" t="s">
        <v>221</v>
      </c>
      <c r="AF1675">
        <f ca="1">OFFSET('Calculations 2'!$CE$45,W1675,0)*OFFSET($AA$6,X1675,0)*OFFSET($N$6,W1675,)</f>
        <v>0</v>
      </c>
      <c r="AY1675" s="224" t="s">
        <v>472</v>
      </c>
      <c r="AZ1675" s="224" t="s">
        <v>490</v>
      </c>
      <c r="BA1675" s="224" t="s">
        <v>221</v>
      </c>
      <c r="BB1675">
        <v>0</v>
      </c>
      <c r="BE1675" s="224" t="s">
        <v>472</v>
      </c>
      <c r="BF1675" s="224" t="s">
        <v>490</v>
      </c>
      <c r="BG1675" s="224" t="s">
        <v>221</v>
      </c>
      <c r="BH1675">
        <v>0</v>
      </c>
    </row>
    <row r="1676" spans="17:60">
      <c r="Q1676" s="224" t="s">
        <v>238</v>
      </c>
      <c r="R1676" s="224" t="s">
        <v>490</v>
      </c>
      <c r="S1676" s="224" t="s">
        <v>221</v>
      </c>
      <c r="T1676" s="224">
        <f ca="1">OFFSET('Calculations 2'!$C$45,W1676,X1676)*OFFSET($N$6,W1676,0)</f>
        <v>0.53897567549439218</v>
      </c>
      <c r="V1676">
        <f t="shared" si="80"/>
        <v>581</v>
      </c>
      <c r="W1676">
        <f t="shared" si="81"/>
        <v>20</v>
      </c>
      <c r="X1676">
        <f t="shared" si="82"/>
        <v>17</v>
      </c>
      <c r="AC1676" s="224" t="s">
        <v>238</v>
      </c>
      <c r="AD1676" s="224" t="s">
        <v>490</v>
      </c>
      <c r="AE1676" s="224" t="s">
        <v>221</v>
      </c>
      <c r="AF1676">
        <f ca="1">OFFSET('Calculations 2'!$CE$45,W1676,0)*OFFSET($AA$6,X1676,0)*OFFSET($N$6,W1676,)</f>
        <v>0</v>
      </c>
      <c r="AY1676" s="224" t="s">
        <v>238</v>
      </c>
      <c r="AZ1676" s="224" t="s">
        <v>490</v>
      </c>
      <c r="BA1676" s="224" t="s">
        <v>221</v>
      </c>
      <c r="BB1676">
        <v>0</v>
      </c>
      <c r="BE1676" s="224" t="s">
        <v>238</v>
      </c>
      <c r="BF1676" s="224" t="s">
        <v>490</v>
      </c>
      <c r="BG1676" s="224" t="s">
        <v>221</v>
      </c>
      <c r="BH1676">
        <v>0</v>
      </c>
    </row>
    <row r="1677" spans="17:60">
      <c r="Q1677" s="224" t="s">
        <v>247</v>
      </c>
      <c r="R1677" s="224" t="s">
        <v>490</v>
      </c>
      <c r="S1677" s="224" t="s">
        <v>221</v>
      </c>
      <c r="T1677" s="224">
        <f ca="1">OFFSET('Calculations 2'!$C$45,W1677,X1677)*OFFSET($N$6,W1677,0)</f>
        <v>0</v>
      </c>
      <c r="V1677">
        <f t="shared" si="80"/>
        <v>582</v>
      </c>
      <c r="W1677">
        <f t="shared" si="81"/>
        <v>21</v>
      </c>
      <c r="X1677">
        <f t="shared" si="82"/>
        <v>17</v>
      </c>
      <c r="AC1677" s="224" t="s">
        <v>247</v>
      </c>
      <c r="AD1677" s="224" t="s">
        <v>490</v>
      </c>
      <c r="AE1677" s="224" t="s">
        <v>221</v>
      </c>
      <c r="AF1677">
        <f ca="1">OFFSET('Calculations 2'!$CE$45,W1677,0)*OFFSET($AA$6,X1677,0)*OFFSET($N$6,W1677,)</f>
        <v>0</v>
      </c>
      <c r="AY1677" s="224" t="s">
        <v>247</v>
      </c>
      <c r="AZ1677" s="224" t="s">
        <v>490</v>
      </c>
      <c r="BA1677" s="224" t="s">
        <v>221</v>
      </c>
      <c r="BB1677">
        <v>0</v>
      </c>
      <c r="BE1677" s="224" t="s">
        <v>247</v>
      </c>
      <c r="BF1677" s="224" t="s">
        <v>490</v>
      </c>
      <c r="BG1677" s="224" t="s">
        <v>221</v>
      </c>
      <c r="BH1677">
        <v>0</v>
      </c>
    </row>
    <row r="1678" spans="17:60">
      <c r="Q1678" s="224" t="s">
        <v>218</v>
      </c>
      <c r="R1678" s="224" t="s">
        <v>490</v>
      </c>
      <c r="S1678" s="224" t="s">
        <v>221</v>
      </c>
      <c r="T1678" s="224">
        <f ca="1">OFFSET('Calculations 2'!$C$45,W1678,X1678)*OFFSET($N$6,W1678,0)</f>
        <v>8.3407308520969305</v>
      </c>
      <c r="V1678">
        <f t="shared" si="80"/>
        <v>583</v>
      </c>
      <c r="W1678">
        <f t="shared" si="81"/>
        <v>22</v>
      </c>
      <c r="X1678">
        <f t="shared" si="82"/>
        <v>17</v>
      </c>
      <c r="AC1678" s="224" t="s">
        <v>218</v>
      </c>
      <c r="AD1678" s="224" t="s">
        <v>490</v>
      </c>
      <c r="AE1678" s="224" t="s">
        <v>221</v>
      </c>
      <c r="AF1678">
        <f ca="1">OFFSET('Calculations 2'!$CE$45,W1678,0)*OFFSET($AA$6,X1678,0)*OFFSET($N$6,W1678,)</f>
        <v>0</v>
      </c>
      <c r="AY1678" s="224" t="s">
        <v>218</v>
      </c>
      <c r="AZ1678" s="224" t="s">
        <v>490</v>
      </c>
      <c r="BA1678" s="224" t="s">
        <v>221</v>
      </c>
      <c r="BB1678">
        <v>0</v>
      </c>
      <c r="BE1678" s="224" t="s">
        <v>218</v>
      </c>
      <c r="BF1678" s="224" t="s">
        <v>490</v>
      </c>
      <c r="BG1678" s="224" t="s">
        <v>221</v>
      </c>
      <c r="BH1678">
        <v>0</v>
      </c>
    </row>
    <row r="1679" spans="17:60">
      <c r="Q1679" s="224" t="s">
        <v>257</v>
      </c>
      <c r="R1679" s="224" t="s">
        <v>490</v>
      </c>
      <c r="S1679" s="224" t="s">
        <v>221</v>
      </c>
      <c r="T1679" s="224">
        <f ca="1">OFFSET('Calculations 2'!$C$45,W1679,X1679)*OFFSET($N$6,W1679,0)</f>
        <v>0.94556622273228552</v>
      </c>
      <c r="V1679">
        <f t="shared" si="80"/>
        <v>584</v>
      </c>
      <c r="W1679">
        <f t="shared" si="81"/>
        <v>23</v>
      </c>
      <c r="X1679">
        <f t="shared" si="82"/>
        <v>17</v>
      </c>
      <c r="AC1679" s="224" t="s">
        <v>257</v>
      </c>
      <c r="AD1679" s="224" t="s">
        <v>490</v>
      </c>
      <c r="AE1679" s="224" t="s">
        <v>221</v>
      </c>
      <c r="AF1679">
        <f ca="1">OFFSET('Calculations 2'!$CE$45,W1679,0)*OFFSET($AA$6,X1679,0)*OFFSET($N$6,W1679,)</f>
        <v>0</v>
      </c>
      <c r="AY1679" s="224" t="s">
        <v>257</v>
      </c>
      <c r="AZ1679" s="224" t="s">
        <v>490</v>
      </c>
      <c r="BA1679" s="224" t="s">
        <v>221</v>
      </c>
      <c r="BB1679">
        <v>0</v>
      </c>
      <c r="BE1679" s="224" t="s">
        <v>257</v>
      </c>
      <c r="BF1679" s="224" t="s">
        <v>490</v>
      </c>
      <c r="BG1679" s="224" t="s">
        <v>221</v>
      </c>
      <c r="BH1679">
        <v>0</v>
      </c>
    </row>
    <row r="1680" spans="17:60">
      <c r="Q1680" s="224" t="s">
        <v>220</v>
      </c>
      <c r="R1680" s="224" t="s">
        <v>490</v>
      </c>
      <c r="S1680" s="224" t="s">
        <v>221</v>
      </c>
      <c r="T1680" s="224">
        <f ca="1">OFFSET('Calculations 2'!$C$45,W1680,X1680)*OFFSET($N$6,W1680,0)</f>
        <v>3.5456456380106296</v>
      </c>
      <c r="V1680">
        <f t="shared" si="80"/>
        <v>585</v>
      </c>
      <c r="W1680">
        <f t="shared" si="81"/>
        <v>24</v>
      </c>
      <c r="X1680">
        <f t="shared" si="82"/>
        <v>17</v>
      </c>
      <c r="AC1680" s="224" t="s">
        <v>220</v>
      </c>
      <c r="AD1680" s="224" t="s">
        <v>490</v>
      </c>
      <c r="AE1680" s="224" t="s">
        <v>221</v>
      </c>
      <c r="AF1680">
        <f ca="1">OFFSET('Calculations 2'!$CE$45,W1680,0)*OFFSET($AA$6,X1680,0)*OFFSET($N$6,W1680,)</f>
        <v>0</v>
      </c>
      <c r="AY1680" s="224" t="s">
        <v>220</v>
      </c>
      <c r="AZ1680" s="224" t="s">
        <v>490</v>
      </c>
      <c r="BA1680" s="224" t="s">
        <v>221</v>
      </c>
      <c r="BB1680">
        <v>0</v>
      </c>
      <c r="BE1680" s="224" t="s">
        <v>220</v>
      </c>
      <c r="BF1680" s="224" t="s">
        <v>490</v>
      </c>
      <c r="BG1680" s="224" t="s">
        <v>221</v>
      </c>
      <c r="BH1680">
        <v>0</v>
      </c>
    </row>
    <row r="1681" spans="17:60">
      <c r="Q1681" s="224" t="s">
        <v>235</v>
      </c>
      <c r="R1681" s="224" t="s">
        <v>490</v>
      </c>
      <c r="S1681" s="224" t="s">
        <v>221</v>
      </c>
      <c r="T1681" s="224">
        <f ca="1">OFFSET('Calculations 2'!$C$45,W1681,X1681)*OFFSET($N$6,W1681,0)</f>
        <v>25.858417480181124</v>
      </c>
      <c r="V1681">
        <f t="shared" si="80"/>
        <v>586</v>
      </c>
      <c r="W1681">
        <f t="shared" si="81"/>
        <v>25</v>
      </c>
      <c r="X1681">
        <f t="shared" si="82"/>
        <v>17</v>
      </c>
      <c r="AC1681" s="224" t="s">
        <v>235</v>
      </c>
      <c r="AD1681" s="224" t="s">
        <v>490</v>
      </c>
      <c r="AE1681" s="224" t="s">
        <v>221</v>
      </c>
      <c r="AF1681">
        <f ca="1">OFFSET('Calculations 2'!$CE$45,W1681,0)*OFFSET($AA$6,X1681,0)*OFFSET($N$6,W1681,)</f>
        <v>0</v>
      </c>
      <c r="AY1681" s="224" t="s">
        <v>235</v>
      </c>
      <c r="AZ1681" s="224" t="s">
        <v>490</v>
      </c>
      <c r="BA1681" s="224" t="s">
        <v>221</v>
      </c>
      <c r="BB1681">
        <v>0</v>
      </c>
      <c r="BE1681" s="224" t="s">
        <v>235</v>
      </c>
      <c r="BF1681" s="224" t="s">
        <v>490</v>
      </c>
      <c r="BG1681" s="224" t="s">
        <v>221</v>
      </c>
      <c r="BH1681">
        <v>0</v>
      </c>
    </row>
    <row r="1682" spans="17:60">
      <c r="Q1682" s="224" t="s">
        <v>473</v>
      </c>
      <c r="R1682" s="224" t="s">
        <v>490</v>
      </c>
      <c r="S1682" s="224" t="s">
        <v>221</v>
      </c>
      <c r="T1682" s="224">
        <f ca="1">OFFSET('Calculations 2'!$C$45,W1682,X1682)*OFFSET($N$6,W1682,0)</f>
        <v>13.201847126825124</v>
      </c>
      <c r="V1682">
        <f t="shared" si="80"/>
        <v>587</v>
      </c>
      <c r="W1682">
        <f t="shared" si="81"/>
        <v>26</v>
      </c>
      <c r="X1682">
        <f t="shared" si="82"/>
        <v>17</v>
      </c>
      <c r="AC1682" s="224" t="s">
        <v>473</v>
      </c>
      <c r="AD1682" s="224" t="s">
        <v>490</v>
      </c>
      <c r="AE1682" s="224" t="s">
        <v>221</v>
      </c>
      <c r="AF1682">
        <f ca="1">OFFSET('Calculations 2'!$CE$45,W1682,0)*OFFSET($AA$6,X1682,0)*OFFSET($N$6,W1682,)</f>
        <v>0</v>
      </c>
      <c r="AY1682" s="224" t="s">
        <v>473</v>
      </c>
      <c r="AZ1682" s="224" t="s">
        <v>490</v>
      </c>
      <c r="BA1682" s="224" t="s">
        <v>221</v>
      </c>
      <c r="BB1682">
        <v>0</v>
      </c>
      <c r="BE1682" s="224" t="s">
        <v>473</v>
      </c>
      <c r="BF1682" s="224" t="s">
        <v>490</v>
      </c>
      <c r="BG1682" s="224" t="s">
        <v>221</v>
      </c>
      <c r="BH1682">
        <v>0</v>
      </c>
    </row>
    <row r="1683" spans="17:60">
      <c r="Q1683" s="224" t="s">
        <v>233</v>
      </c>
      <c r="R1683" s="224" t="s">
        <v>490</v>
      </c>
      <c r="S1683" s="224" t="s">
        <v>221</v>
      </c>
      <c r="T1683" s="224">
        <f ca="1">OFFSET('Calculations 2'!$C$45,W1683,X1683)*OFFSET($N$6,W1683,0)</f>
        <v>18.75817592937554</v>
      </c>
      <c r="V1683">
        <f t="shared" si="80"/>
        <v>588</v>
      </c>
      <c r="W1683">
        <f t="shared" si="81"/>
        <v>27</v>
      </c>
      <c r="X1683">
        <f t="shared" si="82"/>
        <v>17</v>
      </c>
      <c r="AC1683" s="224" t="s">
        <v>233</v>
      </c>
      <c r="AD1683" s="224" t="s">
        <v>490</v>
      </c>
      <c r="AE1683" s="224" t="s">
        <v>221</v>
      </c>
      <c r="AF1683">
        <f ca="1">OFFSET('Calculations 2'!$CE$45,W1683,0)*OFFSET($AA$6,X1683,0)*OFFSET($N$6,W1683,)</f>
        <v>0</v>
      </c>
      <c r="AY1683" s="224" t="s">
        <v>233</v>
      </c>
      <c r="AZ1683" s="224" t="s">
        <v>490</v>
      </c>
      <c r="BA1683" s="224" t="s">
        <v>221</v>
      </c>
      <c r="BB1683">
        <v>0</v>
      </c>
      <c r="BE1683" s="224" t="s">
        <v>233</v>
      </c>
      <c r="BF1683" s="224" t="s">
        <v>490</v>
      </c>
      <c r="BG1683" s="224" t="s">
        <v>221</v>
      </c>
      <c r="BH1683">
        <v>0</v>
      </c>
    </row>
    <row r="1684" spans="17:60">
      <c r="Q1684" s="224" t="s">
        <v>474</v>
      </c>
      <c r="R1684" s="224" t="s">
        <v>490</v>
      </c>
      <c r="S1684" s="224" t="s">
        <v>221</v>
      </c>
      <c r="T1684" s="224">
        <f ca="1">OFFSET('Calculations 2'!$C$45,W1684,X1684)*OFFSET($N$6,W1684,0)</f>
        <v>11.570972034866328</v>
      </c>
      <c r="V1684">
        <f t="shared" si="80"/>
        <v>589</v>
      </c>
      <c r="W1684">
        <f t="shared" si="81"/>
        <v>28</v>
      </c>
      <c r="X1684">
        <f t="shared" si="82"/>
        <v>17</v>
      </c>
      <c r="AC1684" s="224" t="s">
        <v>474</v>
      </c>
      <c r="AD1684" s="224" t="s">
        <v>490</v>
      </c>
      <c r="AE1684" s="224" t="s">
        <v>221</v>
      </c>
      <c r="AF1684">
        <f ca="1">OFFSET('Calculations 2'!$CE$45,W1684,0)*OFFSET($AA$6,X1684,0)*OFFSET($N$6,W1684,)</f>
        <v>0</v>
      </c>
      <c r="AY1684" s="224" t="s">
        <v>474</v>
      </c>
      <c r="AZ1684" s="224" t="s">
        <v>490</v>
      </c>
      <c r="BA1684" s="224" t="s">
        <v>221</v>
      </c>
      <c r="BB1684">
        <v>0</v>
      </c>
      <c r="BE1684" s="224" t="s">
        <v>474</v>
      </c>
      <c r="BF1684" s="224" t="s">
        <v>490</v>
      </c>
      <c r="BG1684" s="224" t="s">
        <v>221</v>
      </c>
      <c r="BH1684">
        <v>0</v>
      </c>
    </row>
    <row r="1685" spans="17:60">
      <c r="Q1685" s="224" t="s">
        <v>223</v>
      </c>
      <c r="R1685" s="224" t="s">
        <v>490</v>
      </c>
      <c r="S1685" s="224" t="s">
        <v>221</v>
      </c>
      <c r="T1685" s="224">
        <f ca="1">OFFSET('Calculations 2'!$C$45,W1685,X1685)*OFFSET($N$6,W1685,0)</f>
        <v>18.029807499764846</v>
      </c>
      <c r="V1685">
        <f t="shared" si="80"/>
        <v>590</v>
      </c>
      <c r="W1685">
        <f t="shared" si="81"/>
        <v>29</v>
      </c>
      <c r="X1685">
        <f t="shared" si="82"/>
        <v>17</v>
      </c>
      <c r="AC1685" s="224" t="s">
        <v>223</v>
      </c>
      <c r="AD1685" s="224" t="s">
        <v>490</v>
      </c>
      <c r="AE1685" s="224" t="s">
        <v>221</v>
      </c>
      <c r="AF1685">
        <f ca="1">OFFSET('Calculations 2'!$CE$45,W1685,0)*OFFSET($AA$6,X1685,0)*OFFSET($N$6,W1685,)</f>
        <v>0</v>
      </c>
      <c r="AY1685" s="224" t="s">
        <v>223</v>
      </c>
      <c r="AZ1685" s="224" t="s">
        <v>490</v>
      </c>
      <c r="BA1685" s="224" t="s">
        <v>221</v>
      </c>
      <c r="BB1685">
        <v>0</v>
      </c>
      <c r="BE1685" s="224" t="s">
        <v>223</v>
      </c>
      <c r="BF1685" s="224" t="s">
        <v>490</v>
      </c>
      <c r="BG1685" s="224" t="s">
        <v>221</v>
      </c>
      <c r="BH1685">
        <v>0</v>
      </c>
    </row>
    <row r="1686" spans="17:60">
      <c r="Q1686" s="224" t="s">
        <v>475</v>
      </c>
      <c r="R1686" s="224" t="s">
        <v>490</v>
      </c>
      <c r="S1686" s="224" t="s">
        <v>221</v>
      </c>
      <c r="T1686" s="224">
        <f ca="1">OFFSET('Calculations 2'!$C$45,W1686,X1686)*OFFSET($N$6,W1686,0)</f>
        <v>0.77974508252277175</v>
      </c>
      <c r="V1686">
        <f t="shared" si="80"/>
        <v>591</v>
      </c>
      <c r="W1686">
        <f t="shared" si="81"/>
        <v>30</v>
      </c>
      <c r="X1686">
        <f t="shared" si="82"/>
        <v>17</v>
      </c>
      <c r="AC1686" s="224" t="s">
        <v>475</v>
      </c>
      <c r="AD1686" s="224" t="s">
        <v>490</v>
      </c>
      <c r="AE1686" s="224" t="s">
        <v>221</v>
      </c>
      <c r="AF1686">
        <f ca="1">OFFSET('Calculations 2'!$CE$45,W1686,0)*OFFSET($AA$6,X1686,0)*OFFSET($N$6,W1686,)</f>
        <v>0</v>
      </c>
      <c r="AY1686" s="224" t="s">
        <v>475</v>
      </c>
      <c r="AZ1686" s="224" t="s">
        <v>490</v>
      </c>
      <c r="BA1686" s="224" t="s">
        <v>221</v>
      </c>
      <c r="BB1686">
        <v>0</v>
      </c>
      <c r="BE1686" s="224" t="s">
        <v>475</v>
      </c>
      <c r="BF1686" s="224" t="s">
        <v>490</v>
      </c>
      <c r="BG1686" s="224" t="s">
        <v>221</v>
      </c>
      <c r="BH1686">
        <v>0</v>
      </c>
    </row>
    <row r="1687" spans="17:60">
      <c r="Q1687" s="224" t="s">
        <v>476</v>
      </c>
      <c r="R1687" s="224" t="s">
        <v>490</v>
      </c>
      <c r="S1687" s="224" t="s">
        <v>221</v>
      </c>
      <c r="T1687" s="224">
        <f ca="1">OFFSET('Calculations 2'!$C$45,W1687,X1687)*OFFSET($N$6,W1687,0)</f>
        <v>1.439122826750354</v>
      </c>
      <c r="V1687">
        <f t="shared" si="80"/>
        <v>592</v>
      </c>
      <c r="W1687">
        <f t="shared" si="81"/>
        <v>31</v>
      </c>
      <c r="X1687">
        <f t="shared" si="82"/>
        <v>17</v>
      </c>
      <c r="AC1687" s="224" t="s">
        <v>476</v>
      </c>
      <c r="AD1687" s="224" t="s">
        <v>490</v>
      </c>
      <c r="AE1687" s="224" t="s">
        <v>221</v>
      </c>
      <c r="AF1687">
        <f ca="1">OFFSET('Calculations 2'!$CE$45,W1687,0)*OFFSET($AA$6,X1687,0)*OFFSET($N$6,W1687,)</f>
        <v>0</v>
      </c>
      <c r="AY1687" s="224" t="s">
        <v>476</v>
      </c>
      <c r="AZ1687" s="224" t="s">
        <v>490</v>
      </c>
      <c r="BA1687" s="224" t="s">
        <v>221</v>
      </c>
      <c r="BB1687">
        <v>0</v>
      </c>
      <c r="BE1687" s="224" t="s">
        <v>476</v>
      </c>
      <c r="BF1687" s="224" t="s">
        <v>490</v>
      </c>
      <c r="BG1687" s="224" t="s">
        <v>221</v>
      </c>
      <c r="BH1687">
        <v>0</v>
      </c>
    </row>
    <row r="1688" spans="17:60">
      <c r="Q1688" s="224" t="s">
        <v>222</v>
      </c>
      <c r="R1688" s="224" t="s">
        <v>490</v>
      </c>
      <c r="S1688" s="224" t="s">
        <v>221</v>
      </c>
      <c r="T1688" s="224">
        <f ca="1">OFFSET('Calculations 2'!$C$45,W1688,X1688)*OFFSET($N$6,W1688,0)</f>
        <v>0</v>
      </c>
      <c r="V1688">
        <f t="shared" si="80"/>
        <v>593</v>
      </c>
      <c r="W1688">
        <f t="shared" si="81"/>
        <v>32</v>
      </c>
      <c r="X1688">
        <f t="shared" si="82"/>
        <v>17</v>
      </c>
      <c r="AC1688" s="224" t="s">
        <v>222</v>
      </c>
      <c r="AD1688" s="224" t="s">
        <v>490</v>
      </c>
      <c r="AE1688" s="224" t="s">
        <v>221</v>
      </c>
      <c r="AF1688">
        <f ca="1">OFFSET('Calculations 2'!$CE$45,W1688,0)*OFFSET($AA$6,X1688,0)*OFFSET($N$6,W1688,)</f>
        <v>0</v>
      </c>
      <c r="AY1688" s="224" t="s">
        <v>222</v>
      </c>
      <c r="AZ1688" s="224" t="s">
        <v>490</v>
      </c>
      <c r="BA1688" s="224" t="s">
        <v>221</v>
      </c>
      <c r="BB1688">
        <v>0</v>
      </c>
      <c r="BE1688" s="224" t="s">
        <v>222</v>
      </c>
      <c r="BF1688" s="224" t="s">
        <v>490</v>
      </c>
      <c r="BG1688" s="224" t="s">
        <v>221</v>
      </c>
      <c r="BH1688">
        <v>0</v>
      </c>
    </row>
    <row r="1689" spans="17:60">
      <c r="Q1689" s="224" t="s">
        <v>217</v>
      </c>
      <c r="R1689" s="224" t="s">
        <v>490</v>
      </c>
      <c r="S1689" s="224" t="s">
        <v>244</v>
      </c>
      <c r="T1689" s="224">
        <f ca="1">OFFSET('Calculations 2'!$C$45,W1689,X1689)*OFFSET($N$6,W1689,0)</f>
        <v>0</v>
      </c>
      <c r="V1689">
        <f t="shared" si="80"/>
        <v>594</v>
      </c>
      <c r="W1689">
        <f t="shared" si="81"/>
        <v>0</v>
      </c>
      <c r="X1689">
        <f t="shared" si="82"/>
        <v>18</v>
      </c>
      <c r="AC1689" s="224" t="s">
        <v>217</v>
      </c>
      <c r="AD1689" s="224" t="s">
        <v>490</v>
      </c>
      <c r="AE1689" s="224" t="s">
        <v>244</v>
      </c>
      <c r="AF1689">
        <f ca="1">OFFSET('Calculations 2'!$CE$45,W1689,0)*OFFSET($AA$6,X1689,0)*OFFSET($N$6,W1689,)</f>
        <v>67.42003812871333</v>
      </c>
      <c r="AY1689" s="224" t="s">
        <v>217</v>
      </c>
      <c r="AZ1689" s="224" t="s">
        <v>490</v>
      </c>
      <c r="BA1689" s="224" t="s">
        <v>244</v>
      </c>
      <c r="BB1689">
        <v>0</v>
      </c>
      <c r="BE1689" s="224" t="s">
        <v>217</v>
      </c>
      <c r="BF1689" s="224" t="s">
        <v>490</v>
      </c>
      <c r="BG1689" s="224" t="s">
        <v>244</v>
      </c>
      <c r="BH1689">
        <v>0</v>
      </c>
    </row>
    <row r="1690" spans="17:60">
      <c r="Q1690" s="224" t="s">
        <v>232</v>
      </c>
      <c r="R1690" s="224" t="s">
        <v>490</v>
      </c>
      <c r="S1690" s="224" t="s">
        <v>244</v>
      </c>
      <c r="T1690" s="224">
        <f ca="1">OFFSET('Calculations 2'!$C$45,W1690,X1690)*OFFSET($N$6,W1690,0)</f>
        <v>56.098228314157119</v>
      </c>
      <c r="V1690">
        <f t="shared" si="80"/>
        <v>595</v>
      </c>
      <c r="W1690">
        <f t="shared" si="81"/>
        <v>1</v>
      </c>
      <c r="X1690">
        <f t="shared" si="82"/>
        <v>18</v>
      </c>
      <c r="AC1690" s="224" t="s">
        <v>232</v>
      </c>
      <c r="AD1690" s="224" t="s">
        <v>490</v>
      </c>
      <c r="AE1690" s="224" t="s">
        <v>244</v>
      </c>
      <c r="AF1690">
        <f ca="1">OFFSET('Calculations 2'!$CE$45,W1690,0)*OFFSET($AA$6,X1690,0)*OFFSET($N$6,W1690,)</f>
        <v>106.36399291498226</v>
      </c>
      <c r="AY1690" s="224" t="s">
        <v>232</v>
      </c>
      <c r="AZ1690" s="224" t="s">
        <v>490</v>
      </c>
      <c r="BA1690" s="224" t="s">
        <v>244</v>
      </c>
      <c r="BB1690">
        <v>0</v>
      </c>
      <c r="BE1690" s="224" t="s">
        <v>232</v>
      </c>
      <c r="BF1690" s="224" t="s">
        <v>490</v>
      </c>
      <c r="BG1690" s="224" t="s">
        <v>244</v>
      </c>
      <c r="BH1690">
        <v>0</v>
      </c>
    </row>
    <row r="1691" spans="17:60">
      <c r="Q1691" s="224" t="s">
        <v>226</v>
      </c>
      <c r="R1691" s="224" t="s">
        <v>490</v>
      </c>
      <c r="S1691" s="224" t="s">
        <v>244</v>
      </c>
      <c r="T1691" s="224">
        <f ca="1">OFFSET('Calculations 2'!$C$45,W1691,X1691)*OFFSET($N$6,W1691,0)</f>
        <v>28.865959487367007</v>
      </c>
      <c r="V1691">
        <f t="shared" si="80"/>
        <v>596</v>
      </c>
      <c r="W1691">
        <f t="shared" si="81"/>
        <v>2</v>
      </c>
      <c r="X1691">
        <f t="shared" si="82"/>
        <v>18</v>
      </c>
      <c r="AC1691" s="224" t="s">
        <v>226</v>
      </c>
      <c r="AD1691" s="224" t="s">
        <v>490</v>
      </c>
      <c r="AE1691" s="224" t="s">
        <v>244</v>
      </c>
      <c r="AF1691">
        <f ca="1">OFFSET('Calculations 2'!$CE$45,W1691,0)*OFFSET($AA$6,X1691,0)*OFFSET($N$6,W1691,)</f>
        <v>26.615528093652646</v>
      </c>
      <c r="AY1691" s="224" t="s">
        <v>226</v>
      </c>
      <c r="AZ1691" s="224" t="s">
        <v>490</v>
      </c>
      <c r="BA1691" s="224" t="s">
        <v>244</v>
      </c>
      <c r="BB1691">
        <v>0</v>
      </c>
      <c r="BE1691" s="224" t="s">
        <v>226</v>
      </c>
      <c r="BF1691" s="224" t="s">
        <v>490</v>
      </c>
      <c r="BG1691" s="224" t="s">
        <v>244</v>
      </c>
      <c r="BH1691">
        <v>0</v>
      </c>
    </row>
    <row r="1692" spans="17:60">
      <c r="Q1692" s="224" t="s">
        <v>243</v>
      </c>
      <c r="R1692" s="224" t="s">
        <v>490</v>
      </c>
      <c r="S1692" s="224" t="s">
        <v>244</v>
      </c>
      <c r="T1692" s="224">
        <f ca="1">OFFSET('Calculations 2'!$C$45,W1692,X1692)*OFFSET($N$6,W1692,0)</f>
        <v>119.55698820515892</v>
      </c>
      <c r="V1692">
        <f t="shared" si="80"/>
        <v>597</v>
      </c>
      <c r="W1692">
        <f t="shared" si="81"/>
        <v>3</v>
      </c>
      <c r="X1692">
        <f t="shared" si="82"/>
        <v>18</v>
      </c>
      <c r="AC1692" s="224" t="s">
        <v>243</v>
      </c>
      <c r="AD1692" s="224" t="s">
        <v>490</v>
      </c>
      <c r="AE1692" s="224" t="s">
        <v>244</v>
      </c>
      <c r="AF1692">
        <f ca="1">OFFSET('Calculations 2'!$CE$45,W1692,0)*OFFSET($AA$6,X1692,0)*OFFSET($N$6,W1692,)</f>
        <v>522.30368275363173</v>
      </c>
      <c r="AY1692" s="224" t="s">
        <v>243</v>
      </c>
      <c r="AZ1692" s="224" t="s">
        <v>490</v>
      </c>
      <c r="BA1692" s="224" t="s">
        <v>244</v>
      </c>
      <c r="BB1692">
        <v>0</v>
      </c>
      <c r="BE1692" s="224" t="s">
        <v>243</v>
      </c>
      <c r="BF1692" s="224" t="s">
        <v>490</v>
      </c>
      <c r="BG1692" s="224" t="s">
        <v>244</v>
      </c>
      <c r="BH1692">
        <v>0</v>
      </c>
    </row>
    <row r="1693" spans="17:60">
      <c r="Q1693" s="224" t="s">
        <v>228</v>
      </c>
      <c r="R1693" s="224" t="s">
        <v>490</v>
      </c>
      <c r="S1693" s="224" t="s">
        <v>244</v>
      </c>
      <c r="T1693" s="224">
        <f ca="1">OFFSET('Calculations 2'!$C$45,W1693,X1693)*OFFSET($N$6,W1693,0)</f>
        <v>0</v>
      </c>
      <c r="V1693">
        <f t="shared" si="80"/>
        <v>598</v>
      </c>
      <c r="W1693">
        <f t="shared" si="81"/>
        <v>4</v>
      </c>
      <c r="X1693">
        <f t="shared" si="82"/>
        <v>18</v>
      </c>
      <c r="AC1693" s="224" t="s">
        <v>228</v>
      </c>
      <c r="AD1693" s="224" t="s">
        <v>490</v>
      </c>
      <c r="AE1693" s="224" t="s">
        <v>244</v>
      </c>
      <c r="AF1693">
        <f ca="1">OFFSET('Calculations 2'!$CE$45,W1693,0)*OFFSET($AA$6,X1693,0)*OFFSET($N$6,W1693,)</f>
        <v>272.2087342183778</v>
      </c>
      <c r="AY1693" s="224" t="s">
        <v>228</v>
      </c>
      <c r="AZ1693" s="224" t="s">
        <v>490</v>
      </c>
      <c r="BA1693" s="224" t="s">
        <v>244</v>
      </c>
      <c r="BB1693">
        <v>0</v>
      </c>
      <c r="BE1693" s="224" t="s">
        <v>228</v>
      </c>
      <c r="BF1693" s="224" t="s">
        <v>490</v>
      </c>
      <c r="BG1693" s="224" t="s">
        <v>244</v>
      </c>
      <c r="BH1693">
        <v>0</v>
      </c>
    </row>
    <row r="1694" spans="17:60">
      <c r="Q1694" s="224" t="s">
        <v>246</v>
      </c>
      <c r="R1694" s="224" t="s">
        <v>490</v>
      </c>
      <c r="S1694" s="224" t="s">
        <v>244</v>
      </c>
      <c r="T1694" s="224">
        <f ca="1">OFFSET('Calculations 2'!$C$45,W1694,X1694)*OFFSET($N$6,W1694,0)</f>
        <v>6.7197106205430606</v>
      </c>
      <c r="V1694">
        <f t="shared" si="80"/>
        <v>599</v>
      </c>
      <c r="W1694">
        <f t="shared" si="81"/>
        <v>5</v>
      </c>
      <c r="X1694">
        <f t="shared" si="82"/>
        <v>18</v>
      </c>
      <c r="AC1694" s="224" t="s">
        <v>246</v>
      </c>
      <c r="AD1694" s="224" t="s">
        <v>490</v>
      </c>
      <c r="AE1694" s="224" t="s">
        <v>244</v>
      </c>
      <c r="AF1694">
        <f ca="1">OFFSET('Calculations 2'!$CE$45,W1694,0)*OFFSET($AA$6,X1694,0)*OFFSET($N$6,W1694,)</f>
        <v>4.872329998907742</v>
      </c>
      <c r="AY1694" s="224" t="s">
        <v>246</v>
      </c>
      <c r="AZ1694" s="224" t="s">
        <v>490</v>
      </c>
      <c r="BA1694" s="224" t="s">
        <v>244</v>
      </c>
      <c r="BB1694">
        <v>0</v>
      </c>
      <c r="BE1694" s="224" t="s">
        <v>246</v>
      </c>
      <c r="BF1694" s="224" t="s">
        <v>490</v>
      </c>
      <c r="BG1694" s="224" t="s">
        <v>244</v>
      </c>
      <c r="BH1694">
        <v>0</v>
      </c>
    </row>
    <row r="1695" spans="17:60">
      <c r="Q1695" s="224" t="s">
        <v>239</v>
      </c>
      <c r="R1695" s="224" t="s">
        <v>490</v>
      </c>
      <c r="S1695" s="224" t="s">
        <v>244</v>
      </c>
      <c r="T1695" s="224">
        <f ca="1">OFFSET('Calculations 2'!$C$45,W1695,X1695)*OFFSET($N$6,W1695,0)</f>
        <v>558.49263467379444</v>
      </c>
      <c r="V1695">
        <f t="shared" si="80"/>
        <v>600</v>
      </c>
      <c r="W1695">
        <f t="shared" si="81"/>
        <v>6</v>
      </c>
      <c r="X1695">
        <f t="shared" si="82"/>
        <v>18</v>
      </c>
      <c r="AC1695" s="224" t="s">
        <v>239</v>
      </c>
      <c r="AD1695" s="224" t="s">
        <v>490</v>
      </c>
      <c r="AE1695" s="224" t="s">
        <v>244</v>
      </c>
      <c r="AF1695">
        <f ca="1">OFFSET('Calculations 2'!$CE$45,W1695,0)*OFFSET($AA$6,X1695,0)*OFFSET($N$6,W1695,)</f>
        <v>70.161157997222958</v>
      </c>
      <c r="AY1695" s="224" t="s">
        <v>239</v>
      </c>
      <c r="AZ1695" s="224" t="s">
        <v>490</v>
      </c>
      <c r="BA1695" s="224" t="s">
        <v>244</v>
      </c>
      <c r="BB1695">
        <v>0</v>
      </c>
      <c r="BE1695" s="224" t="s">
        <v>239</v>
      </c>
      <c r="BF1695" s="224" t="s">
        <v>490</v>
      </c>
      <c r="BG1695" s="224" t="s">
        <v>244</v>
      </c>
      <c r="BH1695">
        <v>0</v>
      </c>
    </row>
    <row r="1696" spans="17:60">
      <c r="Q1696" s="224" t="s">
        <v>466</v>
      </c>
      <c r="R1696" s="224" t="s">
        <v>490</v>
      </c>
      <c r="S1696" s="224" t="s">
        <v>244</v>
      </c>
      <c r="T1696" s="224">
        <f ca="1">OFFSET('Calculations 2'!$C$45,W1696,X1696)*OFFSET($N$6,W1696,0)</f>
        <v>679.76376403075892</v>
      </c>
      <c r="V1696">
        <f t="shared" si="80"/>
        <v>601</v>
      </c>
      <c r="W1696">
        <f t="shared" si="81"/>
        <v>7</v>
      </c>
      <c r="X1696">
        <f t="shared" si="82"/>
        <v>18</v>
      </c>
      <c r="AC1696" s="224" t="s">
        <v>466</v>
      </c>
      <c r="AD1696" s="224" t="s">
        <v>490</v>
      </c>
      <c r="AE1696" s="224" t="s">
        <v>244</v>
      </c>
      <c r="AF1696">
        <f ca="1">OFFSET('Calculations 2'!$CE$45,W1696,0)*OFFSET($AA$6,X1696,0)*OFFSET($N$6,W1696,)</f>
        <v>17.66739914976408</v>
      </c>
      <c r="AY1696" s="224" t="s">
        <v>466</v>
      </c>
      <c r="AZ1696" s="224" t="s">
        <v>490</v>
      </c>
      <c r="BA1696" s="224" t="s">
        <v>244</v>
      </c>
      <c r="BB1696">
        <v>0</v>
      </c>
      <c r="BE1696" s="224" t="s">
        <v>466</v>
      </c>
      <c r="BF1696" s="224" t="s">
        <v>490</v>
      </c>
      <c r="BG1696" s="224" t="s">
        <v>244</v>
      </c>
      <c r="BH1696">
        <v>0</v>
      </c>
    </row>
    <row r="1697" spans="17:60">
      <c r="Q1697" s="224" t="s">
        <v>219</v>
      </c>
      <c r="R1697" s="224" t="s">
        <v>490</v>
      </c>
      <c r="S1697" s="224" t="s">
        <v>244</v>
      </c>
      <c r="T1697" s="224">
        <f ca="1">OFFSET('Calculations 2'!$C$45,W1697,X1697)*OFFSET($N$6,W1697,0)</f>
        <v>92.04363660282452</v>
      </c>
      <c r="V1697">
        <f t="shared" si="80"/>
        <v>602</v>
      </c>
      <c r="W1697">
        <f t="shared" si="81"/>
        <v>8</v>
      </c>
      <c r="X1697">
        <f t="shared" si="82"/>
        <v>18</v>
      </c>
      <c r="AC1697" s="224" t="s">
        <v>219</v>
      </c>
      <c r="AD1697" s="224" t="s">
        <v>490</v>
      </c>
      <c r="AE1697" s="224" t="s">
        <v>244</v>
      </c>
      <c r="AF1697">
        <f ca="1">OFFSET('Calculations 2'!$CE$45,W1697,0)*OFFSET($AA$6,X1697,0)*OFFSET($N$6,W1697,)</f>
        <v>242.19063559914551</v>
      </c>
      <c r="AY1697" s="224" t="s">
        <v>219</v>
      </c>
      <c r="AZ1697" s="224" t="s">
        <v>490</v>
      </c>
      <c r="BA1697" s="224" t="s">
        <v>244</v>
      </c>
      <c r="BB1697">
        <v>0</v>
      </c>
      <c r="BE1697" s="224" t="s">
        <v>219</v>
      </c>
      <c r="BF1697" s="224" t="s">
        <v>490</v>
      </c>
      <c r="BG1697" s="224" t="s">
        <v>244</v>
      </c>
      <c r="BH1697">
        <v>0</v>
      </c>
    </row>
    <row r="1698" spans="17:60">
      <c r="Q1698" s="224" t="s">
        <v>242</v>
      </c>
      <c r="R1698" s="224" t="s">
        <v>490</v>
      </c>
      <c r="S1698" s="224" t="s">
        <v>244</v>
      </c>
      <c r="T1698" s="224">
        <f ca="1">OFFSET('Calculations 2'!$C$45,W1698,X1698)*OFFSET($N$6,W1698,0)</f>
        <v>381.21020526802869</v>
      </c>
      <c r="V1698">
        <f t="shared" si="80"/>
        <v>603</v>
      </c>
      <c r="W1698">
        <f t="shared" si="81"/>
        <v>9</v>
      </c>
      <c r="X1698">
        <f t="shared" si="82"/>
        <v>18</v>
      </c>
      <c r="AC1698" s="224" t="s">
        <v>242</v>
      </c>
      <c r="AD1698" s="224" t="s">
        <v>490</v>
      </c>
      <c r="AE1698" s="224" t="s">
        <v>244</v>
      </c>
      <c r="AF1698">
        <f ca="1">OFFSET('Calculations 2'!$CE$45,W1698,0)*OFFSET($AA$6,X1698,0)*OFFSET($N$6,W1698,)</f>
        <v>185.48583468125432</v>
      </c>
      <c r="AY1698" s="224" t="s">
        <v>242</v>
      </c>
      <c r="AZ1698" s="224" t="s">
        <v>490</v>
      </c>
      <c r="BA1698" s="224" t="s">
        <v>244</v>
      </c>
      <c r="BB1698">
        <v>0</v>
      </c>
      <c r="BE1698" s="224" t="s">
        <v>242</v>
      </c>
      <c r="BF1698" s="224" t="s">
        <v>490</v>
      </c>
      <c r="BG1698" s="224" t="s">
        <v>244</v>
      </c>
      <c r="BH1698">
        <v>0</v>
      </c>
    </row>
    <row r="1699" spans="17:60">
      <c r="Q1699" s="224" t="s">
        <v>467</v>
      </c>
      <c r="R1699" s="224" t="s">
        <v>490</v>
      </c>
      <c r="S1699" s="224" t="s">
        <v>244</v>
      </c>
      <c r="T1699" s="224">
        <f ca="1">OFFSET('Calculations 2'!$C$45,W1699,X1699)*OFFSET($N$6,W1699,0)</f>
        <v>0</v>
      </c>
      <c r="V1699">
        <f t="shared" si="80"/>
        <v>604</v>
      </c>
      <c r="W1699">
        <f t="shared" si="81"/>
        <v>10</v>
      </c>
      <c r="X1699">
        <f t="shared" si="82"/>
        <v>18</v>
      </c>
      <c r="AC1699" s="224" t="s">
        <v>467</v>
      </c>
      <c r="AD1699" s="224" t="s">
        <v>490</v>
      </c>
      <c r="AE1699" s="224" t="s">
        <v>244</v>
      </c>
      <c r="AF1699">
        <f ca="1">OFFSET('Calculations 2'!$CE$45,W1699,0)*OFFSET($AA$6,X1699,0)*OFFSET($N$6,W1699,)</f>
        <v>70.018556559285273</v>
      </c>
      <c r="AY1699" s="224" t="s">
        <v>467</v>
      </c>
      <c r="AZ1699" s="224" t="s">
        <v>490</v>
      </c>
      <c r="BA1699" s="224" t="s">
        <v>244</v>
      </c>
      <c r="BB1699">
        <v>0</v>
      </c>
      <c r="BE1699" s="224" t="s">
        <v>467</v>
      </c>
      <c r="BF1699" s="224" t="s">
        <v>490</v>
      </c>
      <c r="BG1699" s="224" t="s">
        <v>244</v>
      </c>
      <c r="BH1699">
        <v>0</v>
      </c>
    </row>
    <row r="1700" spans="17:60">
      <c r="Q1700" s="224" t="s">
        <v>231</v>
      </c>
      <c r="R1700" s="224" t="s">
        <v>490</v>
      </c>
      <c r="S1700" s="224" t="s">
        <v>244</v>
      </c>
      <c r="T1700" s="224">
        <f ca="1">OFFSET('Calculations 2'!$C$45,W1700,X1700)*OFFSET($N$6,W1700,0)</f>
        <v>109.17385668547799</v>
      </c>
      <c r="V1700">
        <f t="shared" si="80"/>
        <v>605</v>
      </c>
      <c r="W1700">
        <f t="shared" si="81"/>
        <v>11</v>
      </c>
      <c r="X1700">
        <f t="shared" si="82"/>
        <v>18</v>
      </c>
      <c r="AC1700" s="224" t="s">
        <v>231</v>
      </c>
      <c r="AD1700" s="224" t="s">
        <v>490</v>
      </c>
      <c r="AE1700" s="224" t="s">
        <v>244</v>
      </c>
      <c r="AF1700">
        <f ca="1">OFFSET('Calculations 2'!$CE$45,W1700,0)*OFFSET($AA$6,X1700,0)*OFFSET($N$6,W1700,)</f>
        <v>876.43200082738917</v>
      </c>
      <c r="AY1700" s="224" t="s">
        <v>231</v>
      </c>
      <c r="AZ1700" s="224" t="s">
        <v>490</v>
      </c>
      <c r="BA1700" s="224" t="s">
        <v>244</v>
      </c>
      <c r="BB1700">
        <v>0</v>
      </c>
      <c r="BE1700" s="224" t="s">
        <v>231</v>
      </c>
      <c r="BF1700" s="224" t="s">
        <v>490</v>
      </c>
      <c r="BG1700" s="224" t="s">
        <v>244</v>
      </c>
      <c r="BH1700">
        <v>0</v>
      </c>
    </row>
    <row r="1701" spans="17:60">
      <c r="Q1701" s="224" t="s">
        <v>468</v>
      </c>
      <c r="R1701" s="224" t="s">
        <v>490</v>
      </c>
      <c r="S1701" s="224" t="s">
        <v>244</v>
      </c>
      <c r="T1701" s="224">
        <f ca="1">OFFSET('Calculations 2'!$C$45,W1701,X1701)*OFFSET($N$6,W1701,0)</f>
        <v>180.40742126956457</v>
      </c>
      <c r="V1701">
        <f t="shared" si="80"/>
        <v>606</v>
      </c>
      <c r="W1701">
        <f t="shared" si="81"/>
        <v>12</v>
      </c>
      <c r="X1701">
        <f t="shared" si="82"/>
        <v>18</v>
      </c>
      <c r="AC1701" s="224" t="s">
        <v>468</v>
      </c>
      <c r="AD1701" s="224" t="s">
        <v>490</v>
      </c>
      <c r="AE1701" s="224" t="s">
        <v>244</v>
      </c>
      <c r="AF1701">
        <f ca="1">OFFSET('Calculations 2'!$CE$45,W1701,0)*OFFSET($AA$6,X1701,0)*OFFSET($N$6,W1701,)</f>
        <v>3357.4110807898301</v>
      </c>
      <c r="AY1701" s="224" t="s">
        <v>468</v>
      </c>
      <c r="AZ1701" s="224" t="s">
        <v>490</v>
      </c>
      <c r="BA1701" s="224" t="s">
        <v>244</v>
      </c>
      <c r="BB1701">
        <v>0</v>
      </c>
      <c r="BE1701" s="224" t="s">
        <v>468</v>
      </c>
      <c r="BF1701" s="224" t="s">
        <v>490</v>
      </c>
      <c r="BG1701" s="224" t="s">
        <v>244</v>
      </c>
      <c r="BH1701">
        <v>0</v>
      </c>
    </row>
    <row r="1702" spans="17:60">
      <c r="Q1702" s="224" t="s">
        <v>469</v>
      </c>
      <c r="R1702" s="224" t="s">
        <v>490</v>
      </c>
      <c r="S1702" s="224" t="s">
        <v>244</v>
      </c>
      <c r="T1702" s="224">
        <f ca="1">OFFSET('Calculations 2'!$C$45,W1702,X1702)*OFFSET($N$6,W1702,0)</f>
        <v>21.347565214276717</v>
      </c>
      <c r="V1702">
        <f t="shared" si="80"/>
        <v>607</v>
      </c>
      <c r="W1702">
        <f t="shared" si="81"/>
        <v>13</v>
      </c>
      <c r="X1702">
        <f t="shared" si="82"/>
        <v>18</v>
      </c>
      <c r="AC1702" s="224" t="s">
        <v>469</v>
      </c>
      <c r="AD1702" s="224" t="s">
        <v>490</v>
      </c>
      <c r="AE1702" s="224" t="s">
        <v>244</v>
      </c>
      <c r="AF1702">
        <f ca="1">OFFSET('Calculations 2'!$CE$45,W1702,0)*OFFSET($AA$6,X1702,0)*OFFSET($N$6,W1702,)</f>
        <v>1800.1414036042866</v>
      </c>
      <c r="AY1702" s="224" t="s">
        <v>469</v>
      </c>
      <c r="AZ1702" s="224" t="s">
        <v>490</v>
      </c>
      <c r="BA1702" s="224" t="s">
        <v>244</v>
      </c>
      <c r="BB1702">
        <v>0</v>
      </c>
      <c r="BE1702" s="224" t="s">
        <v>469</v>
      </c>
      <c r="BF1702" s="224" t="s">
        <v>490</v>
      </c>
      <c r="BG1702" s="224" t="s">
        <v>244</v>
      </c>
      <c r="BH1702">
        <v>0</v>
      </c>
    </row>
    <row r="1703" spans="17:60">
      <c r="Q1703" s="224" t="s">
        <v>245</v>
      </c>
      <c r="R1703" s="224" t="s">
        <v>490</v>
      </c>
      <c r="S1703" s="224" t="s">
        <v>244</v>
      </c>
      <c r="T1703" s="224">
        <f ca="1">OFFSET('Calculations 2'!$C$45,W1703,X1703)*OFFSET($N$6,W1703,0)</f>
        <v>299.33664776808047</v>
      </c>
      <c r="V1703">
        <f t="shared" si="80"/>
        <v>608</v>
      </c>
      <c r="W1703">
        <f t="shared" si="81"/>
        <v>14</v>
      </c>
      <c r="X1703">
        <f t="shared" si="82"/>
        <v>18</v>
      </c>
      <c r="AC1703" s="224" t="s">
        <v>245</v>
      </c>
      <c r="AD1703" s="224" t="s">
        <v>490</v>
      </c>
      <c r="AE1703" s="224" t="s">
        <v>244</v>
      </c>
      <c r="AF1703">
        <f ca="1">OFFSET('Calculations 2'!$CE$45,W1703,0)*OFFSET($AA$6,X1703,0)*OFFSET($N$6,W1703,)</f>
        <v>2872.8232060188293</v>
      </c>
      <c r="AY1703" s="224" t="s">
        <v>245</v>
      </c>
      <c r="AZ1703" s="224" t="s">
        <v>490</v>
      </c>
      <c r="BA1703" s="224" t="s">
        <v>244</v>
      </c>
      <c r="BB1703">
        <v>0</v>
      </c>
      <c r="BE1703" s="224" t="s">
        <v>245</v>
      </c>
      <c r="BF1703" s="224" t="s">
        <v>490</v>
      </c>
      <c r="BG1703" s="224" t="s">
        <v>244</v>
      </c>
      <c r="BH1703">
        <v>0</v>
      </c>
    </row>
    <row r="1704" spans="17:60">
      <c r="Q1704" s="224" t="s">
        <v>470</v>
      </c>
      <c r="R1704" s="224" t="s">
        <v>490</v>
      </c>
      <c r="S1704" s="224" t="s">
        <v>244</v>
      </c>
      <c r="T1704" s="224">
        <f ca="1">OFFSET('Calculations 2'!$C$45,W1704,X1704)*OFFSET($N$6,W1704,0)</f>
        <v>235.03857798369464</v>
      </c>
      <c r="V1704">
        <f t="shared" si="80"/>
        <v>609</v>
      </c>
      <c r="W1704">
        <f t="shared" si="81"/>
        <v>15</v>
      </c>
      <c r="X1704">
        <f t="shared" si="82"/>
        <v>18</v>
      </c>
      <c r="AC1704" s="224" t="s">
        <v>470</v>
      </c>
      <c r="AD1704" s="224" t="s">
        <v>490</v>
      </c>
      <c r="AE1704" s="224" t="s">
        <v>244</v>
      </c>
      <c r="AF1704">
        <f ca="1">OFFSET('Calculations 2'!$CE$45,W1704,0)*OFFSET($AA$6,X1704,0)*OFFSET($N$6,W1704,)</f>
        <v>1090.0487209265332</v>
      </c>
      <c r="AY1704" s="224" t="s">
        <v>470</v>
      </c>
      <c r="AZ1704" s="224" t="s">
        <v>490</v>
      </c>
      <c r="BA1704" s="224" t="s">
        <v>244</v>
      </c>
      <c r="BB1704">
        <v>0</v>
      </c>
      <c r="BE1704" s="224" t="s">
        <v>470</v>
      </c>
      <c r="BF1704" s="224" t="s">
        <v>490</v>
      </c>
      <c r="BG1704" s="224" t="s">
        <v>244</v>
      </c>
      <c r="BH1704">
        <v>0</v>
      </c>
    </row>
    <row r="1705" spans="17:60">
      <c r="Q1705" s="224" t="s">
        <v>471</v>
      </c>
      <c r="R1705" s="224" t="s">
        <v>490</v>
      </c>
      <c r="S1705" s="224" t="s">
        <v>244</v>
      </c>
      <c r="T1705" s="224">
        <f ca="1">OFFSET('Calculations 2'!$C$45,W1705,X1705)*OFFSET($N$6,W1705,0)</f>
        <v>49.637624754805735</v>
      </c>
      <c r="V1705">
        <f t="shared" si="80"/>
        <v>610</v>
      </c>
      <c r="W1705">
        <f t="shared" si="81"/>
        <v>16</v>
      </c>
      <c r="X1705">
        <f t="shared" si="82"/>
        <v>18</v>
      </c>
      <c r="AC1705" s="224" t="s">
        <v>471</v>
      </c>
      <c r="AD1705" s="224" t="s">
        <v>490</v>
      </c>
      <c r="AE1705" s="224" t="s">
        <v>244</v>
      </c>
      <c r="AF1705">
        <f ca="1">OFFSET('Calculations 2'!$CE$45,W1705,0)*OFFSET($AA$6,X1705,0)*OFFSET($N$6,W1705,)</f>
        <v>0</v>
      </c>
      <c r="AY1705" s="224" t="s">
        <v>471</v>
      </c>
      <c r="AZ1705" s="224" t="s">
        <v>490</v>
      </c>
      <c r="BA1705" s="224" t="s">
        <v>244</v>
      </c>
      <c r="BB1705">
        <v>0</v>
      </c>
      <c r="BE1705" s="224" t="s">
        <v>471</v>
      </c>
      <c r="BF1705" s="224" t="s">
        <v>490</v>
      </c>
      <c r="BG1705" s="224" t="s">
        <v>244</v>
      </c>
      <c r="BH1705">
        <v>0</v>
      </c>
    </row>
    <row r="1706" spans="17:60">
      <c r="Q1706" s="224" t="s">
        <v>221</v>
      </c>
      <c r="R1706" s="224" t="s">
        <v>490</v>
      </c>
      <c r="S1706" s="224" t="s">
        <v>244</v>
      </c>
      <c r="T1706" s="224">
        <f ca="1">OFFSET('Calculations 2'!$C$45,W1706,X1706)*OFFSET($N$6,W1706,0)</f>
        <v>52.735712513253823</v>
      </c>
      <c r="V1706">
        <f t="shared" si="80"/>
        <v>611</v>
      </c>
      <c r="W1706">
        <f t="shared" si="81"/>
        <v>17</v>
      </c>
      <c r="X1706">
        <f t="shared" si="82"/>
        <v>18</v>
      </c>
      <c r="AC1706" s="224" t="s">
        <v>221</v>
      </c>
      <c r="AD1706" s="224" t="s">
        <v>490</v>
      </c>
      <c r="AE1706" s="224" t="s">
        <v>244</v>
      </c>
      <c r="AF1706">
        <f ca="1">OFFSET('Calculations 2'!$CE$45,W1706,0)*OFFSET($AA$6,X1706,0)*OFFSET($N$6,W1706,)</f>
        <v>213.38331342136533</v>
      </c>
      <c r="AY1706" s="224" t="s">
        <v>221</v>
      </c>
      <c r="AZ1706" s="224" t="s">
        <v>490</v>
      </c>
      <c r="BA1706" s="224" t="s">
        <v>244</v>
      </c>
      <c r="BB1706">
        <v>0</v>
      </c>
      <c r="BE1706" s="224" t="s">
        <v>221</v>
      </c>
      <c r="BF1706" s="224" t="s">
        <v>490</v>
      </c>
      <c r="BG1706" s="224" t="s">
        <v>244</v>
      </c>
      <c r="BH1706">
        <v>0</v>
      </c>
    </row>
    <row r="1707" spans="17:60">
      <c r="Q1707" s="224" t="s">
        <v>244</v>
      </c>
      <c r="R1707" s="224" t="s">
        <v>490</v>
      </c>
      <c r="S1707" s="224" t="s">
        <v>244</v>
      </c>
      <c r="T1707" s="224">
        <f ca="1">OFFSET('Calculations 2'!$C$45,W1707,X1707)*OFFSET($N$6,W1707,0)</f>
        <v>131.12693814316287</v>
      </c>
      <c r="V1707">
        <f t="shared" si="80"/>
        <v>612</v>
      </c>
      <c r="W1707">
        <f t="shared" si="81"/>
        <v>18</v>
      </c>
      <c r="X1707">
        <f t="shared" si="82"/>
        <v>18</v>
      </c>
      <c r="AC1707" s="224" t="s">
        <v>244</v>
      </c>
      <c r="AD1707" s="224" t="s">
        <v>490</v>
      </c>
      <c r="AE1707" s="224" t="s">
        <v>244</v>
      </c>
      <c r="AF1707">
        <f ca="1">OFFSET('Calculations 2'!$CE$45,W1707,0)*OFFSET($AA$6,X1707,0)*OFFSET($N$6,W1707,)</f>
        <v>18.669591674299372</v>
      </c>
      <c r="AY1707" s="224" t="s">
        <v>244</v>
      </c>
      <c r="AZ1707" s="224" t="s">
        <v>490</v>
      </c>
      <c r="BA1707" s="224" t="s">
        <v>244</v>
      </c>
      <c r="BB1707">
        <v>0</v>
      </c>
      <c r="BE1707" s="224" t="s">
        <v>244</v>
      </c>
      <c r="BF1707" s="224" t="s">
        <v>490</v>
      </c>
      <c r="BG1707" s="224" t="s">
        <v>244</v>
      </c>
      <c r="BH1707">
        <v>0</v>
      </c>
    </row>
    <row r="1708" spans="17:60">
      <c r="Q1708" s="224" t="s">
        <v>472</v>
      </c>
      <c r="R1708" s="224" t="s">
        <v>490</v>
      </c>
      <c r="S1708" s="224" t="s">
        <v>244</v>
      </c>
      <c r="T1708" s="224">
        <f ca="1">OFFSET('Calculations 2'!$C$45,W1708,X1708)*OFFSET($N$6,W1708,0)</f>
        <v>0</v>
      </c>
      <c r="V1708">
        <f t="shared" si="80"/>
        <v>613</v>
      </c>
      <c r="W1708">
        <f t="shared" si="81"/>
        <v>19</v>
      </c>
      <c r="X1708">
        <f t="shared" si="82"/>
        <v>18</v>
      </c>
      <c r="AC1708" s="224" t="s">
        <v>472</v>
      </c>
      <c r="AD1708" s="224" t="s">
        <v>490</v>
      </c>
      <c r="AE1708" s="224" t="s">
        <v>244</v>
      </c>
      <c r="AF1708">
        <f ca="1">OFFSET('Calculations 2'!$CE$45,W1708,0)*OFFSET($AA$6,X1708,0)*OFFSET($N$6,W1708,)</f>
        <v>0</v>
      </c>
      <c r="AY1708" s="224" t="s">
        <v>472</v>
      </c>
      <c r="AZ1708" s="224" t="s">
        <v>490</v>
      </c>
      <c r="BA1708" s="224" t="s">
        <v>244</v>
      </c>
      <c r="BB1708">
        <v>0</v>
      </c>
      <c r="BE1708" s="224" t="s">
        <v>472</v>
      </c>
      <c r="BF1708" s="224" t="s">
        <v>490</v>
      </c>
      <c r="BG1708" s="224" t="s">
        <v>244</v>
      </c>
      <c r="BH1708">
        <v>0</v>
      </c>
    </row>
    <row r="1709" spans="17:60">
      <c r="Q1709" s="224" t="s">
        <v>238</v>
      </c>
      <c r="R1709" s="224" t="s">
        <v>490</v>
      </c>
      <c r="S1709" s="224" t="s">
        <v>244</v>
      </c>
      <c r="T1709" s="224">
        <f ca="1">OFFSET('Calculations 2'!$C$45,W1709,X1709)*OFFSET($N$6,W1709,0)</f>
        <v>36.844125459286502</v>
      </c>
      <c r="V1709">
        <f t="shared" si="80"/>
        <v>614</v>
      </c>
      <c r="W1709">
        <f t="shared" si="81"/>
        <v>20</v>
      </c>
      <c r="X1709">
        <f t="shared" si="82"/>
        <v>18</v>
      </c>
      <c r="AC1709" s="224" t="s">
        <v>238</v>
      </c>
      <c r="AD1709" s="224" t="s">
        <v>490</v>
      </c>
      <c r="AE1709" s="224" t="s">
        <v>244</v>
      </c>
      <c r="AF1709">
        <f ca="1">OFFSET('Calculations 2'!$CE$45,W1709,0)*OFFSET($AA$6,X1709,0)*OFFSET($N$6,W1709,)</f>
        <v>0</v>
      </c>
      <c r="AY1709" s="224" t="s">
        <v>238</v>
      </c>
      <c r="AZ1709" s="224" t="s">
        <v>490</v>
      </c>
      <c r="BA1709" s="224" t="s">
        <v>244</v>
      </c>
      <c r="BB1709">
        <v>0</v>
      </c>
      <c r="BE1709" s="224" t="s">
        <v>238</v>
      </c>
      <c r="BF1709" s="224" t="s">
        <v>490</v>
      </c>
      <c r="BG1709" s="224" t="s">
        <v>244</v>
      </c>
      <c r="BH1709">
        <v>0</v>
      </c>
    </row>
    <row r="1710" spans="17:60">
      <c r="Q1710" s="224" t="s">
        <v>247</v>
      </c>
      <c r="R1710" s="224" t="s">
        <v>490</v>
      </c>
      <c r="S1710" s="224" t="s">
        <v>244</v>
      </c>
      <c r="T1710" s="224">
        <f ca="1">OFFSET('Calculations 2'!$C$45,W1710,X1710)*OFFSET($N$6,W1710,0)</f>
        <v>4.7911360931164362</v>
      </c>
      <c r="V1710">
        <f t="shared" si="80"/>
        <v>615</v>
      </c>
      <c r="W1710">
        <f t="shared" si="81"/>
        <v>21</v>
      </c>
      <c r="X1710">
        <f t="shared" si="82"/>
        <v>18</v>
      </c>
      <c r="AC1710" s="224" t="s">
        <v>247</v>
      </c>
      <c r="AD1710" s="224" t="s">
        <v>490</v>
      </c>
      <c r="AE1710" s="224" t="s">
        <v>244</v>
      </c>
      <c r="AF1710">
        <f ca="1">OFFSET('Calculations 2'!$CE$45,W1710,0)*OFFSET($AA$6,X1710,0)*OFFSET($N$6,W1710,)</f>
        <v>0</v>
      </c>
      <c r="AY1710" s="224" t="s">
        <v>247</v>
      </c>
      <c r="AZ1710" s="224" t="s">
        <v>490</v>
      </c>
      <c r="BA1710" s="224" t="s">
        <v>244</v>
      </c>
      <c r="BB1710">
        <v>0</v>
      </c>
      <c r="BE1710" s="224" t="s">
        <v>247</v>
      </c>
      <c r="BF1710" s="224" t="s">
        <v>490</v>
      </c>
      <c r="BG1710" s="224" t="s">
        <v>244</v>
      </c>
      <c r="BH1710">
        <v>0</v>
      </c>
    </row>
    <row r="1711" spans="17:60">
      <c r="Q1711" s="224" t="s">
        <v>218</v>
      </c>
      <c r="R1711" s="224" t="s">
        <v>490</v>
      </c>
      <c r="S1711" s="224" t="s">
        <v>244</v>
      </c>
      <c r="T1711" s="224">
        <f ca="1">OFFSET('Calculations 2'!$C$45,W1711,X1711)*OFFSET($N$6,W1711,0)</f>
        <v>70.99135445362613</v>
      </c>
      <c r="V1711">
        <f t="shared" si="80"/>
        <v>616</v>
      </c>
      <c r="W1711">
        <f t="shared" si="81"/>
        <v>22</v>
      </c>
      <c r="X1711">
        <f t="shared" si="82"/>
        <v>18</v>
      </c>
      <c r="AC1711" s="224" t="s">
        <v>218</v>
      </c>
      <c r="AD1711" s="224" t="s">
        <v>490</v>
      </c>
      <c r="AE1711" s="224" t="s">
        <v>244</v>
      </c>
      <c r="AF1711">
        <f ca="1">OFFSET('Calculations 2'!$CE$45,W1711,0)*OFFSET($AA$6,X1711,0)*OFFSET($N$6,W1711,)</f>
        <v>0</v>
      </c>
      <c r="AY1711" s="224" t="s">
        <v>218</v>
      </c>
      <c r="AZ1711" s="224" t="s">
        <v>490</v>
      </c>
      <c r="BA1711" s="224" t="s">
        <v>244</v>
      </c>
      <c r="BB1711">
        <v>0</v>
      </c>
      <c r="BE1711" s="224" t="s">
        <v>218</v>
      </c>
      <c r="BF1711" s="224" t="s">
        <v>490</v>
      </c>
      <c r="BG1711" s="224" t="s">
        <v>244</v>
      </c>
      <c r="BH1711">
        <v>0</v>
      </c>
    </row>
    <row r="1712" spans="17:60">
      <c r="Q1712" s="224" t="s">
        <v>257</v>
      </c>
      <c r="R1712" s="224" t="s">
        <v>490</v>
      </c>
      <c r="S1712" s="224" t="s">
        <v>244</v>
      </c>
      <c r="T1712" s="224">
        <f ca="1">OFFSET('Calculations 2'!$C$45,W1712,X1712)*OFFSET($N$6,W1712,0)</f>
        <v>70.273086000522042</v>
      </c>
      <c r="V1712">
        <f t="shared" si="80"/>
        <v>617</v>
      </c>
      <c r="W1712">
        <f t="shared" si="81"/>
        <v>23</v>
      </c>
      <c r="X1712">
        <f t="shared" si="82"/>
        <v>18</v>
      </c>
      <c r="AC1712" s="224" t="s">
        <v>257</v>
      </c>
      <c r="AD1712" s="224" t="s">
        <v>490</v>
      </c>
      <c r="AE1712" s="224" t="s">
        <v>244</v>
      </c>
      <c r="AF1712">
        <f ca="1">OFFSET('Calculations 2'!$CE$45,W1712,0)*OFFSET($AA$6,X1712,0)*OFFSET($N$6,W1712,)</f>
        <v>0</v>
      </c>
      <c r="AY1712" s="224" t="s">
        <v>257</v>
      </c>
      <c r="AZ1712" s="224" t="s">
        <v>490</v>
      </c>
      <c r="BA1712" s="224" t="s">
        <v>244</v>
      </c>
      <c r="BB1712">
        <v>0</v>
      </c>
      <c r="BE1712" s="224" t="s">
        <v>257</v>
      </c>
      <c r="BF1712" s="224" t="s">
        <v>490</v>
      </c>
      <c r="BG1712" s="224" t="s">
        <v>244</v>
      </c>
      <c r="BH1712">
        <v>0</v>
      </c>
    </row>
    <row r="1713" spans="17:60">
      <c r="Q1713" s="224" t="s">
        <v>220</v>
      </c>
      <c r="R1713" s="224" t="s">
        <v>490</v>
      </c>
      <c r="S1713" s="224" t="s">
        <v>244</v>
      </c>
      <c r="T1713" s="224">
        <f ca="1">OFFSET('Calculations 2'!$C$45,W1713,X1713)*OFFSET($N$6,W1713,0)</f>
        <v>36.479857440611767</v>
      </c>
      <c r="V1713">
        <f t="shared" si="80"/>
        <v>618</v>
      </c>
      <c r="W1713">
        <f t="shared" si="81"/>
        <v>24</v>
      </c>
      <c r="X1713">
        <f t="shared" si="82"/>
        <v>18</v>
      </c>
      <c r="AC1713" s="224" t="s">
        <v>220</v>
      </c>
      <c r="AD1713" s="224" t="s">
        <v>490</v>
      </c>
      <c r="AE1713" s="224" t="s">
        <v>244</v>
      </c>
      <c r="AF1713">
        <f ca="1">OFFSET('Calculations 2'!$CE$45,W1713,0)*OFFSET($AA$6,X1713,0)*OFFSET($N$6,W1713,)</f>
        <v>0</v>
      </c>
      <c r="AY1713" s="224" t="s">
        <v>220</v>
      </c>
      <c r="AZ1713" s="224" t="s">
        <v>490</v>
      </c>
      <c r="BA1713" s="224" t="s">
        <v>244</v>
      </c>
      <c r="BB1713">
        <v>0</v>
      </c>
      <c r="BE1713" s="224" t="s">
        <v>220</v>
      </c>
      <c r="BF1713" s="224" t="s">
        <v>490</v>
      </c>
      <c r="BG1713" s="224" t="s">
        <v>244</v>
      </c>
      <c r="BH1713">
        <v>0</v>
      </c>
    </row>
    <row r="1714" spans="17:60">
      <c r="Q1714" s="224" t="s">
        <v>235</v>
      </c>
      <c r="R1714" s="224" t="s">
        <v>490</v>
      </c>
      <c r="S1714" s="224" t="s">
        <v>244</v>
      </c>
      <c r="T1714" s="224">
        <f ca="1">OFFSET('Calculations 2'!$C$45,W1714,X1714)*OFFSET($N$6,W1714,0)</f>
        <v>94.747426757009492</v>
      </c>
      <c r="V1714">
        <f t="shared" si="80"/>
        <v>619</v>
      </c>
      <c r="W1714">
        <f t="shared" si="81"/>
        <v>25</v>
      </c>
      <c r="X1714">
        <f t="shared" si="82"/>
        <v>18</v>
      </c>
      <c r="AC1714" s="224" t="s">
        <v>235</v>
      </c>
      <c r="AD1714" s="224" t="s">
        <v>490</v>
      </c>
      <c r="AE1714" s="224" t="s">
        <v>244</v>
      </c>
      <c r="AF1714">
        <f ca="1">OFFSET('Calculations 2'!$CE$45,W1714,0)*OFFSET($AA$6,X1714,0)*OFFSET($N$6,W1714,)</f>
        <v>0</v>
      </c>
      <c r="AY1714" s="224" t="s">
        <v>235</v>
      </c>
      <c r="AZ1714" s="224" t="s">
        <v>490</v>
      </c>
      <c r="BA1714" s="224" t="s">
        <v>244</v>
      </c>
      <c r="BB1714">
        <v>0</v>
      </c>
      <c r="BE1714" s="224" t="s">
        <v>235</v>
      </c>
      <c r="BF1714" s="224" t="s">
        <v>490</v>
      </c>
      <c r="BG1714" s="224" t="s">
        <v>244</v>
      </c>
      <c r="BH1714">
        <v>0</v>
      </c>
    </row>
    <row r="1715" spans="17:60">
      <c r="Q1715" s="224" t="s">
        <v>473</v>
      </c>
      <c r="R1715" s="224" t="s">
        <v>490</v>
      </c>
      <c r="S1715" s="224" t="s">
        <v>244</v>
      </c>
      <c r="T1715" s="224">
        <f ca="1">OFFSET('Calculations 2'!$C$45,W1715,X1715)*OFFSET($N$6,W1715,0)</f>
        <v>94.50930355733334</v>
      </c>
      <c r="V1715">
        <f t="shared" si="80"/>
        <v>620</v>
      </c>
      <c r="W1715">
        <f t="shared" si="81"/>
        <v>26</v>
      </c>
      <c r="X1715">
        <f t="shared" si="82"/>
        <v>18</v>
      </c>
      <c r="AC1715" s="224" t="s">
        <v>473</v>
      </c>
      <c r="AD1715" s="224" t="s">
        <v>490</v>
      </c>
      <c r="AE1715" s="224" t="s">
        <v>244</v>
      </c>
      <c r="AF1715">
        <f ca="1">OFFSET('Calculations 2'!$CE$45,W1715,0)*OFFSET($AA$6,X1715,0)*OFFSET($N$6,W1715,)</f>
        <v>0</v>
      </c>
      <c r="AY1715" s="224" t="s">
        <v>473</v>
      </c>
      <c r="AZ1715" s="224" t="s">
        <v>490</v>
      </c>
      <c r="BA1715" s="224" t="s">
        <v>244</v>
      </c>
      <c r="BB1715">
        <v>0</v>
      </c>
      <c r="BE1715" s="224" t="s">
        <v>473</v>
      </c>
      <c r="BF1715" s="224" t="s">
        <v>490</v>
      </c>
      <c r="BG1715" s="224" t="s">
        <v>244</v>
      </c>
      <c r="BH1715">
        <v>0</v>
      </c>
    </row>
    <row r="1716" spans="17:60">
      <c r="Q1716" s="224" t="s">
        <v>233</v>
      </c>
      <c r="R1716" s="224" t="s">
        <v>490</v>
      </c>
      <c r="S1716" s="224" t="s">
        <v>244</v>
      </c>
      <c r="T1716" s="224">
        <f ca="1">OFFSET('Calculations 2'!$C$45,W1716,X1716)*OFFSET($N$6,W1716,0)</f>
        <v>103.59623213109789</v>
      </c>
      <c r="V1716">
        <f t="shared" si="80"/>
        <v>621</v>
      </c>
      <c r="W1716">
        <f t="shared" si="81"/>
        <v>27</v>
      </c>
      <c r="X1716">
        <f t="shared" si="82"/>
        <v>18</v>
      </c>
      <c r="AC1716" s="224" t="s">
        <v>233</v>
      </c>
      <c r="AD1716" s="224" t="s">
        <v>490</v>
      </c>
      <c r="AE1716" s="224" t="s">
        <v>244</v>
      </c>
      <c r="AF1716">
        <f ca="1">OFFSET('Calculations 2'!$CE$45,W1716,0)*OFFSET($AA$6,X1716,0)*OFFSET($N$6,W1716,)</f>
        <v>0</v>
      </c>
      <c r="AY1716" s="224" t="s">
        <v>233</v>
      </c>
      <c r="AZ1716" s="224" t="s">
        <v>490</v>
      </c>
      <c r="BA1716" s="224" t="s">
        <v>244</v>
      </c>
      <c r="BB1716">
        <v>0</v>
      </c>
      <c r="BE1716" s="224" t="s">
        <v>233</v>
      </c>
      <c r="BF1716" s="224" t="s">
        <v>490</v>
      </c>
      <c r="BG1716" s="224" t="s">
        <v>244</v>
      </c>
      <c r="BH1716">
        <v>0</v>
      </c>
    </row>
    <row r="1717" spans="17:60">
      <c r="Q1717" s="224" t="s">
        <v>474</v>
      </c>
      <c r="R1717" s="224" t="s">
        <v>490</v>
      </c>
      <c r="S1717" s="224" t="s">
        <v>244</v>
      </c>
      <c r="T1717" s="224">
        <f ca="1">OFFSET('Calculations 2'!$C$45,W1717,X1717)*OFFSET($N$6,W1717,0)</f>
        <v>28.746905689111603</v>
      </c>
      <c r="V1717">
        <f t="shared" si="80"/>
        <v>622</v>
      </c>
      <c r="W1717">
        <f t="shared" si="81"/>
        <v>28</v>
      </c>
      <c r="X1717">
        <f t="shared" si="82"/>
        <v>18</v>
      </c>
      <c r="AC1717" s="224" t="s">
        <v>474</v>
      </c>
      <c r="AD1717" s="224" t="s">
        <v>490</v>
      </c>
      <c r="AE1717" s="224" t="s">
        <v>244</v>
      </c>
      <c r="AF1717">
        <f ca="1">OFFSET('Calculations 2'!$CE$45,W1717,0)*OFFSET($AA$6,X1717,0)*OFFSET($N$6,W1717,)</f>
        <v>0</v>
      </c>
      <c r="AY1717" s="224" t="s">
        <v>474</v>
      </c>
      <c r="AZ1717" s="224" t="s">
        <v>490</v>
      </c>
      <c r="BA1717" s="224" t="s">
        <v>244</v>
      </c>
      <c r="BB1717">
        <v>0</v>
      </c>
      <c r="BE1717" s="224" t="s">
        <v>474</v>
      </c>
      <c r="BF1717" s="224" t="s">
        <v>490</v>
      </c>
      <c r="BG1717" s="224" t="s">
        <v>244</v>
      </c>
      <c r="BH1717">
        <v>0</v>
      </c>
    </row>
    <row r="1718" spans="17:60">
      <c r="Q1718" s="224" t="s">
        <v>223</v>
      </c>
      <c r="R1718" s="224" t="s">
        <v>490</v>
      </c>
      <c r="S1718" s="224" t="s">
        <v>244</v>
      </c>
      <c r="T1718" s="224">
        <f ca="1">OFFSET('Calculations 2'!$C$45,W1718,X1718)*OFFSET($N$6,W1718,0)</f>
        <v>0</v>
      </c>
      <c r="V1718">
        <f t="shared" si="80"/>
        <v>623</v>
      </c>
      <c r="W1718">
        <f t="shared" si="81"/>
        <v>29</v>
      </c>
      <c r="X1718">
        <f t="shared" si="82"/>
        <v>18</v>
      </c>
      <c r="AC1718" s="224" t="s">
        <v>223</v>
      </c>
      <c r="AD1718" s="224" t="s">
        <v>490</v>
      </c>
      <c r="AE1718" s="224" t="s">
        <v>244</v>
      </c>
      <c r="AF1718">
        <f ca="1">OFFSET('Calculations 2'!$CE$45,W1718,0)*OFFSET($AA$6,X1718,0)*OFFSET($N$6,W1718,)</f>
        <v>0</v>
      </c>
      <c r="AY1718" s="224" t="s">
        <v>223</v>
      </c>
      <c r="AZ1718" s="224" t="s">
        <v>490</v>
      </c>
      <c r="BA1718" s="224" t="s">
        <v>244</v>
      </c>
      <c r="BB1718">
        <v>0</v>
      </c>
      <c r="BE1718" s="224" t="s">
        <v>223</v>
      </c>
      <c r="BF1718" s="224" t="s">
        <v>490</v>
      </c>
      <c r="BG1718" s="224" t="s">
        <v>244</v>
      </c>
      <c r="BH1718">
        <v>0</v>
      </c>
    </row>
    <row r="1719" spans="17:60">
      <c r="Q1719" s="224" t="s">
        <v>475</v>
      </c>
      <c r="R1719" s="224" t="s">
        <v>490</v>
      </c>
      <c r="S1719" s="224" t="s">
        <v>244</v>
      </c>
      <c r="T1719" s="224">
        <f ca="1">OFFSET('Calculations 2'!$C$45,W1719,X1719)*OFFSET($N$6,W1719,0)</f>
        <v>2.142124985635844</v>
      </c>
      <c r="V1719">
        <f t="shared" si="80"/>
        <v>624</v>
      </c>
      <c r="W1719">
        <f t="shared" si="81"/>
        <v>30</v>
      </c>
      <c r="X1719">
        <f t="shared" si="82"/>
        <v>18</v>
      </c>
      <c r="AC1719" s="224" t="s">
        <v>475</v>
      </c>
      <c r="AD1719" s="224" t="s">
        <v>490</v>
      </c>
      <c r="AE1719" s="224" t="s">
        <v>244</v>
      </c>
      <c r="AF1719">
        <f ca="1">OFFSET('Calculations 2'!$CE$45,W1719,0)*OFFSET($AA$6,X1719,0)*OFFSET($N$6,W1719,)</f>
        <v>0</v>
      </c>
      <c r="AY1719" s="224" t="s">
        <v>475</v>
      </c>
      <c r="AZ1719" s="224" t="s">
        <v>490</v>
      </c>
      <c r="BA1719" s="224" t="s">
        <v>244</v>
      </c>
      <c r="BB1719">
        <v>0</v>
      </c>
      <c r="BE1719" s="224" t="s">
        <v>475</v>
      </c>
      <c r="BF1719" s="224" t="s">
        <v>490</v>
      </c>
      <c r="BG1719" s="224" t="s">
        <v>244</v>
      </c>
      <c r="BH1719">
        <v>0</v>
      </c>
    </row>
    <row r="1720" spans="17:60">
      <c r="Q1720" s="224" t="s">
        <v>476</v>
      </c>
      <c r="R1720" s="224" t="s">
        <v>490</v>
      </c>
      <c r="S1720" s="224" t="s">
        <v>244</v>
      </c>
      <c r="T1720" s="224">
        <f ca="1">OFFSET('Calculations 2'!$C$45,W1720,X1720)*OFFSET($N$6,W1720,0)</f>
        <v>21.391422473429888</v>
      </c>
      <c r="V1720">
        <f t="shared" si="80"/>
        <v>625</v>
      </c>
      <c r="W1720">
        <f t="shared" si="81"/>
        <v>31</v>
      </c>
      <c r="X1720">
        <f t="shared" si="82"/>
        <v>18</v>
      </c>
      <c r="AC1720" s="224" t="s">
        <v>476</v>
      </c>
      <c r="AD1720" s="224" t="s">
        <v>490</v>
      </c>
      <c r="AE1720" s="224" t="s">
        <v>244</v>
      </c>
      <c r="AF1720">
        <f ca="1">OFFSET('Calculations 2'!$CE$45,W1720,0)*OFFSET($AA$6,X1720,0)*OFFSET($N$6,W1720,)</f>
        <v>0</v>
      </c>
      <c r="AY1720" s="224" t="s">
        <v>476</v>
      </c>
      <c r="AZ1720" s="224" t="s">
        <v>490</v>
      </c>
      <c r="BA1720" s="224" t="s">
        <v>244</v>
      </c>
      <c r="BB1720">
        <v>0</v>
      </c>
      <c r="BE1720" s="224" t="s">
        <v>476</v>
      </c>
      <c r="BF1720" s="224" t="s">
        <v>490</v>
      </c>
      <c r="BG1720" s="224" t="s">
        <v>244</v>
      </c>
      <c r="BH1720">
        <v>0</v>
      </c>
    </row>
    <row r="1721" spans="17:60">
      <c r="Q1721" s="224" t="s">
        <v>222</v>
      </c>
      <c r="R1721" s="224" t="s">
        <v>490</v>
      </c>
      <c r="S1721" s="224" t="s">
        <v>244</v>
      </c>
      <c r="T1721" s="224">
        <f ca="1">OFFSET('Calculations 2'!$C$45,W1721,X1721)*OFFSET($N$6,W1721,0)</f>
        <v>0</v>
      </c>
      <c r="V1721">
        <f t="shared" si="80"/>
        <v>626</v>
      </c>
      <c r="W1721">
        <f t="shared" si="81"/>
        <v>32</v>
      </c>
      <c r="X1721">
        <f t="shared" si="82"/>
        <v>18</v>
      </c>
      <c r="AC1721" s="224" t="s">
        <v>222</v>
      </c>
      <c r="AD1721" s="224" t="s">
        <v>490</v>
      </c>
      <c r="AE1721" s="224" t="s">
        <v>244</v>
      </c>
      <c r="AF1721">
        <f ca="1">OFFSET('Calculations 2'!$CE$45,W1721,0)*OFFSET($AA$6,X1721,0)*OFFSET($N$6,W1721,)</f>
        <v>0</v>
      </c>
      <c r="AY1721" s="224" t="s">
        <v>222</v>
      </c>
      <c r="AZ1721" s="224" t="s">
        <v>490</v>
      </c>
      <c r="BA1721" s="224" t="s">
        <v>244</v>
      </c>
      <c r="BB1721">
        <v>0</v>
      </c>
      <c r="BE1721" s="224" t="s">
        <v>222</v>
      </c>
      <c r="BF1721" s="224" t="s">
        <v>490</v>
      </c>
      <c r="BG1721" s="224" t="s">
        <v>244</v>
      </c>
      <c r="BH1721">
        <v>0</v>
      </c>
    </row>
    <row r="1722" spans="17:60">
      <c r="Q1722" s="224" t="s">
        <v>217</v>
      </c>
      <c r="R1722" s="224" t="s">
        <v>490</v>
      </c>
      <c r="S1722" s="224" t="s">
        <v>472</v>
      </c>
      <c r="T1722" s="224">
        <f ca="1">OFFSET('Calculations 2'!$C$45,W1722,X1722)*OFFSET($N$6,W1722,0)</f>
        <v>1499.2340831627707</v>
      </c>
      <c r="V1722">
        <f t="shared" si="80"/>
        <v>627</v>
      </c>
      <c r="W1722">
        <f t="shared" si="81"/>
        <v>0</v>
      </c>
      <c r="X1722">
        <f t="shared" si="82"/>
        <v>19</v>
      </c>
      <c r="AC1722" s="224" t="s">
        <v>217</v>
      </c>
      <c r="AD1722" s="224" t="s">
        <v>490</v>
      </c>
      <c r="AE1722" s="224" t="s">
        <v>472</v>
      </c>
      <c r="AF1722">
        <f ca="1">OFFSET('Calculations 2'!$CE$45,W1722,0)*OFFSET($AA$6,X1722,0)*OFFSET($N$6,W1722,)</f>
        <v>18.416767155826172</v>
      </c>
      <c r="AY1722" s="224" t="s">
        <v>217</v>
      </c>
      <c r="AZ1722" s="224" t="s">
        <v>490</v>
      </c>
      <c r="BA1722" s="224" t="s">
        <v>472</v>
      </c>
      <c r="BB1722">
        <v>0</v>
      </c>
      <c r="BE1722" s="224" t="s">
        <v>217</v>
      </c>
      <c r="BF1722" s="224" t="s">
        <v>490</v>
      </c>
      <c r="BG1722" s="224" t="s">
        <v>472</v>
      </c>
      <c r="BH1722">
        <v>0</v>
      </c>
    </row>
    <row r="1723" spans="17:60">
      <c r="Q1723" s="224" t="s">
        <v>232</v>
      </c>
      <c r="R1723" s="224" t="s">
        <v>490</v>
      </c>
      <c r="S1723" s="224" t="s">
        <v>472</v>
      </c>
      <c r="T1723" s="224">
        <f ca="1">OFFSET('Calculations 2'!$C$45,W1723,X1723)*OFFSET($N$6,W1723,0)</f>
        <v>0</v>
      </c>
      <c r="V1723">
        <f t="shared" si="80"/>
        <v>628</v>
      </c>
      <c r="W1723">
        <f t="shared" si="81"/>
        <v>1</v>
      </c>
      <c r="X1723">
        <f t="shared" si="82"/>
        <v>19</v>
      </c>
      <c r="AC1723" s="224" t="s">
        <v>232</v>
      </c>
      <c r="AD1723" s="224" t="s">
        <v>490</v>
      </c>
      <c r="AE1723" s="224" t="s">
        <v>472</v>
      </c>
      <c r="AF1723">
        <f ca="1">OFFSET('Calculations 2'!$CE$45,W1723,0)*OFFSET($AA$6,X1723,0)*OFFSET($N$6,W1723,)</f>
        <v>29.05487664571508</v>
      </c>
      <c r="AY1723" s="224" t="s">
        <v>232</v>
      </c>
      <c r="AZ1723" s="224" t="s">
        <v>490</v>
      </c>
      <c r="BA1723" s="224" t="s">
        <v>472</v>
      </c>
      <c r="BB1723">
        <v>0</v>
      </c>
      <c r="BE1723" s="224" t="s">
        <v>232</v>
      </c>
      <c r="BF1723" s="224" t="s">
        <v>490</v>
      </c>
      <c r="BG1723" s="224" t="s">
        <v>472</v>
      </c>
      <c r="BH1723">
        <v>0</v>
      </c>
    </row>
    <row r="1724" spans="17:60">
      <c r="Q1724" s="224" t="s">
        <v>226</v>
      </c>
      <c r="R1724" s="224" t="s">
        <v>490</v>
      </c>
      <c r="S1724" s="224" t="s">
        <v>472</v>
      </c>
      <c r="T1724" s="224">
        <f ca="1">OFFSET('Calculations 2'!$C$45,W1724,X1724)*OFFSET($N$6,W1724,0)</f>
        <v>5938.8521930419802</v>
      </c>
      <c r="V1724">
        <f t="shared" si="80"/>
        <v>629</v>
      </c>
      <c r="W1724">
        <f t="shared" si="81"/>
        <v>2</v>
      </c>
      <c r="X1724">
        <f t="shared" si="82"/>
        <v>19</v>
      </c>
      <c r="AC1724" s="224" t="s">
        <v>226</v>
      </c>
      <c r="AD1724" s="224" t="s">
        <v>490</v>
      </c>
      <c r="AE1724" s="224" t="s">
        <v>472</v>
      </c>
      <c r="AF1724">
        <f ca="1">OFFSET('Calculations 2'!$CE$45,W1724,0)*OFFSET($AA$6,X1724,0)*OFFSET($N$6,W1724,)</f>
        <v>7.2704198519489251</v>
      </c>
      <c r="AY1724" s="224" t="s">
        <v>226</v>
      </c>
      <c r="AZ1724" s="224" t="s">
        <v>490</v>
      </c>
      <c r="BA1724" s="224" t="s">
        <v>472</v>
      </c>
      <c r="BB1724">
        <v>0</v>
      </c>
      <c r="BE1724" s="224" t="s">
        <v>226</v>
      </c>
      <c r="BF1724" s="224" t="s">
        <v>490</v>
      </c>
      <c r="BG1724" s="224" t="s">
        <v>472</v>
      </c>
      <c r="BH1724">
        <v>0</v>
      </c>
    </row>
    <row r="1725" spans="17:60">
      <c r="Q1725" s="224" t="s">
        <v>243</v>
      </c>
      <c r="R1725" s="224" t="s">
        <v>490</v>
      </c>
      <c r="S1725" s="224" t="s">
        <v>472</v>
      </c>
      <c r="T1725" s="224">
        <f ca="1">OFFSET('Calculations 2'!$C$45,W1725,X1725)*OFFSET($N$6,W1725,0)</f>
        <v>427.96093095727355</v>
      </c>
      <c r="V1725">
        <f t="shared" si="80"/>
        <v>630</v>
      </c>
      <c r="W1725">
        <f t="shared" si="81"/>
        <v>3</v>
      </c>
      <c r="X1725">
        <f t="shared" si="82"/>
        <v>19</v>
      </c>
      <c r="AC1725" s="224" t="s">
        <v>243</v>
      </c>
      <c r="AD1725" s="224" t="s">
        <v>490</v>
      </c>
      <c r="AE1725" s="224" t="s">
        <v>472</v>
      </c>
      <c r="AF1725">
        <f ca="1">OFFSET('Calculations 2'!$CE$45,W1725,0)*OFFSET($AA$6,X1725,0)*OFFSET($N$6,W1725,)</f>
        <v>142.6748719948805</v>
      </c>
      <c r="AY1725" s="224" t="s">
        <v>243</v>
      </c>
      <c r="AZ1725" s="224" t="s">
        <v>490</v>
      </c>
      <c r="BA1725" s="224" t="s">
        <v>472</v>
      </c>
      <c r="BB1725">
        <v>0</v>
      </c>
      <c r="BE1725" s="224" t="s">
        <v>243</v>
      </c>
      <c r="BF1725" s="224" t="s">
        <v>490</v>
      </c>
      <c r="BG1725" s="224" t="s">
        <v>472</v>
      </c>
      <c r="BH1725">
        <v>0</v>
      </c>
    </row>
    <row r="1726" spans="17:60">
      <c r="Q1726" s="224" t="s">
        <v>228</v>
      </c>
      <c r="R1726" s="224" t="s">
        <v>490</v>
      </c>
      <c r="S1726" s="224" t="s">
        <v>472</v>
      </c>
      <c r="T1726" s="224">
        <f ca="1">OFFSET('Calculations 2'!$C$45,W1726,X1726)*OFFSET($N$6,W1726,0)</f>
        <v>31.549456244051257</v>
      </c>
      <c r="V1726">
        <f t="shared" si="80"/>
        <v>631</v>
      </c>
      <c r="W1726">
        <f t="shared" si="81"/>
        <v>4</v>
      </c>
      <c r="X1726">
        <f t="shared" si="82"/>
        <v>19</v>
      </c>
      <c r="AC1726" s="224" t="s">
        <v>228</v>
      </c>
      <c r="AD1726" s="224" t="s">
        <v>490</v>
      </c>
      <c r="AE1726" s="224" t="s">
        <v>472</v>
      </c>
      <c r="AF1726">
        <f ca="1">OFFSET('Calculations 2'!$CE$45,W1726,0)*OFFSET($AA$6,X1726,0)*OFFSET($N$6,W1726,)</f>
        <v>74.357787610727812</v>
      </c>
      <c r="AY1726" s="224" t="s">
        <v>228</v>
      </c>
      <c r="AZ1726" s="224" t="s">
        <v>490</v>
      </c>
      <c r="BA1726" s="224" t="s">
        <v>472</v>
      </c>
      <c r="BB1726">
        <v>0</v>
      </c>
      <c r="BE1726" s="224" t="s">
        <v>228</v>
      </c>
      <c r="BF1726" s="224" t="s">
        <v>490</v>
      </c>
      <c r="BG1726" s="224" t="s">
        <v>472</v>
      </c>
      <c r="BH1726">
        <v>0</v>
      </c>
    </row>
    <row r="1727" spans="17:60">
      <c r="Q1727" s="224" t="s">
        <v>246</v>
      </c>
      <c r="R1727" s="224" t="s">
        <v>490</v>
      </c>
      <c r="S1727" s="224" t="s">
        <v>472</v>
      </c>
      <c r="T1727" s="224">
        <f ca="1">OFFSET('Calculations 2'!$C$45,W1727,X1727)*OFFSET($N$6,W1727,0)</f>
        <v>0</v>
      </c>
      <c r="V1727">
        <f t="shared" si="80"/>
        <v>632</v>
      </c>
      <c r="W1727">
        <f t="shared" si="81"/>
        <v>5</v>
      </c>
      <c r="X1727">
        <f t="shared" si="82"/>
        <v>19</v>
      </c>
      <c r="AC1727" s="224" t="s">
        <v>246</v>
      </c>
      <c r="AD1727" s="224" t="s">
        <v>490</v>
      </c>
      <c r="AE1727" s="224" t="s">
        <v>472</v>
      </c>
      <c r="AF1727">
        <f ca="1">OFFSET('Calculations 2'!$CE$45,W1727,0)*OFFSET($AA$6,X1727,0)*OFFSET($N$6,W1727,)</f>
        <v>1.3309480324665484</v>
      </c>
      <c r="AY1727" s="224" t="s">
        <v>246</v>
      </c>
      <c r="AZ1727" s="224" t="s">
        <v>490</v>
      </c>
      <c r="BA1727" s="224" t="s">
        <v>472</v>
      </c>
      <c r="BB1727">
        <v>0</v>
      </c>
      <c r="BE1727" s="224" t="s">
        <v>246</v>
      </c>
      <c r="BF1727" s="224" t="s">
        <v>490</v>
      </c>
      <c r="BG1727" s="224" t="s">
        <v>472</v>
      </c>
      <c r="BH1727">
        <v>0</v>
      </c>
    </row>
    <row r="1728" spans="17:60">
      <c r="Q1728" s="224" t="s">
        <v>239</v>
      </c>
      <c r="R1728" s="224" t="s">
        <v>490</v>
      </c>
      <c r="S1728" s="224" t="s">
        <v>472</v>
      </c>
      <c r="T1728" s="224">
        <f ca="1">OFFSET('Calculations 2'!$C$45,W1728,X1728)*OFFSET($N$6,W1728,0)</f>
        <v>187.10669700836144</v>
      </c>
      <c r="V1728">
        <f t="shared" si="80"/>
        <v>633</v>
      </c>
      <c r="W1728">
        <f t="shared" si="81"/>
        <v>6</v>
      </c>
      <c r="X1728">
        <f t="shared" si="82"/>
        <v>19</v>
      </c>
      <c r="AC1728" s="224" t="s">
        <v>239</v>
      </c>
      <c r="AD1728" s="224" t="s">
        <v>490</v>
      </c>
      <c r="AE1728" s="224" t="s">
        <v>472</v>
      </c>
      <c r="AF1728">
        <f ca="1">OFFSET('Calculations 2'!$CE$45,W1728,0)*OFFSET($AA$6,X1728,0)*OFFSET($N$6,W1728,)</f>
        <v>19.165544044207238</v>
      </c>
      <c r="AY1728" s="224" t="s">
        <v>239</v>
      </c>
      <c r="AZ1728" s="224" t="s">
        <v>490</v>
      </c>
      <c r="BA1728" s="224" t="s">
        <v>472</v>
      </c>
      <c r="BB1728">
        <v>0</v>
      </c>
      <c r="BE1728" s="224" t="s">
        <v>239</v>
      </c>
      <c r="BF1728" s="224" t="s">
        <v>490</v>
      </c>
      <c r="BG1728" s="224" t="s">
        <v>472</v>
      </c>
      <c r="BH1728">
        <v>0</v>
      </c>
    </row>
    <row r="1729" spans="17:60">
      <c r="Q1729" s="224" t="s">
        <v>466</v>
      </c>
      <c r="R1729" s="224" t="s">
        <v>490</v>
      </c>
      <c r="S1729" s="224" t="s">
        <v>472</v>
      </c>
      <c r="T1729" s="224">
        <f ca="1">OFFSET('Calculations 2'!$C$45,W1729,X1729)*OFFSET($N$6,W1729,0)</f>
        <v>113.17801896177433</v>
      </c>
      <c r="V1729">
        <f t="shared" si="80"/>
        <v>634</v>
      </c>
      <c r="W1729">
        <f t="shared" si="81"/>
        <v>7</v>
      </c>
      <c r="X1729">
        <f t="shared" si="82"/>
        <v>19</v>
      </c>
      <c r="AC1729" s="224" t="s">
        <v>466</v>
      </c>
      <c r="AD1729" s="224" t="s">
        <v>490</v>
      </c>
      <c r="AE1729" s="224" t="s">
        <v>472</v>
      </c>
      <c r="AF1729">
        <f ca="1">OFFSET('Calculations 2'!$CE$45,W1729,0)*OFFSET($AA$6,X1729,0)*OFFSET($N$6,W1729,)</f>
        <v>4.8261078667600561</v>
      </c>
      <c r="AY1729" s="224" t="s">
        <v>466</v>
      </c>
      <c r="AZ1729" s="224" t="s">
        <v>490</v>
      </c>
      <c r="BA1729" s="224" t="s">
        <v>472</v>
      </c>
      <c r="BB1729">
        <v>0</v>
      </c>
      <c r="BE1729" s="224" t="s">
        <v>466</v>
      </c>
      <c r="BF1729" s="224" t="s">
        <v>490</v>
      </c>
      <c r="BG1729" s="224" t="s">
        <v>472</v>
      </c>
      <c r="BH1729">
        <v>0</v>
      </c>
    </row>
    <row r="1730" spans="17:60">
      <c r="Q1730" s="224" t="s">
        <v>219</v>
      </c>
      <c r="R1730" s="224" t="s">
        <v>490</v>
      </c>
      <c r="S1730" s="224" t="s">
        <v>472</v>
      </c>
      <c r="T1730" s="224">
        <f ca="1">OFFSET('Calculations 2'!$C$45,W1730,X1730)*OFFSET($N$6,W1730,0)</f>
        <v>189.7070885025602</v>
      </c>
      <c r="V1730">
        <f t="shared" si="80"/>
        <v>635</v>
      </c>
      <c r="W1730">
        <f t="shared" si="81"/>
        <v>8</v>
      </c>
      <c r="X1730">
        <f t="shared" si="82"/>
        <v>19</v>
      </c>
      <c r="AC1730" s="224" t="s">
        <v>219</v>
      </c>
      <c r="AD1730" s="224" t="s">
        <v>490</v>
      </c>
      <c r="AE1730" s="224" t="s">
        <v>472</v>
      </c>
      <c r="AF1730">
        <f ca="1">OFFSET('Calculations 2'!$CE$45,W1730,0)*OFFSET($AA$6,X1730,0)*OFFSET($N$6,W1730,)</f>
        <v>66.157905972043565</v>
      </c>
      <c r="AY1730" s="224" t="s">
        <v>219</v>
      </c>
      <c r="AZ1730" s="224" t="s">
        <v>490</v>
      </c>
      <c r="BA1730" s="224" t="s">
        <v>472</v>
      </c>
      <c r="BB1730">
        <v>0</v>
      </c>
      <c r="BE1730" s="224" t="s">
        <v>219</v>
      </c>
      <c r="BF1730" s="224" t="s">
        <v>490</v>
      </c>
      <c r="BG1730" s="224" t="s">
        <v>472</v>
      </c>
      <c r="BH1730">
        <v>0</v>
      </c>
    </row>
    <row r="1731" spans="17:60">
      <c r="Q1731" s="224" t="s">
        <v>242</v>
      </c>
      <c r="R1731" s="224" t="s">
        <v>490</v>
      </c>
      <c r="S1731" s="224" t="s">
        <v>472</v>
      </c>
      <c r="T1731" s="224">
        <f ca="1">OFFSET('Calculations 2'!$C$45,W1731,X1731)*OFFSET($N$6,W1731,0)</f>
        <v>124.32640931788433</v>
      </c>
      <c r="V1731">
        <f t="shared" si="80"/>
        <v>636</v>
      </c>
      <c r="W1731">
        <f t="shared" si="81"/>
        <v>9</v>
      </c>
      <c r="X1731">
        <f t="shared" si="82"/>
        <v>19</v>
      </c>
      <c r="AC1731" s="224" t="s">
        <v>242</v>
      </c>
      <c r="AD1731" s="224" t="s">
        <v>490</v>
      </c>
      <c r="AE1731" s="224" t="s">
        <v>472</v>
      </c>
      <c r="AF1731">
        <f ca="1">OFFSET('Calculations 2'!$CE$45,W1731,0)*OFFSET($AA$6,X1731,0)*OFFSET($N$6,W1731,)</f>
        <v>50.668162208794065</v>
      </c>
      <c r="AY1731" s="224" t="s">
        <v>242</v>
      </c>
      <c r="AZ1731" s="224" t="s">
        <v>490</v>
      </c>
      <c r="BA1731" s="224" t="s">
        <v>472</v>
      </c>
      <c r="BB1731">
        <v>0</v>
      </c>
      <c r="BE1731" s="224" t="s">
        <v>242</v>
      </c>
      <c r="BF1731" s="224" t="s">
        <v>490</v>
      </c>
      <c r="BG1731" s="224" t="s">
        <v>472</v>
      </c>
      <c r="BH1731">
        <v>0</v>
      </c>
    </row>
    <row r="1732" spans="17:60">
      <c r="Q1732" s="224" t="s">
        <v>467</v>
      </c>
      <c r="R1732" s="224" t="s">
        <v>490</v>
      </c>
      <c r="S1732" s="224" t="s">
        <v>472</v>
      </c>
      <c r="T1732" s="224">
        <f ca="1">OFFSET('Calculations 2'!$C$45,W1732,X1732)*OFFSET($N$6,W1732,0)</f>
        <v>7.3255904580249736</v>
      </c>
      <c r="V1732">
        <f t="shared" si="80"/>
        <v>637</v>
      </c>
      <c r="W1732">
        <f t="shared" si="81"/>
        <v>10</v>
      </c>
      <c r="X1732">
        <f t="shared" si="82"/>
        <v>19</v>
      </c>
      <c r="AC1732" s="224" t="s">
        <v>467</v>
      </c>
      <c r="AD1732" s="224" t="s">
        <v>490</v>
      </c>
      <c r="AE1732" s="224" t="s">
        <v>472</v>
      </c>
      <c r="AF1732">
        <f ca="1">OFFSET('Calculations 2'!$CE$45,W1732,0)*OFFSET($AA$6,X1732,0)*OFFSET($N$6,W1732,)</f>
        <v>19.126590380704844</v>
      </c>
      <c r="AY1732" s="224" t="s">
        <v>467</v>
      </c>
      <c r="AZ1732" s="224" t="s">
        <v>490</v>
      </c>
      <c r="BA1732" s="224" t="s">
        <v>472</v>
      </c>
      <c r="BB1732">
        <v>0</v>
      </c>
      <c r="BE1732" s="224" t="s">
        <v>467</v>
      </c>
      <c r="BF1732" s="224" t="s">
        <v>490</v>
      </c>
      <c r="BG1732" s="224" t="s">
        <v>472</v>
      </c>
      <c r="BH1732">
        <v>0</v>
      </c>
    </row>
    <row r="1733" spans="17:60">
      <c r="Q1733" s="224" t="s">
        <v>231</v>
      </c>
      <c r="R1733" s="224" t="s">
        <v>490</v>
      </c>
      <c r="S1733" s="224" t="s">
        <v>472</v>
      </c>
      <c r="T1733" s="224">
        <f ca="1">OFFSET('Calculations 2'!$C$45,W1733,X1733)*OFFSET($N$6,W1733,0)</f>
        <v>382.16661166483908</v>
      </c>
      <c r="V1733">
        <f t="shared" si="80"/>
        <v>638</v>
      </c>
      <c r="W1733">
        <f t="shared" si="81"/>
        <v>11</v>
      </c>
      <c r="X1733">
        <f t="shared" si="82"/>
        <v>19</v>
      </c>
      <c r="AC1733" s="224" t="s">
        <v>231</v>
      </c>
      <c r="AD1733" s="224" t="s">
        <v>490</v>
      </c>
      <c r="AE1733" s="224" t="s">
        <v>472</v>
      </c>
      <c r="AF1733">
        <f ca="1">OFFSET('Calculations 2'!$CE$45,W1733,0)*OFFSET($AA$6,X1733,0)*OFFSET($N$6,W1733,)</f>
        <v>239.41018924281229</v>
      </c>
      <c r="AY1733" s="224" t="s">
        <v>231</v>
      </c>
      <c r="AZ1733" s="224" t="s">
        <v>490</v>
      </c>
      <c r="BA1733" s="224" t="s">
        <v>472</v>
      </c>
      <c r="BB1733">
        <v>0</v>
      </c>
      <c r="BE1733" s="224" t="s">
        <v>231</v>
      </c>
      <c r="BF1733" s="224" t="s">
        <v>490</v>
      </c>
      <c r="BG1733" s="224" t="s">
        <v>472</v>
      </c>
      <c r="BH1733">
        <v>0</v>
      </c>
    </row>
    <row r="1734" spans="17:60">
      <c r="Q1734" s="224" t="s">
        <v>468</v>
      </c>
      <c r="R1734" s="224" t="s">
        <v>490</v>
      </c>
      <c r="S1734" s="224" t="s">
        <v>472</v>
      </c>
      <c r="T1734" s="224">
        <f ca="1">OFFSET('Calculations 2'!$C$45,W1734,X1734)*OFFSET($N$6,W1734,0)</f>
        <v>0</v>
      </c>
      <c r="V1734">
        <f t="shared" si="80"/>
        <v>639</v>
      </c>
      <c r="W1734">
        <f t="shared" si="81"/>
        <v>12</v>
      </c>
      <c r="X1734">
        <f t="shared" si="82"/>
        <v>19</v>
      </c>
      <c r="AC1734" s="224" t="s">
        <v>468</v>
      </c>
      <c r="AD1734" s="224" t="s">
        <v>490</v>
      </c>
      <c r="AE1734" s="224" t="s">
        <v>472</v>
      </c>
      <c r="AF1734">
        <f ca="1">OFFSET('Calculations 2'!$CE$45,W1734,0)*OFFSET($AA$6,X1734,0)*OFFSET($N$6,W1734,)</f>
        <v>917.1258254593489</v>
      </c>
      <c r="AY1734" s="224" t="s">
        <v>468</v>
      </c>
      <c r="AZ1734" s="224" t="s">
        <v>490</v>
      </c>
      <c r="BA1734" s="224" t="s">
        <v>472</v>
      </c>
      <c r="BB1734">
        <v>0</v>
      </c>
      <c r="BE1734" s="224" t="s">
        <v>468</v>
      </c>
      <c r="BF1734" s="224" t="s">
        <v>490</v>
      </c>
      <c r="BG1734" s="224" t="s">
        <v>472</v>
      </c>
      <c r="BH1734">
        <v>0</v>
      </c>
    </row>
    <row r="1735" spans="17:60">
      <c r="Q1735" s="224" t="s">
        <v>469</v>
      </c>
      <c r="R1735" s="224" t="s">
        <v>490</v>
      </c>
      <c r="S1735" s="224" t="s">
        <v>472</v>
      </c>
      <c r="T1735" s="224">
        <f ca="1">OFFSET('Calculations 2'!$C$45,W1735,X1735)*OFFSET($N$6,W1735,0)</f>
        <v>44.169997552390399</v>
      </c>
      <c r="V1735">
        <f t="shared" si="80"/>
        <v>640</v>
      </c>
      <c r="W1735">
        <f t="shared" si="81"/>
        <v>13</v>
      </c>
      <c r="X1735">
        <f t="shared" si="82"/>
        <v>19</v>
      </c>
      <c r="AC1735" s="224" t="s">
        <v>469</v>
      </c>
      <c r="AD1735" s="224" t="s">
        <v>490</v>
      </c>
      <c r="AE1735" s="224" t="s">
        <v>472</v>
      </c>
      <c r="AF1735">
        <f ca="1">OFFSET('Calculations 2'!$CE$45,W1735,0)*OFFSET($AA$6,X1735,0)*OFFSET($N$6,W1735,)</f>
        <v>491.7348906633577</v>
      </c>
      <c r="AY1735" s="224" t="s">
        <v>469</v>
      </c>
      <c r="AZ1735" s="224" t="s">
        <v>490</v>
      </c>
      <c r="BA1735" s="224" t="s">
        <v>472</v>
      </c>
      <c r="BB1735">
        <v>0</v>
      </c>
      <c r="BE1735" s="224" t="s">
        <v>469</v>
      </c>
      <c r="BF1735" s="224" t="s">
        <v>490</v>
      </c>
      <c r="BG1735" s="224" t="s">
        <v>472</v>
      </c>
      <c r="BH1735">
        <v>0</v>
      </c>
    </row>
    <row r="1736" spans="17:60">
      <c r="Q1736" s="224" t="s">
        <v>245</v>
      </c>
      <c r="R1736" s="224" t="s">
        <v>490</v>
      </c>
      <c r="S1736" s="224" t="s">
        <v>472</v>
      </c>
      <c r="T1736" s="224">
        <f ca="1">OFFSET('Calculations 2'!$C$45,W1736,X1736)*OFFSET($N$6,W1736,0)</f>
        <v>136.52374702521959</v>
      </c>
      <c r="V1736">
        <f t="shared" si="80"/>
        <v>641</v>
      </c>
      <c r="W1736">
        <f t="shared" si="81"/>
        <v>14</v>
      </c>
      <c r="X1736">
        <f t="shared" si="82"/>
        <v>19</v>
      </c>
      <c r="AC1736" s="224" t="s">
        <v>245</v>
      </c>
      <c r="AD1736" s="224" t="s">
        <v>490</v>
      </c>
      <c r="AE1736" s="224" t="s">
        <v>472</v>
      </c>
      <c r="AF1736">
        <f ca="1">OFFSET('Calculations 2'!$CE$45,W1736,0)*OFFSET($AA$6,X1736,0)*OFFSET($N$6,W1736,)</f>
        <v>784.75357673477686</v>
      </c>
      <c r="AY1736" s="224" t="s">
        <v>245</v>
      </c>
      <c r="AZ1736" s="224" t="s">
        <v>490</v>
      </c>
      <c r="BA1736" s="224" t="s">
        <v>472</v>
      </c>
      <c r="BB1736">
        <v>0</v>
      </c>
      <c r="BE1736" s="224" t="s">
        <v>245</v>
      </c>
      <c r="BF1736" s="224" t="s">
        <v>490</v>
      </c>
      <c r="BG1736" s="224" t="s">
        <v>472</v>
      </c>
      <c r="BH1736">
        <v>0</v>
      </c>
    </row>
    <row r="1737" spans="17:60">
      <c r="Q1737" s="224" t="s">
        <v>470</v>
      </c>
      <c r="R1737" s="224" t="s">
        <v>490</v>
      </c>
      <c r="S1737" s="224" t="s">
        <v>472</v>
      </c>
      <c r="T1737" s="224">
        <f ca="1">OFFSET('Calculations 2'!$C$45,W1737,X1737)*OFFSET($N$6,W1737,0)</f>
        <v>621.58748688561968</v>
      </c>
      <c r="V1737">
        <f t="shared" ref="V1737:V1800" si="83">V1736+1</f>
        <v>642</v>
      </c>
      <c r="W1737">
        <f t="shared" ref="W1737:W1800" si="84">MOD(V1737,$V$3)</f>
        <v>15</v>
      </c>
      <c r="X1737">
        <f t="shared" ref="X1737:X1800" si="85">FLOOR(V1737/$V$3,1)</f>
        <v>19</v>
      </c>
      <c r="AC1737" s="224" t="s">
        <v>470</v>
      </c>
      <c r="AD1737" s="224" t="s">
        <v>490</v>
      </c>
      <c r="AE1737" s="224" t="s">
        <v>472</v>
      </c>
      <c r="AF1737">
        <f ca="1">OFFSET('Calculations 2'!$CE$45,W1737,0)*OFFSET($AA$6,X1737,0)*OFFSET($N$6,W1737,)</f>
        <v>297.76271326759081</v>
      </c>
      <c r="AY1737" s="224" t="s">
        <v>470</v>
      </c>
      <c r="AZ1737" s="224" t="s">
        <v>490</v>
      </c>
      <c r="BA1737" s="224" t="s">
        <v>472</v>
      </c>
      <c r="BB1737">
        <v>0</v>
      </c>
      <c r="BE1737" s="224" t="s">
        <v>470</v>
      </c>
      <c r="BF1737" s="224" t="s">
        <v>490</v>
      </c>
      <c r="BG1737" s="224" t="s">
        <v>472</v>
      </c>
      <c r="BH1737">
        <v>0</v>
      </c>
    </row>
    <row r="1738" spans="17:60">
      <c r="Q1738" s="224" t="s">
        <v>471</v>
      </c>
      <c r="R1738" s="224" t="s">
        <v>490</v>
      </c>
      <c r="S1738" s="224" t="s">
        <v>472</v>
      </c>
      <c r="T1738" s="224">
        <f ca="1">OFFSET('Calculations 2'!$C$45,W1738,X1738)*OFFSET($N$6,W1738,0)</f>
        <v>20.155476139055374</v>
      </c>
      <c r="V1738">
        <f t="shared" si="83"/>
        <v>643</v>
      </c>
      <c r="W1738">
        <f t="shared" si="84"/>
        <v>16</v>
      </c>
      <c r="X1738">
        <f t="shared" si="85"/>
        <v>19</v>
      </c>
      <c r="AC1738" s="224" t="s">
        <v>471</v>
      </c>
      <c r="AD1738" s="224" t="s">
        <v>490</v>
      </c>
      <c r="AE1738" s="224" t="s">
        <v>472</v>
      </c>
      <c r="AF1738">
        <f ca="1">OFFSET('Calculations 2'!$CE$45,W1738,0)*OFFSET($AA$6,X1738,0)*OFFSET($N$6,W1738,)</f>
        <v>0</v>
      </c>
      <c r="AY1738" s="224" t="s">
        <v>471</v>
      </c>
      <c r="AZ1738" s="224" t="s">
        <v>490</v>
      </c>
      <c r="BA1738" s="224" t="s">
        <v>472</v>
      </c>
      <c r="BB1738">
        <v>0</v>
      </c>
      <c r="BE1738" s="224" t="s">
        <v>471</v>
      </c>
      <c r="BF1738" s="224" t="s">
        <v>490</v>
      </c>
      <c r="BG1738" s="224" t="s">
        <v>472</v>
      </c>
      <c r="BH1738">
        <v>0</v>
      </c>
    </row>
    <row r="1739" spans="17:60">
      <c r="Q1739" s="224" t="s">
        <v>221</v>
      </c>
      <c r="R1739" s="224" t="s">
        <v>490</v>
      </c>
      <c r="S1739" s="224" t="s">
        <v>472</v>
      </c>
      <c r="T1739" s="224">
        <f ca="1">OFFSET('Calculations 2'!$C$45,W1739,X1739)*OFFSET($N$6,W1739,0)</f>
        <v>43.933119397551032</v>
      </c>
      <c r="V1739">
        <f t="shared" si="83"/>
        <v>644</v>
      </c>
      <c r="W1739">
        <f t="shared" si="84"/>
        <v>17</v>
      </c>
      <c r="X1739">
        <f t="shared" si="85"/>
        <v>19</v>
      </c>
      <c r="AC1739" s="224" t="s">
        <v>221</v>
      </c>
      <c r="AD1739" s="224" t="s">
        <v>490</v>
      </c>
      <c r="AE1739" s="224" t="s">
        <v>472</v>
      </c>
      <c r="AF1739">
        <f ca="1">OFFSET('Calculations 2'!$CE$45,W1739,0)*OFFSET($AA$6,X1739,0)*OFFSET($N$6,W1739,)</f>
        <v>58.288765585053838</v>
      </c>
      <c r="AY1739" s="224" t="s">
        <v>221</v>
      </c>
      <c r="AZ1739" s="224" t="s">
        <v>490</v>
      </c>
      <c r="BA1739" s="224" t="s">
        <v>472</v>
      </c>
      <c r="BB1739">
        <v>0</v>
      </c>
      <c r="BE1739" s="224" t="s">
        <v>221</v>
      </c>
      <c r="BF1739" s="224" t="s">
        <v>490</v>
      </c>
      <c r="BG1739" s="224" t="s">
        <v>472</v>
      </c>
      <c r="BH1739">
        <v>0</v>
      </c>
    </row>
    <row r="1740" spans="17:60">
      <c r="Q1740" s="224" t="s">
        <v>244</v>
      </c>
      <c r="R1740" s="224" t="s">
        <v>490</v>
      </c>
      <c r="S1740" s="224" t="s">
        <v>472</v>
      </c>
      <c r="T1740" s="224">
        <f ca="1">OFFSET('Calculations 2'!$C$45,W1740,X1740)*OFFSET($N$6,W1740,0)</f>
        <v>46.191960996579212</v>
      </c>
      <c r="V1740">
        <f t="shared" si="83"/>
        <v>645</v>
      </c>
      <c r="W1740">
        <f t="shared" si="84"/>
        <v>18</v>
      </c>
      <c r="X1740">
        <f t="shared" si="85"/>
        <v>19</v>
      </c>
      <c r="AC1740" s="224" t="s">
        <v>244</v>
      </c>
      <c r="AD1740" s="224" t="s">
        <v>490</v>
      </c>
      <c r="AE1740" s="224" t="s">
        <v>472</v>
      </c>
      <c r="AF1740">
        <f ca="1">OFFSET('Calculations 2'!$CE$45,W1740,0)*OFFSET($AA$6,X1740,0)*OFFSET($N$6,W1740,)</f>
        <v>5.0998713780538214</v>
      </c>
      <c r="AY1740" s="224" t="s">
        <v>244</v>
      </c>
      <c r="AZ1740" s="224" t="s">
        <v>490</v>
      </c>
      <c r="BA1740" s="224" t="s">
        <v>472</v>
      </c>
      <c r="BB1740">
        <v>0</v>
      </c>
      <c r="BE1740" s="224" t="s">
        <v>244</v>
      </c>
      <c r="BF1740" s="224" t="s">
        <v>490</v>
      </c>
      <c r="BG1740" s="224" t="s">
        <v>472</v>
      </c>
      <c r="BH1740">
        <v>0</v>
      </c>
    </row>
    <row r="1741" spans="17:60">
      <c r="Q1741" s="224" t="s">
        <v>472</v>
      </c>
      <c r="R1741" s="224" t="s">
        <v>490</v>
      </c>
      <c r="S1741" s="224" t="s">
        <v>472</v>
      </c>
      <c r="T1741" s="224">
        <f ca="1">OFFSET('Calculations 2'!$C$45,W1741,X1741)*OFFSET($N$6,W1741,0)</f>
        <v>0</v>
      </c>
      <c r="V1741">
        <f t="shared" si="83"/>
        <v>646</v>
      </c>
      <c r="W1741">
        <f t="shared" si="84"/>
        <v>19</v>
      </c>
      <c r="X1741">
        <f t="shared" si="85"/>
        <v>19</v>
      </c>
      <c r="AC1741" s="224" t="s">
        <v>472</v>
      </c>
      <c r="AD1741" s="224" t="s">
        <v>490</v>
      </c>
      <c r="AE1741" s="224" t="s">
        <v>472</v>
      </c>
      <c r="AF1741">
        <f ca="1">OFFSET('Calculations 2'!$CE$45,W1741,0)*OFFSET($AA$6,X1741,0)*OFFSET($N$6,W1741,)</f>
        <v>0</v>
      </c>
      <c r="AY1741" s="224" t="s">
        <v>472</v>
      </c>
      <c r="AZ1741" s="224" t="s">
        <v>490</v>
      </c>
      <c r="BA1741" s="224" t="s">
        <v>472</v>
      </c>
      <c r="BB1741">
        <v>0</v>
      </c>
      <c r="BE1741" s="224" t="s">
        <v>472</v>
      </c>
      <c r="BF1741" s="224" t="s">
        <v>490</v>
      </c>
      <c r="BG1741" s="224" t="s">
        <v>472</v>
      </c>
      <c r="BH1741">
        <v>0</v>
      </c>
    </row>
    <row r="1742" spans="17:60">
      <c r="Q1742" s="224" t="s">
        <v>238</v>
      </c>
      <c r="R1742" s="224" t="s">
        <v>490</v>
      </c>
      <c r="S1742" s="224" t="s">
        <v>472</v>
      </c>
      <c r="T1742" s="224">
        <f ca="1">OFFSET('Calculations 2'!$C$45,W1742,X1742)*OFFSET($N$6,W1742,0)</f>
        <v>2.1170735775407885</v>
      </c>
      <c r="V1742">
        <f t="shared" si="83"/>
        <v>647</v>
      </c>
      <c r="W1742">
        <f t="shared" si="84"/>
        <v>20</v>
      </c>
      <c r="X1742">
        <f t="shared" si="85"/>
        <v>19</v>
      </c>
      <c r="AC1742" s="224" t="s">
        <v>238</v>
      </c>
      <c r="AD1742" s="224" t="s">
        <v>490</v>
      </c>
      <c r="AE1742" s="224" t="s">
        <v>472</v>
      </c>
      <c r="AF1742">
        <f ca="1">OFFSET('Calculations 2'!$CE$45,W1742,0)*OFFSET($AA$6,X1742,0)*OFFSET($N$6,W1742,)</f>
        <v>0</v>
      </c>
      <c r="AY1742" s="224" t="s">
        <v>238</v>
      </c>
      <c r="AZ1742" s="224" t="s">
        <v>490</v>
      </c>
      <c r="BA1742" s="224" t="s">
        <v>472</v>
      </c>
      <c r="BB1742">
        <v>0</v>
      </c>
      <c r="BE1742" s="224" t="s">
        <v>238</v>
      </c>
      <c r="BF1742" s="224" t="s">
        <v>490</v>
      </c>
      <c r="BG1742" s="224" t="s">
        <v>472</v>
      </c>
      <c r="BH1742">
        <v>0</v>
      </c>
    </row>
    <row r="1743" spans="17:60">
      <c r="Q1743" s="224" t="s">
        <v>247</v>
      </c>
      <c r="R1743" s="224" t="s">
        <v>490</v>
      </c>
      <c r="S1743" s="224" t="s">
        <v>472</v>
      </c>
      <c r="T1743" s="224">
        <f ca="1">OFFSET('Calculations 2'!$C$45,W1743,X1743)*OFFSET($N$6,W1743,0)</f>
        <v>0</v>
      </c>
      <c r="V1743">
        <f t="shared" si="83"/>
        <v>648</v>
      </c>
      <c r="W1743">
        <f t="shared" si="84"/>
        <v>21</v>
      </c>
      <c r="X1743">
        <f t="shared" si="85"/>
        <v>19</v>
      </c>
      <c r="AC1743" s="224" t="s">
        <v>247</v>
      </c>
      <c r="AD1743" s="224" t="s">
        <v>490</v>
      </c>
      <c r="AE1743" s="224" t="s">
        <v>472</v>
      </c>
      <c r="AF1743">
        <f ca="1">OFFSET('Calculations 2'!$CE$45,W1743,0)*OFFSET($AA$6,X1743,0)*OFFSET($N$6,W1743,)</f>
        <v>0</v>
      </c>
      <c r="AY1743" s="224" t="s">
        <v>247</v>
      </c>
      <c r="AZ1743" s="224" t="s">
        <v>490</v>
      </c>
      <c r="BA1743" s="224" t="s">
        <v>472</v>
      </c>
      <c r="BB1743">
        <v>0</v>
      </c>
      <c r="BE1743" s="224" t="s">
        <v>247</v>
      </c>
      <c r="BF1743" s="224" t="s">
        <v>490</v>
      </c>
      <c r="BG1743" s="224" t="s">
        <v>472</v>
      </c>
      <c r="BH1743">
        <v>0</v>
      </c>
    </row>
    <row r="1744" spans="17:60">
      <c r="Q1744" s="224" t="s">
        <v>218</v>
      </c>
      <c r="R1744" s="224" t="s">
        <v>490</v>
      </c>
      <c r="S1744" s="224" t="s">
        <v>472</v>
      </c>
      <c r="T1744" s="224">
        <f ca="1">OFFSET('Calculations 2'!$C$45,W1744,X1744)*OFFSET($N$6,W1744,0)</f>
        <v>0.13749397386997189</v>
      </c>
      <c r="V1744">
        <f t="shared" si="83"/>
        <v>649</v>
      </c>
      <c r="W1744">
        <f t="shared" si="84"/>
        <v>22</v>
      </c>
      <c r="X1744">
        <f t="shared" si="85"/>
        <v>19</v>
      </c>
      <c r="AC1744" s="224" t="s">
        <v>218</v>
      </c>
      <c r="AD1744" s="224" t="s">
        <v>490</v>
      </c>
      <c r="AE1744" s="224" t="s">
        <v>472</v>
      </c>
      <c r="AF1744">
        <f ca="1">OFFSET('Calculations 2'!$CE$45,W1744,0)*OFFSET($AA$6,X1744,0)*OFFSET($N$6,W1744,)</f>
        <v>0</v>
      </c>
      <c r="AY1744" s="224" t="s">
        <v>218</v>
      </c>
      <c r="AZ1744" s="224" t="s">
        <v>490</v>
      </c>
      <c r="BA1744" s="224" t="s">
        <v>472</v>
      </c>
      <c r="BB1744">
        <v>0</v>
      </c>
      <c r="BE1744" s="224" t="s">
        <v>218</v>
      </c>
      <c r="BF1744" s="224" t="s">
        <v>490</v>
      </c>
      <c r="BG1744" s="224" t="s">
        <v>472</v>
      </c>
      <c r="BH1744">
        <v>0</v>
      </c>
    </row>
    <row r="1745" spans="17:60">
      <c r="Q1745" s="224" t="s">
        <v>257</v>
      </c>
      <c r="R1745" s="224" t="s">
        <v>490</v>
      </c>
      <c r="S1745" s="224" t="s">
        <v>472</v>
      </c>
      <c r="T1745" s="224">
        <f ca="1">OFFSET('Calculations 2'!$C$45,W1745,X1745)*OFFSET($N$6,W1745,0)</f>
        <v>0.6839798440327497</v>
      </c>
      <c r="V1745">
        <f t="shared" si="83"/>
        <v>650</v>
      </c>
      <c r="W1745">
        <f t="shared" si="84"/>
        <v>23</v>
      </c>
      <c r="X1745">
        <f t="shared" si="85"/>
        <v>19</v>
      </c>
      <c r="AC1745" s="224" t="s">
        <v>257</v>
      </c>
      <c r="AD1745" s="224" t="s">
        <v>490</v>
      </c>
      <c r="AE1745" s="224" t="s">
        <v>472</v>
      </c>
      <c r="AF1745">
        <f ca="1">OFFSET('Calculations 2'!$CE$45,W1745,0)*OFFSET($AA$6,X1745,0)*OFFSET($N$6,W1745,)</f>
        <v>0</v>
      </c>
      <c r="AY1745" s="224" t="s">
        <v>257</v>
      </c>
      <c r="AZ1745" s="224" t="s">
        <v>490</v>
      </c>
      <c r="BA1745" s="224" t="s">
        <v>472</v>
      </c>
      <c r="BB1745">
        <v>0</v>
      </c>
      <c r="BE1745" s="224" t="s">
        <v>257</v>
      </c>
      <c r="BF1745" s="224" t="s">
        <v>490</v>
      </c>
      <c r="BG1745" s="224" t="s">
        <v>472</v>
      </c>
      <c r="BH1745">
        <v>0</v>
      </c>
    </row>
    <row r="1746" spans="17:60">
      <c r="Q1746" s="224" t="s">
        <v>220</v>
      </c>
      <c r="R1746" s="224" t="s">
        <v>490</v>
      </c>
      <c r="S1746" s="224" t="s">
        <v>472</v>
      </c>
      <c r="T1746" s="224">
        <f ca="1">OFFSET('Calculations 2'!$C$45,W1746,X1746)*OFFSET($N$6,W1746,0)</f>
        <v>11.372835850218548</v>
      </c>
      <c r="V1746">
        <f t="shared" si="83"/>
        <v>651</v>
      </c>
      <c r="W1746">
        <f t="shared" si="84"/>
        <v>24</v>
      </c>
      <c r="X1746">
        <f t="shared" si="85"/>
        <v>19</v>
      </c>
      <c r="AC1746" s="224" t="s">
        <v>220</v>
      </c>
      <c r="AD1746" s="224" t="s">
        <v>490</v>
      </c>
      <c r="AE1746" s="224" t="s">
        <v>472</v>
      </c>
      <c r="AF1746">
        <f ca="1">OFFSET('Calculations 2'!$CE$45,W1746,0)*OFFSET($AA$6,X1746,0)*OFFSET($N$6,W1746,)</f>
        <v>0</v>
      </c>
      <c r="AY1746" s="224" t="s">
        <v>220</v>
      </c>
      <c r="AZ1746" s="224" t="s">
        <v>490</v>
      </c>
      <c r="BA1746" s="224" t="s">
        <v>472</v>
      </c>
      <c r="BB1746">
        <v>0</v>
      </c>
      <c r="BE1746" s="224" t="s">
        <v>220</v>
      </c>
      <c r="BF1746" s="224" t="s">
        <v>490</v>
      </c>
      <c r="BG1746" s="224" t="s">
        <v>472</v>
      </c>
      <c r="BH1746">
        <v>0</v>
      </c>
    </row>
    <row r="1747" spans="17:60">
      <c r="Q1747" s="224" t="s">
        <v>235</v>
      </c>
      <c r="R1747" s="224" t="s">
        <v>490</v>
      </c>
      <c r="S1747" s="224" t="s">
        <v>472</v>
      </c>
      <c r="T1747" s="224">
        <f ca="1">OFFSET('Calculations 2'!$C$45,W1747,X1747)*OFFSET($N$6,W1747,0)</f>
        <v>49.121881682757852</v>
      </c>
      <c r="V1747">
        <f t="shared" si="83"/>
        <v>652</v>
      </c>
      <c r="W1747">
        <f t="shared" si="84"/>
        <v>25</v>
      </c>
      <c r="X1747">
        <f t="shared" si="85"/>
        <v>19</v>
      </c>
      <c r="AC1747" s="224" t="s">
        <v>235</v>
      </c>
      <c r="AD1747" s="224" t="s">
        <v>490</v>
      </c>
      <c r="AE1747" s="224" t="s">
        <v>472</v>
      </c>
      <c r="AF1747">
        <f ca="1">OFFSET('Calculations 2'!$CE$45,W1747,0)*OFFSET($AA$6,X1747,0)*OFFSET($N$6,W1747,)</f>
        <v>0</v>
      </c>
      <c r="AY1747" s="224" t="s">
        <v>235</v>
      </c>
      <c r="AZ1747" s="224" t="s">
        <v>490</v>
      </c>
      <c r="BA1747" s="224" t="s">
        <v>472</v>
      </c>
      <c r="BB1747">
        <v>0</v>
      </c>
      <c r="BE1747" s="224" t="s">
        <v>235</v>
      </c>
      <c r="BF1747" s="224" t="s">
        <v>490</v>
      </c>
      <c r="BG1747" s="224" t="s">
        <v>472</v>
      </c>
      <c r="BH1747">
        <v>0</v>
      </c>
    </row>
    <row r="1748" spans="17:60">
      <c r="Q1748" s="224" t="s">
        <v>473</v>
      </c>
      <c r="R1748" s="224" t="s">
        <v>490</v>
      </c>
      <c r="S1748" s="224" t="s">
        <v>472</v>
      </c>
      <c r="T1748" s="224">
        <f ca="1">OFFSET('Calculations 2'!$C$45,W1748,X1748)*OFFSET($N$6,W1748,0)</f>
        <v>19.19101369543133</v>
      </c>
      <c r="V1748">
        <f t="shared" si="83"/>
        <v>653</v>
      </c>
      <c r="W1748">
        <f t="shared" si="84"/>
        <v>26</v>
      </c>
      <c r="X1748">
        <f t="shared" si="85"/>
        <v>19</v>
      </c>
      <c r="AC1748" s="224" t="s">
        <v>473</v>
      </c>
      <c r="AD1748" s="224" t="s">
        <v>490</v>
      </c>
      <c r="AE1748" s="224" t="s">
        <v>472</v>
      </c>
      <c r="AF1748">
        <f ca="1">OFFSET('Calculations 2'!$CE$45,W1748,0)*OFFSET($AA$6,X1748,0)*OFFSET($N$6,W1748,)</f>
        <v>0</v>
      </c>
      <c r="AY1748" s="224" t="s">
        <v>473</v>
      </c>
      <c r="AZ1748" s="224" t="s">
        <v>490</v>
      </c>
      <c r="BA1748" s="224" t="s">
        <v>472</v>
      </c>
      <c r="BB1748">
        <v>0</v>
      </c>
      <c r="BE1748" s="224" t="s">
        <v>473</v>
      </c>
      <c r="BF1748" s="224" t="s">
        <v>490</v>
      </c>
      <c r="BG1748" s="224" t="s">
        <v>472</v>
      </c>
      <c r="BH1748">
        <v>0</v>
      </c>
    </row>
    <row r="1749" spans="17:60">
      <c r="Q1749" s="224" t="s">
        <v>233</v>
      </c>
      <c r="R1749" s="224" t="s">
        <v>490</v>
      </c>
      <c r="S1749" s="224" t="s">
        <v>472</v>
      </c>
      <c r="T1749" s="224">
        <f ca="1">OFFSET('Calculations 2'!$C$45,W1749,X1749)*OFFSET($N$6,W1749,0)</f>
        <v>20.927781023514644</v>
      </c>
      <c r="V1749">
        <f t="shared" si="83"/>
        <v>654</v>
      </c>
      <c r="W1749">
        <f t="shared" si="84"/>
        <v>27</v>
      </c>
      <c r="X1749">
        <f t="shared" si="85"/>
        <v>19</v>
      </c>
      <c r="AC1749" s="224" t="s">
        <v>233</v>
      </c>
      <c r="AD1749" s="224" t="s">
        <v>490</v>
      </c>
      <c r="AE1749" s="224" t="s">
        <v>472</v>
      </c>
      <c r="AF1749">
        <f ca="1">OFFSET('Calculations 2'!$CE$45,W1749,0)*OFFSET($AA$6,X1749,0)*OFFSET($N$6,W1749,)</f>
        <v>0</v>
      </c>
      <c r="AY1749" s="224" t="s">
        <v>233</v>
      </c>
      <c r="AZ1749" s="224" t="s">
        <v>490</v>
      </c>
      <c r="BA1749" s="224" t="s">
        <v>472</v>
      </c>
      <c r="BB1749">
        <v>0</v>
      </c>
      <c r="BE1749" s="224" t="s">
        <v>233</v>
      </c>
      <c r="BF1749" s="224" t="s">
        <v>490</v>
      </c>
      <c r="BG1749" s="224" t="s">
        <v>472</v>
      </c>
      <c r="BH1749">
        <v>0</v>
      </c>
    </row>
    <row r="1750" spans="17:60">
      <c r="Q1750" s="224" t="s">
        <v>474</v>
      </c>
      <c r="R1750" s="224" t="s">
        <v>490</v>
      </c>
      <c r="S1750" s="224" t="s">
        <v>472</v>
      </c>
      <c r="T1750" s="224">
        <f ca="1">OFFSET('Calculations 2'!$C$45,W1750,X1750)*OFFSET($N$6,W1750,0)</f>
        <v>1.8599247866657662</v>
      </c>
      <c r="V1750">
        <f t="shared" si="83"/>
        <v>655</v>
      </c>
      <c r="W1750">
        <f t="shared" si="84"/>
        <v>28</v>
      </c>
      <c r="X1750">
        <f t="shared" si="85"/>
        <v>19</v>
      </c>
      <c r="AC1750" s="224" t="s">
        <v>474</v>
      </c>
      <c r="AD1750" s="224" t="s">
        <v>490</v>
      </c>
      <c r="AE1750" s="224" t="s">
        <v>472</v>
      </c>
      <c r="AF1750">
        <f ca="1">OFFSET('Calculations 2'!$CE$45,W1750,0)*OFFSET($AA$6,X1750,0)*OFFSET($N$6,W1750,)</f>
        <v>0</v>
      </c>
      <c r="AY1750" s="224" t="s">
        <v>474</v>
      </c>
      <c r="AZ1750" s="224" t="s">
        <v>490</v>
      </c>
      <c r="BA1750" s="224" t="s">
        <v>472</v>
      </c>
      <c r="BB1750">
        <v>0</v>
      </c>
      <c r="BE1750" s="224" t="s">
        <v>474</v>
      </c>
      <c r="BF1750" s="224" t="s">
        <v>490</v>
      </c>
      <c r="BG1750" s="224" t="s">
        <v>472</v>
      </c>
      <c r="BH1750">
        <v>0</v>
      </c>
    </row>
    <row r="1751" spans="17:60">
      <c r="Q1751" s="224" t="s">
        <v>223</v>
      </c>
      <c r="R1751" s="224" t="s">
        <v>490</v>
      </c>
      <c r="S1751" s="224" t="s">
        <v>472</v>
      </c>
      <c r="T1751" s="224">
        <f ca="1">OFFSET('Calculations 2'!$C$45,W1751,X1751)*OFFSET($N$6,W1751,0)</f>
        <v>0</v>
      </c>
      <c r="V1751">
        <f t="shared" si="83"/>
        <v>656</v>
      </c>
      <c r="W1751">
        <f t="shared" si="84"/>
        <v>29</v>
      </c>
      <c r="X1751">
        <f t="shared" si="85"/>
        <v>19</v>
      </c>
      <c r="AC1751" s="224" t="s">
        <v>223</v>
      </c>
      <c r="AD1751" s="224" t="s">
        <v>490</v>
      </c>
      <c r="AE1751" s="224" t="s">
        <v>472</v>
      </c>
      <c r="AF1751">
        <f ca="1">OFFSET('Calculations 2'!$CE$45,W1751,0)*OFFSET($AA$6,X1751,0)*OFFSET($N$6,W1751,)</f>
        <v>0</v>
      </c>
      <c r="AY1751" s="224" t="s">
        <v>223</v>
      </c>
      <c r="AZ1751" s="224" t="s">
        <v>490</v>
      </c>
      <c r="BA1751" s="224" t="s">
        <v>472</v>
      </c>
      <c r="BB1751">
        <v>0</v>
      </c>
      <c r="BE1751" s="224" t="s">
        <v>223</v>
      </c>
      <c r="BF1751" s="224" t="s">
        <v>490</v>
      </c>
      <c r="BG1751" s="224" t="s">
        <v>472</v>
      </c>
      <c r="BH1751">
        <v>0</v>
      </c>
    </row>
    <row r="1752" spans="17:60">
      <c r="Q1752" s="224" t="s">
        <v>475</v>
      </c>
      <c r="R1752" s="224" t="s">
        <v>490</v>
      </c>
      <c r="S1752" s="224" t="s">
        <v>472</v>
      </c>
      <c r="T1752" s="224">
        <f ca="1">OFFSET('Calculations 2'!$C$45,W1752,X1752)*OFFSET($N$6,W1752,0)</f>
        <v>0.77955352729206284</v>
      </c>
      <c r="V1752">
        <f t="shared" si="83"/>
        <v>657</v>
      </c>
      <c r="W1752">
        <f t="shared" si="84"/>
        <v>30</v>
      </c>
      <c r="X1752">
        <f t="shared" si="85"/>
        <v>19</v>
      </c>
      <c r="AC1752" s="224" t="s">
        <v>475</v>
      </c>
      <c r="AD1752" s="224" t="s">
        <v>490</v>
      </c>
      <c r="AE1752" s="224" t="s">
        <v>472</v>
      </c>
      <c r="AF1752">
        <f ca="1">OFFSET('Calculations 2'!$CE$45,W1752,0)*OFFSET($AA$6,X1752,0)*OFFSET($N$6,W1752,)</f>
        <v>0</v>
      </c>
      <c r="AY1752" s="224" t="s">
        <v>475</v>
      </c>
      <c r="AZ1752" s="224" t="s">
        <v>490</v>
      </c>
      <c r="BA1752" s="224" t="s">
        <v>472</v>
      </c>
      <c r="BB1752">
        <v>0</v>
      </c>
      <c r="BE1752" s="224" t="s">
        <v>475</v>
      </c>
      <c r="BF1752" s="224" t="s">
        <v>490</v>
      </c>
      <c r="BG1752" s="224" t="s">
        <v>472</v>
      </c>
      <c r="BH1752">
        <v>0</v>
      </c>
    </row>
    <row r="1753" spans="17:60">
      <c r="Q1753" s="224" t="s">
        <v>476</v>
      </c>
      <c r="R1753" s="224" t="s">
        <v>490</v>
      </c>
      <c r="S1753" s="224" t="s">
        <v>472</v>
      </c>
      <c r="T1753" s="224">
        <f ca="1">OFFSET('Calculations 2'!$C$45,W1753,X1753)*OFFSET($N$6,W1753,0)</f>
        <v>27.810851566047088</v>
      </c>
      <c r="V1753">
        <f t="shared" si="83"/>
        <v>658</v>
      </c>
      <c r="W1753">
        <f t="shared" si="84"/>
        <v>31</v>
      </c>
      <c r="X1753">
        <f t="shared" si="85"/>
        <v>19</v>
      </c>
      <c r="AC1753" s="224" t="s">
        <v>476</v>
      </c>
      <c r="AD1753" s="224" t="s">
        <v>490</v>
      </c>
      <c r="AE1753" s="224" t="s">
        <v>472</v>
      </c>
      <c r="AF1753">
        <f ca="1">OFFSET('Calculations 2'!$CE$45,W1753,0)*OFFSET($AA$6,X1753,0)*OFFSET($N$6,W1753,)</f>
        <v>0</v>
      </c>
      <c r="AY1753" s="224" t="s">
        <v>476</v>
      </c>
      <c r="AZ1753" s="224" t="s">
        <v>490</v>
      </c>
      <c r="BA1753" s="224" t="s">
        <v>472</v>
      </c>
      <c r="BB1753">
        <v>0</v>
      </c>
      <c r="BE1753" s="224" t="s">
        <v>476</v>
      </c>
      <c r="BF1753" s="224" t="s">
        <v>490</v>
      </c>
      <c r="BG1753" s="224" t="s">
        <v>472</v>
      </c>
      <c r="BH1753">
        <v>0</v>
      </c>
    </row>
    <row r="1754" spans="17:60">
      <c r="Q1754" s="224" t="s">
        <v>222</v>
      </c>
      <c r="R1754" s="224" t="s">
        <v>490</v>
      </c>
      <c r="S1754" s="224" t="s">
        <v>472</v>
      </c>
      <c r="T1754" s="224">
        <f ca="1">OFFSET('Calculations 2'!$C$45,W1754,X1754)*OFFSET($N$6,W1754,0)</f>
        <v>0</v>
      </c>
      <c r="V1754">
        <f t="shared" si="83"/>
        <v>659</v>
      </c>
      <c r="W1754">
        <f t="shared" si="84"/>
        <v>32</v>
      </c>
      <c r="X1754">
        <f t="shared" si="85"/>
        <v>19</v>
      </c>
      <c r="AC1754" s="224" t="s">
        <v>222</v>
      </c>
      <c r="AD1754" s="224" t="s">
        <v>490</v>
      </c>
      <c r="AE1754" s="224" t="s">
        <v>472</v>
      </c>
      <c r="AF1754">
        <f ca="1">OFFSET('Calculations 2'!$CE$45,W1754,0)*OFFSET($AA$6,X1754,0)*OFFSET($N$6,W1754,)</f>
        <v>0</v>
      </c>
      <c r="AY1754" s="224" t="s">
        <v>222</v>
      </c>
      <c r="AZ1754" s="224" t="s">
        <v>490</v>
      </c>
      <c r="BA1754" s="224" t="s">
        <v>472</v>
      </c>
      <c r="BB1754">
        <v>0</v>
      </c>
      <c r="BE1754" s="224" t="s">
        <v>222</v>
      </c>
      <c r="BF1754" s="224" t="s">
        <v>490</v>
      </c>
      <c r="BG1754" s="224" t="s">
        <v>472</v>
      </c>
      <c r="BH1754">
        <v>0</v>
      </c>
    </row>
    <row r="1755" spans="17:60">
      <c r="Q1755" s="224" t="s">
        <v>217</v>
      </c>
      <c r="R1755" s="224" t="s">
        <v>490</v>
      </c>
      <c r="S1755" s="224" t="s">
        <v>238</v>
      </c>
      <c r="T1755" s="224">
        <f ca="1">OFFSET('Calculations 2'!$C$45,W1755,X1755)*OFFSET($N$6,W1755,0)</f>
        <v>0</v>
      </c>
      <c r="V1755">
        <f t="shared" si="83"/>
        <v>660</v>
      </c>
      <c r="W1755">
        <f t="shared" si="84"/>
        <v>0</v>
      </c>
      <c r="X1755">
        <f t="shared" si="85"/>
        <v>20</v>
      </c>
      <c r="AC1755" s="224" t="s">
        <v>217</v>
      </c>
      <c r="AD1755" s="224" t="s">
        <v>490</v>
      </c>
      <c r="AE1755" s="224" t="s">
        <v>238</v>
      </c>
      <c r="AF1755">
        <f ca="1">OFFSET('Calculations 2'!$CE$45,W1755,0)*OFFSET($AA$6,X1755,0)*OFFSET($N$6,W1755,)</f>
        <v>5.1223010609979731</v>
      </c>
      <c r="AY1755" s="224" t="s">
        <v>217</v>
      </c>
      <c r="AZ1755" s="224" t="s">
        <v>490</v>
      </c>
      <c r="BA1755" s="224" t="s">
        <v>238</v>
      </c>
      <c r="BB1755">
        <v>0</v>
      </c>
      <c r="BE1755" s="224" t="s">
        <v>217</v>
      </c>
      <c r="BF1755" s="224" t="s">
        <v>490</v>
      </c>
      <c r="BG1755" s="224" t="s">
        <v>238</v>
      </c>
      <c r="BH1755">
        <v>0</v>
      </c>
    </row>
    <row r="1756" spans="17:60">
      <c r="Q1756" s="224" t="s">
        <v>232</v>
      </c>
      <c r="R1756" s="224" t="s">
        <v>490</v>
      </c>
      <c r="S1756" s="224" t="s">
        <v>238</v>
      </c>
      <c r="T1756" s="224">
        <f ca="1">OFFSET('Calculations 2'!$C$45,W1756,X1756)*OFFSET($N$6,W1756,0)</f>
        <v>0.63497620972123958</v>
      </c>
      <c r="V1756">
        <f t="shared" si="83"/>
        <v>661</v>
      </c>
      <c r="W1756">
        <f t="shared" si="84"/>
        <v>1</v>
      </c>
      <c r="X1756">
        <f t="shared" si="85"/>
        <v>20</v>
      </c>
      <c r="AC1756" s="224" t="s">
        <v>232</v>
      </c>
      <c r="AD1756" s="224" t="s">
        <v>490</v>
      </c>
      <c r="AE1756" s="224" t="s">
        <v>238</v>
      </c>
      <c r="AF1756">
        <f ca="1">OFFSET('Calculations 2'!$CE$45,W1756,0)*OFFSET($AA$6,X1756,0)*OFFSET($N$6,W1756,)</f>
        <v>8.0811048003302623</v>
      </c>
      <c r="AY1756" s="224" t="s">
        <v>232</v>
      </c>
      <c r="AZ1756" s="224" t="s">
        <v>490</v>
      </c>
      <c r="BA1756" s="224" t="s">
        <v>238</v>
      </c>
      <c r="BB1756">
        <v>0</v>
      </c>
      <c r="BE1756" s="224" t="s">
        <v>232</v>
      </c>
      <c r="BF1756" s="224" t="s">
        <v>490</v>
      </c>
      <c r="BG1756" s="224" t="s">
        <v>238</v>
      </c>
      <c r="BH1756">
        <v>0</v>
      </c>
    </row>
    <row r="1757" spans="17:60">
      <c r="Q1757" s="224" t="s">
        <v>226</v>
      </c>
      <c r="R1757" s="224" t="s">
        <v>490</v>
      </c>
      <c r="S1757" s="224" t="s">
        <v>238</v>
      </c>
      <c r="T1757" s="224">
        <f ca="1">OFFSET('Calculations 2'!$C$45,W1757,X1757)*OFFSET($N$6,W1757,0)</f>
        <v>3.7109675051290501E-2</v>
      </c>
      <c r="V1757">
        <f t="shared" si="83"/>
        <v>662</v>
      </c>
      <c r="W1757">
        <f t="shared" si="84"/>
        <v>2</v>
      </c>
      <c r="X1757">
        <f t="shared" si="85"/>
        <v>20</v>
      </c>
      <c r="AC1757" s="224" t="s">
        <v>226</v>
      </c>
      <c r="AD1757" s="224" t="s">
        <v>490</v>
      </c>
      <c r="AE1757" s="224" t="s">
        <v>238</v>
      </c>
      <c r="AF1757">
        <f ca="1">OFFSET('Calculations 2'!$CE$45,W1757,0)*OFFSET($AA$6,X1757,0)*OFFSET($N$6,W1757,)</f>
        <v>2.0221398797322236</v>
      </c>
      <c r="AY1757" s="224" t="s">
        <v>226</v>
      </c>
      <c r="AZ1757" s="224" t="s">
        <v>490</v>
      </c>
      <c r="BA1757" s="224" t="s">
        <v>238</v>
      </c>
      <c r="BB1757">
        <v>0</v>
      </c>
      <c r="BE1757" s="224" t="s">
        <v>226</v>
      </c>
      <c r="BF1757" s="224" t="s">
        <v>490</v>
      </c>
      <c r="BG1757" s="224" t="s">
        <v>238</v>
      </c>
      <c r="BH1757">
        <v>0</v>
      </c>
    </row>
    <row r="1758" spans="17:60">
      <c r="Q1758" s="224" t="s">
        <v>243</v>
      </c>
      <c r="R1758" s="224" t="s">
        <v>490</v>
      </c>
      <c r="S1758" s="224" t="s">
        <v>238</v>
      </c>
      <c r="T1758" s="224">
        <f ca="1">OFFSET('Calculations 2'!$C$45,W1758,X1758)*OFFSET($N$6,W1758,0)</f>
        <v>13.48979521240347</v>
      </c>
      <c r="V1758">
        <f t="shared" si="83"/>
        <v>663</v>
      </c>
      <c r="W1758">
        <f t="shared" si="84"/>
        <v>3</v>
      </c>
      <c r="X1758">
        <f t="shared" si="85"/>
        <v>20</v>
      </c>
      <c r="AC1758" s="224" t="s">
        <v>243</v>
      </c>
      <c r="AD1758" s="224" t="s">
        <v>490</v>
      </c>
      <c r="AE1758" s="224" t="s">
        <v>238</v>
      </c>
      <c r="AF1758">
        <f ca="1">OFFSET('Calculations 2'!$CE$45,W1758,0)*OFFSET($AA$6,X1758,0)*OFFSET($N$6,W1758,)</f>
        <v>39.682515504135552</v>
      </c>
      <c r="AY1758" s="224" t="s">
        <v>243</v>
      </c>
      <c r="AZ1758" s="224" t="s">
        <v>490</v>
      </c>
      <c r="BA1758" s="224" t="s">
        <v>238</v>
      </c>
      <c r="BB1758">
        <v>0</v>
      </c>
      <c r="BE1758" s="224" t="s">
        <v>243</v>
      </c>
      <c r="BF1758" s="224" t="s">
        <v>490</v>
      </c>
      <c r="BG1758" s="224" t="s">
        <v>238</v>
      </c>
      <c r="BH1758">
        <v>0</v>
      </c>
    </row>
    <row r="1759" spans="17:60">
      <c r="Q1759" s="224" t="s">
        <v>228</v>
      </c>
      <c r="R1759" s="224" t="s">
        <v>490</v>
      </c>
      <c r="S1759" s="224" t="s">
        <v>238</v>
      </c>
      <c r="T1759" s="224">
        <f ca="1">OFFSET('Calculations 2'!$C$45,W1759,X1759)*OFFSET($N$6,W1759,0)</f>
        <v>0</v>
      </c>
      <c r="V1759">
        <f t="shared" si="83"/>
        <v>664</v>
      </c>
      <c r="W1759">
        <f t="shared" si="84"/>
        <v>4</v>
      </c>
      <c r="X1759">
        <f t="shared" si="85"/>
        <v>20</v>
      </c>
      <c r="AC1759" s="224" t="s">
        <v>228</v>
      </c>
      <c r="AD1759" s="224" t="s">
        <v>490</v>
      </c>
      <c r="AE1759" s="224" t="s">
        <v>238</v>
      </c>
      <c r="AF1759">
        <f ca="1">OFFSET('Calculations 2'!$CE$45,W1759,0)*OFFSET($AA$6,X1759,0)*OFFSET($N$6,W1759,)</f>
        <v>20.681315626635374</v>
      </c>
      <c r="AY1759" s="224" t="s">
        <v>228</v>
      </c>
      <c r="AZ1759" s="224" t="s">
        <v>490</v>
      </c>
      <c r="BA1759" s="224" t="s">
        <v>238</v>
      </c>
      <c r="BB1759">
        <v>0</v>
      </c>
      <c r="BE1759" s="224" t="s">
        <v>228</v>
      </c>
      <c r="BF1759" s="224" t="s">
        <v>490</v>
      </c>
      <c r="BG1759" s="224" t="s">
        <v>238</v>
      </c>
      <c r="BH1759">
        <v>0</v>
      </c>
    </row>
    <row r="1760" spans="17:60">
      <c r="Q1760" s="224" t="s">
        <v>246</v>
      </c>
      <c r="R1760" s="224" t="s">
        <v>490</v>
      </c>
      <c r="S1760" s="224" t="s">
        <v>238</v>
      </c>
      <c r="T1760" s="224">
        <f ca="1">OFFSET('Calculations 2'!$C$45,W1760,X1760)*OFFSET($N$6,W1760,0)</f>
        <v>0</v>
      </c>
      <c r="V1760">
        <f t="shared" si="83"/>
        <v>665</v>
      </c>
      <c r="W1760">
        <f t="shared" si="84"/>
        <v>5</v>
      </c>
      <c r="X1760">
        <f t="shared" si="85"/>
        <v>20</v>
      </c>
      <c r="AC1760" s="224" t="s">
        <v>246</v>
      </c>
      <c r="AD1760" s="224" t="s">
        <v>490</v>
      </c>
      <c r="AE1760" s="224" t="s">
        <v>238</v>
      </c>
      <c r="AF1760">
        <f ca="1">OFFSET('Calculations 2'!$CE$45,W1760,0)*OFFSET($AA$6,X1760,0)*OFFSET($N$6,W1760,)</f>
        <v>0.37017987256682194</v>
      </c>
      <c r="AY1760" s="224" t="s">
        <v>246</v>
      </c>
      <c r="AZ1760" s="224" t="s">
        <v>490</v>
      </c>
      <c r="BA1760" s="224" t="s">
        <v>238</v>
      </c>
      <c r="BB1760">
        <v>0</v>
      </c>
      <c r="BE1760" s="224" t="s">
        <v>246</v>
      </c>
      <c r="BF1760" s="224" t="s">
        <v>490</v>
      </c>
      <c r="BG1760" s="224" t="s">
        <v>238</v>
      </c>
      <c r="BH1760">
        <v>0</v>
      </c>
    </row>
    <row r="1761" spans="17:60">
      <c r="Q1761" s="224" t="s">
        <v>239</v>
      </c>
      <c r="R1761" s="224" t="s">
        <v>490</v>
      </c>
      <c r="S1761" s="224" t="s">
        <v>238</v>
      </c>
      <c r="T1761" s="224">
        <f ca="1">OFFSET('Calculations 2'!$C$45,W1761,X1761)*OFFSET($N$6,W1761,0)</f>
        <v>34.17104826757226</v>
      </c>
      <c r="V1761">
        <f t="shared" si="83"/>
        <v>666</v>
      </c>
      <c r="W1761">
        <f t="shared" si="84"/>
        <v>6</v>
      </c>
      <c r="X1761">
        <f t="shared" si="85"/>
        <v>20</v>
      </c>
      <c r="AC1761" s="224" t="s">
        <v>239</v>
      </c>
      <c r="AD1761" s="224" t="s">
        <v>490</v>
      </c>
      <c r="AE1761" s="224" t="s">
        <v>238</v>
      </c>
      <c r="AF1761">
        <f ca="1">OFFSET('Calculations 2'!$CE$45,W1761,0)*OFFSET($AA$6,X1761,0)*OFFSET($N$6,W1761,)</f>
        <v>5.3305602314241867</v>
      </c>
      <c r="AY1761" s="224" t="s">
        <v>239</v>
      </c>
      <c r="AZ1761" s="224" t="s">
        <v>490</v>
      </c>
      <c r="BA1761" s="224" t="s">
        <v>238</v>
      </c>
      <c r="BB1761">
        <v>0</v>
      </c>
      <c r="BE1761" s="224" t="s">
        <v>239</v>
      </c>
      <c r="BF1761" s="224" t="s">
        <v>490</v>
      </c>
      <c r="BG1761" s="224" t="s">
        <v>238</v>
      </c>
      <c r="BH1761">
        <v>0</v>
      </c>
    </row>
    <row r="1762" spans="17:60">
      <c r="Q1762" s="224" t="s">
        <v>466</v>
      </c>
      <c r="R1762" s="224" t="s">
        <v>490</v>
      </c>
      <c r="S1762" s="224" t="s">
        <v>238</v>
      </c>
      <c r="T1762" s="224">
        <f ca="1">OFFSET('Calculations 2'!$C$45,W1762,X1762)*OFFSET($N$6,W1762,0)</f>
        <v>1724.5607076715701</v>
      </c>
      <c r="V1762">
        <f t="shared" si="83"/>
        <v>667</v>
      </c>
      <c r="W1762">
        <f t="shared" si="84"/>
        <v>7</v>
      </c>
      <c r="X1762">
        <f t="shared" si="85"/>
        <v>20</v>
      </c>
      <c r="AC1762" s="224" t="s">
        <v>466</v>
      </c>
      <c r="AD1762" s="224" t="s">
        <v>490</v>
      </c>
      <c r="AE1762" s="224" t="s">
        <v>238</v>
      </c>
      <c r="AF1762">
        <f ca="1">OFFSET('Calculations 2'!$CE$45,W1762,0)*OFFSET($AA$6,X1762,0)*OFFSET($N$6,W1762,)</f>
        <v>1.3422973335781814</v>
      </c>
      <c r="AY1762" s="224" t="s">
        <v>466</v>
      </c>
      <c r="AZ1762" s="224" t="s">
        <v>490</v>
      </c>
      <c r="BA1762" s="224" t="s">
        <v>238</v>
      </c>
      <c r="BB1762">
        <v>0</v>
      </c>
      <c r="BE1762" s="224" t="s">
        <v>466</v>
      </c>
      <c r="BF1762" s="224" t="s">
        <v>490</v>
      </c>
      <c r="BG1762" s="224" t="s">
        <v>238</v>
      </c>
      <c r="BH1762">
        <v>0</v>
      </c>
    </row>
    <row r="1763" spans="17:60">
      <c r="Q1763" s="224" t="s">
        <v>219</v>
      </c>
      <c r="R1763" s="224" t="s">
        <v>490</v>
      </c>
      <c r="S1763" s="224" t="s">
        <v>238</v>
      </c>
      <c r="T1763" s="224">
        <f ca="1">OFFSET('Calculations 2'!$C$45,W1763,X1763)*OFFSET($N$6,W1763,0)</f>
        <v>3.4033759114077977</v>
      </c>
      <c r="V1763">
        <f t="shared" si="83"/>
        <v>668</v>
      </c>
      <c r="W1763">
        <f t="shared" si="84"/>
        <v>8</v>
      </c>
      <c r="X1763">
        <f t="shared" si="85"/>
        <v>20</v>
      </c>
      <c r="AC1763" s="224" t="s">
        <v>219</v>
      </c>
      <c r="AD1763" s="224" t="s">
        <v>490</v>
      </c>
      <c r="AE1763" s="224" t="s">
        <v>238</v>
      </c>
      <c r="AF1763">
        <f ca="1">OFFSET('Calculations 2'!$CE$45,W1763,0)*OFFSET($AA$6,X1763,0)*OFFSET($N$6,W1763,)</f>
        <v>18.400662238203815</v>
      </c>
      <c r="AY1763" s="224" t="s">
        <v>219</v>
      </c>
      <c r="AZ1763" s="224" t="s">
        <v>490</v>
      </c>
      <c r="BA1763" s="224" t="s">
        <v>238</v>
      </c>
      <c r="BB1763">
        <v>0</v>
      </c>
      <c r="BE1763" s="224" t="s">
        <v>219</v>
      </c>
      <c r="BF1763" s="224" t="s">
        <v>490</v>
      </c>
      <c r="BG1763" s="224" t="s">
        <v>238</v>
      </c>
      <c r="BH1763">
        <v>0</v>
      </c>
    </row>
    <row r="1764" spans="17:60">
      <c r="Q1764" s="224" t="s">
        <v>242</v>
      </c>
      <c r="R1764" s="224" t="s">
        <v>490</v>
      </c>
      <c r="S1764" s="224" t="s">
        <v>238</v>
      </c>
      <c r="T1764" s="224">
        <f ca="1">OFFSET('Calculations 2'!$C$45,W1764,X1764)*OFFSET($N$6,W1764,0)</f>
        <v>114.80335103460897</v>
      </c>
      <c r="V1764">
        <f t="shared" si="83"/>
        <v>669</v>
      </c>
      <c r="W1764">
        <f t="shared" si="84"/>
        <v>9</v>
      </c>
      <c r="X1764">
        <f t="shared" si="85"/>
        <v>20</v>
      </c>
      <c r="AC1764" s="224" t="s">
        <v>242</v>
      </c>
      <c r="AD1764" s="224" t="s">
        <v>490</v>
      </c>
      <c r="AE1764" s="224" t="s">
        <v>238</v>
      </c>
      <c r="AF1764">
        <f ca="1">OFFSET('Calculations 2'!$CE$45,W1764,0)*OFFSET($AA$6,X1764,0)*OFFSET($N$6,W1764,)</f>
        <v>14.092461442605476</v>
      </c>
      <c r="AY1764" s="224" t="s">
        <v>242</v>
      </c>
      <c r="AZ1764" s="224" t="s">
        <v>490</v>
      </c>
      <c r="BA1764" s="224" t="s">
        <v>238</v>
      </c>
      <c r="BB1764">
        <v>0</v>
      </c>
      <c r="BE1764" s="224" t="s">
        <v>242</v>
      </c>
      <c r="BF1764" s="224" t="s">
        <v>490</v>
      </c>
      <c r="BG1764" s="224" t="s">
        <v>238</v>
      </c>
      <c r="BH1764">
        <v>0</v>
      </c>
    </row>
    <row r="1765" spans="17:60">
      <c r="Q1765" s="224" t="s">
        <v>467</v>
      </c>
      <c r="R1765" s="224" t="s">
        <v>490</v>
      </c>
      <c r="S1765" s="224" t="s">
        <v>238</v>
      </c>
      <c r="T1765" s="224">
        <f ca="1">OFFSET('Calculations 2'!$C$45,W1765,X1765)*OFFSET($N$6,W1765,0)</f>
        <v>0</v>
      </c>
      <c r="V1765">
        <f t="shared" si="83"/>
        <v>670</v>
      </c>
      <c r="W1765">
        <f t="shared" si="84"/>
        <v>10</v>
      </c>
      <c r="X1765">
        <f t="shared" si="85"/>
        <v>20</v>
      </c>
      <c r="AC1765" s="224" t="s">
        <v>467</v>
      </c>
      <c r="AD1765" s="224" t="s">
        <v>490</v>
      </c>
      <c r="AE1765" s="224" t="s">
        <v>238</v>
      </c>
      <c r="AF1765">
        <f ca="1">OFFSET('Calculations 2'!$CE$45,W1765,0)*OFFSET($AA$6,X1765,0)*OFFSET($N$6,W1765,)</f>
        <v>5.3197259525195451</v>
      </c>
      <c r="AY1765" s="224" t="s">
        <v>467</v>
      </c>
      <c r="AZ1765" s="224" t="s">
        <v>490</v>
      </c>
      <c r="BA1765" s="224" t="s">
        <v>238</v>
      </c>
      <c r="BB1765">
        <v>0</v>
      </c>
      <c r="BE1765" s="224" t="s">
        <v>467</v>
      </c>
      <c r="BF1765" s="224" t="s">
        <v>490</v>
      </c>
      <c r="BG1765" s="224" t="s">
        <v>238</v>
      </c>
      <c r="BH1765">
        <v>0</v>
      </c>
    </row>
    <row r="1766" spans="17:60">
      <c r="Q1766" s="224" t="s">
        <v>231</v>
      </c>
      <c r="R1766" s="224" t="s">
        <v>490</v>
      </c>
      <c r="S1766" s="224" t="s">
        <v>238</v>
      </c>
      <c r="T1766" s="224">
        <f ca="1">OFFSET('Calculations 2'!$C$45,W1766,X1766)*OFFSET($N$6,W1766,0)</f>
        <v>0</v>
      </c>
      <c r="V1766">
        <f t="shared" si="83"/>
        <v>671</v>
      </c>
      <c r="W1766">
        <f t="shared" si="84"/>
        <v>11</v>
      </c>
      <c r="X1766">
        <f t="shared" si="85"/>
        <v>20</v>
      </c>
      <c r="AC1766" s="224" t="s">
        <v>231</v>
      </c>
      <c r="AD1766" s="224" t="s">
        <v>490</v>
      </c>
      <c r="AE1766" s="224" t="s">
        <v>238</v>
      </c>
      <c r="AF1766">
        <f ca="1">OFFSET('Calculations 2'!$CE$45,W1766,0)*OFFSET($AA$6,X1766,0)*OFFSET($N$6,W1766,)</f>
        <v>66.587748870150179</v>
      </c>
      <c r="AY1766" s="224" t="s">
        <v>231</v>
      </c>
      <c r="AZ1766" s="224" t="s">
        <v>490</v>
      </c>
      <c r="BA1766" s="224" t="s">
        <v>238</v>
      </c>
      <c r="BB1766">
        <v>0</v>
      </c>
      <c r="BE1766" s="224" t="s">
        <v>231</v>
      </c>
      <c r="BF1766" s="224" t="s">
        <v>490</v>
      </c>
      <c r="BG1766" s="224" t="s">
        <v>238</v>
      </c>
      <c r="BH1766">
        <v>0</v>
      </c>
    </row>
    <row r="1767" spans="17:60">
      <c r="Q1767" s="224" t="s">
        <v>468</v>
      </c>
      <c r="R1767" s="224" t="s">
        <v>490</v>
      </c>
      <c r="S1767" s="224" t="s">
        <v>238</v>
      </c>
      <c r="T1767" s="224">
        <f ca="1">OFFSET('Calculations 2'!$C$45,W1767,X1767)*OFFSET($N$6,W1767,0)</f>
        <v>0</v>
      </c>
      <c r="V1767">
        <f t="shared" si="83"/>
        <v>672</v>
      </c>
      <c r="W1767">
        <f t="shared" si="84"/>
        <v>12</v>
      </c>
      <c r="X1767">
        <f t="shared" si="85"/>
        <v>20</v>
      </c>
      <c r="AC1767" s="224" t="s">
        <v>468</v>
      </c>
      <c r="AD1767" s="224" t="s">
        <v>490</v>
      </c>
      <c r="AE1767" s="224" t="s">
        <v>238</v>
      </c>
      <c r="AF1767">
        <f ca="1">OFFSET('Calculations 2'!$CE$45,W1767,0)*OFFSET($AA$6,X1767,0)*OFFSET($N$6,W1767,)</f>
        <v>255.08247723775506</v>
      </c>
      <c r="AY1767" s="224" t="s">
        <v>468</v>
      </c>
      <c r="AZ1767" s="224" t="s">
        <v>490</v>
      </c>
      <c r="BA1767" s="224" t="s">
        <v>238</v>
      </c>
      <c r="BB1767">
        <v>0</v>
      </c>
      <c r="BE1767" s="224" t="s">
        <v>468</v>
      </c>
      <c r="BF1767" s="224" t="s">
        <v>490</v>
      </c>
      <c r="BG1767" s="224" t="s">
        <v>238</v>
      </c>
      <c r="BH1767">
        <v>0</v>
      </c>
    </row>
    <row r="1768" spans="17:60">
      <c r="Q1768" s="224" t="s">
        <v>469</v>
      </c>
      <c r="R1768" s="224" t="s">
        <v>490</v>
      </c>
      <c r="S1768" s="224" t="s">
        <v>238</v>
      </c>
      <c r="T1768" s="224">
        <f ca="1">OFFSET('Calculations 2'!$C$45,W1768,X1768)*OFFSET($N$6,W1768,0)</f>
        <v>0</v>
      </c>
      <c r="V1768">
        <f t="shared" si="83"/>
        <v>673</v>
      </c>
      <c r="W1768">
        <f t="shared" si="84"/>
        <v>13</v>
      </c>
      <c r="X1768">
        <f t="shared" si="85"/>
        <v>20</v>
      </c>
      <c r="AC1768" s="224" t="s">
        <v>469</v>
      </c>
      <c r="AD1768" s="224" t="s">
        <v>490</v>
      </c>
      <c r="AE1768" s="224" t="s">
        <v>238</v>
      </c>
      <c r="AF1768">
        <f ca="1">OFFSET('Calculations 2'!$CE$45,W1768,0)*OFFSET($AA$6,X1768,0)*OFFSET($N$6,W1768,)</f>
        <v>136.76744299706306</v>
      </c>
      <c r="AY1768" s="224" t="s">
        <v>469</v>
      </c>
      <c r="AZ1768" s="224" t="s">
        <v>490</v>
      </c>
      <c r="BA1768" s="224" t="s">
        <v>238</v>
      </c>
      <c r="BB1768">
        <v>0</v>
      </c>
      <c r="BE1768" s="224" t="s">
        <v>469</v>
      </c>
      <c r="BF1768" s="224" t="s">
        <v>490</v>
      </c>
      <c r="BG1768" s="224" t="s">
        <v>238</v>
      </c>
      <c r="BH1768">
        <v>0</v>
      </c>
    </row>
    <row r="1769" spans="17:60">
      <c r="Q1769" s="224" t="s">
        <v>245</v>
      </c>
      <c r="R1769" s="224" t="s">
        <v>490</v>
      </c>
      <c r="S1769" s="224" t="s">
        <v>238</v>
      </c>
      <c r="T1769" s="224">
        <f ca="1">OFFSET('Calculations 2'!$C$45,W1769,X1769)*OFFSET($N$6,W1769,0)</f>
        <v>457.43607937114723</v>
      </c>
      <c r="V1769">
        <f t="shared" si="83"/>
        <v>674</v>
      </c>
      <c r="W1769">
        <f t="shared" si="84"/>
        <v>14</v>
      </c>
      <c r="X1769">
        <f t="shared" si="85"/>
        <v>20</v>
      </c>
      <c r="AC1769" s="224" t="s">
        <v>245</v>
      </c>
      <c r="AD1769" s="224" t="s">
        <v>490</v>
      </c>
      <c r="AE1769" s="224" t="s">
        <v>238</v>
      </c>
      <c r="AF1769">
        <f ca="1">OFFSET('Calculations 2'!$CE$45,W1769,0)*OFFSET($AA$6,X1769,0)*OFFSET($N$6,W1769,)</f>
        <v>218.26545585981685</v>
      </c>
      <c r="AY1769" s="224" t="s">
        <v>245</v>
      </c>
      <c r="AZ1769" s="224" t="s">
        <v>490</v>
      </c>
      <c r="BA1769" s="224" t="s">
        <v>238</v>
      </c>
      <c r="BB1769">
        <v>0</v>
      </c>
      <c r="BE1769" s="224" t="s">
        <v>245</v>
      </c>
      <c r="BF1769" s="224" t="s">
        <v>490</v>
      </c>
      <c r="BG1769" s="224" t="s">
        <v>238</v>
      </c>
      <c r="BH1769">
        <v>0</v>
      </c>
    </row>
    <row r="1770" spans="17:60">
      <c r="Q1770" s="224" t="s">
        <v>470</v>
      </c>
      <c r="R1770" s="224" t="s">
        <v>490</v>
      </c>
      <c r="S1770" s="224" t="s">
        <v>238</v>
      </c>
      <c r="T1770" s="224">
        <f ca="1">OFFSET('Calculations 2'!$C$45,W1770,X1770)*OFFSET($N$6,W1770,0)</f>
        <v>34.727362507080464</v>
      </c>
      <c r="V1770">
        <f t="shared" si="83"/>
        <v>675</v>
      </c>
      <c r="W1770">
        <f t="shared" si="84"/>
        <v>15</v>
      </c>
      <c r="X1770">
        <f t="shared" si="85"/>
        <v>20</v>
      </c>
      <c r="AC1770" s="224" t="s">
        <v>470</v>
      </c>
      <c r="AD1770" s="224" t="s">
        <v>490</v>
      </c>
      <c r="AE1770" s="224" t="s">
        <v>238</v>
      </c>
      <c r="AF1770">
        <f ca="1">OFFSET('Calculations 2'!$CE$45,W1770,0)*OFFSET($AA$6,X1770,0)*OFFSET($N$6,W1770,)</f>
        <v>82.81748089613582</v>
      </c>
      <c r="AY1770" s="224" t="s">
        <v>470</v>
      </c>
      <c r="AZ1770" s="224" t="s">
        <v>490</v>
      </c>
      <c r="BA1770" s="224" t="s">
        <v>238</v>
      </c>
      <c r="BB1770">
        <v>0</v>
      </c>
      <c r="BE1770" s="224" t="s">
        <v>470</v>
      </c>
      <c r="BF1770" s="224" t="s">
        <v>490</v>
      </c>
      <c r="BG1770" s="224" t="s">
        <v>238</v>
      </c>
      <c r="BH1770">
        <v>0</v>
      </c>
    </row>
    <row r="1771" spans="17:60">
      <c r="Q1771" s="224" t="s">
        <v>471</v>
      </c>
      <c r="R1771" s="224" t="s">
        <v>490</v>
      </c>
      <c r="S1771" s="224" t="s">
        <v>238</v>
      </c>
      <c r="T1771" s="224">
        <f ca="1">OFFSET('Calculations 2'!$C$45,W1771,X1771)*OFFSET($N$6,W1771,0)</f>
        <v>1.1980522834720988</v>
      </c>
      <c r="V1771">
        <f t="shared" si="83"/>
        <v>676</v>
      </c>
      <c r="W1771">
        <f t="shared" si="84"/>
        <v>16</v>
      </c>
      <c r="X1771">
        <f t="shared" si="85"/>
        <v>20</v>
      </c>
      <c r="AC1771" s="224" t="s">
        <v>471</v>
      </c>
      <c r="AD1771" s="224" t="s">
        <v>490</v>
      </c>
      <c r="AE1771" s="224" t="s">
        <v>238</v>
      </c>
      <c r="AF1771">
        <f ca="1">OFFSET('Calculations 2'!$CE$45,W1771,0)*OFFSET($AA$6,X1771,0)*OFFSET($N$6,W1771,)</f>
        <v>0</v>
      </c>
      <c r="AY1771" s="224" t="s">
        <v>471</v>
      </c>
      <c r="AZ1771" s="224" t="s">
        <v>490</v>
      </c>
      <c r="BA1771" s="224" t="s">
        <v>238</v>
      </c>
      <c r="BB1771">
        <v>0</v>
      </c>
      <c r="BE1771" s="224" t="s">
        <v>471</v>
      </c>
      <c r="BF1771" s="224" t="s">
        <v>490</v>
      </c>
      <c r="BG1771" s="224" t="s">
        <v>238</v>
      </c>
      <c r="BH1771">
        <v>0</v>
      </c>
    </row>
    <row r="1772" spans="17:60">
      <c r="Q1772" s="224" t="s">
        <v>221</v>
      </c>
      <c r="R1772" s="224" t="s">
        <v>490</v>
      </c>
      <c r="S1772" s="224" t="s">
        <v>238</v>
      </c>
      <c r="T1772" s="224">
        <f ca="1">OFFSET('Calculations 2'!$C$45,W1772,X1772)*OFFSET($N$6,W1772,0)</f>
        <v>5.1390573352060001</v>
      </c>
      <c r="V1772">
        <f t="shared" si="83"/>
        <v>677</v>
      </c>
      <c r="W1772">
        <f t="shared" si="84"/>
        <v>17</v>
      </c>
      <c r="X1772">
        <f t="shared" si="85"/>
        <v>20</v>
      </c>
      <c r="AC1772" s="224" t="s">
        <v>221</v>
      </c>
      <c r="AD1772" s="224" t="s">
        <v>490</v>
      </c>
      <c r="AE1772" s="224" t="s">
        <v>238</v>
      </c>
      <c r="AF1772">
        <f ca="1">OFFSET('Calculations 2'!$CE$45,W1772,0)*OFFSET($AA$6,X1772,0)*OFFSET($N$6,W1772,)</f>
        <v>16.211998733237472</v>
      </c>
      <c r="AY1772" s="224" t="s">
        <v>221</v>
      </c>
      <c r="AZ1772" s="224" t="s">
        <v>490</v>
      </c>
      <c r="BA1772" s="224" t="s">
        <v>238</v>
      </c>
      <c r="BB1772">
        <v>0</v>
      </c>
      <c r="BE1772" s="224" t="s">
        <v>221</v>
      </c>
      <c r="BF1772" s="224" t="s">
        <v>490</v>
      </c>
      <c r="BG1772" s="224" t="s">
        <v>238</v>
      </c>
      <c r="BH1772">
        <v>0</v>
      </c>
    </row>
    <row r="1773" spans="17:60">
      <c r="Q1773" s="224" t="s">
        <v>244</v>
      </c>
      <c r="R1773" s="224" t="s">
        <v>490</v>
      </c>
      <c r="S1773" s="224" t="s">
        <v>238</v>
      </c>
      <c r="T1773" s="224">
        <f ca="1">OFFSET('Calculations 2'!$C$45,W1773,X1773)*OFFSET($N$6,W1773,0)</f>
        <v>19.964085082525362</v>
      </c>
      <c r="V1773">
        <f t="shared" si="83"/>
        <v>678</v>
      </c>
      <c r="W1773">
        <f t="shared" si="84"/>
        <v>18</v>
      </c>
      <c r="X1773">
        <f t="shared" si="85"/>
        <v>20</v>
      </c>
      <c r="AC1773" s="224" t="s">
        <v>244</v>
      </c>
      <c r="AD1773" s="224" t="s">
        <v>490</v>
      </c>
      <c r="AE1773" s="224" t="s">
        <v>238</v>
      </c>
      <c r="AF1773">
        <f ca="1">OFFSET('Calculations 2'!$CE$45,W1773,0)*OFFSET($AA$6,X1773,0)*OFFSET($N$6,W1773,)</f>
        <v>1.4184398569916334</v>
      </c>
      <c r="AY1773" s="224" t="s">
        <v>244</v>
      </c>
      <c r="AZ1773" s="224" t="s">
        <v>490</v>
      </c>
      <c r="BA1773" s="224" t="s">
        <v>238</v>
      </c>
      <c r="BB1773">
        <v>0</v>
      </c>
      <c r="BE1773" s="224" t="s">
        <v>244</v>
      </c>
      <c r="BF1773" s="224" t="s">
        <v>490</v>
      </c>
      <c r="BG1773" s="224" t="s">
        <v>238</v>
      </c>
      <c r="BH1773">
        <v>0</v>
      </c>
    </row>
    <row r="1774" spans="17:60">
      <c r="Q1774" s="224" t="s">
        <v>472</v>
      </c>
      <c r="R1774" s="224" t="s">
        <v>490</v>
      </c>
      <c r="S1774" s="224" t="s">
        <v>238</v>
      </c>
      <c r="T1774" s="224">
        <f ca="1">OFFSET('Calculations 2'!$C$45,W1774,X1774)*OFFSET($N$6,W1774,0)</f>
        <v>0</v>
      </c>
      <c r="V1774">
        <f t="shared" si="83"/>
        <v>679</v>
      </c>
      <c r="W1774">
        <f t="shared" si="84"/>
        <v>19</v>
      </c>
      <c r="X1774">
        <f t="shared" si="85"/>
        <v>20</v>
      </c>
      <c r="AC1774" s="224" t="s">
        <v>472</v>
      </c>
      <c r="AD1774" s="224" t="s">
        <v>490</v>
      </c>
      <c r="AE1774" s="224" t="s">
        <v>238</v>
      </c>
      <c r="AF1774">
        <f ca="1">OFFSET('Calculations 2'!$CE$45,W1774,0)*OFFSET($AA$6,X1774,0)*OFFSET($N$6,W1774,)</f>
        <v>0</v>
      </c>
      <c r="AY1774" s="224" t="s">
        <v>472</v>
      </c>
      <c r="AZ1774" s="224" t="s">
        <v>490</v>
      </c>
      <c r="BA1774" s="224" t="s">
        <v>238</v>
      </c>
      <c r="BB1774">
        <v>0</v>
      </c>
      <c r="BE1774" s="224" t="s">
        <v>472</v>
      </c>
      <c r="BF1774" s="224" t="s">
        <v>490</v>
      </c>
      <c r="BG1774" s="224" t="s">
        <v>238</v>
      </c>
      <c r="BH1774">
        <v>0</v>
      </c>
    </row>
    <row r="1775" spans="17:60">
      <c r="Q1775" s="224" t="s">
        <v>238</v>
      </c>
      <c r="R1775" s="224" t="s">
        <v>490</v>
      </c>
      <c r="S1775" s="224" t="s">
        <v>238</v>
      </c>
      <c r="T1775" s="224">
        <f ca="1">OFFSET('Calculations 2'!$C$45,W1775,X1775)*OFFSET($N$6,W1775,0)</f>
        <v>3.4971599766880619</v>
      </c>
      <c r="V1775">
        <f t="shared" si="83"/>
        <v>680</v>
      </c>
      <c r="W1775">
        <f t="shared" si="84"/>
        <v>20</v>
      </c>
      <c r="X1775">
        <f t="shared" si="85"/>
        <v>20</v>
      </c>
      <c r="AC1775" s="224" t="s">
        <v>238</v>
      </c>
      <c r="AD1775" s="224" t="s">
        <v>490</v>
      </c>
      <c r="AE1775" s="224" t="s">
        <v>238</v>
      </c>
      <c r="AF1775">
        <f ca="1">OFFSET('Calculations 2'!$CE$45,W1775,0)*OFFSET($AA$6,X1775,0)*OFFSET($N$6,W1775,)</f>
        <v>0</v>
      </c>
      <c r="AY1775" s="224" t="s">
        <v>238</v>
      </c>
      <c r="AZ1775" s="224" t="s">
        <v>490</v>
      </c>
      <c r="BA1775" s="224" t="s">
        <v>238</v>
      </c>
      <c r="BB1775">
        <v>0</v>
      </c>
      <c r="BE1775" s="224" t="s">
        <v>238</v>
      </c>
      <c r="BF1775" s="224" t="s">
        <v>490</v>
      </c>
      <c r="BG1775" s="224" t="s">
        <v>238</v>
      </c>
      <c r="BH1775">
        <v>0</v>
      </c>
    </row>
    <row r="1776" spans="17:60">
      <c r="Q1776" s="224" t="s">
        <v>247</v>
      </c>
      <c r="R1776" s="224" t="s">
        <v>490</v>
      </c>
      <c r="S1776" s="224" t="s">
        <v>238</v>
      </c>
      <c r="T1776" s="224">
        <f ca="1">OFFSET('Calculations 2'!$C$45,W1776,X1776)*OFFSET($N$6,W1776,0)</f>
        <v>0</v>
      </c>
      <c r="V1776">
        <f t="shared" si="83"/>
        <v>681</v>
      </c>
      <c r="W1776">
        <f t="shared" si="84"/>
        <v>21</v>
      </c>
      <c r="X1776">
        <f t="shared" si="85"/>
        <v>20</v>
      </c>
      <c r="AC1776" s="224" t="s">
        <v>247</v>
      </c>
      <c r="AD1776" s="224" t="s">
        <v>490</v>
      </c>
      <c r="AE1776" s="224" t="s">
        <v>238</v>
      </c>
      <c r="AF1776">
        <f ca="1">OFFSET('Calculations 2'!$CE$45,W1776,0)*OFFSET($AA$6,X1776,0)*OFFSET($N$6,W1776,)</f>
        <v>0</v>
      </c>
      <c r="AY1776" s="224" t="s">
        <v>247</v>
      </c>
      <c r="AZ1776" s="224" t="s">
        <v>490</v>
      </c>
      <c r="BA1776" s="224" t="s">
        <v>238</v>
      </c>
      <c r="BB1776">
        <v>0</v>
      </c>
      <c r="BE1776" s="224" t="s">
        <v>247</v>
      </c>
      <c r="BF1776" s="224" t="s">
        <v>490</v>
      </c>
      <c r="BG1776" s="224" t="s">
        <v>238</v>
      </c>
      <c r="BH1776">
        <v>0</v>
      </c>
    </row>
    <row r="1777" spans="17:60">
      <c r="Q1777" s="224" t="s">
        <v>218</v>
      </c>
      <c r="R1777" s="224" t="s">
        <v>490</v>
      </c>
      <c r="S1777" s="224" t="s">
        <v>238</v>
      </c>
      <c r="T1777" s="224">
        <f ca="1">OFFSET('Calculations 2'!$C$45,W1777,X1777)*OFFSET($N$6,W1777,0)</f>
        <v>0.15060046154753737</v>
      </c>
      <c r="V1777">
        <f t="shared" si="83"/>
        <v>682</v>
      </c>
      <c r="W1777">
        <f t="shared" si="84"/>
        <v>22</v>
      </c>
      <c r="X1777">
        <f t="shared" si="85"/>
        <v>20</v>
      </c>
      <c r="AC1777" s="224" t="s">
        <v>218</v>
      </c>
      <c r="AD1777" s="224" t="s">
        <v>490</v>
      </c>
      <c r="AE1777" s="224" t="s">
        <v>238</v>
      </c>
      <c r="AF1777">
        <f ca="1">OFFSET('Calculations 2'!$CE$45,W1777,0)*OFFSET($AA$6,X1777,0)*OFFSET($N$6,W1777,)</f>
        <v>0</v>
      </c>
      <c r="AY1777" s="224" t="s">
        <v>218</v>
      </c>
      <c r="AZ1777" s="224" t="s">
        <v>490</v>
      </c>
      <c r="BA1777" s="224" t="s">
        <v>238</v>
      </c>
      <c r="BB1777">
        <v>0</v>
      </c>
      <c r="BE1777" s="224" t="s">
        <v>218</v>
      </c>
      <c r="BF1777" s="224" t="s">
        <v>490</v>
      </c>
      <c r="BG1777" s="224" t="s">
        <v>238</v>
      </c>
      <c r="BH1777">
        <v>0</v>
      </c>
    </row>
    <row r="1778" spans="17:60">
      <c r="Q1778" s="224" t="s">
        <v>257</v>
      </c>
      <c r="R1778" s="224" t="s">
        <v>490</v>
      </c>
      <c r="S1778" s="224" t="s">
        <v>238</v>
      </c>
      <c r="T1778" s="224">
        <f ca="1">OFFSET('Calculations 2'!$C$45,W1778,X1778)*OFFSET($N$6,W1778,0)</f>
        <v>0.71703588133007667</v>
      </c>
      <c r="V1778">
        <f t="shared" si="83"/>
        <v>683</v>
      </c>
      <c r="W1778">
        <f t="shared" si="84"/>
        <v>23</v>
      </c>
      <c r="X1778">
        <f t="shared" si="85"/>
        <v>20</v>
      </c>
      <c r="AC1778" s="224" t="s">
        <v>257</v>
      </c>
      <c r="AD1778" s="224" t="s">
        <v>490</v>
      </c>
      <c r="AE1778" s="224" t="s">
        <v>238</v>
      </c>
      <c r="AF1778">
        <f ca="1">OFFSET('Calculations 2'!$CE$45,W1778,0)*OFFSET($AA$6,X1778,0)*OFFSET($N$6,W1778,)</f>
        <v>0</v>
      </c>
      <c r="AY1778" s="224" t="s">
        <v>257</v>
      </c>
      <c r="AZ1778" s="224" t="s">
        <v>490</v>
      </c>
      <c r="BA1778" s="224" t="s">
        <v>238</v>
      </c>
      <c r="BB1778">
        <v>0</v>
      </c>
      <c r="BE1778" s="224" t="s">
        <v>257</v>
      </c>
      <c r="BF1778" s="224" t="s">
        <v>490</v>
      </c>
      <c r="BG1778" s="224" t="s">
        <v>238</v>
      </c>
      <c r="BH1778">
        <v>0</v>
      </c>
    </row>
    <row r="1779" spans="17:60">
      <c r="Q1779" s="224" t="s">
        <v>220</v>
      </c>
      <c r="R1779" s="224" t="s">
        <v>490</v>
      </c>
      <c r="S1779" s="224" t="s">
        <v>238</v>
      </c>
      <c r="T1779" s="224">
        <f ca="1">OFFSET('Calculations 2'!$C$45,W1779,X1779)*OFFSET($N$6,W1779,0)</f>
        <v>1.0466467126066814</v>
      </c>
      <c r="V1779">
        <f t="shared" si="83"/>
        <v>684</v>
      </c>
      <c r="W1779">
        <f t="shared" si="84"/>
        <v>24</v>
      </c>
      <c r="X1779">
        <f t="shared" si="85"/>
        <v>20</v>
      </c>
      <c r="AC1779" s="224" t="s">
        <v>220</v>
      </c>
      <c r="AD1779" s="224" t="s">
        <v>490</v>
      </c>
      <c r="AE1779" s="224" t="s">
        <v>238</v>
      </c>
      <c r="AF1779">
        <f ca="1">OFFSET('Calculations 2'!$CE$45,W1779,0)*OFFSET($AA$6,X1779,0)*OFFSET($N$6,W1779,)</f>
        <v>0</v>
      </c>
      <c r="AY1779" s="224" t="s">
        <v>220</v>
      </c>
      <c r="AZ1779" s="224" t="s">
        <v>490</v>
      </c>
      <c r="BA1779" s="224" t="s">
        <v>238</v>
      </c>
      <c r="BB1779">
        <v>0</v>
      </c>
      <c r="BE1779" s="224" t="s">
        <v>220</v>
      </c>
      <c r="BF1779" s="224" t="s">
        <v>490</v>
      </c>
      <c r="BG1779" s="224" t="s">
        <v>238</v>
      </c>
      <c r="BH1779">
        <v>0</v>
      </c>
    </row>
    <row r="1780" spans="17:60">
      <c r="Q1780" s="224" t="s">
        <v>235</v>
      </c>
      <c r="R1780" s="224" t="s">
        <v>490</v>
      </c>
      <c r="S1780" s="224" t="s">
        <v>238</v>
      </c>
      <c r="T1780" s="224">
        <f ca="1">OFFSET('Calculations 2'!$C$45,W1780,X1780)*OFFSET($N$6,W1780,0)</f>
        <v>0.89563214002084612</v>
      </c>
      <c r="V1780">
        <f t="shared" si="83"/>
        <v>685</v>
      </c>
      <c r="W1780">
        <f t="shared" si="84"/>
        <v>25</v>
      </c>
      <c r="X1780">
        <f t="shared" si="85"/>
        <v>20</v>
      </c>
      <c r="AC1780" s="224" t="s">
        <v>235</v>
      </c>
      <c r="AD1780" s="224" t="s">
        <v>490</v>
      </c>
      <c r="AE1780" s="224" t="s">
        <v>238</v>
      </c>
      <c r="AF1780">
        <f ca="1">OFFSET('Calculations 2'!$CE$45,W1780,0)*OFFSET($AA$6,X1780,0)*OFFSET($N$6,W1780,)</f>
        <v>0</v>
      </c>
      <c r="AY1780" s="224" t="s">
        <v>235</v>
      </c>
      <c r="AZ1780" s="224" t="s">
        <v>490</v>
      </c>
      <c r="BA1780" s="224" t="s">
        <v>238</v>
      </c>
      <c r="BB1780">
        <v>0</v>
      </c>
      <c r="BE1780" s="224" t="s">
        <v>235</v>
      </c>
      <c r="BF1780" s="224" t="s">
        <v>490</v>
      </c>
      <c r="BG1780" s="224" t="s">
        <v>238</v>
      </c>
      <c r="BH1780">
        <v>0</v>
      </c>
    </row>
    <row r="1781" spans="17:60">
      <c r="Q1781" s="224" t="s">
        <v>473</v>
      </c>
      <c r="R1781" s="224" t="s">
        <v>490</v>
      </c>
      <c r="S1781" s="224" t="s">
        <v>238</v>
      </c>
      <c r="T1781" s="224">
        <f ca="1">OFFSET('Calculations 2'!$C$45,W1781,X1781)*OFFSET($N$6,W1781,0)</f>
        <v>1.3636473747671503</v>
      </c>
      <c r="V1781">
        <f t="shared" si="83"/>
        <v>686</v>
      </c>
      <c r="W1781">
        <f t="shared" si="84"/>
        <v>26</v>
      </c>
      <c r="X1781">
        <f t="shared" si="85"/>
        <v>20</v>
      </c>
      <c r="AC1781" s="224" t="s">
        <v>473</v>
      </c>
      <c r="AD1781" s="224" t="s">
        <v>490</v>
      </c>
      <c r="AE1781" s="224" t="s">
        <v>238</v>
      </c>
      <c r="AF1781">
        <f ca="1">OFFSET('Calculations 2'!$CE$45,W1781,0)*OFFSET($AA$6,X1781,0)*OFFSET($N$6,W1781,)</f>
        <v>0</v>
      </c>
      <c r="AY1781" s="224" t="s">
        <v>473</v>
      </c>
      <c r="AZ1781" s="224" t="s">
        <v>490</v>
      </c>
      <c r="BA1781" s="224" t="s">
        <v>238</v>
      </c>
      <c r="BB1781">
        <v>0</v>
      </c>
      <c r="BE1781" s="224" t="s">
        <v>473</v>
      </c>
      <c r="BF1781" s="224" t="s">
        <v>490</v>
      </c>
      <c r="BG1781" s="224" t="s">
        <v>238</v>
      </c>
      <c r="BH1781">
        <v>0</v>
      </c>
    </row>
    <row r="1782" spans="17:60">
      <c r="Q1782" s="224" t="s">
        <v>233</v>
      </c>
      <c r="R1782" s="224" t="s">
        <v>490</v>
      </c>
      <c r="S1782" s="224" t="s">
        <v>238</v>
      </c>
      <c r="T1782" s="224">
        <f ca="1">OFFSET('Calculations 2'!$C$45,W1782,X1782)*OFFSET($N$6,W1782,0)</f>
        <v>6.8143412503937109</v>
      </c>
      <c r="V1782">
        <f t="shared" si="83"/>
        <v>687</v>
      </c>
      <c r="W1782">
        <f t="shared" si="84"/>
        <v>27</v>
      </c>
      <c r="X1782">
        <f t="shared" si="85"/>
        <v>20</v>
      </c>
      <c r="AC1782" s="224" t="s">
        <v>233</v>
      </c>
      <c r="AD1782" s="224" t="s">
        <v>490</v>
      </c>
      <c r="AE1782" s="224" t="s">
        <v>238</v>
      </c>
      <c r="AF1782">
        <f ca="1">OFFSET('Calculations 2'!$CE$45,W1782,0)*OFFSET($AA$6,X1782,0)*OFFSET($N$6,W1782,)</f>
        <v>0</v>
      </c>
      <c r="AY1782" s="224" t="s">
        <v>233</v>
      </c>
      <c r="AZ1782" s="224" t="s">
        <v>490</v>
      </c>
      <c r="BA1782" s="224" t="s">
        <v>238</v>
      </c>
      <c r="BB1782">
        <v>0</v>
      </c>
      <c r="BE1782" s="224" t="s">
        <v>233</v>
      </c>
      <c r="BF1782" s="224" t="s">
        <v>490</v>
      </c>
      <c r="BG1782" s="224" t="s">
        <v>238</v>
      </c>
      <c r="BH1782">
        <v>0</v>
      </c>
    </row>
    <row r="1783" spans="17:60">
      <c r="Q1783" s="224" t="s">
        <v>474</v>
      </c>
      <c r="R1783" s="224" t="s">
        <v>490</v>
      </c>
      <c r="S1783" s="224" t="s">
        <v>238</v>
      </c>
      <c r="T1783" s="224">
        <f ca="1">OFFSET('Calculations 2'!$C$45,W1783,X1783)*OFFSET($N$6,W1783,0)</f>
        <v>9.3400210218623825E-2</v>
      </c>
      <c r="V1783">
        <f t="shared" si="83"/>
        <v>688</v>
      </c>
      <c r="W1783">
        <f t="shared" si="84"/>
        <v>28</v>
      </c>
      <c r="X1783">
        <f t="shared" si="85"/>
        <v>20</v>
      </c>
      <c r="AC1783" s="224" t="s">
        <v>474</v>
      </c>
      <c r="AD1783" s="224" t="s">
        <v>490</v>
      </c>
      <c r="AE1783" s="224" t="s">
        <v>238</v>
      </c>
      <c r="AF1783">
        <f ca="1">OFFSET('Calculations 2'!$CE$45,W1783,0)*OFFSET($AA$6,X1783,0)*OFFSET($N$6,W1783,)</f>
        <v>0</v>
      </c>
      <c r="AY1783" s="224" t="s">
        <v>474</v>
      </c>
      <c r="AZ1783" s="224" t="s">
        <v>490</v>
      </c>
      <c r="BA1783" s="224" t="s">
        <v>238</v>
      </c>
      <c r="BB1783">
        <v>0</v>
      </c>
      <c r="BE1783" s="224" t="s">
        <v>474</v>
      </c>
      <c r="BF1783" s="224" t="s">
        <v>490</v>
      </c>
      <c r="BG1783" s="224" t="s">
        <v>238</v>
      </c>
      <c r="BH1783">
        <v>0</v>
      </c>
    </row>
    <row r="1784" spans="17:60">
      <c r="Q1784" s="224" t="s">
        <v>223</v>
      </c>
      <c r="R1784" s="224" t="s">
        <v>490</v>
      </c>
      <c r="S1784" s="224" t="s">
        <v>238</v>
      </c>
      <c r="T1784" s="224">
        <f ca="1">OFFSET('Calculations 2'!$C$45,W1784,X1784)*OFFSET($N$6,W1784,0)</f>
        <v>0</v>
      </c>
      <c r="V1784">
        <f t="shared" si="83"/>
        <v>689</v>
      </c>
      <c r="W1784">
        <f t="shared" si="84"/>
        <v>29</v>
      </c>
      <c r="X1784">
        <f t="shared" si="85"/>
        <v>20</v>
      </c>
      <c r="AC1784" s="224" t="s">
        <v>223</v>
      </c>
      <c r="AD1784" s="224" t="s">
        <v>490</v>
      </c>
      <c r="AE1784" s="224" t="s">
        <v>238</v>
      </c>
      <c r="AF1784">
        <f ca="1">OFFSET('Calculations 2'!$CE$45,W1784,0)*OFFSET($AA$6,X1784,0)*OFFSET($N$6,W1784,)</f>
        <v>0</v>
      </c>
      <c r="AY1784" s="224" t="s">
        <v>223</v>
      </c>
      <c r="AZ1784" s="224" t="s">
        <v>490</v>
      </c>
      <c r="BA1784" s="224" t="s">
        <v>238</v>
      </c>
      <c r="BB1784">
        <v>0</v>
      </c>
      <c r="BE1784" s="224" t="s">
        <v>223</v>
      </c>
      <c r="BF1784" s="224" t="s">
        <v>490</v>
      </c>
      <c r="BG1784" s="224" t="s">
        <v>238</v>
      </c>
      <c r="BH1784">
        <v>0</v>
      </c>
    </row>
    <row r="1785" spans="17:60">
      <c r="Q1785" s="224" t="s">
        <v>475</v>
      </c>
      <c r="R1785" s="224" t="s">
        <v>490</v>
      </c>
      <c r="S1785" s="224" t="s">
        <v>238</v>
      </c>
      <c r="T1785" s="224">
        <f ca="1">OFFSET('Calculations 2'!$C$45,W1785,X1785)*OFFSET($N$6,W1785,0)</f>
        <v>0.31231490207591284</v>
      </c>
      <c r="V1785">
        <f t="shared" si="83"/>
        <v>690</v>
      </c>
      <c r="W1785">
        <f t="shared" si="84"/>
        <v>30</v>
      </c>
      <c r="X1785">
        <f t="shared" si="85"/>
        <v>20</v>
      </c>
      <c r="AC1785" s="224" t="s">
        <v>475</v>
      </c>
      <c r="AD1785" s="224" t="s">
        <v>490</v>
      </c>
      <c r="AE1785" s="224" t="s">
        <v>238</v>
      </c>
      <c r="AF1785">
        <f ca="1">OFFSET('Calculations 2'!$CE$45,W1785,0)*OFFSET($AA$6,X1785,0)*OFFSET($N$6,W1785,)</f>
        <v>0</v>
      </c>
      <c r="AY1785" s="224" t="s">
        <v>475</v>
      </c>
      <c r="AZ1785" s="224" t="s">
        <v>490</v>
      </c>
      <c r="BA1785" s="224" t="s">
        <v>238</v>
      </c>
      <c r="BB1785">
        <v>0</v>
      </c>
      <c r="BE1785" s="224" t="s">
        <v>475</v>
      </c>
      <c r="BF1785" s="224" t="s">
        <v>490</v>
      </c>
      <c r="BG1785" s="224" t="s">
        <v>238</v>
      </c>
      <c r="BH1785">
        <v>0</v>
      </c>
    </row>
    <row r="1786" spans="17:60">
      <c r="Q1786" s="224" t="s">
        <v>476</v>
      </c>
      <c r="R1786" s="224" t="s">
        <v>490</v>
      </c>
      <c r="S1786" s="224" t="s">
        <v>238</v>
      </c>
      <c r="T1786" s="224">
        <f ca="1">OFFSET('Calculations 2'!$C$45,W1786,X1786)*OFFSET($N$6,W1786,0)</f>
        <v>0.41773087625019317</v>
      </c>
      <c r="V1786">
        <f t="shared" si="83"/>
        <v>691</v>
      </c>
      <c r="W1786">
        <f t="shared" si="84"/>
        <v>31</v>
      </c>
      <c r="X1786">
        <f t="shared" si="85"/>
        <v>20</v>
      </c>
      <c r="AC1786" s="224" t="s">
        <v>476</v>
      </c>
      <c r="AD1786" s="224" t="s">
        <v>490</v>
      </c>
      <c r="AE1786" s="224" t="s">
        <v>238</v>
      </c>
      <c r="AF1786">
        <f ca="1">OFFSET('Calculations 2'!$CE$45,W1786,0)*OFFSET($AA$6,X1786,0)*OFFSET($N$6,W1786,)</f>
        <v>0</v>
      </c>
      <c r="AY1786" s="224" t="s">
        <v>476</v>
      </c>
      <c r="AZ1786" s="224" t="s">
        <v>490</v>
      </c>
      <c r="BA1786" s="224" t="s">
        <v>238</v>
      </c>
      <c r="BB1786">
        <v>0</v>
      </c>
      <c r="BE1786" s="224" t="s">
        <v>476</v>
      </c>
      <c r="BF1786" s="224" t="s">
        <v>490</v>
      </c>
      <c r="BG1786" s="224" t="s">
        <v>238</v>
      </c>
      <c r="BH1786">
        <v>0</v>
      </c>
    </row>
    <row r="1787" spans="17:60">
      <c r="Q1787" s="224" t="s">
        <v>222</v>
      </c>
      <c r="R1787" s="224" t="s">
        <v>490</v>
      </c>
      <c r="S1787" s="224" t="s">
        <v>238</v>
      </c>
      <c r="T1787" s="224">
        <f ca="1">OFFSET('Calculations 2'!$C$45,W1787,X1787)*OFFSET($N$6,W1787,0)</f>
        <v>0</v>
      </c>
      <c r="V1787">
        <f t="shared" si="83"/>
        <v>692</v>
      </c>
      <c r="W1787">
        <f t="shared" si="84"/>
        <v>32</v>
      </c>
      <c r="X1787">
        <f t="shared" si="85"/>
        <v>20</v>
      </c>
      <c r="AC1787" s="224" t="s">
        <v>222</v>
      </c>
      <c r="AD1787" s="224" t="s">
        <v>490</v>
      </c>
      <c r="AE1787" s="224" t="s">
        <v>238</v>
      </c>
      <c r="AF1787">
        <f ca="1">OFFSET('Calculations 2'!$CE$45,W1787,0)*OFFSET($AA$6,X1787,0)*OFFSET($N$6,W1787,)</f>
        <v>0</v>
      </c>
      <c r="AY1787" s="224" t="s">
        <v>222</v>
      </c>
      <c r="AZ1787" s="224" t="s">
        <v>490</v>
      </c>
      <c r="BA1787" s="224" t="s">
        <v>238</v>
      </c>
      <c r="BB1787">
        <v>0</v>
      </c>
      <c r="BE1787" s="224" t="s">
        <v>222</v>
      </c>
      <c r="BF1787" s="224" t="s">
        <v>490</v>
      </c>
      <c r="BG1787" s="224" t="s">
        <v>238</v>
      </c>
      <c r="BH1787">
        <v>0</v>
      </c>
    </row>
    <row r="1788" spans="17:60">
      <c r="Q1788" s="224" t="s">
        <v>217</v>
      </c>
      <c r="R1788" s="224" t="s">
        <v>490</v>
      </c>
      <c r="S1788" s="224" t="s">
        <v>247</v>
      </c>
      <c r="T1788" s="224">
        <f ca="1">OFFSET('Calculations 2'!$C$45,W1788,X1788)*OFFSET($N$6,W1788,0)</f>
        <v>0</v>
      </c>
      <c r="V1788">
        <f t="shared" si="83"/>
        <v>693</v>
      </c>
      <c r="W1788">
        <f t="shared" si="84"/>
        <v>0</v>
      </c>
      <c r="X1788">
        <f t="shared" si="85"/>
        <v>21</v>
      </c>
      <c r="AC1788" s="224" t="s">
        <v>217</v>
      </c>
      <c r="AD1788" s="224" t="s">
        <v>490</v>
      </c>
      <c r="AE1788" s="224" t="s">
        <v>247</v>
      </c>
      <c r="AF1788">
        <f ca="1">OFFSET('Calculations 2'!$CE$45,W1788,0)*OFFSET($AA$6,X1788,0)*OFFSET($N$6,W1788,)</f>
        <v>0.45050061028222854</v>
      </c>
      <c r="AY1788" s="224" t="s">
        <v>217</v>
      </c>
      <c r="AZ1788" s="224" t="s">
        <v>490</v>
      </c>
      <c r="BA1788" s="224" t="s">
        <v>247</v>
      </c>
      <c r="BB1788">
        <v>0</v>
      </c>
      <c r="BE1788" s="224" t="s">
        <v>217</v>
      </c>
      <c r="BF1788" s="224" t="s">
        <v>490</v>
      </c>
      <c r="BG1788" s="224" t="s">
        <v>247</v>
      </c>
      <c r="BH1788">
        <v>0</v>
      </c>
    </row>
    <row r="1789" spans="17:60">
      <c r="Q1789" s="224" t="s">
        <v>232</v>
      </c>
      <c r="R1789" s="224" t="s">
        <v>490</v>
      </c>
      <c r="S1789" s="224" t="s">
        <v>247</v>
      </c>
      <c r="T1789" s="224">
        <f ca="1">OFFSET('Calculations 2'!$C$45,W1789,X1789)*OFFSET($N$6,W1789,0)</f>
        <v>0</v>
      </c>
      <c r="V1789">
        <f t="shared" si="83"/>
        <v>694</v>
      </c>
      <c r="W1789">
        <f t="shared" si="84"/>
        <v>1</v>
      </c>
      <c r="X1789">
        <f t="shared" si="85"/>
        <v>21</v>
      </c>
      <c r="AC1789" s="224" t="s">
        <v>232</v>
      </c>
      <c r="AD1789" s="224" t="s">
        <v>490</v>
      </c>
      <c r="AE1789" s="224" t="s">
        <v>247</v>
      </c>
      <c r="AF1789">
        <f ca="1">OFFSET('Calculations 2'!$CE$45,W1789,0)*OFFSET($AA$6,X1789,0)*OFFSET($N$6,W1789,)</f>
        <v>0.71072406735775628</v>
      </c>
      <c r="AY1789" s="224" t="s">
        <v>232</v>
      </c>
      <c r="AZ1789" s="224" t="s">
        <v>490</v>
      </c>
      <c r="BA1789" s="224" t="s">
        <v>247</v>
      </c>
      <c r="BB1789">
        <v>0</v>
      </c>
      <c r="BE1789" s="224" t="s">
        <v>232</v>
      </c>
      <c r="BF1789" s="224" t="s">
        <v>490</v>
      </c>
      <c r="BG1789" s="224" t="s">
        <v>247</v>
      </c>
      <c r="BH1789">
        <v>0</v>
      </c>
    </row>
    <row r="1790" spans="17:60">
      <c r="Q1790" s="224" t="s">
        <v>226</v>
      </c>
      <c r="R1790" s="224" t="s">
        <v>490</v>
      </c>
      <c r="S1790" s="224" t="s">
        <v>247</v>
      </c>
      <c r="T1790" s="224">
        <f ca="1">OFFSET('Calculations 2'!$C$45,W1790,X1790)*OFFSET($N$6,W1790,0)</f>
        <v>0</v>
      </c>
      <c r="V1790">
        <f t="shared" si="83"/>
        <v>695</v>
      </c>
      <c r="W1790">
        <f t="shared" si="84"/>
        <v>2</v>
      </c>
      <c r="X1790">
        <f t="shared" si="85"/>
        <v>21</v>
      </c>
      <c r="AC1790" s="224" t="s">
        <v>226</v>
      </c>
      <c r="AD1790" s="224" t="s">
        <v>490</v>
      </c>
      <c r="AE1790" s="224" t="s">
        <v>247</v>
      </c>
      <c r="AF1790">
        <f ca="1">OFFSET('Calculations 2'!$CE$45,W1790,0)*OFFSET($AA$6,X1790,0)*OFFSET($N$6,W1790,)</f>
        <v>0.17784492536600621</v>
      </c>
      <c r="AY1790" s="224" t="s">
        <v>226</v>
      </c>
      <c r="AZ1790" s="224" t="s">
        <v>490</v>
      </c>
      <c r="BA1790" s="224" t="s">
        <v>247</v>
      </c>
      <c r="BB1790">
        <v>0</v>
      </c>
      <c r="BE1790" s="224" t="s">
        <v>226</v>
      </c>
      <c r="BF1790" s="224" t="s">
        <v>490</v>
      </c>
      <c r="BG1790" s="224" t="s">
        <v>247</v>
      </c>
      <c r="BH1790">
        <v>0</v>
      </c>
    </row>
    <row r="1791" spans="17:60">
      <c r="Q1791" s="224" t="s">
        <v>243</v>
      </c>
      <c r="R1791" s="224" t="s">
        <v>490</v>
      </c>
      <c r="S1791" s="224" t="s">
        <v>247</v>
      </c>
      <c r="T1791" s="224">
        <f ca="1">OFFSET('Calculations 2'!$C$45,W1791,X1791)*OFFSET($N$6,W1791,0)</f>
        <v>1.5351410147079469E-2</v>
      </c>
      <c r="V1791">
        <f t="shared" si="83"/>
        <v>696</v>
      </c>
      <c r="W1791">
        <f t="shared" si="84"/>
        <v>3</v>
      </c>
      <c r="X1791">
        <f t="shared" si="85"/>
        <v>21</v>
      </c>
      <c r="AC1791" s="224" t="s">
        <v>243</v>
      </c>
      <c r="AD1791" s="224" t="s">
        <v>490</v>
      </c>
      <c r="AE1791" s="224" t="s">
        <v>247</v>
      </c>
      <c r="AF1791">
        <f ca="1">OFFSET('Calculations 2'!$CE$45,W1791,0)*OFFSET($AA$6,X1791,0)*OFFSET($N$6,W1791,)</f>
        <v>3.4900325535852241</v>
      </c>
      <c r="AY1791" s="224" t="s">
        <v>243</v>
      </c>
      <c r="AZ1791" s="224" t="s">
        <v>490</v>
      </c>
      <c r="BA1791" s="224" t="s">
        <v>247</v>
      </c>
      <c r="BB1791">
        <v>0</v>
      </c>
      <c r="BE1791" s="224" t="s">
        <v>243</v>
      </c>
      <c r="BF1791" s="224" t="s">
        <v>490</v>
      </c>
      <c r="BG1791" s="224" t="s">
        <v>247</v>
      </c>
      <c r="BH1791">
        <v>0</v>
      </c>
    </row>
    <row r="1792" spans="17:60">
      <c r="Q1792" s="224" t="s">
        <v>228</v>
      </c>
      <c r="R1792" s="224" t="s">
        <v>490</v>
      </c>
      <c r="S1792" s="224" t="s">
        <v>247</v>
      </c>
      <c r="T1792" s="224">
        <f ca="1">OFFSET('Calculations 2'!$C$45,W1792,X1792)*OFFSET($N$6,W1792,0)</f>
        <v>0</v>
      </c>
      <c r="V1792">
        <f t="shared" si="83"/>
        <v>697</v>
      </c>
      <c r="W1792">
        <f t="shared" si="84"/>
        <v>4</v>
      </c>
      <c r="X1792">
        <f t="shared" si="85"/>
        <v>21</v>
      </c>
      <c r="AC1792" s="224" t="s">
        <v>228</v>
      </c>
      <c r="AD1792" s="224" t="s">
        <v>490</v>
      </c>
      <c r="AE1792" s="224" t="s">
        <v>247</v>
      </c>
      <c r="AF1792">
        <f ca="1">OFFSET('Calculations 2'!$CE$45,W1792,0)*OFFSET($AA$6,X1792,0)*OFFSET($N$6,W1792,)</f>
        <v>1.8188984209029322</v>
      </c>
      <c r="AY1792" s="224" t="s">
        <v>228</v>
      </c>
      <c r="AZ1792" s="224" t="s">
        <v>490</v>
      </c>
      <c r="BA1792" s="224" t="s">
        <v>247</v>
      </c>
      <c r="BB1792">
        <v>0</v>
      </c>
      <c r="BE1792" s="224" t="s">
        <v>228</v>
      </c>
      <c r="BF1792" s="224" t="s">
        <v>490</v>
      </c>
      <c r="BG1792" s="224" t="s">
        <v>247</v>
      </c>
      <c r="BH1792">
        <v>0</v>
      </c>
    </row>
    <row r="1793" spans="17:60">
      <c r="Q1793" s="224" t="s">
        <v>246</v>
      </c>
      <c r="R1793" s="224" t="s">
        <v>490</v>
      </c>
      <c r="S1793" s="224" t="s">
        <v>247</v>
      </c>
      <c r="T1793" s="224">
        <f ca="1">OFFSET('Calculations 2'!$C$45,W1793,X1793)*OFFSET($N$6,W1793,0)</f>
        <v>0</v>
      </c>
      <c r="V1793">
        <f t="shared" si="83"/>
        <v>698</v>
      </c>
      <c r="W1793">
        <f t="shared" si="84"/>
        <v>5</v>
      </c>
      <c r="X1793">
        <f t="shared" si="85"/>
        <v>21</v>
      </c>
      <c r="AC1793" s="224" t="s">
        <v>246</v>
      </c>
      <c r="AD1793" s="224" t="s">
        <v>490</v>
      </c>
      <c r="AE1793" s="224" t="s">
        <v>247</v>
      </c>
      <c r="AF1793">
        <f ca="1">OFFSET('Calculations 2'!$CE$45,W1793,0)*OFFSET($AA$6,X1793,0)*OFFSET($N$6,W1793,)</f>
        <v>3.2556902946477728E-2</v>
      </c>
      <c r="AY1793" s="224" t="s">
        <v>246</v>
      </c>
      <c r="AZ1793" s="224" t="s">
        <v>490</v>
      </c>
      <c r="BA1793" s="224" t="s">
        <v>247</v>
      </c>
      <c r="BB1793">
        <v>0</v>
      </c>
      <c r="BE1793" s="224" t="s">
        <v>246</v>
      </c>
      <c r="BF1793" s="224" t="s">
        <v>490</v>
      </c>
      <c r="BG1793" s="224" t="s">
        <v>247</v>
      </c>
      <c r="BH1793">
        <v>0</v>
      </c>
    </row>
    <row r="1794" spans="17:60">
      <c r="Q1794" s="224" t="s">
        <v>239</v>
      </c>
      <c r="R1794" s="224" t="s">
        <v>490</v>
      </c>
      <c r="S1794" s="224" t="s">
        <v>247</v>
      </c>
      <c r="T1794" s="224">
        <f ca="1">OFFSET('Calculations 2'!$C$45,W1794,X1794)*OFFSET($N$6,W1794,0)</f>
        <v>3.0225888429388905</v>
      </c>
      <c r="V1794">
        <f t="shared" si="83"/>
        <v>699</v>
      </c>
      <c r="W1794">
        <f t="shared" si="84"/>
        <v>6</v>
      </c>
      <c r="X1794">
        <f t="shared" si="85"/>
        <v>21</v>
      </c>
      <c r="AC1794" s="224" t="s">
        <v>239</v>
      </c>
      <c r="AD1794" s="224" t="s">
        <v>490</v>
      </c>
      <c r="AE1794" s="224" t="s">
        <v>247</v>
      </c>
      <c r="AF1794">
        <f ca="1">OFFSET('Calculations 2'!$CE$45,W1794,0)*OFFSET($AA$6,X1794,0)*OFFSET($N$6,W1794,)</f>
        <v>0.46881676980831483</v>
      </c>
      <c r="AY1794" s="224" t="s">
        <v>239</v>
      </c>
      <c r="AZ1794" s="224" t="s">
        <v>490</v>
      </c>
      <c r="BA1794" s="224" t="s">
        <v>247</v>
      </c>
      <c r="BB1794">
        <v>0</v>
      </c>
      <c r="BE1794" s="224" t="s">
        <v>239</v>
      </c>
      <c r="BF1794" s="224" t="s">
        <v>490</v>
      </c>
      <c r="BG1794" s="224" t="s">
        <v>247</v>
      </c>
      <c r="BH1794">
        <v>0</v>
      </c>
    </row>
    <row r="1795" spans="17:60">
      <c r="Q1795" s="224" t="s">
        <v>466</v>
      </c>
      <c r="R1795" s="224" t="s">
        <v>490</v>
      </c>
      <c r="S1795" s="224" t="s">
        <v>247</v>
      </c>
      <c r="T1795" s="224">
        <f ca="1">OFFSET('Calculations 2'!$C$45,W1795,X1795)*OFFSET($N$6,W1795,0)</f>
        <v>33.301803419055837</v>
      </c>
      <c r="V1795">
        <f t="shared" si="83"/>
        <v>700</v>
      </c>
      <c r="W1795">
        <f t="shared" si="84"/>
        <v>7</v>
      </c>
      <c r="X1795">
        <f t="shared" si="85"/>
        <v>21</v>
      </c>
      <c r="AC1795" s="224" t="s">
        <v>466</v>
      </c>
      <c r="AD1795" s="224" t="s">
        <v>490</v>
      </c>
      <c r="AE1795" s="224" t="s">
        <v>247</v>
      </c>
      <c r="AF1795">
        <f ca="1">OFFSET('Calculations 2'!$CE$45,W1795,0)*OFFSET($AA$6,X1795,0)*OFFSET($N$6,W1795,)</f>
        <v>0.11805353897714177</v>
      </c>
      <c r="AY1795" s="224" t="s">
        <v>466</v>
      </c>
      <c r="AZ1795" s="224" t="s">
        <v>490</v>
      </c>
      <c r="BA1795" s="224" t="s">
        <v>247</v>
      </c>
      <c r="BB1795">
        <v>0</v>
      </c>
      <c r="BE1795" s="224" t="s">
        <v>466</v>
      </c>
      <c r="BF1795" s="224" t="s">
        <v>490</v>
      </c>
      <c r="BG1795" s="224" t="s">
        <v>247</v>
      </c>
      <c r="BH1795">
        <v>0</v>
      </c>
    </row>
    <row r="1796" spans="17:60">
      <c r="Q1796" s="224" t="s">
        <v>219</v>
      </c>
      <c r="R1796" s="224" t="s">
        <v>490</v>
      </c>
      <c r="S1796" s="224" t="s">
        <v>247</v>
      </c>
      <c r="T1796" s="224">
        <f ca="1">OFFSET('Calculations 2'!$C$45,W1796,X1796)*OFFSET($N$6,W1796,0)</f>
        <v>4.4006453263136826E-2</v>
      </c>
      <c r="V1796">
        <f t="shared" si="83"/>
        <v>701</v>
      </c>
      <c r="W1796">
        <f t="shared" si="84"/>
        <v>8</v>
      </c>
      <c r="X1796">
        <f t="shared" si="85"/>
        <v>21</v>
      </c>
      <c r="AC1796" s="224" t="s">
        <v>219</v>
      </c>
      <c r="AD1796" s="224" t="s">
        <v>490</v>
      </c>
      <c r="AE1796" s="224" t="s">
        <v>247</v>
      </c>
      <c r="AF1796">
        <f ca="1">OFFSET('Calculations 2'!$CE$45,W1796,0)*OFFSET($AA$6,X1796,0)*OFFSET($N$6,W1796,)</f>
        <v>1.6183175235492577</v>
      </c>
      <c r="AY1796" s="224" t="s">
        <v>219</v>
      </c>
      <c r="AZ1796" s="224" t="s">
        <v>490</v>
      </c>
      <c r="BA1796" s="224" t="s">
        <v>247</v>
      </c>
      <c r="BB1796">
        <v>0</v>
      </c>
      <c r="BE1796" s="224" t="s">
        <v>219</v>
      </c>
      <c r="BF1796" s="224" t="s">
        <v>490</v>
      </c>
      <c r="BG1796" s="224" t="s">
        <v>247</v>
      </c>
      <c r="BH1796">
        <v>0</v>
      </c>
    </row>
    <row r="1797" spans="17:60">
      <c r="Q1797" s="224" t="s">
        <v>242</v>
      </c>
      <c r="R1797" s="224" t="s">
        <v>490</v>
      </c>
      <c r="S1797" s="224" t="s">
        <v>247</v>
      </c>
      <c r="T1797" s="224">
        <f ca="1">OFFSET('Calculations 2'!$C$45,W1797,X1797)*OFFSET($N$6,W1797,0)</f>
        <v>5.6716995342766419E-2</v>
      </c>
      <c r="V1797">
        <f t="shared" si="83"/>
        <v>702</v>
      </c>
      <c r="W1797">
        <f t="shared" si="84"/>
        <v>9</v>
      </c>
      <c r="X1797">
        <f t="shared" si="85"/>
        <v>21</v>
      </c>
      <c r="AC1797" s="224" t="s">
        <v>242</v>
      </c>
      <c r="AD1797" s="224" t="s">
        <v>490</v>
      </c>
      <c r="AE1797" s="224" t="s">
        <v>247</v>
      </c>
      <c r="AF1797">
        <f ca="1">OFFSET('Calculations 2'!$CE$45,W1797,0)*OFFSET($AA$6,X1797,0)*OFFSET($N$6,W1797,)</f>
        <v>1.2394161148809237</v>
      </c>
      <c r="AY1797" s="224" t="s">
        <v>242</v>
      </c>
      <c r="AZ1797" s="224" t="s">
        <v>490</v>
      </c>
      <c r="BA1797" s="224" t="s">
        <v>247</v>
      </c>
      <c r="BB1797">
        <v>0</v>
      </c>
      <c r="BE1797" s="224" t="s">
        <v>242</v>
      </c>
      <c r="BF1797" s="224" t="s">
        <v>490</v>
      </c>
      <c r="BG1797" s="224" t="s">
        <v>247</v>
      </c>
      <c r="BH1797">
        <v>0</v>
      </c>
    </row>
    <row r="1798" spans="17:60">
      <c r="Q1798" s="224" t="s">
        <v>467</v>
      </c>
      <c r="R1798" s="224" t="s">
        <v>490</v>
      </c>
      <c r="S1798" s="224" t="s">
        <v>247</v>
      </c>
      <c r="T1798" s="224">
        <f ca="1">OFFSET('Calculations 2'!$C$45,W1798,X1798)*OFFSET($N$6,W1798,0)</f>
        <v>0</v>
      </c>
      <c r="V1798">
        <f t="shared" si="83"/>
        <v>703</v>
      </c>
      <c r="W1798">
        <f t="shared" si="84"/>
        <v>10</v>
      </c>
      <c r="X1798">
        <f t="shared" si="85"/>
        <v>21</v>
      </c>
      <c r="AC1798" s="224" t="s">
        <v>467</v>
      </c>
      <c r="AD1798" s="224" t="s">
        <v>490</v>
      </c>
      <c r="AE1798" s="224" t="s">
        <v>247</v>
      </c>
      <c r="AF1798">
        <f ca="1">OFFSET('Calculations 2'!$CE$45,W1798,0)*OFFSET($AA$6,X1798,0)*OFFSET($N$6,W1798,)</f>
        <v>0.46786390717872967</v>
      </c>
      <c r="AY1798" s="224" t="s">
        <v>467</v>
      </c>
      <c r="AZ1798" s="224" t="s">
        <v>490</v>
      </c>
      <c r="BA1798" s="224" t="s">
        <v>247</v>
      </c>
      <c r="BB1798">
        <v>0</v>
      </c>
      <c r="BE1798" s="224" t="s">
        <v>467</v>
      </c>
      <c r="BF1798" s="224" t="s">
        <v>490</v>
      </c>
      <c r="BG1798" s="224" t="s">
        <v>247</v>
      </c>
      <c r="BH1798">
        <v>0</v>
      </c>
    </row>
    <row r="1799" spans="17:60">
      <c r="Q1799" s="224" t="s">
        <v>231</v>
      </c>
      <c r="R1799" s="224" t="s">
        <v>490</v>
      </c>
      <c r="S1799" s="224" t="s">
        <v>247</v>
      </c>
      <c r="T1799" s="224">
        <f ca="1">OFFSET('Calculations 2'!$C$45,W1799,X1799)*OFFSET($N$6,W1799,0)</f>
        <v>0</v>
      </c>
      <c r="V1799">
        <f t="shared" si="83"/>
        <v>704</v>
      </c>
      <c r="W1799">
        <f t="shared" si="84"/>
        <v>11</v>
      </c>
      <c r="X1799">
        <f t="shared" si="85"/>
        <v>21</v>
      </c>
      <c r="AC1799" s="224" t="s">
        <v>231</v>
      </c>
      <c r="AD1799" s="224" t="s">
        <v>490</v>
      </c>
      <c r="AE1799" s="224" t="s">
        <v>247</v>
      </c>
      <c r="AF1799">
        <f ca="1">OFFSET('Calculations 2'!$CE$45,W1799,0)*OFFSET($AA$6,X1799,0)*OFFSET($N$6,W1799,)</f>
        <v>5.8563175311444855</v>
      </c>
      <c r="AY1799" s="224" t="s">
        <v>231</v>
      </c>
      <c r="AZ1799" s="224" t="s">
        <v>490</v>
      </c>
      <c r="BA1799" s="224" t="s">
        <v>247</v>
      </c>
      <c r="BB1799">
        <v>0</v>
      </c>
      <c r="BE1799" s="224" t="s">
        <v>231</v>
      </c>
      <c r="BF1799" s="224" t="s">
        <v>490</v>
      </c>
      <c r="BG1799" s="224" t="s">
        <v>247</v>
      </c>
      <c r="BH1799">
        <v>0</v>
      </c>
    </row>
    <row r="1800" spans="17:60">
      <c r="Q1800" s="224" t="s">
        <v>468</v>
      </c>
      <c r="R1800" s="224" t="s">
        <v>490</v>
      </c>
      <c r="S1800" s="224" t="s">
        <v>247</v>
      </c>
      <c r="T1800" s="224">
        <f ca="1">OFFSET('Calculations 2'!$C$45,W1800,X1800)*OFFSET($N$6,W1800,0)</f>
        <v>0</v>
      </c>
      <c r="V1800">
        <f t="shared" si="83"/>
        <v>705</v>
      </c>
      <c r="W1800">
        <f t="shared" si="84"/>
        <v>12</v>
      </c>
      <c r="X1800">
        <f t="shared" si="85"/>
        <v>21</v>
      </c>
      <c r="AC1800" s="224" t="s">
        <v>468</v>
      </c>
      <c r="AD1800" s="224" t="s">
        <v>490</v>
      </c>
      <c r="AE1800" s="224" t="s">
        <v>247</v>
      </c>
      <c r="AF1800">
        <f ca="1">OFFSET('Calculations 2'!$CE$45,W1800,0)*OFFSET($AA$6,X1800,0)*OFFSET($N$6,W1800,)</f>
        <v>22.434216634178583</v>
      </c>
      <c r="AY1800" s="224" t="s">
        <v>468</v>
      </c>
      <c r="AZ1800" s="224" t="s">
        <v>490</v>
      </c>
      <c r="BA1800" s="224" t="s">
        <v>247</v>
      </c>
      <c r="BB1800">
        <v>0</v>
      </c>
      <c r="BE1800" s="224" t="s">
        <v>468</v>
      </c>
      <c r="BF1800" s="224" t="s">
        <v>490</v>
      </c>
      <c r="BG1800" s="224" t="s">
        <v>247</v>
      </c>
      <c r="BH1800">
        <v>0</v>
      </c>
    </row>
    <row r="1801" spans="17:60">
      <c r="Q1801" s="224" t="s">
        <v>469</v>
      </c>
      <c r="R1801" s="224" t="s">
        <v>490</v>
      </c>
      <c r="S1801" s="224" t="s">
        <v>247</v>
      </c>
      <c r="T1801" s="224">
        <f ca="1">OFFSET('Calculations 2'!$C$45,W1801,X1801)*OFFSET($N$6,W1801,0)</f>
        <v>0</v>
      </c>
      <c r="V1801">
        <f t="shared" ref="V1801:V1864" si="86">V1800+1</f>
        <v>706</v>
      </c>
      <c r="W1801">
        <f t="shared" ref="W1801:W1864" si="87">MOD(V1801,$V$3)</f>
        <v>13</v>
      </c>
      <c r="X1801">
        <f t="shared" ref="X1801:X1864" si="88">FLOOR(V1801/$V$3,1)</f>
        <v>21</v>
      </c>
      <c r="AC1801" s="224" t="s">
        <v>469</v>
      </c>
      <c r="AD1801" s="224" t="s">
        <v>490</v>
      </c>
      <c r="AE1801" s="224" t="s">
        <v>247</v>
      </c>
      <c r="AF1801">
        <f ca="1">OFFSET('Calculations 2'!$CE$45,W1801,0)*OFFSET($AA$6,X1801,0)*OFFSET($N$6,W1801,)</f>
        <v>12.028542602865411</v>
      </c>
      <c r="AY1801" s="224" t="s">
        <v>469</v>
      </c>
      <c r="AZ1801" s="224" t="s">
        <v>490</v>
      </c>
      <c r="BA1801" s="224" t="s">
        <v>247</v>
      </c>
      <c r="BB1801">
        <v>0</v>
      </c>
      <c r="BE1801" s="224" t="s">
        <v>469</v>
      </c>
      <c r="BF1801" s="224" t="s">
        <v>490</v>
      </c>
      <c r="BG1801" s="224" t="s">
        <v>247</v>
      </c>
      <c r="BH1801">
        <v>0</v>
      </c>
    </row>
    <row r="1802" spans="17:60">
      <c r="Q1802" s="224" t="s">
        <v>245</v>
      </c>
      <c r="R1802" s="224" t="s">
        <v>490</v>
      </c>
      <c r="S1802" s="224" t="s">
        <v>247</v>
      </c>
      <c r="T1802" s="224">
        <f ca="1">OFFSET('Calculations 2'!$C$45,W1802,X1802)*OFFSET($N$6,W1802,0)</f>
        <v>7.7106416694907196</v>
      </c>
      <c r="V1802">
        <f t="shared" si="86"/>
        <v>707</v>
      </c>
      <c r="W1802">
        <f t="shared" si="87"/>
        <v>14</v>
      </c>
      <c r="X1802">
        <f t="shared" si="88"/>
        <v>21</v>
      </c>
      <c r="AC1802" s="224" t="s">
        <v>245</v>
      </c>
      <c r="AD1802" s="224" t="s">
        <v>490</v>
      </c>
      <c r="AE1802" s="224" t="s">
        <v>247</v>
      </c>
      <c r="AF1802">
        <f ca="1">OFFSET('Calculations 2'!$CE$45,W1802,0)*OFFSET($AA$6,X1802,0)*OFFSET($N$6,W1802,)</f>
        <v>19.196201062266148</v>
      </c>
      <c r="AY1802" s="224" t="s">
        <v>245</v>
      </c>
      <c r="AZ1802" s="224" t="s">
        <v>490</v>
      </c>
      <c r="BA1802" s="224" t="s">
        <v>247</v>
      </c>
      <c r="BB1802">
        <v>0</v>
      </c>
      <c r="BE1802" s="224" t="s">
        <v>245</v>
      </c>
      <c r="BF1802" s="224" t="s">
        <v>490</v>
      </c>
      <c r="BG1802" s="224" t="s">
        <v>247</v>
      </c>
      <c r="BH1802">
        <v>0</v>
      </c>
    </row>
    <row r="1803" spans="17:60">
      <c r="Q1803" s="224" t="s">
        <v>470</v>
      </c>
      <c r="R1803" s="224" t="s">
        <v>490</v>
      </c>
      <c r="S1803" s="224" t="s">
        <v>247</v>
      </c>
      <c r="T1803" s="224">
        <f ca="1">OFFSET('Calculations 2'!$C$45,W1803,X1803)*OFFSET($N$6,W1803,0)</f>
        <v>2.4029010281190586</v>
      </c>
      <c r="V1803">
        <f t="shared" si="86"/>
        <v>708</v>
      </c>
      <c r="W1803">
        <f t="shared" si="87"/>
        <v>15</v>
      </c>
      <c r="X1803">
        <f t="shared" si="88"/>
        <v>21</v>
      </c>
      <c r="AC1803" s="224" t="s">
        <v>470</v>
      </c>
      <c r="AD1803" s="224" t="s">
        <v>490</v>
      </c>
      <c r="AE1803" s="224" t="s">
        <v>247</v>
      </c>
      <c r="AF1803">
        <f ca="1">OFFSET('Calculations 2'!$CE$45,W1803,0)*OFFSET($AA$6,X1803,0)*OFFSET($N$6,W1803,)</f>
        <v>7.2837041871328525</v>
      </c>
      <c r="AY1803" s="224" t="s">
        <v>470</v>
      </c>
      <c r="AZ1803" s="224" t="s">
        <v>490</v>
      </c>
      <c r="BA1803" s="224" t="s">
        <v>247</v>
      </c>
      <c r="BB1803">
        <v>0</v>
      </c>
      <c r="BE1803" s="224" t="s">
        <v>470</v>
      </c>
      <c r="BF1803" s="224" t="s">
        <v>490</v>
      </c>
      <c r="BG1803" s="224" t="s">
        <v>247</v>
      </c>
      <c r="BH1803">
        <v>0</v>
      </c>
    </row>
    <row r="1804" spans="17:60">
      <c r="Q1804" s="224" t="s">
        <v>471</v>
      </c>
      <c r="R1804" s="224" t="s">
        <v>490</v>
      </c>
      <c r="S1804" s="224" t="s">
        <v>247</v>
      </c>
      <c r="T1804" s="224">
        <f ca="1">OFFSET('Calculations 2'!$C$45,W1804,X1804)*OFFSET($N$6,W1804,0)</f>
        <v>9.1807290712729098E-2</v>
      </c>
      <c r="V1804">
        <f t="shared" si="86"/>
        <v>709</v>
      </c>
      <c r="W1804">
        <f t="shared" si="87"/>
        <v>16</v>
      </c>
      <c r="X1804">
        <f t="shared" si="88"/>
        <v>21</v>
      </c>
      <c r="AC1804" s="224" t="s">
        <v>471</v>
      </c>
      <c r="AD1804" s="224" t="s">
        <v>490</v>
      </c>
      <c r="AE1804" s="224" t="s">
        <v>247</v>
      </c>
      <c r="AF1804">
        <f ca="1">OFFSET('Calculations 2'!$CE$45,W1804,0)*OFFSET($AA$6,X1804,0)*OFFSET($N$6,W1804,)</f>
        <v>0</v>
      </c>
      <c r="AY1804" s="224" t="s">
        <v>471</v>
      </c>
      <c r="AZ1804" s="224" t="s">
        <v>490</v>
      </c>
      <c r="BA1804" s="224" t="s">
        <v>247</v>
      </c>
      <c r="BB1804">
        <v>0</v>
      </c>
      <c r="BE1804" s="224" t="s">
        <v>471</v>
      </c>
      <c r="BF1804" s="224" t="s">
        <v>490</v>
      </c>
      <c r="BG1804" s="224" t="s">
        <v>247</v>
      </c>
      <c r="BH1804">
        <v>0</v>
      </c>
    </row>
    <row r="1805" spans="17:60">
      <c r="Q1805" s="224" t="s">
        <v>221</v>
      </c>
      <c r="R1805" s="224" t="s">
        <v>490</v>
      </c>
      <c r="S1805" s="224" t="s">
        <v>247</v>
      </c>
      <c r="T1805" s="224">
        <f ca="1">OFFSET('Calculations 2'!$C$45,W1805,X1805)*OFFSET($N$6,W1805,0)</f>
        <v>1.1440082644890919</v>
      </c>
      <c r="V1805">
        <f t="shared" si="86"/>
        <v>710</v>
      </c>
      <c r="W1805">
        <f t="shared" si="87"/>
        <v>17</v>
      </c>
      <c r="X1805">
        <f t="shared" si="88"/>
        <v>21</v>
      </c>
      <c r="AC1805" s="224" t="s">
        <v>221</v>
      </c>
      <c r="AD1805" s="224" t="s">
        <v>490</v>
      </c>
      <c r="AE1805" s="224" t="s">
        <v>247</v>
      </c>
      <c r="AF1805">
        <f ca="1">OFFSET('Calculations 2'!$CE$45,W1805,0)*OFFSET($AA$6,X1805,0)*OFFSET($N$6,W1805,)</f>
        <v>1.4258270328599663</v>
      </c>
      <c r="AY1805" s="224" t="s">
        <v>221</v>
      </c>
      <c r="AZ1805" s="224" t="s">
        <v>490</v>
      </c>
      <c r="BA1805" s="224" t="s">
        <v>247</v>
      </c>
      <c r="BB1805">
        <v>0</v>
      </c>
      <c r="BE1805" s="224" t="s">
        <v>221</v>
      </c>
      <c r="BF1805" s="224" t="s">
        <v>490</v>
      </c>
      <c r="BG1805" s="224" t="s">
        <v>247</v>
      </c>
      <c r="BH1805">
        <v>0</v>
      </c>
    </row>
    <row r="1806" spans="17:60">
      <c r="Q1806" s="224" t="s">
        <v>244</v>
      </c>
      <c r="R1806" s="224" t="s">
        <v>490</v>
      </c>
      <c r="S1806" s="224" t="s">
        <v>247</v>
      </c>
      <c r="T1806" s="224">
        <f ca="1">OFFSET('Calculations 2'!$C$45,W1806,X1806)*OFFSET($N$6,W1806,0)</f>
        <v>1.3991400461183072</v>
      </c>
      <c r="V1806">
        <f t="shared" si="86"/>
        <v>711</v>
      </c>
      <c r="W1806">
        <f t="shared" si="87"/>
        <v>18</v>
      </c>
      <c r="X1806">
        <f t="shared" si="88"/>
        <v>21</v>
      </c>
      <c r="AC1806" s="224" t="s">
        <v>244</v>
      </c>
      <c r="AD1806" s="224" t="s">
        <v>490</v>
      </c>
      <c r="AE1806" s="224" t="s">
        <v>247</v>
      </c>
      <c r="AF1806">
        <f ca="1">OFFSET('Calculations 2'!$CE$45,W1806,0)*OFFSET($AA$6,X1806,0)*OFFSET($N$6,W1806,)</f>
        <v>0.1247501881700937</v>
      </c>
      <c r="AY1806" s="224" t="s">
        <v>244</v>
      </c>
      <c r="AZ1806" s="224" t="s">
        <v>490</v>
      </c>
      <c r="BA1806" s="224" t="s">
        <v>247</v>
      </c>
      <c r="BB1806">
        <v>0</v>
      </c>
      <c r="BE1806" s="224" t="s">
        <v>244</v>
      </c>
      <c r="BF1806" s="224" t="s">
        <v>490</v>
      </c>
      <c r="BG1806" s="224" t="s">
        <v>247</v>
      </c>
      <c r="BH1806">
        <v>0</v>
      </c>
    </row>
    <row r="1807" spans="17:60">
      <c r="Q1807" s="224" t="s">
        <v>472</v>
      </c>
      <c r="R1807" s="224" t="s">
        <v>490</v>
      </c>
      <c r="S1807" s="224" t="s">
        <v>247</v>
      </c>
      <c r="T1807" s="224">
        <f ca="1">OFFSET('Calculations 2'!$C$45,W1807,X1807)*OFFSET($N$6,W1807,0)</f>
        <v>0</v>
      </c>
      <c r="V1807">
        <f t="shared" si="86"/>
        <v>712</v>
      </c>
      <c r="W1807">
        <f t="shared" si="87"/>
        <v>19</v>
      </c>
      <c r="X1807">
        <f t="shared" si="88"/>
        <v>21</v>
      </c>
      <c r="AC1807" s="224" t="s">
        <v>472</v>
      </c>
      <c r="AD1807" s="224" t="s">
        <v>490</v>
      </c>
      <c r="AE1807" s="224" t="s">
        <v>247</v>
      </c>
      <c r="AF1807">
        <f ca="1">OFFSET('Calculations 2'!$CE$45,W1807,0)*OFFSET($AA$6,X1807,0)*OFFSET($N$6,W1807,)</f>
        <v>0</v>
      </c>
      <c r="AY1807" s="224" t="s">
        <v>472</v>
      </c>
      <c r="AZ1807" s="224" t="s">
        <v>490</v>
      </c>
      <c r="BA1807" s="224" t="s">
        <v>247</v>
      </c>
      <c r="BB1807">
        <v>0</v>
      </c>
      <c r="BE1807" s="224" t="s">
        <v>472</v>
      </c>
      <c r="BF1807" s="224" t="s">
        <v>490</v>
      </c>
      <c r="BG1807" s="224" t="s">
        <v>247</v>
      </c>
      <c r="BH1807">
        <v>0</v>
      </c>
    </row>
    <row r="1808" spans="17:60">
      <c r="Q1808" s="224" t="s">
        <v>238</v>
      </c>
      <c r="R1808" s="224" t="s">
        <v>490</v>
      </c>
      <c r="S1808" s="224" t="s">
        <v>247</v>
      </c>
      <c r="T1808" s="224">
        <f ca="1">OFFSET('Calculations 2'!$C$45,W1808,X1808)*OFFSET($N$6,W1808,0)</f>
        <v>0.13377524440244398</v>
      </c>
      <c r="V1808">
        <f t="shared" si="86"/>
        <v>713</v>
      </c>
      <c r="W1808">
        <f t="shared" si="87"/>
        <v>20</v>
      </c>
      <c r="X1808">
        <f t="shared" si="88"/>
        <v>21</v>
      </c>
      <c r="AC1808" s="224" t="s">
        <v>238</v>
      </c>
      <c r="AD1808" s="224" t="s">
        <v>490</v>
      </c>
      <c r="AE1808" s="224" t="s">
        <v>247</v>
      </c>
      <c r="AF1808">
        <f ca="1">OFFSET('Calculations 2'!$CE$45,W1808,0)*OFFSET($AA$6,X1808,0)*OFFSET($N$6,W1808,)</f>
        <v>0</v>
      </c>
      <c r="AY1808" s="224" t="s">
        <v>238</v>
      </c>
      <c r="AZ1808" s="224" t="s">
        <v>490</v>
      </c>
      <c r="BA1808" s="224" t="s">
        <v>247</v>
      </c>
      <c r="BB1808">
        <v>0</v>
      </c>
      <c r="BE1808" s="224" t="s">
        <v>238</v>
      </c>
      <c r="BF1808" s="224" t="s">
        <v>490</v>
      </c>
      <c r="BG1808" s="224" t="s">
        <v>247</v>
      </c>
      <c r="BH1808">
        <v>0</v>
      </c>
    </row>
    <row r="1809" spans="17:60">
      <c r="Q1809" s="224" t="s">
        <v>247</v>
      </c>
      <c r="R1809" s="224" t="s">
        <v>490</v>
      </c>
      <c r="S1809" s="224" t="s">
        <v>247</v>
      </c>
      <c r="T1809" s="224">
        <f ca="1">OFFSET('Calculations 2'!$C$45,W1809,X1809)*OFFSET($N$6,W1809,0)</f>
        <v>0</v>
      </c>
      <c r="V1809">
        <f t="shared" si="86"/>
        <v>714</v>
      </c>
      <c r="W1809">
        <f t="shared" si="87"/>
        <v>21</v>
      </c>
      <c r="X1809">
        <f t="shared" si="88"/>
        <v>21</v>
      </c>
      <c r="AC1809" s="224" t="s">
        <v>247</v>
      </c>
      <c r="AD1809" s="224" t="s">
        <v>490</v>
      </c>
      <c r="AE1809" s="224" t="s">
        <v>247</v>
      </c>
      <c r="AF1809">
        <f ca="1">OFFSET('Calculations 2'!$CE$45,W1809,0)*OFFSET($AA$6,X1809,0)*OFFSET($N$6,W1809,)</f>
        <v>0</v>
      </c>
      <c r="AY1809" s="224" t="s">
        <v>247</v>
      </c>
      <c r="AZ1809" s="224" t="s">
        <v>490</v>
      </c>
      <c r="BA1809" s="224" t="s">
        <v>247</v>
      </c>
      <c r="BB1809">
        <v>0</v>
      </c>
      <c r="BE1809" s="224" t="s">
        <v>247</v>
      </c>
      <c r="BF1809" s="224" t="s">
        <v>490</v>
      </c>
      <c r="BG1809" s="224" t="s">
        <v>247</v>
      </c>
      <c r="BH1809">
        <v>0</v>
      </c>
    </row>
    <row r="1810" spans="17:60">
      <c r="Q1810" s="224" t="s">
        <v>218</v>
      </c>
      <c r="R1810" s="224" t="s">
        <v>490</v>
      </c>
      <c r="S1810" s="224" t="s">
        <v>247</v>
      </c>
      <c r="T1810" s="224">
        <f ca="1">OFFSET('Calculations 2'!$C$45,W1810,X1810)*OFFSET($N$6,W1810,0)</f>
        <v>3.3290967061352879</v>
      </c>
      <c r="V1810">
        <f t="shared" si="86"/>
        <v>715</v>
      </c>
      <c r="W1810">
        <f t="shared" si="87"/>
        <v>22</v>
      </c>
      <c r="X1810">
        <f t="shared" si="88"/>
        <v>21</v>
      </c>
      <c r="AC1810" s="224" t="s">
        <v>218</v>
      </c>
      <c r="AD1810" s="224" t="s">
        <v>490</v>
      </c>
      <c r="AE1810" s="224" t="s">
        <v>247</v>
      </c>
      <c r="AF1810">
        <f ca="1">OFFSET('Calculations 2'!$CE$45,W1810,0)*OFFSET($AA$6,X1810,0)*OFFSET($N$6,W1810,)</f>
        <v>0</v>
      </c>
      <c r="AY1810" s="224" t="s">
        <v>218</v>
      </c>
      <c r="AZ1810" s="224" t="s">
        <v>490</v>
      </c>
      <c r="BA1810" s="224" t="s">
        <v>247</v>
      </c>
      <c r="BB1810">
        <v>0</v>
      </c>
      <c r="BE1810" s="224" t="s">
        <v>218</v>
      </c>
      <c r="BF1810" s="224" t="s">
        <v>490</v>
      </c>
      <c r="BG1810" s="224" t="s">
        <v>247</v>
      </c>
      <c r="BH1810">
        <v>0</v>
      </c>
    </row>
    <row r="1811" spans="17:60">
      <c r="Q1811" s="224" t="s">
        <v>257</v>
      </c>
      <c r="R1811" s="224" t="s">
        <v>490</v>
      </c>
      <c r="S1811" s="224" t="s">
        <v>247</v>
      </c>
      <c r="T1811" s="224">
        <f ca="1">OFFSET('Calculations 2'!$C$45,W1811,X1811)*OFFSET($N$6,W1811,0)</f>
        <v>4.6239046605258176</v>
      </c>
      <c r="V1811">
        <f t="shared" si="86"/>
        <v>716</v>
      </c>
      <c r="W1811">
        <f t="shared" si="87"/>
        <v>23</v>
      </c>
      <c r="X1811">
        <f t="shared" si="88"/>
        <v>21</v>
      </c>
      <c r="AC1811" s="224" t="s">
        <v>257</v>
      </c>
      <c r="AD1811" s="224" t="s">
        <v>490</v>
      </c>
      <c r="AE1811" s="224" t="s">
        <v>247</v>
      </c>
      <c r="AF1811">
        <f ca="1">OFFSET('Calculations 2'!$CE$45,W1811,0)*OFFSET($AA$6,X1811,0)*OFFSET($N$6,W1811,)</f>
        <v>0</v>
      </c>
      <c r="AY1811" s="224" t="s">
        <v>257</v>
      </c>
      <c r="AZ1811" s="224" t="s">
        <v>490</v>
      </c>
      <c r="BA1811" s="224" t="s">
        <v>247</v>
      </c>
      <c r="BB1811">
        <v>0</v>
      </c>
      <c r="BE1811" s="224" t="s">
        <v>257</v>
      </c>
      <c r="BF1811" s="224" t="s">
        <v>490</v>
      </c>
      <c r="BG1811" s="224" t="s">
        <v>247</v>
      </c>
      <c r="BH1811">
        <v>0</v>
      </c>
    </row>
    <row r="1812" spans="17:60">
      <c r="Q1812" s="224" t="s">
        <v>220</v>
      </c>
      <c r="R1812" s="224" t="s">
        <v>490</v>
      </c>
      <c r="S1812" s="224" t="s">
        <v>247</v>
      </c>
      <c r="T1812" s="224">
        <f ca="1">OFFSET('Calculations 2'!$C$45,W1812,X1812)*OFFSET($N$6,W1812,0)</f>
        <v>0.27344052236427346</v>
      </c>
      <c r="V1812">
        <f t="shared" si="86"/>
        <v>717</v>
      </c>
      <c r="W1812">
        <f t="shared" si="87"/>
        <v>24</v>
      </c>
      <c r="X1812">
        <f t="shared" si="88"/>
        <v>21</v>
      </c>
      <c r="AC1812" s="224" t="s">
        <v>220</v>
      </c>
      <c r="AD1812" s="224" t="s">
        <v>490</v>
      </c>
      <c r="AE1812" s="224" t="s">
        <v>247</v>
      </c>
      <c r="AF1812">
        <f ca="1">OFFSET('Calculations 2'!$CE$45,W1812,0)*OFFSET($AA$6,X1812,0)*OFFSET($N$6,W1812,)</f>
        <v>0</v>
      </c>
      <c r="AY1812" s="224" t="s">
        <v>220</v>
      </c>
      <c r="AZ1812" s="224" t="s">
        <v>490</v>
      </c>
      <c r="BA1812" s="224" t="s">
        <v>247</v>
      </c>
      <c r="BB1812">
        <v>0</v>
      </c>
      <c r="BE1812" s="224" t="s">
        <v>220</v>
      </c>
      <c r="BF1812" s="224" t="s">
        <v>490</v>
      </c>
      <c r="BG1812" s="224" t="s">
        <v>247</v>
      </c>
      <c r="BH1812">
        <v>0</v>
      </c>
    </row>
    <row r="1813" spans="17:60">
      <c r="Q1813" s="224" t="s">
        <v>235</v>
      </c>
      <c r="R1813" s="224" t="s">
        <v>490</v>
      </c>
      <c r="S1813" s="224" t="s">
        <v>247</v>
      </c>
      <c r="T1813" s="224">
        <f ca="1">OFFSET('Calculations 2'!$C$45,W1813,X1813)*OFFSET($N$6,W1813,0)</f>
        <v>0.28260249547976912</v>
      </c>
      <c r="V1813">
        <f t="shared" si="86"/>
        <v>718</v>
      </c>
      <c r="W1813">
        <f t="shared" si="87"/>
        <v>25</v>
      </c>
      <c r="X1813">
        <f t="shared" si="88"/>
        <v>21</v>
      </c>
      <c r="AC1813" s="224" t="s">
        <v>235</v>
      </c>
      <c r="AD1813" s="224" t="s">
        <v>490</v>
      </c>
      <c r="AE1813" s="224" t="s">
        <v>247</v>
      </c>
      <c r="AF1813">
        <f ca="1">OFFSET('Calculations 2'!$CE$45,W1813,0)*OFFSET($AA$6,X1813,0)*OFFSET($N$6,W1813,)</f>
        <v>0</v>
      </c>
      <c r="AY1813" s="224" t="s">
        <v>235</v>
      </c>
      <c r="AZ1813" s="224" t="s">
        <v>490</v>
      </c>
      <c r="BA1813" s="224" t="s">
        <v>247</v>
      </c>
      <c r="BB1813">
        <v>0</v>
      </c>
      <c r="BE1813" s="224" t="s">
        <v>235</v>
      </c>
      <c r="BF1813" s="224" t="s">
        <v>490</v>
      </c>
      <c r="BG1813" s="224" t="s">
        <v>247</v>
      </c>
      <c r="BH1813">
        <v>0</v>
      </c>
    </row>
    <row r="1814" spans="17:60">
      <c r="Q1814" s="224" t="s">
        <v>473</v>
      </c>
      <c r="R1814" s="224" t="s">
        <v>490</v>
      </c>
      <c r="S1814" s="224" t="s">
        <v>247</v>
      </c>
      <c r="T1814" s="224">
        <f ca="1">OFFSET('Calculations 2'!$C$45,W1814,X1814)*OFFSET($N$6,W1814,0)</f>
        <v>0.64041829929826333</v>
      </c>
      <c r="V1814">
        <f t="shared" si="86"/>
        <v>719</v>
      </c>
      <c r="W1814">
        <f t="shared" si="87"/>
        <v>26</v>
      </c>
      <c r="X1814">
        <f t="shared" si="88"/>
        <v>21</v>
      </c>
      <c r="AC1814" s="224" t="s">
        <v>473</v>
      </c>
      <c r="AD1814" s="224" t="s">
        <v>490</v>
      </c>
      <c r="AE1814" s="224" t="s">
        <v>247</v>
      </c>
      <c r="AF1814">
        <f ca="1">OFFSET('Calculations 2'!$CE$45,W1814,0)*OFFSET($AA$6,X1814,0)*OFFSET($N$6,W1814,)</f>
        <v>0</v>
      </c>
      <c r="AY1814" s="224" t="s">
        <v>473</v>
      </c>
      <c r="AZ1814" s="224" t="s">
        <v>490</v>
      </c>
      <c r="BA1814" s="224" t="s">
        <v>247</v>
      </c>
      <c r="BB1814">
        <v>0</v>
      </c>
      <c r="BE1814" s="224" t="s">
        <v>473</v>
      </c>
      <c r="BF1814" s="224" t="s">
        <v>490</v>
      </c>
      <c r="BG1814" s="224" t="s">
        <v>247</v>
      </c>
      <c r="BH1814">
        <v>0</v>
      </c>
    </row>
    <row r="1815" spans="17:60">
      <c r="Q1815" s="224" t="s">
        <v>233</v>
      </c>
      <c r="R1815" s="224" t="s">
        <v>490</v>
      </c>
      <c r="S1815" s="224" t="s">
        <v>247</v>
      </c>
      <c r="T1815" s="224">
        <f ca="1">OFFSET('Calculations 2'!$C$45,W1815,X1815)*OFFSET($N$6,W1815,0)</f>
        <v>1.1429959699857319</v>
      </c>
      <c r="V1815">
        <f t="shared" si="86"/>
        <v>720</v>
      </c>
      <c r="W1815">
        <f t="shared" si="87"/>
        <v>27</v>
      </c>
      <c r="X1815">
        <f t="shared" si="88"/>
        <v>21</v>
      </c>
      <c r="AC1815" s="224" t="s">
        <v>233</v>
      </c>
      <c r="AD1815" s="224" t="s">
        <v>490</v>
      </c>
      <c r="AE1815" s="224" t="s">
        <v>247</v>
      </c>
      <c r="AF1815">
        <f ca="1">OFFSET('Calculations 2'!$CE$45,W1815,0)*OFFSET($AA$6,X1815,0)*OFFSET($N$6,W1815,)</f>
        <v>0</v>
      </c>
      <c r="AY1815" s="224" t="s">
        <v>233</v>
      </c>
      <c r="AZ1815" s="224" t="s">
        <v>490</v>
      </c>
      <c r="BA1815" s="224" t="s">
        <v>247</v>
      </c>
      <c r="BB1815">
        <v>0</v>
      </c>
      <c r="BE1815" s="224" t="s">
        <v>233</v>
      </c>
      <c r="BF1815" s="224" t="s">
        <v>490</v>
      </c>
      <c r="BG1815" s="224" t="s">
        <v>247</v>
      </c>
      <c r="BH1815">
        <v>0</v>
      </c>
    </row>
    <row r="1816" spans="17:60">
      <c r="Q1816" s="224" t="s">
        <v>474</v>
      </c>
      <c r="R1816" s="224" t="s">
        <v>490</v>
      </c>
      <c r="S1816" s="224" t="s">
        <v>247</v>
      </c>
      <c r="T1816" s="224">
        <f ca="1">OFFSET('Calculations 2'!$C$45,W1816,X1816)*OFFSET($N$6,W1816,0)</f>
        <v>1.6960082840251918E-2</v>
      </c>
      <c r="V1816">
        <f t="shared" si="86"/>
        <v>721</v>
      </c>
      <c r="W1816">
        <f t="shared" si="87"/>
        <v>28</v>
      </c>
      <c r="X1816">
        <f t="shared" si="88"/>
        <v>21</v>
      </c>
      <c r="AC1816" s="224" t="s">
        <v>474</v>
      </c>
      <c r="AD1816" s="224" t="s">
        <v>490</v>
      </c>
      <c r="AE1816" s="224" t="s">
        <v>247</v>
      </c>
      <c r="AF1816">
        <f ca="1">OFFSET('Calculations 2'!$CE$45,W1816,0)*OFFSET($AA$6,X1816,0)*OFFSET($N$6,W1816,)</f>
        <v>0</v>
      </c>
      <c r="AY1816" s="224" t="s">
        <v>474</v>
      </c>
      <c r="AZ1816" s="224" t="s">
        <v>490</v>
      </c>
      <c r="BA1816" s="224" t="s">
        <v>247</v>
      </c>
      <c r="BB1816">
        <v>0</v>
      </c>
      <c r="BE1816" s="224" t="s">
        <v>474</v>
      </c>
      <c r="BF1816" s="224" t="s">
        <v>490</v>
      </c>
      <c r="BG1816" s="224" t="s">
        <v>247</v>
      </c>
      <c r="BH1816">
        <v>0</v>
      </c>
    </row>
    <row r="1817" spans="17:60">
      <c r="Q1817" s="224" t="s">
        <v>223</v>
      </c>
      <c r="R1817" s="224" t="s">
        <v>490</v>
      </c>
      <c r="S1817" s="224" t="s">
        <v>247</v>
      </c>
      <c r="T1817" s="224">
        <f ca="1">OFFSET('Calculations 2'!$C$45,W1817,X1817)*OFFSET($N$6,W1817,0)</f>
        <v>0</v>
      </c>
      <c r="V1817">
        <f t="shared" si="86"/>
        <v>722</v>
      </c>
      <c r="W1817">
        <f t="shared" si="87"/>
        <v>29</v>
      </c>
      <c r="X1817">
        <f t="shared" si="88"/>
        <v>21</v>
      </c>
      <c r="AC1817" s="224" t="s">
        <v>223</v>
      </c>
      <c r="AD1817" s="224" t="s">
        <v>490</v>
      </c>
      <c r="AE1817" s="224" t="s">
        <v>247</v>
      </c>
      <c r="AF1817">
        <f ca="1">OFFSET('Calculations 2'!$CE$45,W1817,0)*OFFSET($AA$6,X1817,0)*OFFSET($N$6,W1817,)</f>
        <v>0</v>
      </c>
      <c r="AY1817" s="224" t="s">
        <v>223</v>
      </c>
      <c r="AZ1817" s="224" t="s">
        <v>490</v>
      </c>
      <c r="BA1817" s="224" t="s">
        <v>247</v>
      </c>
      <c r="BB1817">
        <v>0</v>
      </c>
      <c r="BE1817" s="224" t="s">
        <v>223</v>
      </c>
      <c r="BF1817" s="224" t="s">
        <v>490</v>
      </c>
      <c r="BG1817" s="224" t="s">
        <v>247</v>
      </c>
      <c r="BH1817">
        <v>0</v>
      </c>
    </row>
    <row r="1818" spans="17:60">
      <c r="Q1818" s="224" t="s">
        <v>475</v>
      </c>
      <c r="R1818" s="224" t="s">
        <v>490</v>
      </c>
      <c r="S1818" s="224" t="s">
        <v>247</v>
      </c>
      <c r="T1818" s="224">
        <f ca="1">OFFSET('Calculations 2'!$C$45,W1818,X1818)*OFFSET($N$6,W1818,0)</f>
        <v>1.8239001980052845E-3</v>
      </c>
      <c r="V1818">
        <f t="shared" si="86"/>
        <v>723</v>
      </c>
      <c r="W1818">
        <f t="shared" si="87"/>
        <v>30</v>
      </c>
      <c r="X1818">
        <f t="shared" si="88"/>
        <v>21</v>
      </c>
      <c r="AC1818" s="224" t="s">
        <v>475</v>
      </c>
      <c r="AD1818" s="224" t="s">
        <v>490</v>
      </c>
      <c r="AE1818" s="224" t="s">
        <v>247</v>
      </c>
      <c r="AF1818">
        <f ca="1">OFFSET('Calculations 2'!$CE$45,W1818,0)*OFFSET($AA$6,X1818,0)*OFFSET($N$6,W1818,)</f>
        <v>0</v>
      </c>
      <c r="AY1818" s="224" t="s">
        <v>475</v>
      </c>
      <c r="AZ1818" s="224" t="s">
        <v>490</v>
      </c>
      <c r="BA1818" s="224" t="s">
        <v>247</v>
      </c>
      <c r="BB1818">
        <v>0</v>
      </c>
      <c r="BE1818" s="224" t="s">
        <v>475</v>
      </c>
      <c r="BF1818" s="224" t="s">
        <v>490</v>
      </c>
      <c r="BG1818" s="224" t="s">
        <v>247</v>
      </c>
      <c r="BH1818">
        <v>0</v>
      </c>
    </row>
    <row r="1819" spans="17:60">
      <c r="Q1819" s="224" t="s">
        <v>476</v>
      </c>
      <c r="R1819" s="224" t="s">
        <v>490</v>
      </c>
      <c r="S1819" s="224" t="s">
        <v>247</v>
      </c>
      <c r="T1819" s="224">
        <f ca="1">OFFSET('Calculations 2'!$C$45,W1819,X1819)*OFFSET($N$6,W1819,0)</f>
        <v>0.14666809316997764</v>
      </c>
      <c r="V1819">
        <f t="shared" si="86"/>
        <v>724</v>
      </c>
      <c r="W1819">
        <f t="shared" si="87"/>
        <v>31</v>
      </c>
      <c r="X1819">
        <f t="shared" si="88"/>
        <v>21</v>
      </c>
      <c r="AC1819" s="224" t="s">
        <v>476</v>
      </c>
      <c r="AD1819" s="224" t="s">
        <v>490</v>
      </c>
      <c r="AE1819" s="224" t="s">
        <v>247</v>
      </c>
      <c r="AF1819">
        <f ca="1">OFFSET('Calculations 2'!$CE$45,W1819,0)*OFFSET($AA$6,X1819,0)*OFFSET($N$6,W1819,)</f>
        <v>0</v>
      </c>
      <c r="AY1819" s="224" t="s">
        <v>476</v>
      </c>
      <c r="AZ1819" s="224" t="s">
        <v>490</v>
      </c>
      <c r="BA1819" s="224" t="s">
        <v>247</v>
      </c>
      <c r="BB1819">
        <v>0</v>
      </c>
      <c r="BE1819" s="224" t="s">
        <v>476</v>
      </c>
      <c r="BF1819" s="224" t="s">
        <v>490</v>
      </c>
      <c r="BG1819" s="224" t="s">
        <v>247</v>
      </c>
      <c r="BH1819">
        <v>0</v>
      </c>
    </row>
    <row r="1820" spans="17:60">
      <c r="Q1820" s="224" t="s">
        <v>222</v>
      </c>
      <c r="R1820" s="224" t="s">
        <v>490</v>
      </c>
      <c r="S1820" s="224" t="s">
        <v>247</v>
      </c>
      <c r="T1820" s="224">
        <f ca="1">OFFSET('Calculations 2'!$C$45,W1820,X1820)*OFFSET($N$6,W1820,0)</f>
        <v>0</v>
      </c>
      <c r="V1820">
        <f t="shared" si="86"/>
        <v>725</v>
      </c>
      <c r="W1820">
        <f t="shared" si="87"/>
        <v>32</v>
      </c>
      <c r="X1820">
        <f t="shared" si="88"/>
        <v>21</v>
      </c>
      <c r="AC1820" s="224" t="s">
        <v>222</v>
      </c>
      <c r="AD1820" s="224" t="s">
        <v>490</v>
      </c>
      <c r="AE1820" s="224" t="s">
        <v>247</v>
      </c>
      <c r="AF1820">
        <f ca="1">OFFSET('Calculations 2'!$CE$45,W1820,0)*OFFSET($AA$6,X1820,0)*OFFSET($N$6,W1820,)</f>
        <v>0</v>
      </c>
      <c r="AY1820" s="224" t="s">
        <v>222</v>
      </c>
      <c r="AZ1820" s="224" t="s">
        <v>490</v>
      </c>
      <c r="BA1820" s="224" t="s">
        <v>247</v>
      </c>
      <c r="BB1820">
        <v>0</v>
      </c>
      <c r="BE1820" s="224" t="s">
        <v>222</v>
      </c>
      <c r="BF1820" s="224" t="s">
        <v>490</v>
      </c>
      <c r="BG1820" s="224" t="s">
        <v>247</v>
      </c>
      <c r="BH1820">
        <v>0</v>
      </c>
    </row>
    <row r="1821" spans="17:60">
      <c r="Q1821" s="224" t="s">
        <v>217</v>
      </c>
      <c r="R1821" s="224" t="s">
        <v>490</v>
      </c>
      <c r="S1821" s="224" t="s">
        <v>218</v>
      </c>
      <c r="T1821" s="224">
        <f ca="1">OFFSET('Calculations 2'!$C$45,W1821,X1821)*OFFSET($N$6,W1821,0)</f>
        <v>508.28916326064598</v>
      </c>
      <c r="V1821">
        <f t="shared" si="86"/>
        <v>726</v>
      </c>
      <c r="W1821">
        <f t="shared" si="87"/>
        <v>0</v>
      </c>
      <c r="X1821">
        <f t="shared" si="88"/>
        <v>22</v>
      </c>
      <c r="AC1821" s="224" t="s">
        <v>217</v>
      </c>
      <c r="AD1821" s="224" t="s">
        <v>490</v>
      </c>
      <c r="AE1821" s="224" t="s">
        <v>218</v>
      </c>
      <c r="AF1821">
        <f ca="1">OFFSET('Calculations 2'!$CE$45,W1821,0)*OFFSET($AA$6,X1821,0)*OFFSET($N$6,W1821,)</f>
        <v>21.029336867016532</v>
      </c>
      <c r="AY1821" s="224" t="s">
        <v>217</v>
      </c>
      <c r="AZ1821" s="224" t="s">
        <v>490</v>
      </c>
      <c r="BA1821" s="224" t="s">
        <v>218</v>
      </c>
      <c r="BB1821">
        <v>0</v>
      </c>
      <c r="BE1821" s="224" t="s">
        <v>217</v>
      </c>
      <c r="BF1821" s="224" t="s">
        <v>490</v>
      </c>
      <c r="BG1821" s="224" t="s">
        <v>218</v>
      </c>
      <c r="BH1821">
        <v>0</v>
      </c>
    </row>
    <row r="1822" spans="17:60">
      <c r="Q1822" s="224" t="s">
        <v>232</v>
      </c>
      <c r="R1822" s="224" t="s">
        <v>490</v>
      </c>
      <c r="S1822" s="224" t="s">
        <v>218</v>
      </c>
      <c r="T1822" s="224">
        <f ca="1">OFFSET('Calculations 2'!$C$45,W1822,X1822)*OFFSET($N$6,W1822,0)</f>
        <v>0</v>
      </c>
      <c r="V1822">
        <f t="shared" si="86"/>
        <v>727</v>
      </c>
      <c r="W1822">
        <f t="shared" si="87"/>
        <v>1</v>
      </c>
      <c r="X1822">
        <f t="shared" si="88"/>
        <v>22</v>
      </c>
      <c r="AC1822" s="224" t="s">
        <v>232</v>
      </c>
      <c r="AD1822" s="224" t="s">
        <v>490</v>
      </c>
      <c r="AE1822" s="224" t="s">
        <v>218</v>
      </c>
      <c r="AF1822">
        <f ca="1">OFFSET('Calculations 2'!$CE$45,W1822,0)*OFFSET($AA$6,X1822,0)*OFFSET($N$6,W1822,)</f>
        <v>33.176549578032834</v>
      </c>
      <c r="AY1822" s="224" t="s">
        <v>232</v>
      </c>
      <c r="AZ1822" s="224" t="s">
        <v>490</v>
      </c>
      <c r="BA1822" s="224" t="s">
        <v>218</v>
      </c>
      <c r="BB1822">
        <v>0</v>
      </c>
      <c r="BE1822" s="224" t="s">
        <v>232</v>
      </c>
      <c r="BF1822" s="224" t="s">
        <v>490</v>
      </c>
      <c r="BG1822" s="224" t="s">
        <v>218</v>
      </c>
      <c r="BH1822">
        <v>0</v>
      </c>
    </row>
    <row r="1823" spans="17:60">
      <c r="Q1823" s="224" t="s">
        <v>226</v>
      </c>
      <c r="R1823" s="224" t="s">
        <v>490</v>
      </c>
      <c r="S1823" s="224" t="s">
        <v>218</v>
      </c>
      <c r="T1823" s="224">
        <f ca="1">OFFSET('Calculations 2'!$C$45,W1823,X1823)*OFFSET($N$6,W1823,0)</f>
        <v>1760.8703134047003</v>
      </c>
      <c r="V1823">
        <f t="shared" si="86"/>
        <v>728</v>
      </c>
      <c r="W1823">
        <f t="shared" si="87"/>
        <v>2</v>
      </c>
      <c r="X1823">
        <f t="shared" si="88"/>
        <v>22</v>
      </c>
      <c r="AC1823" s="224" t="s">
        <v>226</v>
      </c>
      <c r="AD1823" s="224" t="s">
        <v>490</v>
      </c>
      <c r="AE1823" s="224" t="s">
        <v>218</v>
      </c>
      <c r="AF1823">
        <f ca="1">OFFSET('Calculations 2'!$CE$45,W1823,0)*OFFSET($AA$6,X1823,0)*OFFSET($N$6,W1823,)</f>
        <v>8.3017886330235076</v>
      </c>
      <c r="AY1823" s="224" t="s">
        <v>226</v>
      </c>
      <c r="AZ1823" s="224" t="s">
        <v>490</v>
      </c>
      <c r="BA1823" s="224" t="s">
        <v>218</v>
      </c>
      <c r="BB1823">
        <v>0</v>
      </c>
      <c r="BE1823" s="224" t="s">
        <v>226</v>
      </c>
      <c r="BF1823" s="224" t="s">
        <v>490</v>
      </c>
      <c r="BG1823" s="224" t="s">
        <v>218</v>
      </c>
      <c r="BH1823">
        <v>0</v>
      </c>
    </row>
    <row r="1824" spans="17:60">
      <c r="Q1824" s="224" t="s">
        <v>243</v>
      </c>
      <c r="R1824" s="224" t="s">
        <v>490</v>
      </c>
      <c r="S1824" s="224" t="s">
        <v>218</v>
      </c>
      <c r="T1824" s="224">
        <f ca="1">OFFSET('Calculations 2'!$C$45,W1824,X1824)*OFFSET($N$6,W1824,0)</f>
        <v>215.06964195836548</v>
      </c>
      <c r="V1824">
        <f t="shared" si="86"/>
        <v>729</v>
      </c>
      <c r="W1824">
        <f t="shared" si="87"/>
        <v>3</v>
      </c>
      <c r="X1824">
        <f t="shared" si="88"/>
        <v>22</v>
      </c>
      <c r="AC1824" s="224" t="s">
        <v>243</v>
      </c>
      <c r="AD1824" s="224" t="s">
        <v>490</v>
      </c>
      <c r="AE1824" s="224" t="s">
        <v>218</v>
      </c>
      <c r="AF1824">
        <f ca="1">OFFSET('Calculations 2'!$CE$45,W1824,0)*OFFSET($AA$6,X1824,0)*OFFSET($N$6,W1824,)</f>
        <v>162.91447463349382</v>
      </c>
      <c r="AY1824" s="224" t="s">
        <v>243</v>
      </c>
      <c r="AZ1824" s="224" t="s">
        <v>490</v>
      </c>
      <c r="BA1824" s="224" t="s">
        <v>218</v>
      </c>
      <c r="BB1824">
        <v>0</v>
      </c>
      <c r="BE1824" s="224" t="s">
        <v>243</v>
      </c>
      <c r="BF1824" s="224" t="s">
        <v>490</v>
      </c>
      <c r="BG1824" s="224" t="s">
        <v>218</v>
      </c>
      <c r="BH1824">
        <v>0</v>
      </c>
    </row>
    <row r="1825" spans="17:60">
      <c r="Q1825" s="224" t="s">
        <v>228</v>
      </c>
      <c r="R1825" s="224" t="s">
        <v>490</v>
      </c>
      <c r="S1825" s="224" t="s">
        <v>218</v>
      </c>
      <c r="T1825" s="224">
        <f ca="1">OFFSET('Calculations 2'!$C$45,W1825,X1825)*OFFSET($N$6,W1825,0)</f>
        <v>84.011534532722635</v>
      </c>
      <c r="V1825">
        <f t="shared" si="86"/>
        <v>730</v>
      </c>
      <c r="W1825">
        <f t="shared" si="87"/>
        <v>4</v>
      </c>
      <c r="X1825">
        <f t="shared" si="88"/>
        <v>22</v>
      </c>
      <c r="AC1825" s="224" t="s">
        <v>228</v>
      </c>
      <c r="AD1825" s="224" t="s">
        <v>490</v>
      </c>
      <c r="AE1825" s="224" t="s">
        <v>218</v>
      </c>
      <c r="AF1825">
        <f ca="1">OFFSET('Calculations 2'!$CE$45,W1825,0)*OFFSET($AA$6,X1825,0)*OFFSET($N$6,W1825,)</f>
        <v>84.906050617976447</v>
      </c>
      <c r="AY1825" s="224" t="s">
        <v>228</v>
      </c>
      <c r="AZ1825" s="224" t="s">
        <v>490</v>
      </c>
      <c r="BA1825" s="224" t="s">
        <v>218</v>
      </c>
      <c r="BB1825">
        <v>0</v>
      </c>
      <c r="BE1825" s="224" t="s">
        <v>228</v>
      </c>
      <c r="BF1825" s="224" t="s">
        <v>490</v>
      </c>
      <c r="BG1825" s="224" t="s">
        <v>218</v>
      </c>
      <c r="BH1825">
        <v>0</v>
      </c>
    </row>
    <row r="1826" spans="17:60">
      <c r="Q1826" s="224" t="s">
        <v>246</v>
      </c>
      <c r="R1826" s="224" t="s">
        <v>490</v>
      </c>
      <c r="S1826" s="224" t="s">
        <v>218</v>
      </c>
      <c r="T1826" s="224">
        <f ca="1">OFFSET('Calculations 2'!$C$45,W1826,X1826)*OFFSET($N$6,W1826,0)</f>
        <v>0</v>
      </c>
      <c r="V1826">
        <f t="shared" si="86"/>
        <v>731</v>
      </c>
      <c r="W1826">
        <f t="shared" si="87"/>
        <v>5</v>
      </c>
      <c r="X1826">
        <f t="shared" si="88"/>
        <v>22</v>
      </c>
      <c r="AC1826" s="224" t="s">
        <v>246</v>
      </c>
      <c r="AD1826" s="224" t="s">
        <v>490</v>
      </c>
      <c r="AE1826" s="224" t="s">
        <v>218</v>
      </c>
      <c r="AF1826">
        <f ca="1">OFFSET('Calculations 2'!$CE$45,W1826,0)*OFFSET($AA$6,X1826,0)*OFFSET($N$6,W1826,)</f>
        <v>1.5197539443494319</v>
      </c>
      <c r="AY1826" s="224" t="s">
        <v>246</v>
      </c>
      <c r="AZ1826" s="224" t="s">
        <v>490</v>
      </c>
      <c r="BA1826" s="224" t="s">
        <v>218</v>
      </c>
      <c r="BB1826">
        <v>0</v>
      </c>
      <c r="BE1826" s="224" t="s">
        <v>246</v>
      </c>
      <c r="BF1826" s="224" t="s">
        <v>490</v>
      </c>
      <c r="BG1826" s="224" t="s">
        <v>218</v>
      </c>
      <c r="BH1826">
        <v>0</v>
      </c>
    </row>
    <row r="1827" spans="17:60">
      <c r="Q1827" s="224" t="s">
        <v>239</v>
      </c>
      <c r="R1827" s="224" t="s">
        <v>490</v>
      </c>
      <c r="S1827" s="224" t="s">
        <v>218</v>
      </c>
      <c r="T1827" s="224">
        <f ca="1">OFFSET('Calculations 2'!$C$45,W1827,X1827)*OFFSET($N$6,W1827,0)</f>
        <v>61.174150413591249</v>
      </c>
      <c r="V1827">
        <f t="shared" si="86"/>
        <v>732</v>
      </c>
      <c r="W1827">
        <f t="shared" si="87"/>
        <v>6</v>
      </c>
      <c r="X1827">
        <f t="shared" si="88"/>
        <v>22</v>
      </c>
      <c r="AC1827" s="224" t="s">
        <v>239</v>
      </c>
      <c r="AD1827" s="224" t="s">
        <v>490</v>
      </c>
      <c r="AE1827" s="224" t="s">
        <v>218</v>
      </c>
      <c r="AF1827">
        <f ca="1">OFFSET('Calculations 2'!$CE$45,W1827,0)*OFFSET($AA$6,X1827,0)*OFFSET($N$6,W1827,)</f>
        <v>21.884333908069987</v>
      </c>
      <c r="AY1827" s="224" t="s">
        <v>239</v>
      </c>
      <c r="AZ1827" s="224" t="s">
        <v>490</v>
      </c>
      <c r="BA1827" s="224" t="s">
        <v>218</v>
      </c>
      <c r="BB1827">
        <v>0</v>
      </c>
      <c r="BE1827" s="224" t="s">
        <v>239</v>
      </c>
      <c r="BF1827" s="224" t="s">
        <v>490</v>
      </c>
      <c r="BG1827" s="224" t="s">
        <v>218</v>
      </c>
      <c r="BH1827">
        <v>0</v>
      </c>
    </row>
    <row r="1828" spans="17:60">
      <c r="Q1828" s="224" t="s">
        <v>466</v>
      </c>
      <c r="R1828" s="224" t="s">
        <v>490</v>
      </c>
      <c r="S1828" s="224" t="s">
        <v>218</v>
      </c>
      <c r="T1828" s="224">
        <f ca="1">OFFSET('Calculations 2'!$C$45,W1828,X1828)*OFFSET($N$6,W1828,0)</f>
        <v>17173.864966310692</v>
      </c>
      <c r="V1828">
        <f t="shared" si="86"/>
        <v>733</v>
      </c>
      <c r="W1828">
        <f t="shared" si="87"/>
        <v>7</v>
      </c>
      <c r="X1828">
        <f t="shared" si="88"/>
        <v>22</v>
      </c>
      <c r="AC1828" s="224" t="s">
        <v>466</v>
      </c>
      <c r="AD1828" s="224" t="s">
        <v>490</v>
      </c>
      <c r="AE1828" s="224" t="s">
        <v>218</v>
      </c>
      <c r="AF1828">
        <f ca="1">OFFSET('Calculations 2'!$CE$45,W1828,0)*OFFSET($AA$6,X1828,0)*OFFSET($N$6,W1828,)</f>
        <v>5.5107309131912041</v>
      </c>
      <c r="AY1828" s="224" t="s">
        <v>466</v>
      </c>
      <c r="AZ1828" s="224" t="s">
        <v>490</v>
      </c>
      <c r="BA1828" s="224" t="s">
        <v>218</v>
      </c>
      <c r="BB1828">
        <v>0</v>
      </c>
      <c r="BE1828" s="224" t="s">
        <v>466</v>
      </c>
      <c r="BF1828" s="224" t="s">
        <v>490</v>
      </c>
      <c r="BG1828" s="224" t="s">
        <v>218</v>
      </c>
      <c r="BH1828">
        <v>0</v>
      </c>
    </row>
    <row r="1829" spans="17:60">
      <c r="Q1829" s="224" t="s">
        <v>219</v>
      </c>
      <c r="R1829" s="224" t="s">
        <v>490</v>
      </c>
      <c r="S1829" s="224" t="s">
        <v>218</v>
      </c>
      <c r="T1829" s="224">
        <f ca="1">OFFSET('Calculations 2'!$C$45,W1829,X1829)*OFFSET($N$6,W1829,0)</f>
        <v>328.83006336788992</v>
      </c>
      <c r="V1829">
        <f t="shared" si="86"/>
        <v>734</v>
      </c>
      <c r="W1829">
        <f t="shared" si="87"/>
        <v>8</v>
      </c>
      <c r="X1829">
        <f t="shared" si="88"/>
        <v>22</v>
      </c>
      <c r="AC1829" s="224" t="s">
        <v>219</v>
      </c>
      <c r="AD1829" s="224" t="s">
        <v>490</v>
      </c>
      <c r="AE1829" s="224" t="s">
        <v>218</v>
      </c>
      <c r="AF1829">
        <f ca="1">OFFSET('Calculations 2'!$CE$45,W1829,0)*OFFSET($AA$6,X1829,0)*OFFSET($N$6,W1829,)</f>
        <v>75.542948408422617</v>
      </c>
      <c r="AY1829" s="224" t="s">
        <v>219</v>
      </c>
      <c r="AZ1829" s="224" t="s">
        <v>490</v>
      </c>
      <c r="BA1829" s="224" t="s">
        <v>218</v>
      </c>
      <c r="BB1829">
        <v>0</v>
      </c>
      <c r="BE1829" s="224" t="s">
        <v>219</v>
      </c>
      <c r="BF1829" s="224" t="s">
        <v>490</v>
      </c>
      <c r="BG1829" s="224" t="s">
        <v>218</v>
      </c>
      <c r="BH1829">
        <v>0</v>
      </c>
    </row>
    <row r="1830" spans="17:60">
      <c r="Q1830" s="224" t="s">
        <v>242</v>
      </c>
      <c r="R1830" s="224" t="s">
        <v>490</v>
      </c>
      <c r="S1830" s="224" t="s">
        <v>218</v>
      </c>
      <c r="T1830" s="224">
        <f ca="1">OFFSET('Calculations 2'!$C$45,W1830,X1830)*OFFSET($N$6,W1830,0)</f>
        <v>0</v>
      </c>
      <c r="V1830">
        <f t="shared" si="86"/>
        <v>735</v>
      </c>
      <c r="W1830">
        <f t="shared" si="87"/>
        <v>9</v>
      </c>
      <c r="X1830">
        <f t="shared" si="88"/>
        <v>22</v>
      </c>
      <c r="AC1830" s="224" t="s">
        <v>242</v>
      </c>
      <c r="AD1830" s="224" t="s">
        <v>490</v>
      </c>
      <c r="AE1830" s="224" t="s">
        <v>218</v>
      </c>
      <c r="AF1830">
        <f ca="1">OFFSET('Calculations 2'!$CE$45,W1830,0)*OFFSET($AA$6,X1830,0)*OFFSET($N$6,W1830,)</f>
        <v>57.855857247143859</v>
      </c>
      <c r="AY1830" s="224" t="s">
        <v>242</v>
      </c>
      <c r="AZ1830" s="224" t="s">
        <v>490</v>
      </c>
      <c r="BA1830" s="224" t="s">
        <v>218</v>
      </c>
      <c r="BB1830">
        <v>0</v>
      </c>
      <c r="BE1830" s="224" t="s">
        <v>242</v>
      </c>
      <c r="BF1830" s="224" t="s">
        <v>490</v>
      </c>
      <c r="BG1830" s="224" t="s">
        <v>218</v>
      </c>
      <c r="BH1830">
        <v>0</v>
      </c>
    </row>
    <row r="1831" spans="17:60">
      <c r="Q1831" s="224" t="s">
        <v>467</v>
      </c>
      <c r="R1831" s="224" t="s">
        <v>490</v>
      </c>
      <c r="S1831" s="224" t="s">
        <v>218</v>
      </c>
      <c r="T1831" s="224">
        <f ca="1">OFFSET('Calculations 2'!$C$45,W1831,X1831)*OFFSET($N$6,W1831,0)</f>
        <v>0</v>
      </c>
      <c r="V1831">
        <f t="shared" si="86"/>
        <v>736</v>
      </c>
      <c r="W1831">
        <f t="shared" si="87"/>
        <v>10</v>
      </c>
      <c r="X1831">
        <f t="shared" si="88"/>
        <v>22</v>
      </c>
      <c r="AC1831" s="224" t="s">
        <v>467</v>
      </c>
      <c r="AD1831" s="224" t="s">
        <v>490</v>
      </c>
      <c r="AE1831" s="224" t="s">
        <v>218</v>
      </c>
      <c r="AF1831">
        <f ca="1">OFFSET('Calculations 2'!$CE$45,W1831,0)*OFFSET($AA$6,X1831,0)*OFFSET($N$6,W1831,)</f>
        <v>21.839854347403058</v>
      </c>
      <c r="AY1831" s="224" t="s">
        <v>467</v>
      </c>
      <c r="AZ1831" s="224" t="s">
        <v>490</v>
      </c>
      <c r="BA1831" s="224" t="s">
        <v>218</v>
      </c>
      <c r="BB1831">
        <v>0</v>
      </c>
      <c r="BE1831" s="224" t="s">
        <v>467</v>
      </c>
      <c r="BF1831" s="224" t="s">
        <v>490</v>
      </c>
      <c r="BG1831" s="224" t="s">
        <v>218</v>
      </c>
      <c r="BH1831">
        <v>0</v>
      </c>
    </row>
    <row r="1832" spans="17:60">
      <c r="Q1832" s="224" t="s">
        <v>231</v>
      </c>
      <c r="R1832" s="224" t="s">
        <v>490</v>
      </c>
      <c r="S1832" s="224" t="s">
        <v>218</v>
      </c>
      <c r="T1832" s="224">
        <f ca="1">OFFSET('Calculations 2'!$C$45,W1832,X1832)*OFFSET($N$6,W1832,0)</f>
        <v>0</v>
      </c>
      <c r="V1832">
        <f t="shared" si="86"/>
        <v>737</v>
      </c>
      <c r="W1832">
        <f t="shared" si="87"/>
        <v>11</v>
      </c>
      <c r="X1832">
        <f t="shared" si="88"/>
        <v>22</v>
      </c>
      <c r="AC1832" s="224" t="s">
        <v>231</v>
      </c>
      <c r="AD1832" s="224" t="s">
        <v>490</v>
      </c>
      <c r="AE1832" s="224" t="s">
        <v>218</v>
      </c>
      <c r="AF1832">
        <f ca="1">OFFSET('Calculations 2'!$CE$45,W1832,0)*OFFSET($AA$6,X1832,0)*OFFSET($N$6,W1832,)</f>
        <v>273.37249129473634</v>
      </c>
      <c r="AY1832" s="224" t="s">
        <v>231</v>
      </c>
      <c r="AZ1832" s="224" t="s">
        <v>490</v>
      </c>
      <c r="BA1832" s="224" t="s">
        <v>218</v>
      </c>
      <c r="BB1832">
        <v>0</v>
      </c>
      <c r="BE1832" s="224" t="s">
        <v>231</v>
      </c>
      <c r="BF1832" s="224" t="s">
        <v>490</v>
      </c>
      <c r="BG1832" s="224" t="s">
        <v>218</v>
      </c>
      <c r="BH1832">
        <v>0</v>
      </c>
    </row>
    <row r="1833" spans="17:60">
      <c r="Q1833" s="224" t="s">
        <v>468</v>
      </c>
      <c r="R1833" s="224" t="s">
        <v>490</v>
      </c>
      <c r="S1833" s="224" t="s">
        <v>218</v>
      </c>
      <c r="T1833" s="224">
        <f ca="1">OFFSET('Calculations 2'!$C$45,W1833,X1833)*OFFSET($N$6,W1833,0)</f>
        <v>0</v>
      </c>
      <c r="V1833">
        <f t="shared" si="86"/>
        <v>738</v>
      </c>
      <c r="W1833">
        <f t="shared" si="87"/>
        <v>12</v>
      </c>
      <c r="X1833">
        <f t="shared" si="88"/>
        <v>22</v>
      </c>
      <c r="AC1833" s="224" t="s">
        <v>468</v>
      </c>
      <c r="AD1833" s="224" t="s">
        <v>490</v>
      </c>
      <c r="AE1833" s="224" t="s">
        <v>218</v>
      </c>
      <c r="AF1833">
        <f ca="1">OFFSET('Calculations 2'!$CE$45,W1833,0)*OFFSET($AA$6,X1833,0)*OFFSET($N$6,W1833,)</f>
        <v>1047.227657809852</v>
      </c>
      <c r="AY1833" s="224" t="s">
        <v>468</v>
      </c>
      <c r="AZ1833" s="224" t="s">
        <v>490</v>
      </c>
      <c r="BA1833" s="224" t="s">
        <v>218</v>
      </c>
      <c r="BB1833">
        <v>0</v>
      </c>
      <c r="BE1833" s="224" t="s">
        <v>468</v>
      </c>
      <c r="BF1833" s="224" t="s">
        <v>490</v>
      </c>
      <c r="BG1833" s="224" t="s">
        <v>218</v>
      </c>
      <c r="BH1833">
        <v>0</v>
      </c>
    </row>
    <row r="1834" spans="17:60">
      <c r="Q1834" s="224" t="s">
        <v>469</v>
      </c>
      <c r="R1834" s="224" t="s">
        <v>490</v>
      </c>
      <c r="S1834" s="224" t="s">
        <v>218</v>
      </c>
      <c r="T1834" s="224">
        <f ca="1">OFFSET('Calculations 2'!$C$45,W1834,X1834)*OFFSET($N$6,W1834,0)</f>
        <v>0</v>
      </c>
      <c r="V1834">
        <f t="shared" si="86"/>
        <v>739</v>
      </c>
      <c r="W1834">
        <f t="shared" si="87"/>
        <v>13</v>
      </c>
      <c r="X1834">
        <f t="shared" si="88"/>
        <v>22</v>
      </c>
      <c r="AC1834" s="224" t="s">
        <v>469</v>
      </c>
      <c r="AD1834" s="224" t="s">
        <v>490</v>
      </c>
      <c r="AE1834" s="224" t="s">
        <v>218</v>
      </c>
      <c r="AF1834">
        <f ca="1">OFFSET('Calculations 2'!$CE$45,W1834,0)*OFFSET($AA$6,X1834,0)*OFFSET($N$6,W1834,)</f>
        <v>561.49152440980629</v>
      </c>
      <c r="AY1834" s="224" t="s">
        <v>469</v>
      </c>
      <c r="AZ1834" s="224" t="s">
        <v>490</v>
      </c>
      <c r="BA1834" s="224" t="s">
        <v>218</v>
      </c>
      <c r="BB1834">
        <v>0</v>
      </c>
      <c r="BE1834" s="224" t="s">
        <v>469</v>
      </c>
      <c r="BF1834" s="224" t="s">
        <v>490</v>
      </c>
      <c r="BG1834" s="224" t="s">
        <v>218</v>
      </c>
      <c r="BH1834">
        <v>0</v>
      </c>
    </row>
    <row r="1835" spans="17:60">
      <c r="Q1835" s="224" t="s">
        <v>245</v>
      </c>
      <c r="R1835" s="224" t="s">
        <v>490</v>
      </c>
      <c r="S1835" s="224" t="s">
        <v>218</v>
      </c>
      <c r="T1835" s="224">
        <f ca="1">OFFSET('Calculations 2'!$C$45,W1835,X1835)*OFFSET($N$6,W1835,0)</f>
        <v>1131.0334377303207</v>
      </c>
      <c r="V1835">
        <f t="shared" si="86"/>
        <v>740</v>
      </c>
      <c r="W1835">
        <f t="shared" si="87"/>
        <v>14</v>
      </c>
      <c r="X1835">
        <f t="shared" si="88"/>
        <v>22</v>
      </c>
      <c r="AC1835" s="224" t="s">
        <v>245</v>
      </c>
      <c r="AD1835" s="224" t="s">
        <v>490</v>
      </c>
      <c r="AE1835" s="224" t="s">
        <v>218</v>
      </c>
      <c r="AF1835">
        <f ca="1">OFFSET('Calculations 2'!$CE$45,W1835,0)*OFFSET($AA$6,X1835,0)*OFFSET($N$6,W1835,)</f>
        <v>896.07731819159312</v>
      </c>
      <c r="AY1835" s="224" t="s">
        <v>245</v>
      </c>
      <c r="AZ1835" s="224" t="s">
        <v>490</v>
      </c>
      <c r="BA1835" s="224" t="s">
        <v>218</v>
      </c>
      <c r="BB1835">
        <v>0</v>
      </c>
      <c r="BE1835" s="224" t="s">
        <v>245</v>
      </c>
      <c r="BF1835" s="224" t="s">
        <v>490</v>
      </c>
      <c r="BG1835" s="224" t="s">
        <v>218</v>
      </c>
      <c r="BH1835">
        <v>0</v>
      </c>
    </row>
    <row r="1836" spans="17:60">
      <c r="Q1836" s="224" t="s">
        <v>470</v>
      </c>
      <c r="R1836" s="224" t="s">
        <v>490</v>
      </c>
      <c r="S1836" s="224" t="s">
        <v>218</v>
      </c>
      <c r="T1836" s="224">
        <f ca="1">OFFSET('Calculations 2'!$C$45,W1836,X1836)*OFFSET($N$6,W1836,0)</f>
        <v>996.33647860676422</v>
      </c>
      <c r="V1836">
        <f t="shared" si="86"/>
        <v>741</v>
      </c>
      <c r="W1836">
        <f t="shared" si="87"/>
        <v>15</v>
      </c>
      <c r="X1836">
        <f t="shared" si="88"/>
        <v>22</v>
      </c>
      <c r="AC1836" s="224" t="s">
        <v>470</v>
      </c>
      <c r="AD1836" s="224" t="s">
        <v>490</v>
      </c>
      <c r="AE1836" s="224" t="s">
        <v>218</v>
      </c>
      <c r="AF1836">
        <f ca="1">OFFSET('Calculations 2'!$CE$45,W1836,0)*OFFSET($AA$6,X1836,0)*OFFSET($N$6,W1836,)</f>
        <v>340.00280020698989</v>
      </c>
      <c r="AY1836" s="224" t="s">
        <v>470</v>
      </c>
      <c r="AZ1836" s="224" t="s">
        <v>490</v>
      </c>
      <c r="BA1836" s="224" t="s">
        <v>218</v>
      </c>
      <c r="BB1836">
        <v>0</v>
      </c>
      <c r="BE1836" s="224" t="s">
        <v>470</v>
      </c>
      <c r="BF1836" s="224" t="s">
        <v>490</v>
      </c>
      <c r="BG1836" s="224" t="s">
        <v>218</v>
      </c>
      <c r="BH1836">
        <v>0</v>
      </c>
    </row>
    <row r="1837" spans="17:60">
      <c r="Q1837" s="224" t="s">
        <v>471</v>
      </c>
      <c r="R1837" s="224" t="s">
        <v>490</v>
      </c>
      <c r="S1837" s="224" t="s">
        <v>218</v>
      </c>
      <c r="T1837" s="224">
        <f ca="1">OFFSET('Calculations 2'!$C$45,W1837,X1837)*OFFSET($N$6,W1837,0)</f>
        <v>1.2185526463813237</v>
      </c>
      <c r="V1837">
        <f t="shared" si="86"/>
        <v>742</v>
      </c>
      <c r="W1837">
        <f t="shared" si="87"/>
        <v>16</v>
      </c>
      <c r="X1837">
        <f t="shared" si="88"/>
        <v>22</v>
      </c>
      <c r="AC1837" s="224" t="s">
        <v>471</v>
      </c>
      <c r="AD1837" s="224" t="s">
        <v>490</v>
      </c>
      <c r="AE1837" s="224" t="s">
        <v>218</v>
      </c>
      <c r="AF1837">
        <f ca="1">OFFSET('Calculations 2'!$CE$45,W1837,0)*OFFSET($AA$6,X1837,0)*OFFSET($N$6,W1837,)</f>
        <v>0</v>
      </c>
      <c r="AY1837" s="224" t="s">
        <v>471</v>
      </c>
      <c r="AZ1837" s="224" t="s">
        <v>490</v>
      </c>
      <c r="BA1837" s="224" t="s">
        <v>218</v>
      </c>
      <c r="BB1837">
        <v>0</v>
      </c>
      <c r="BE1837" s="224" t="s">
        <v>471</v>
      </c>
      <c r="BF1837" s="224" t="s">
        <v>490</v>
      </c>
      <c r="BG1837" s="224" t="s">
        <v>218</v>
      </c>
      <c r="BH1837">
        <v>0</v>
      </c>
    </row>
    <row r="1838" spans="17:60">
      <c r="Q1838" s="224" t="s">
        <v>221</v>
      </c>
      <c r="R1838" s="224" t="s">
        <v>490</v>
      </c>
      <c r="S1838" s="224" t="s">
        <v>218</v>
      </c>
      <c r="T1838" s="224">
        <f ca="1">OFFSET('Calculations 2'!$C$45,W1838,X1838)*OFFSET($N$6,W1838,0)</f>
        <v>10.828802797591738</v>
      </c>
      <c r="V1838">
        <f t="shared" si="86"/>
        <v>743</v>
      </c>
      <c r="W1838">
        <f t="shared" si="87"/>
        <v>17</v>
      </c>
      <c r="X1838">
        <f t="shared" si="88"/>
        <v>22</v>
      </c>
      <c r="AC1838" s="224" t="s">
        <v>221</v>
      </c>
      <c r="AD1838" s="224" t="s">
        <v>490</v>
      </c>
      <c r="AE1838" s="224" t="s">
        <v>218</v>
      </c>
      <c r="AF1838">
        <f ca="1">OFFSET('Calculations 2'!$CE$45,W1838,0)*OFFSET($AA$6,X1838,0)*OFFSET($N$6,W1838,)</f>
        <v>66.557505814090803</v>
      </c>
      <c r="AY1838" s="224" t="s">
        <v>221</v>
      </c>
      <c r="AZ1838" s="224" t="s">
        <v>490</v>
      </c>
      <c r="BA1838" s="224" t="s">
        <v>218</v>
      </c>
      <c r="BB1838">
        <v>0</v>
      </c>
      <c r="BE1838" s="224" t="s">
        <v>221</v>
      </c>
      <c r="BF1838" s="224" t="s">
        <v>490</v>
      </c>
      <c r="BG1838" s="224" t="s">
        <v>218</v>
      </c>
      <c r="BH1838">
        <v>0</v>
      </c>
    </row>
    <row r="1839" spans="17:60">
      <c r="Q1839" s="224" t="s">
        <v>244</v>
      </c>
      <c r="R1839" s="224" t="s">
        <v>490</v>
      </c>
      <c r="S1839" s="224" t="s">
        <v>218</v>
      </c>
      <c r="T1839" s="224">
        <f ca="1">OFFSET('Calculations 2'!$C$45,W1839,X1839)*OFFSET($N$6,W1839,0)</f>
        <v>69.787466147563677</v>
      </c>
      <c r="V1839">
        <f t="shared" si="86"/>
        <v>744</v>
      </c>
      <c r="W1839">
        <f t="shared" si="87"/>
        <v>18</v>
      </c>
      <c r="X1839">
        <f t="shared" si="88"/>
        <v>22</v>
      </c>
      <c r="AC1839" s="224" t="s">
        <v>244</v>
      </c>
      <c r="AD1839" s="224" t="s">
        <v>490</v>
      </c>
      <c r="AE1839" s="224" t="s">
        <v>218</v>
      </c>
      <c r="AF1839">
        <f ca="1">OFFSET('Calculations 2'!$CE$45,W1839,0)*OFFSET($AA$6,X1839,0)*OFFSET($N$6,W1839,)</f>
        <v>5.8233300274756363</v>
      </c>
      <c r="AY1839" s="224" t="s">
        <v>244</v>
      </c>
      <c r="AZ1839" s="224" t="s">
        <v>490</v>
      </c>
      <c r="BA1839" s="224" t="s">
        <v>218</v>
      </c>
      <c r="BB1839">
        <v>0</v>
      </c>
      <c r="BE1839" s="224" t="s">
        <v>244</v>
      </c>
      <c r="BF1839" s="224" t="s">
        <v>490</v>
      </c>
      <c r="BG1839" s="224" t="s">
        <v>218</v>
      </c>
      <c r="BH1839">
        <v>0</v>
      </c>
    </row>
    <row r="1840" spans="17:60">
      <c r="Q1840" s="224" t="s">
        <v>472</v>
      </c>
      <c r="R1840" s="224" t="s">
        <v>490</v>
      </c>
      <c r="S1840" s="224" t="s">
        <v>218</v>
      </c>
      <c r="T1840" s="224">
        <f ca="1">OFFSET('Calculations 2'!$C$45,W1840,X1840)*OFFSET($N$6,W1840,0)</f>
        <v>22.946167328581531</v>
      </c>
      <c r="V1840">
        <f t="shared" si="86"/>
        <v>745</v>
      </c>
      <c r="W1840">
        <f t="shared" si="87"/>
        <v>19</v>
      </c>
      <c r="X1840">
        <f t="shared" si="88"/>
        <v>22</v>
      </c>
      <c r="AC1840" s="224" t="s">
        <v>472</v>
      </c>
      <c r="AD1840" s="224" t="s">
        <v>490</v>
      </c>
      <c r="AE1840" s="224" t="s">
        <v>218</v>
      </c>
      <c r="AF1840">
        <f ca="1">OFFSET('Calculations 2'!$CE$45,W1840,0)*OFFSET($AA$6,X1840,0)*OFFSET($N$6,W1840,)</f>
        <v>0</v>
      </c>
      <c r="AY1840" s="224" t="s">
        <v>472</v>
      </c>
      <c r="AZ1840" s="224" t="s">
        <v>490</v>
      </c>
      <c r="BA1840" s="224" t="s">
        <v>218</v>
      </c>
      <c r="BB1840">
        <v>0</v>
      </c>
      <c r="BE1840" s="224" t="s">
        <v>472</v>
      </c>
      <c r="BF1840" s="224" t="s">
        <v>490</v>
      </c>
      <c r="BG1840" s="224" t="s">
        <v>218</v>
      </c>
      <c r="BH1840">
        <v>0</v>
      </c>
    </row>
    <row r="1841" spans="17:60">
      <c r="Q1841" s="224" t="s">
        <v>238</v>
      </c>
      <c r="R1841" s="224" t="s">
        <v>490</v>
      </c>
      <c r="S1841" s="224" t="s">
        <v>218</v>
      </c>
      <c r="T1841" s="224">
        <f ca="1">OFFSET('Calculations 2'!$C$45,W1841,X1841)*OFFSET($N$6,W1841,0)</f>
        <v>13.95956404092777</v>
      </c>
      <c r="V1841">
        <f t="shared" si="86"/>
        <v>746</v>
      </c>
      <c r="W1841">
        <f t="shared" si="87"/>
        <v>20</v>
      </c>
      <c r="X1841">
        <f t="shared" si="88"/>
        <v>22</v>
      </c>
      <c r="AC1841" s="224" t="s">
        <v>238</v>
      </c>
      <c r="AD1841" s="224" t="s">
        <v>490</v>
      </c>
      <c r="AE1841" s="224" t="s">
        <v>218</v>
      </c>
      <c r="AF1841">
        <f ca="1">OFFSET('Calculations 2'!$CE$45,W1841,0)*OFFSET($AA$6,X1841,0)*OFFSET($N$6,W1841,)</f>
        <v>0</v>
      </c>
      <c r="AY1841" s="224" t="s">
        <v>238</v>
      </c>
      <c r="AZ1841" s="224" t="s">
        <v>490</v>
      </c>
      <c r="BA1841" s="224" t="s">
        <v>218</v>
      </c>
      <c r="BB1841">
        <v>0</v>
      </c>
      <c r="BE1841" s="224" t="s">
        <v>238</v>
      </c>
      <c r="BF1841" s="224" t="s">
        <v>490</v>
      </c>
      <c r="BG1841" s="224" t="s">
        <v>218</v>
      </c>
      <c r="BH1841">
        <v>0</v>
      </c>
    </row>
    <row r="1842" spans="17:60">
      <c r="Q1842" s="224" t="s">
        <v>247</v>
      </c>
      <c r="R1842" s="224" t="s">
        <v>490</v>
      </c>
      <c r="S1842" s="224" t="s">
        <v>218</v>
      </c>
      <c r="T1842" s="224">
        <f ca="1">OFFSET('Calculations 2'!$C$45,W1842,X1842)*OFFSET($N$6,W1842,0)</f>
        <v>0</v>
      </c>
      <c r="V1842">
        <f t="shared" si="86"/>
        <v>747</v>
      </c>
      <c r="W1842">
        <f t="shared" si="87"/>
        <v>21</v>
      </c>
      <c r="X1842">
        <f t="shared" si="88"/>
        <v>22</v>
      </c>
      <c r="AC1842" s="224" t="s">
        <v>247</v>
      </c>
      <c r="AD1842" s="224" t="s">
        <v>490</v>
      </c>
      <c r="AE1842" s="224" t="s">
        <v>218</v>
      </c>
      <c r="AF1842">
        <f ca="1">OFFSET('Calculations 2'!$CE$45,W1842,0)*OFFSET($AA$6,X1842,0)*OFFSET($N$6,W1842,)</f>
        <v>0</v>
      </c>
      <c r="AY1842" s="224" t="s">
        <v>247</v>
      </c>
      <c r="AZ1842" s="224" t="s">
        <v>490</v>
      </c>
      <c r="BA1842" s="224" t="s">
        <v>218</v>
      </c>
      <c r="BB1842">
        <v>0</v>
      </c>
      <c r="BE1842" s="224" t="s">
        <v>247</v>
      </c>
      <c r="BF1842" s="224" t="s">
        <v>490</v>
      </c>
      <c r="BG1842" s="224" t="s">
        <v>218</v>
      </c>
      <c r="BH1842">
        <v>0</v>
      </c>
    </row>
    <row r="1843" spans="17:60">
      <c r="Q1843" s="224" t="s">
        <v>218</v>
      </c>
      <c r="R1843" s="224" t="s">
        <v>490</v>
      </c>
      <c r="S1843" s="224" t="s">
        <v>218</v>
      </c>
      <c r="T1843" s="224">
        <f ca="1">OFFSET('Calculations 2'!$C$45,W1843,X1843)*OFFSET($N$6,W1843,0)</f>
        <v>0</v>
      </c>
      <c r="V1843">
        <f t="shared" si="86"/>
        <v>748</v>
      </c>
      <c r="W1843">
        <f t="shared" si="87"/>
        <v>22</v>
      </c>
      <c r="X1843">
        <f t="shared" si="88"/>
        <v>22</v>
      </c>
      <c r="AC1843" s="224" t="s">
        <v>218</v>
      </c>
      <c r="AD1843" s="224" t="s">
        <v>490</v>
      </c>
      <c r="AE1843" s="224" t="s">
        <v>218</v>
      </c>
      <c r="AF1843">
        <f ca="1">OFFSET('Calculations 2'!$CE$45,W1843,0)*OFFSET($AA$6,X1843,0)*OFFSET($N$6,W1843,)</f>
        <v>0</v>
      </c>
      <c r="AY1843" s="224" t="s">
        <v>218</v>
      </c>
      <c r="AZ1843" s="224" t="s">
        <v>490</v>
      </c>
      <c r="BA1843" s="224" t="s">
        <v>218</v>
      </c>
      <c r="BB1843">
        <v>0</v>
      </c>
      <c r="BE1843" s="224" t="s">
        <v>218</v>
      </c>
      <c r="BF1843" s="224" t="s">
        <v>490</v>
      </c>
      <c r="BG1843" s="224" t="s">
        <v>218</v>
      </c>
      <c r="BH1843">
        <v>0</v>
      </c>
    </row>
    <row r="1844" spans="17:60">
      <c r="Q1844" s="224" t="s">
        <v>257</v>
      </c>
      <c r="R1844" s="224" t="s">
        <v>490</v>
      </c>
      <c r="S1844" s="224" t="s">
        <v>218</v>
      </c>
      <c r="T1844" s="224">
        <f ca="1">OFFSET('Calculations 2'!$C$45,W1844,X1844)*OFFSET($N$6,W1844,0)</f>
        <v>39.956103396098982</v>
      </c>
      <c r="V1844">
        <f t="shared" si="86"/>
        <v>749</v>
      </c>
      <c r="W1844">
        <f t="shared" si="87"/>
        <v>23</v>
      </c>
      <c r="X1844">
        <f t="shared" si="88"/>
        <v>22</v>
      </c>
      <c r="AC1844" s="224" t="s">
        <v>257</v>
      </c>
      <c r="AD1844" s="224" t="s">
        <v>490</v>
      </c>
      <c r="AE1844" s="224" t="s">
        <v>218</v>
      </c>
      <c r="AF1844">
        <f ca="1">OFFSET('Calculations 2'!$CE$45,W1844,0)*OFFSET($AA$6,X1844,0)*OFFSET($N$6,W1844,)</f>
        <v>0</v>
      </c>
      <c r="AY1844" s="224" t="s">
        <v>257</v>
      </c>
      <c r="AZ1844" s="224" t="s">
        <v>490</v>
      </c>
      <c r="BA1844" s="224" t="s">
        <v>218</v>
      </c>
      <c r="BB1844">
        <v>0</v>
      </c>
      <c r="BE1844" s="224" t="s">
        <v>257</v>
      </c>
      <c r="BF1844" s="224" t="s">
        <v>490</v>
      </c>
      <c r="BG1844" s="224" t="s">
        <v>218</v>
      </c>
      <c r="BH1844">
        <v>0</v>
      </c>
    </row>
    <row r="1845" spans="17:60">
      <c r="Q1845" s="224" t="s">
        <v>220</v>
      </c>
      <c r="R1845" s="224" t="s">
        <v>490</v>
      </c>
      <c r="S1845" s="224" t="s">
        <v>218</v>
      </c>
      <c r="T1845" s="224">
        <f ca="1">OFFSET('Calculations 2'!$C$45,W1845,X1845)*OFFSET($N$6,W1845,0)</f>
        <v>40.818328757602515</v>
      </c>
      <c r="V1845">
        <f t="shared" si="86"/>
        <v>750</v>
      </c>
      <c r="W1845">
        <f t="shared" si="87"/>
        <v>24</v>
      </c>
      <c r="X1845">
        <f t="shared" si="88"/>
        <v>22</v>
      </c>
      <c r="AC1845" s="224" t="s">
        <v>220</v>
      </c>
      <c r="AD1845" s="224" t="s">
        <v>490</v>
      </c>
      <c r="AE1845" s="224" t="s">
        <v>218</v>
      </c>
      <c r="AF1845">
        <f ca="1">OFFSET('Calculations 2'!$CE$45,W1845,0)*OFFSET($AA$6,X1845,0)*OFFSET($N$6,W1845,)</f>
        <v>0</v>
      </c>
      <c r="AY1845" s="224" t="s">
        <v>220</v>
      </c>
      <c r="AZ1845" s="224" t="s">
        <v>490</v>
      </c>
      <c r="BA1845" s="224" t="s">
        <v>218</v>
      </c>
      <c r="BB1845">
        <v>0</v>
      </c>
      <c r="BE1845" s="224" t="s">
        <v>220</v>
      </c>
      <c r="BF1845" s="224" t="s">
        <v>490</v>
      </c>
      <c r="BG1845" s="224" t="s">
        <v>218</v>
      </c>
      <c r="BH1845">
        <v>0</v>
      </c>
    </row>
    <row r="1846" spans="17:60">
      <c r="Q1846" s="224" t="s">
        <v>235</v>
      </c>
      <c r="R1846" s="224" t="s">
        <v>490</v>
      </c>
      <c r="S1846" s="224" t="s">
        <v>218</v>
      </c>
      <c r="T1846" s="224">
        <f ca="1">OFFSET('Calculations 2'!$C$45,W1846,X1846)*OFFSET($N$6,W1846,0)</f>
        <v>10.695342306607033</v>
      </c>
      <c r="V1846">
        <f t="shared" si="86"/>
        <v>751</v>
      </c>
      <c r="W1846">
        <f t="shared" si="87"/>
        <v>25</v>
      </c>
      <c r="X1846">
        <f t="shared" si="88"/>
        <v>22</v>
      </c>
      <c r="AC1846" s="224" t="s">
        <v>235</v>
      </c>
      <c r="AD1846" s="224" t="s">
        <v>490</v>
      </c>
      <c r="AE1846" s="224" t="s">
        <v>218</v>
      </c>
      <c r="AF1846">
        <f ca="1">OFFSET('Calculations 2'!$CE$45,W1846,0)*OFFSET($AA$6,X1846,0)*OFFSET($N$6,W1846,)</f>
        <v>0</v>
      </c>
      <c r="AY1846" s="224" t="s">
        <v>235</v>
      </c>
      <c r="AZ1846" s="224" t="s">
        <v>490</v>
      </c>
      <c r="BA1846" s="224" t="s">
        <v>218</v>
      </c>
      <c r="BB1846">
        <v>0</v>
      </c>
      <c r="BE1846" s="224" t="s">
        <v>235</v>
      </c>
      <c r="BF1846" s="224" t="s">
        <v>490</v>
      </c>
      <c r="BG1846" s="224" t="s">
        <v>218</v>
      </c>
      <c r="BH1846">
        <v>0</v>
      </c>
    </row>
    <row r="1847" spans="17:60">
      <c r="Q1847" s="224" t="s">
        <v>473</v>
      </c>
      <c r="R1847" s="224" t="s">
        <v>490</v>
      </c>
      <c r="S1847" s="224" t="s">
        <v>218</v>
      </c>
      <c r="T1847" s="224">
        <f ca="1">OFFSET('Calculations 2'!$C$45,W1847,X1847)*OFFSET($N$6,W1847,0)</f>
        <v>17.090034338466872</v>
      </c>
      <c r="V1847">
        <f t="shared" si="86"/>
        <v>752</v>
      </c>
      <c r="W1847">
        <f t="shared" si="87"/>
        <v>26</v>
      </c>
      <c r="X1847">
        <f t="shared" si="88"/>
        <v>22</v>
      </c>
      <c r="AC1847" s="224" t="s">
        <v>473</v>
      </c>
      <c r="AD1847" s="224" t="s">
        <v>490</v>
      </c>
      <c r="AE1847" s="224" t="s">
        <v>218</v>
      </c>
      <c r="AF1847">
        <f ca="1">OFFSET('Calculations 2'!$CE$45,W1847,0)*OFFSET($AA$6,X1847,0)*OFFSET($N$6,W1847,)</f>
        <v>0</v>
      </c>
      <c r="AY1847" s="224" t="s">
        <v>473</v>
      </c>
      <c r="AZ1847" s="224" t="s">
        <v>490</v>
      </c>
      <c r="BA1847" s="224" t="s">
        <v>218</v>
      </c>
      <c r="BB1847">
        <v>0</v>
      </c>
      <c r="BE1847" s="224" t="s">
        <v>473</v>
      </c>
      <c r="BF1847" s="224" t="s">
        <v>490</v>
      </c>
      <c r="BG1847" s="224" t="s">
        <v>218</v>
      </c>
      <c r="BH1847">
        <v>0</v>
      </c>
    </row>
    <row r="1848" spans="17:60">
      <c r="Q1848" s="224" t="s">
        <v>233</v>
      </c>
      <c r="R1848" s="224" t="s">
        <v>490</v>
      </c>
      <c r="S1848" s="224" t="s">
        <v>218</v>
      </c>
      <c r="T1848" s="224">
        <f ca="1">OFFSET('Calculations 2'!$C$45,W1848,X1848)*OFFSET($N$6,W1848,0)</f>
        <v>95.064000886179329</v>
      </c>
      <c r="V1848">
        <f t="shared" si="86"/>
        <v>753</v>
      </c>
      <c r="W1848">
        <f t="shared" si="87"/>
        <v>27</v>
      </c>
      <c r="X1848">
        <f t="shared" si="88"/>
        <v>22</v>
      </c>
      <c r="AC1848" s="224" t="s">
        <v>233</v>
      </c>
      <c r="AD1848" s="224" t="s">
        <v>490</v>
      </c>
      <c r="AE1848" s="224" t="s">
        <v>218</v>
      </c>
      <c r="AF1848">
        <f ca="1">OFFSET('Calculations 2'!$CE$45,W1848,0)*OFFSET($AA$6,X1848,0)*OFFSET($N$6,W1848,)</f>
        <v>0</v>
      </c>
      <c r="AY1848" s="224" t="s">
        <v>233</v>
      </c>
      <c r="AZ1848" s="224" t="s">
        <v>490</v>
      </c>
      <c r="BA1848" s="224" t="s">
        <v>218</v>
      </c>
      <c r="BB1848">
        <v>0</v>
      </c>
      <c r="BE1848" s="224" t="s">
        <v>233</v>
      </c>
      <c r="BF1848" s="224" t="s">
        <v>490</v>
      </c>
      <c r="BG1848" s="224" t="s">
        <v>218</v>
      </c>
      <c r="BH1848">
        <v>0</v>
      </c>
    </row>
    <row r="1849" spans="17:60">
      <c r="Q1849" s="224" t="s">
        <v>474</v>
      </c>
      <c r="R1849" s="224" t="s">
        <v>490</v>
      </c>
      <c r="S1849" s="224" t="s">
        <v>218</v>
      </c>
      <c r="T1849" s="224">
        <f ca="1">OFFSET('Calculations 2'!$C$45,W1849,X1849)*OFFSET($N$6,W1849,0)</f>
        <v>4.5926557155965542</v>
      </c>
      <c r="V1849">
        <f t="shared" si="86"/>
        <v>754</v>
      </c>
      <c r="W1849">
        <f t="shared" si="87"/>
        <v>28</v>
      </c>
      <c r="X1849">
        <f t="shared" si="88"/>
        <v>22</v>
      </c>
      <c r="AC1849" s="224" t="s">
        <v>474</v>
      </c>
      <c r="AD1849" s="224" t="s">
        <v>490</v>
      </c>
      <c r="AE1849" s="224" t="s">
        <v>218</v>
      </c>
      <c r="AF1849">
        <f ca="1">OFFSET('Calculations 2'!$CE$45,W1849,0)*OFFSET($AA$6,X1849,0)*OFFSET($N$6,W1849,)</f>
        <v>0</v>
      </c>
      <c r="AY1849" s="224" t="s">
        <v>474</v>
      </c>
      <c r="AZ1849" s="224" t="s">
        <v>490</v>
      </c>
      <c r="BA1849" s="224" t="s">
        <v>218</v>
      </c>
      <c r="BB1849">
        <v>0</v>
      </c>
      <c r="BE1849" s="224" t="s">
        <v>474</v>
      </c>
      <c r="BF1849" s="224" t="s">
        <v>490</v>
      </c>
      <c r="BG1849" s="224" t="s">
        <v>218</v>
      </c>
      <c r="BH1849">
        <v>0</v>
      </c>
    </row>
    <row r="1850" spans="17:60">
      <c r="Q1850" s="224" t="s">
        <v>223</v>
      </c>
      <c r="R1850" s="224" t="s">
        <v>490</v>
      </c>
      <c r="S1850" s="224" t="s">
        <v>218</v>
      </c>
      <c r="T1850" s="224">
        <f ca="1">OFFSET('Calculations 2'!$C$45,W1850,X1850)*OFFSET($N$6,W1850,0)</f>
        <v>0</v>
      </c>
      <c r="V1850">
        <f t="shared" si="86"/>
        <v>755</v>
      </c>
      <c r="W1850">
        <f t="shared" si="87"/>
        <v>29</v>
      </c>
      <c r="X1850">
        <f t="shared" si="88"/>
        <v>22</v>
      </c>
      <c r="AC1850" s="224" t="s">
        <v>223</v>
      </c>
      <c r="AD1850" s="224" t="s">
        <v>490</v>
      </c>
      <c r="AE1850" s="224" t="s">
        <v>218</v>
      </c>
      <c r="AF1850">
        <f ca="1">OFFSET('Calculations 2'!$CE$45,W1850,0)*OFFSET($AA$6,X1850,0)*OFFSET($N$6,W1850,)</f>
        <v>0</v>
      </c>
      <c r="AY1850" s="224" t="s">
        <v>223</v>
      </c>
      <c r="AZ1850" s="224" t="s">
        <v>490</v>
      </c>
      <c r="BA1850" s="224" t="s">
        <v>218</v>
      </c>
      <c r="BB1850">
        <v>0</v>
      </c>
      <c r="BE1850" s="224" t="s">
        <v>223</v>
      </c>
      <c r="BF1850" s="224" t="s">
        <v>490</v>
      </c>
      <c r="BG1850" s="224" t="s">
        <v>218</v>
      </c>
      <c r="BH1850">
        <v>0</v>
      </c>
    </row>
    <row r="1851" spans="17:60">
      <c r="Q1851" s="224" t="s">
        <v>475</v>
      </c>
      <c r="R1851" s="224" t="s">
        <v>490</v>
      </c>
      <c r="S1851" s="224" t="s">
        <v>218</v>
      </c>
      <c r="T1851" s="224">
        <f ca="1">OFFSET('Calculations 2'!$C$45,W1851,X1851)*OFFSET($N$6,W1851,0)</f>
        <v>0</v>
      </c>
      <c r="V1851">
        <f t="shared" si="86"/>
        <v>756</v>
      </c>
      <c r="W1851">
        <f t="shared" si="87"/>
        <v>30</v>
      </c>
      <c r="X1851">
        <f t="shared" si="88"/>
        <v>22</v>
      </c>
      <c r="AC1851" s="224" t="s">
        <v>475</v>
      </c>
      <c r="AD1851" s="224" t="s">
        <v>490</v>
      </c>
      <c r="AE1851" s="224" t="s">
        <v>218</v>
      </c>
      <c r="AF1851">
        <f ca="1">OFFSET('Calculations 2'!$CE$45,W1851,0)*OFFSET($AA$6,X1851,0)*OFFSET($N$6,W1851,)</f>
        <v>0</v>
      </c>
      <c r="AY1851" s="224" t="s">
        <v>475</v>
      </c>
      <c r="AZ1851" s="224" t="s">
        <v>490</v>
      </c>
      <c r="BA1851" s="224" t="s">
        <v>218</v>
      </c>
      <c r="BB1851">
        <v>0</v>
      </c>
      <c r="BE1851" s="224" t="s">
        <v>475</v>
      </c>
      <c r="BF1851" s="224" t="s">
        <v>490</v>
      </c>
      <c r="BG1851" s="224" t="s">
        <v>218</v>
      </c>
      <c r="BH1851">
        <v>0</v>
      </c>
    </row>
    <row r="1852" spans="17:60">
      <c r="Q1852" s="224" t="s">
        <v>476</v>
      </c>
      <c r="R1852" s="224" t="s">
        <v>490</v>
      </c>
      <c r="S1852" s="224" t="s">
        <v>218</v>
      </c>
      <c r="T1852" s="224">
        <f ca="1">OFFSET('Calculations 2'!$C$45,W1852,X1852)*OFFSET($N$6,W1852,0)</f>
        <v>0</v>
      </c>
      <c r="V1852">
        <f t="shared" si="86"/>
        <v>757</v>
      </c>
      <c r="W1852">
        <f t="shared" si="87"/>
        <v>31</v>
      </c>
      <c r="X1852">
        <f t="shared" si="88"/>
        <v>22</v>
      </c>
      <c r="AC1852" s="224" t="s">
        <v>476</v>
      </c>
      <c r="AD1852" s="224" t="s">
        <v>490</v>
      </c>
      <c r="AE1852" s="224" t="s">
        <v>218</v>
      </c>
      <c r="AF1852">
        <f ca="1">OFFSET('Calculations 2'!$CE$45,W1852,0)*OFFSET($AA$6,X1852,0)*OFFSET($N$6,W1852,)</f>
        <v>0</v>
      </c>
      <c r="AY1852" s="224" t="s">
        <v>476</v>
      </c>
      <c r="AZ1852" s="224" t="s">
        <v>490</v>
      </c>
      <c r="BA1852" s="224" t="s">
        <v>218</v>
      </c>
      <c r="BB1852">
        <v>0</v>
      </c>
      <c r="BE1852" s="224" t="s">
        <v>476</v>
      </c>
      <c r="BF1852" s="224" t="s">
        <v>490</v>
      </c>
      <c r="BG1852" s="224" t="s">
        <v>218</v>
      </c>
      <c r="BH1852">
        <v>0</v>
      </c>
    </row>
    <row r="1853" spans="17:60">
      <c r="Q1853" s="224" t="s">
        <v>222</v>
      </c>
      <c r="R1853" s="224" t="s">
        <v>490</v>
      </c>
      <c r="S1853" s="224" t="s">
        <v>218</v>
      </c>
      <c r="T1853" s="224">
        <f ca="1">OFFSET('Calculations 2'!$C$45,W1853,X1853)*OFFSET($N$6,W1853,0)</f>
        <v>0</v>
      </c>
      <c r="V1853">
        <f t="shared" si="86"/>
        <v>758</v>
      </c>
      <c r="W1853">
        <f t="shared" si="87"/>
        <v>32</v>
      </c>
      <c r="X1853">
        <f t="shared" si="88"/>
        <v>22</v>
      </c>
      <c r="AC1853" s="224" t="s">
        <v>222</v>
      </c>
      <c r="AD1853" s="224" t="s">
        <v>490</v>
      </c>
      <c r="AE1853" s="224" t="s">
        <v>218</v>
      </c>
      <c r="AF1853">
        <f ca="1">OFFSET('Calculations 2'!$CE$45,W1853,0)*OFFSET($AA$6,X1853,0)*OFFSET($N$6,W1853,)</f>
        <v>0</v>
      </c>
      <c r="AY1853" s="224" t="s">
        <v>222</v>
      </c>
      <c r="AZ1853" s="224" t="s">
        <v>490</v>
      </c>
      <c r="BA1853" s="224" t="s">
        <v>218</v>
      </c>
      <c r="BB1853">
        <v>0</v>
      </c>
      <c r="BE1853" s="224" t="s">
        <v>222</v>
      </c>
      <c r="BF1853" s="224" t="s">
        <v>490</v>
      </c>
      <c r="BG1853" s="224" t="s">
        <v>218</v>
      </c>
      <c r="BH1853">
        <v>0</v>
      </c>
    </row>
    <row r="1854" spans="17:60">
      <c r="Q1854" s="224" t="s">
        <v>217</v>
      </c>
      <c r="R1854" s="224" t="s">
        <v>490</v>
      </c>
      <c r="S1854" s="224" t="s">
        <v>257</v>
      </c>
      <c r="T1854" s="224">
        <f ca="1">OFFSET('Calculations 2'!$C$45,W1854,X1854)*OFFSET($N$6,W1854,0)</f>
        <v>0</v>
      </c>
      <c r="V1854">
        <f t="shared" si="86"/>
        <v>759</v>
      </c>
      <c r="W1854">
        <f t="shared" si="87"/>
        <v>0</v>
      </c>
      <c r="X1854">
        <f t="shared" si="88"/>
        <v>23</v>
      </c>
      <c r="AC1854" s="224" t="s">
        <v>217</v>
      </c>
      <c r="AD1854" s="224" t="s">
        <v>490</v>
      </c>
      <c r="AE1854" s="224" t="s">
        <v>257</v>
      </c>
      <c r="AF1854">
        <f ca="1">OFFSET('Calculations 2'!$CE$45,W1854,0)*OFFSET($AA$6,X1854,0)*OFFSET($N$6,W1854,)</f>
        <v>12.253396692543934</v>
      </c>
      <c r="AY1854" s="224" t="s">
        <v>217</v>
      </c>
      <c r="AZ1854" s="224" t="s">
        <v>490</v>
      </c>
      <c r="BA1854" s="224" t="s">
        <v>257</v>
      </c>
      <c r="BB1854">
        <v>0</v>
      </c>
      <c r="BE1854" s="224" t="s">
        <v>217</v>
      </c>
      <c r="BF1854" s="224" t="s">
        <v>490</v>
      </c>
      <c r="BG1854" s="224" t="s">
        <v>257</v>
      </c>
      <c r="BH1854">
        <v>0</v>
      </c>
    </row>
    <row r="1855" spans="17:60">
      <c r="Q1855" s="224" t="s">
        <v>232</v>
      </c>
      <c r="R1855" s="224" t="s">
        <v>490</v>
      </c>
      <c r="S1855" s="224" t="s">
        <v>257</v>
      </c>
      <c r="T1855" s="224">
        <f ca="1">OFFSET('Calculations 2'!$C$45,W1855,X1855)*OFFSET($N$6,W1855,0)</f>
        <v>376.42213115485168</v>
      </c>
      <c r="V1855">
        <f t="shared" si="86"/>
        <v>760</v>
      </c>
      <c r="W1855">
        <f t="shared" si="87"/>
        <v>1</v>
      </c>
      <c r="X1855">
        <f t="shared" si="88"/>
        <v>23</v>
      </c>
      <c r="AC1855" s="224" t="s">
        <v>232</v>
      </c>
      <c r="AD1855" s="224" t="s">
        <v>490</v>
      </c>
      <c r="AE1855" s="224" t="s">
        <v>257</v>
      </c>
      <c r="AF1855">
        <f ca="1">OFFSET('Calculations 2'!$CE$45,W1855,0)*OFFSET($AA$6,X1855,0)*OFFSET($N$6,W1855,)</f>
        <v>19.331347699655822</v>
      </c>
      <c r="AY1855" s="224" t="s">
        <v>232</v>
      </c>
      <c r="AZ1855" s="224" t="s">
        <v>490</v>
      </c>
      <c r="BA1855" s="224" t="s">
        <v>257</v>
      </c>
      <c r="BB1855">
        <v>0</v>
      </c>
      <c r="BE1855" s="224" t="s">
        <v>232</v>
      </c>
      <c r="BF1855" s="224" t="s">
        <v>490</v>
      </c>
      <c r="BG1855" s="224" t="s">
        <v>257</v>
      </c>
      <c r="BH1855">
        <v>0</v>
      </c>
    </row>
    <row r="1856" spans="17:60">
      <c r="Q1856" s="224" t="s">
        <v>226</v>
      </c>
      <c r="R1856" s="224" t="s">
        <v>490</v>
      </c>
      <c r="S1856" s="224" t="s">
        <v>257</v>
      </c>
      <c r="T1856" s="224">
        <f ca="1">OFFSET('Calculations 2'!$C$45,W1856,X1856)*OFFSET($N$6,W1856,0)</f>
        <v>30.86602254964485</v>
      </c>
      <c r="V1856">
        <f t="shared" si="86"/>
        <v>761</v>
      </c>
      <c r="W1856">
        <f t="shared" si="87"/>
        <v>2</v>
      </c>
      <c r="X1856">
        <f t="shared" si="88"/>
        <v>23</v>
      </c>
      <c r="AC1856" s="224" t="s">
        <v>226</v>
      </c>
      <c r="AD1856" s="224" t="s">
        <v>490</v>
      </c>
      <c r="AE1856" s="224" t="s">
        <v>257</v>
      </c>
      <c r="AF1856">
        <f ca="1">OFFSET('Calculations 2'!$CE$45,W1856,0)*OFFSET($AA$6,X1856,0)*OFFSET($N$6,W1856,)</f>
        <v>4.8372951568263591</v>
      </c>
      <c r="AY1856" s="224" t="s">
        <v>226</v>
      </c>
      <c r="AZ1856" s="224" t="s">
        <v>490</v>
      </c>
      <c r="BA1856" s="224" t="s">
        <v>257</v>
      </c>
      <c r="BB1856">
        <v>0</v>
      </c>
      <c r="BE1856" s="224" t="s">
        <v>226</v>
      </c>
      <c r="BF1856" s="224" t="s">
        <v>490</v>
      </c>
      <c r="BG1856" s="224" t="s">
        <v>257</v>
      </c>
      <c r="BH1856">
        <v>0</v>
      </c>
    </row>
    <row r="1857" spans="17:60">
      <c r="Q1857" s="224" t="s">
        <v>243</v>
      </c>
      <c r="R1857" s="224" t="s">
        <v>490</v>
      </c>
      <c r="S1857" s="224" t="s">
        <v>257</v>
      </c>
      <c r="T1857" s="224">
        <f ca="1">OFFSET('Calculations 2'!$C$45,W1857,X1857)*OFFSET($N$6,W1857,0)</f>
        <v>153.76289190863974</v>
      </c>
      <c r="V1857">
        <f t="shared" si="86"/>
        <v>762</v>
      </c>
      <c r="W1857">
        <f t="shared" si="87"/>
        <v>3</v>
      </c>
      <c r="X1857">
        <f t="shared" si="88"/>
        <v>23</v>
      </c>
      <c r="AC1857" s="224" t="s">
        <v>243</v>
      </c>
      <c r="AD1857" s="224" t="s">
        <v>490</v>
      </c>
      <c r="AE1857" s="224" t="s">
        <v>257</v>
      </c>
      <c r="AF1857">
        <f ca="1">OFFSET('Calculations 2'!$CE$45,W1857,0)*OFFSET($AA$6,X1857,0)*OFFSET($N$6,W1857,)</f>
        <v>94.927181834849662</v>
      </c>
      <c r="AY1857" s="224" t="s">
        <v>243</v>
      </c>
      <c r="AZ1857" s="224" t="s">
        <v>490</v>
      </c>
      <c r="BA1857" s="224" t="s">
        <v>257</v>
      </c>
      <c r="BB1857">
        <v>0</v>
      </c>
      <c r="BE1857" s="224" t="s">
        <v>243</v>
      </c>
      <c r="BF1857" s="224" t="s">
        <v>490</v>
      </c>
      <c r="BG1857" s="224" t="s">
        <v>257</v>
      </c>
      <c r="BH1857">
        <v>0</v>
      </c>
    </row>
    <row r="1858" spans="17:60">
      <c r="Q1858" s="224" t="s">
        <v>228</v>
      </c>
      <c r="R1858" s="224" t="s">
        <v>490</v>
      </c>
      <c r="S1858" s="224" t="s">
        <v>257</v>
      </c>
      <c r="T1858" s="224">
        <f ca="1">OFFSET('Calculations 2'!$C$45,W1858,X1858)*OFFSET($N$6,W1858,0)</f>
        <v>0</v>
      </c>
      <c r="V1858">
        <f t="shared" si="86"/>
        <v>763</v>
      </c>
      <c r="W1858">
        <f t="shared" si="87"/>
        <v>4</v>
      </c>
      <c r="X1858">
        <f t="shared" si="88"/>
        <v>23</v>
      </c>
      <c r="AC1858" s="224" t="s">
        <v>228</v>
      </c>
      <c r="AD1858" s="224" t="s">
        <v>490</v>
      </c>
      <c r="AE1858" s="224" t="s">
        <v>257</v>
      </c>
      <c r="AF1858">
        <f ca="1">OFFSET('Calculations 2'!$CE$45,W1858,0)*OFFSET($AA$6,X1858,0)*OFFSET($N$6,W1858,)</f>
        <v>49.473149172434276</v>
      </c>
      <c r="AY1858" s="224" t="s">
        <v>228</v>
      </c>
      <c r="AZ1858" s="224" t="s">
        <v>490</v>
      </c>
      <c r="BA1858" s="224" t="s">
        <v>257</v>
      </c>
      <c r="BB1858">
        <v>0</v>
      </c>
      <c r="BE1858" s="224" t="s">
        <v>228</v>
      </c>
      <c r="BF1858" s="224" t="s">
        <v>490</v>
      </c>
      <c r="BG1858" s="224" t="s">
        <v>257</v>
      </c>
      <c r="BH1858">
        <v>0</v>
      </c>
    </row>
    <row r="1859" spans="17:60">
      <c r="Q1859" s="224" t="s">
        <v>246</v>
      </c>
      <c r="R1859" s="224" t="s">
        <v>490</v>
      </c>
      <c r="S1859" s="224" t="s">
        <v>257</v>
      </c>
      <c r="T1859" s="224">
        <f ca="1">OFFSET('Calculations 2'!$C$45,W1859,X1859)*OFFSET($N$6,W1859,0)</f>
        <v>827.95884215892329</v>
      </c>
      <c r="V1859">
        <f t="shared" si="86"/>
        <v>764</v>
      </c>
      <c r="W1859">
        <f t="shared" si="87"/>
        <v>5</v>
      </c>
      <c r="X1859">
        <f t="shared" si="88"/>
        <v>23</v>
      </c>
      <c r="AC1859" s="224" t="s">
        <v>246</v>
      </c>
      <c r="AD1859" s="224" t="s">
        <v>490</v>
      </c>
      <c r="AE1859" s="224" t="s">
        <v>257</v>
      </c>
      <c r="AF1859">
        <f ca="1">OFFSET('Calculations 2'!$CE$45,W1859,0)*OFFSET($AA$6,X1859,0)*OFFSET($N$6,W1859,)</f>
        <v>0.88553186783458882</v>
      </c>
      <c r="AY1859" s="224" t="s">
        <v>246</v>
      </c>
      <c r="AZ1859" s="224" t="s">
        <v>490</v>
      </c>
      <c r="BA1859" s="224" t="s">
        <v>257</v>
      </c>
      <c r="BB1859">
        <v>0</v>
      </c>
      <c r="BE1859" s="224" t="s">
        <v>246</v>
      </c>
      <c r="BF1859" s="224" t="s">
        <v>490</v>
      </c>
      <c r="BG1859" s="224" t="s">
        <v>257</v>
      </c>
      <c r="BH1859">
        <v>0</v>
      </c>
    </row>
    <row r="1860" spans="17:60">
      <c r="Q1860" s="224" t="s">
        <v>239</v>
      </c>
      <c r="R1860" s="224" t="s">
        <v>490</v>
      </c>
      <c r="S1860" s="224" t="s">
        <v>257</v>
      </c>
      <c r="T1860" s="224">
        <f ca="1">OFFSET('Calculations 2'!$C$45,W1860,X1860)*OFFSET($N$6,W1860,0)</f>
        <v>25.391525436248948</v>
      </c>
      <c r="V1860">
        <f t="shared" si="86"/>
        <v>765</v>
      </c>
      <c r="W1860">
        <f t="shared" si="87"/>
        <v>6</v>
      </c>
      <c r="X1860">
        <f t="shared" si="88"/>
        <v>23</v>
      </c>
      <c r="AC1860" s="224" t="s">
        <v>239</v>
      </c>
      <c r="AD1860" s="224" t="s">
        <v>490</v>
      </c>
      <c r="AE1860" s="224" t="s">
        <v>257</v>
      </c>
      <c r="AF1860">
        <f ca="1">OFFSET('Calculations 2'!$CE$45,W1860,0)*OFFSET($AA$6,X1860,0)*OFFSET($N$6,W1860,)</f>
        <v>12.751587290812934</v>
      </c>
      <c r="AY1860" s="224" t="s">
        <v>239</v>
      </c>
      <c r="AZ1860" s="224" t="s">
        <v>490</v>
      </c>
      <c r="BA1860" s="224" t="s">
        <v>257</v>
      </c>
      <c r="BB1860">
        <v>0</v>
      </c>
      <c r="BE1860" s="224" t="s">
        <v>239</v>
      </c>
      <c r="BF1860" s="224" t="s">
        <v>490</v>
      </c>
      <c r="BG1860" s="224" t="s">
        <v>257</v>
      </c>
      <c r="BH1860">
        <v>0</v>
      </c>
    </row>
    <row r="1861" spans="17:60">
      <c r="Q1861" s="224" t="s">
        <v>466</v>
      </c>
      <c r="R1861" s="224" t="s">
        <v>490</v>
      </c>
      <c r="S1861" s="224" t="s">
        <v>257</v>
      </c>
      <c r="T1861" s="224">
        <f ca="1">OFFSET('Calculations 2'!$C$45,W1861,X1861)*OFFSET($N$6,W1861,0)</f>
        <v>710.30994099649001</v>
      </c>
      <c r="V1861">
        <f t="shared" si="86"/>
        <v>766</v>
      </c>
      <c r="W1861">
        <f t="shared" si="87"/>
        <v>7</v>
      </c>
      <c r="X1861">
        <f t="shared" si="88"/>
        <v>23</v>
      </c>
      <c r="AC1861" s="224" t="s">
        <v>466</v>
      </c>
      <c r="AD1861" s="224" t="s">
        <v>490</v>
      </c>
      <c r="AE1861" s="224" t="s">
        <v>257</v>
      </c>
      <c r="AF1861">
        <f ca="1">OFFSET('Calculations 2'!$CE$45,W1861,0)*OFFSET($AA$6,X1861,0)*OFFSET($N$6,W1861,)</f>
        <v>3.2109986335853788</v>
      </c>
      <c r="AY1861" s="224" t="s">
        <v>466</v>
      </c>
      <c r="AZ1861" s="224" t="s">
        <v>490</v>
      </c>
      <c r="BA1861" s="224" t="s">
        <v>257</v>
      </c>
      <c r="BB1861">
        <v>0</v>
      </c>
      <c r="BE1861" s="224" t="s">
        <v>466</v>
      </c>
      <c r="BF1861" s="224" t="s">
        <v>490</v>
      </c>
      <c r="BG1861" s="224" t="s">
        <v>257</v>
      </c>
      <c r="BH1861">
        <v>0</v>
      </c>
    </row>
    <row r="1862" spans="17:60">
      <c r="Q1862" s="224" t="s">
        <v>219</v>
      </c>
      <c r="R1862" s="224" t="s">
        <v>490</v>
      </c>
      <c r="S1862" s="224" t="s">
        <v>257</v>
      </c>
      <c r="T1862" s="224">
        <f ca="1">OFFSET('Calculations 2'!$C$45,W1862,X1862)*OFFSET($N$6,W1862,0)</f>
        <v>4.6706185757112193</v>
      </c>
      <c r="V1862">
        <f t="shared" si="86"/>
        <v>767</v>
      </c>
      <c r="W1862">
        <f t="shared" si="87"/>
        <v>8</v>
      </c>
      <c r="X1862">
        <f t="shared" si="88"/>
        <v>23</v>
      </c>
      <c r="AC1862" s="224" t="s">
        <v>219</v>
      </c>
      <c r="AD1862" s="224" t="s">
        <v>490</v>
      </c>
      <c r="AE1862" s="224" t="s">
        <v>257</v>
      </c>
      <c r="AF1862">
        <f ca="1">OFFSET('Calculations 2'!$CE$45,W1862,0)*OFFSET($AA$6,X1862,0)*OFFSET($N$6,W1862,)</f>
        <v>44.01744667586884</v>
      </c>
      <c r="AY1862" s="224" t="s">
        <v>219</v>
      </c>
      <c r="AZ1862" s="224" t="s">
        <v>490</v>
      </c>
      <c r="BA1862" s="224" t="s">
        <v>257</v>
      </c>
      <c r="BB1862">
        <v>0</v>
      </c>
      <c r="BE1862" s="224" t="s">
        <v>219</v>
      </c>
      <c r="BF1862" s="224" t="s">
        <v>490</v>
      </c>
      <c r="BG1862" s="224" t="s">
        <v>257</v>
      </c>
      <c r="BH1862">
        <v>0</v>
      </c>
    </row>
    <row r="1863" spans="17:60">
      <c r="Q1863" s="224" t="s">
        <v>242</v>
      </c>
      <c r="R1863" s="224" t="s">
        <v>490</v>
      </c>
      <c r="S1863" s="224" t="s">
        <v>257</v>
      </c>
      <c r="T1863" s="224">
        <f ca="1">OFFSET('Calculations 2'!$C$45,W1863,X1863)*OFFSET($N$6,W1863,0)</f>
        <v>71.515066466305456</v>
      </c>
      <c r="V1863">
        <f t="shared" si="86"/>
        <v>768</v>
      </c>
      <c r="W1863">
        <f t="shared" si="87"/>
        <v>9</v>
      </c>
      <c r="X1863">
        <f t="shared" si="88"/>
        <v>23</v>
      </c>
      <c r="AC1863" s="224" t="s">
        <v>242</v>
      </c>
      <c r="AD1863" s="224" t="s">
        <v>490</v>
      </c>
      <c r="AE1863" s="224" t="s">
        <v>257</v>
      </c>
      <c r="AF1863">
        <f ca="1">OFFSET('Calculations 2'!$CE$45,W1863,0)*OFFSET($AA$6,X1863,0)*OFFSET($N$6,W1863,)</f>
        <v>33.71151331682595</v>
      </c>
      <c r="AY1863" s="224" t="s">
        <v>242</v>
      </c>
      <c r="AZ1863" s="224" t="s">
        <v>490</v>
      </c>
      <c r="BA1863" s="224" t="s">
        <v>257</v>
      </c>
      <c r="BB1863">
        <v>0</v>
      </c>
      <c r="BE1863" s="224" t="s">
        <v>242</v>
      </c>
      <c r="BF1863" s="224" t="s">
        <v>490</v>
      </c>
      <c r="BG1863" s="224" t="s">
        <v>257</v>
      </c>
      <c r="BH1863">
        <v>0</v>
      </c>
    </row>
    <row r="1864" spans="17:60">
      <c r="Q1864" s="224" t="s">
        <v>467</v>
      </c>
      <c r="R1864" s="224" t="s">
        <v>490</v>
      </c>
      <c r="S1864" s="224" t="s">
        <v>257</v>
      </c>
      <c r="T1864" s="224">
        <f ca="1">OFFSET('Calculations 2'!$C$45,W1864,X1864)*OFFSET($N$6,W1864,0)</f>
        <v>0</v>
      </c>
      <c r="V1864">
        <f t="shared" si="86"/>
        <v>769</v>
      </c>
      <c r="W1864">
        <f t="shared" si="87"/>
        <v>10</v>
      </c>
      <c r="X1864">
        <f t="shared" si="88"/>
        <v>23</v>
      </c>
      <c r="AC1864" s="224" t="s">
        <v>467</v>
      </c>
      <c r="AD1864" s="224" t="s">
        <v>490</v>
      </c>
      <c r="AE1864" s="224" t="s">
        <v>257</v>
      </c>
      <c r="AF1864">
        <f ca="1">OFFSET('Calculations 2'!$CE$45,W1864,0)*OFFSET($AA$6,X1864,0)*OFFSET($N$6,W1864,)</f>
        <v>12.725669892418084</v>
      </c>
      <c r="AY1864" s="224" t="s">
        <v>467</v>
      </c>
      <c r="AZ1864" s="224" t="s">
        <v>490</v>
      </c>
      <c r="BA1864" s="224" t="s">
        <v>257</v>
      </c>
      <c r="BB1864">
        <v>0</v>
      </c>
      <c r="BE1864" s="224" t="s">
        <v>467</v>
      </c>
      <c r="BF1864" s="224" t="s">
        <v>490</v>
      </c>
      <c r="BG1864" s="224" t="s">
        <v>257</v>
      </c>
      <c r="BH1864">
        <v>0</v>
      </c>
    </row>
    <row r="1865" spans="17:60">
      <c r="Q1865" s="224" t="s">
        <v>231</v>
      </c>
      <c r="R1865" s="224" t="s">
        <v>490</v>
      </c>
      <c r="S1865" s="224" t="s">
        <v>257</v>
      </c>
      <c r="T1865" s="224">
        <f ca="1">OFFSET('Calculations 2'!$C$45,W1865,X1865)*OFFSET($N$6,W1865,0)</f>
        <v>6.9045912688240299E-2</v>
      </c>
      <c r="V1865">
        <f t="shared" ref="V1865:V1928" si="89">V1864+1</f>
        <v>770</v>
      </c>
      <c r="W1865">
        <f t="shared" ref="W1865:W1928" si="90">MOD(V1865,$V$3)</f>
        <v>11</v>
      </c>
      <c r="X1865">
        <f t="shared" ref="X1865:X1928" si="91">FLOOR(V1865/$V$3,1)</f>
        <v>23</v>
      </c>
      <c r="AC1865" s="224" t="s">
        <v>231</v>
      </c>
      <c r="AD1865" s="224" t="s">
        <v>490</v>
      </c>
      <c r="AE1865" s="224" t="s">
        <v>257</v>
      </c>
      <c r="AF1865">
        <f ca="1">OFFSET('Calculations 2'!$CE$45,W1865,0)*OFFSET($AA$6,X1865,0)*OFFSET($N$6,W1865,)</f>
        <v>159.2889781473481</v>
      </c>
      <c r="AY1865" s="224" t="s">
        <v>231</v>
      </c>
      <c r="AZ1865" s="224" t="s">
        <v>490</v>
      </c>
      <c r="BA1865" s="224" t="s">
        <v>257</v>
      </c>
      <c r="BB1865">
        <v>0</v>
      </c>
      <c r="BE1865" s="224" t="s">
        <v>231</v>
      </c>
      <c r="BF1865" s="224" t="s">
        <v>490</v>
      </c>
      <c r="BG1865" s="224" t="s">
        <v>257</v>
      </c>
      <c r="BH1865">
        <v>0</v>
      </c>
    </row>
    <row r="1866" spans="17:60">
      <c r="Q1866" s="224" t="s">
        <v>468</v>
      </c>
      <c r="R1866" s="224" t="s">
        <v>490</v>
      </c>
      <c r="S1866" s="224" t="s">
        <v>257</v>
      </c>
      <c r="T1866" s="224">
        <f ca="1">OFFSET('Calculations 2'!$C$45,W1866,X1866)*OFFSET($N$6,W1866,0)</f>
        <v>754.60599193252449</v>
      </c>
      <c r="V1866">
        <f t="shared" si="89"/>
        <v>771</v>
      </c>
      <c r="W1866">
        <f t="shared" si="90"/>
        <v>12</v>
      </c>
      <c r="X1866">
        <f t="shared" si="91"/>
        <v>23</v>
      </c>
      <c r="AC1866" s="224" t="s">
        <v>468</v>
      </c>
      <c r="AD1866" s="224" t="s">
        <v>490</v>
      </c>
      <c r="AE1866" s="224" t="s">
        <v>257</v>
      </c>
      <c r="AF1866">
        <f ca="1">OFFSET('Calculations 2'!$CE$45,W1866,0)*OFFSET($AA$6,X1866,0)*OFFSET($N$6,W1866,)</f>
        <v>610.19974142286321</v>
      </c>
      <c r="AY1866" s="224" t="s">
        <v>468</v>
      </c>
      <c r="AZ1866" s="224" t="s">
        <v>490</v>
      </c>
      <c r="BA1866" s="224" t="s">
        <v>257</v>
      </c>
      <c r="BB1866">
        <v>0</v>
      </c>
      <c r="BE1866" s="224" t="s">
        <v>468</v>
      </c>
      <c r="BF1866" s="224" t="s">
        <v>490</v>
      </c>
      <c r="BG1866" s="224" t="s">
        <v>257</v>
      </c>
      <c r="BH1866">
        <v>0</v>
      </c>
    </row>
    <row r="1867" spans="17:60">
      <c r="Q1867" s="224" t="s">
        <v>469</v>
      </c>
      <c r="R1867" s="224" t="s">
        <v>490</v>
      </c>
      <c r="S1867" s="224" t="s">
        <v>257</v>
      </c>
      <c r="T1867" s="224">
        <f ca="1">OFFSET('Calculations 2'!$C$45,W1867,X1867)*OFFSET($N$6,W1867,0)</f>
        <v>0</v>
      </c>
      <c r="V1867">
        <f t="shared" si="89"/>
        <v>772</v>
      </c>
      <c r="W1867">
        <f t="shared" si="90"/>
        <v>13</v>
      </c>
      <c r="X1867">
        <f t="shared" si="91"/>
        <v>23</v>
      </c>
      <c r="AC1867" s="224" t="s">
        <v>469</v>
      </c>
      <c r="AD1867" s="224" t="s">
        <v>490</v>
      </c>
      <c r="AE1867" s="224" t="s">
        <v>257</v>
      </c>
      <c r="AF1867">
        <f ca="1">OFFSET('Calculations 2'!$CE$45,W1867,0)*OFFSET($AA$6,X1867,0)*OFFSET($N$6,W1867,)</f>
        <v>327.17048719143344</v>
      </c>
      <c r="AY1867" s="224" t="s">
        <v>469</v>
      </c>
      <c r="AZ1867" s="224" t="s">
        <v>490</v>
      </c>
      <c r="BA1867" s="224" t="s">
        <v>257</v>
      </c>
      <c r="BB1867">
        <v>0</v>
      </c>
      <c r="BE1867" s="224" t="s">
        <v>469</v>
      </c>
      <c r="BF1867" s="224" t="s">
        <v>490</v>
      </c>
      <c r="BG1867" s="224" t="s">
        <v>257</v>
      </c>
      <c r="BH1867">
        <v>0</v>
      </c>
    </row>
    <row r="1868" spans="17:60">
      <c r="Q1868" s="224" t="s">
        <v>245</v>
      </c>
      <c r="R1868" s="224" t="s">
        <v>490</v>
      </c>
      <c r="S1868" s="224" t="s">
        <v>257</v>
      </c>
      <c r="T1868" s="224">
        <f ca="1">OFFSET('Calculations 2'!$C$45,W1868,X1868)*OFFSET($N$6,W1868,0)</f>
        <v>249.41003153381766</v>
      </c>
      <c r="V1868">
        <f t="shared" si="89"/>
        <v>773</v>
      </c>
      <c r="W1868">
        <f t="shared" si="90"/>
        <v>14</v>
      </c>
      <c r="X1868">
        <f t="shared" si="91"/>
        <v>23</v>
      </c>
      <c r="AC1868" s="224" t="s">
        <v>245</v>
      </c>
      <c r="AD1868" s="224" t="s">
        <v>490</v>
      </c>
      <c r="AE1868" s="224" t="s">
        <v>257</v>
      </c>
      <c r="AF1868">
        <f ca="1">OFFSET('Calculations 2'!$CE$45,W1868,0)*OFFSET($AA$6,X1868,0)*OFFSET($N$6,W1868,)</f>
        <v>522.12729847007552</v>
      </c>
      <c r="AY1868" s="224" t="s">
        <v>245</v>
      </c>
      <c r="AZ1868" s="224" t="s">
        <v>490</v>
      </c>
      <c r="BA1868" s="224" t="s">
        <v>257</v>
      </c>
      <c r="BB1868">
        <v>0</v>
      </c>
      <c r="BE1868" s="224" t="s">
        <v>245</v>
      </c>
      <c r="BF1868" s="224" t="s">
        <v>490</v>
      </c>
      <c r="BG1868" s="224" t="s">
        <v>257</v>
      </c>
      <c r="BH1868">
        <v>0</v>
      </c>
    </row>
    <row r="1869" spans="17:60">
      <c r="Q1869" s="224" t="s">
        <v>470</v>
      </c>
      <c r="R1869" s="224" t="s">
        <v>490</v>
      </c>
      <c r="S1869" s="224" t="s">
        <v>257</v>
      </c>
      <c r="T1869" s="224">
        <f ca="1">OFFSET('Calculations 2'!$C$45,W1869,X1869)*OFFSET($N$6,W1869,0)</f>
        <v>162.50661487428755</v>
      </c>
      <c r="V1869">
        <f t="shared" si="89"/>
        <v>774</v>
      </c>
      <c r="W1869">
        <f t="shared" si="90"/>
        <v>15</v>
      </c>
      <c r="X1869">
        <f t="shared" si="91"/>
        <v>23</v>
      </c>
      <c r="AC1869" s="224" t="s">
        <v>470</v>
      </c>
      <c r="AD1869" s="224" t="s">
        <v>490</v>
      </c>
      <c r="AE1869" s="224" t="s">
        <v>257</v>
      </c>
      <c r="AF1869">
        <f ca="1">OFFSET('Calculations 2'!$CE$45,W1869,0)*OFFSET($AA$6,X1869,0)*OFFSET($N$6,W1869,)</f>
        <v>198.11319842645474</v>
      </c>
      <c r="AY1869" s="224" t="s">
        <v>470</v>
      </c>
      <c r="AZ1869" s="224" t="s">
        <v>490</v>
      </c>
      <c r="BA1869" s="224" t="s">
        <v>257</v>
      </c>
      <c r="BB1869">
        <v>0</v>
      </c>
      <c r="BE1869" s="224" t="s">
        <v>470</v>
      </c>
      <c r="BF1869" s="224" t="s">
        <v>490</v>
      </c>
      <c r="BG1869" s="224" t="s">
        <v>257</v>
      </c>
      <c r="BH1869">
        <v>0</v>
      </c>
    </row>
    <row r="1870" spans="17:60">
      <c r="Q1870" s="224" t="s">
        <v>471</v>
      </c>
      <c r="R1870" s="224" t="s">
        <v>490</v>
      </c>
      <c r="S1870" s="224" t="s">
        <v>257</v>
      </c>
      <c r="T1870" s="224">
        <f ca="1">OFFSET('Calculations 2'!$C$45,W1870,X1870)*OFFSET($N$6,W1870,0)</f>
        <v>10.728802448510992</v>
      </c>
      <c r="V1870">
        <f t="shared" si="89"/>
        <v>775</v>
      </c>
      <c r="W1870">
        <f t="shared" si="90"/>
        <v>16</v>
      </c>
      <c r="X1870">
        <f t="shared" si="91"/>
        <v>23</v>
      </c>
      <c r="AC1870" s="224" t="s">
        <v>471</v>
      </c>
      <c r="AD1870" s="224" t="s">
        <v>490</v>
      </c>
      <c r="AE1870" s="224" t="s">
        <v>257</v>
      </c>
      <c r="AF1870">
        <f ca="1">OFFSET('Calculations 2'!$CE$45,W1870,0)*OFFSET($AA$6,X1870,0)*OFFSET($N$6,W1870,)</f>
        <v>0</v>
      </c>
      <c r="AY1870" s="224" t="s">
        <v>471</v>
      </c>
      <c r="AZ1870" s="224" t="s">
        <v>490</v>
      </c>
      <c r="BA1870" s="224" t="s">
        <v>257</v>
      </c>
      <c r="BB1870">
        <v>0</v>
      </c>
      <c r="BE1870" s="224" t="s">
        <v>471</v>
      </c>
      <c r="BF1870" s="224" t="s">
        <v>490</v>
      </c>
      <c r="BG1870" s="224" t="s">
        <v>257</v>
      </c>
      <c r="BH1870">
        <v>0</v>
      </c>
    </row>
    <row r="1871" spans="17:60">
      <c r="Q1871" s="224" t="s">
        <v>221</v>
      </c>
      <c r="R1871" s="224" t="s">
        <v>490</v>
      </c>
      <c r="S1871" s="224" t="s">
        <v>257</v>
      </c>
      <c r="T1871" s="224">
        <f ca="1">OFFSET('Calculations 2'!$C$45,W1871,X1871)*OFFSET($N$6,W1871,0)</f>
        <v>13.997108011013285</v>
      </c>
      <c r="V1871">
        <f t="shared" si="89"/>
        <v>776</v>
      </c>
      <c r="W1871">
        <f t="shared" si="90"/>
        <v>17</v>
      </c>
      <c r="X1871">
        <f t="shared" si="91"/>
        <v>23</v>
      </c>
      <c r="AC1871" s="224" t="s">
        <v>221</v>
      </c>
      <c r="AD1871" s="224" t="s">
        <v>490</v>
      </c>
      <c r="AE1871" s="224" t="s">
        <v>257</v>
      </c>
      <c r="AF1871">
        <f ca="1">OFFSET('Calculations 2'!$CE$45,W1871,0)*OFFSET($AA$6,X1871,0)*OFFSET($N$6,W1871,)</f>
        <v>38.781799291327729</v>
      </c>
      <c r="AY1871" s="224" t="s">
        <v>221</v>
      </c>
      <c r="AZ1871" s="224" t="s">
        <v>490</v>
      </c>
      <c r="BA1871" s="224" t="s">
        <v>257</v>
      </c>
      <c r="BB1871">
        <v>0</v>
      </c>
      <c r="BE1871" s="224" t="s">
        <v>221</v>
      </c>
      <c r="BF1871" s="224" t="s">
        <v>490</v>
      </c>
      <c r="BG1871" s="224" t="s">
        <v>257</v>
      </c>
      <c r="BH1871">
        <v>0</v>
      </c>
    </row>
    <row r="1872" spans="17:60">
      <c r="Q1872" s="224" t="s">
        <v>244</v>
      </c>
      <c r="R1872" s="224" t="s">
        <v>490</v>
      </c>
      <c r="S1872" s="224" t="s">
        <v>257</v>
      </c>
      <c r="T1872" s="224">
        <f ca="1">OFFSET('Calculations 2'!$C$45,W1872,X1872)*OFFSET($N$6,W1872,0)</f>
        <v>42.957548972724801</v>
      </c>
      <c r="V1872">
        <f t="shared" si="89"/>
        <v>777</v>
      </c>
      <c r="W1872">
        <f t="shared" si="90"/>
        <v>18</v>
      </c>
      <c r="X1872">
        <f t="shared" si="91"/>
        <v>23</v>
      </c>
      <c r="AC1872" s="224" t="s">
        <v>244</v>
      </c>
      <c r="AD1872" s="224" t="s">
        <v>490</v>
      </c>
      <c r="AE1872" s="224" t="s">
        <v>257</v>
      </c>
      <c r="AF1872">
        <f ca="1">OFFSET('Calculations 2'!$CE$45,W1872,0)*OFFSET($AA$6,X1872,0)*OFFSET($N$6,W1872,)</f>
        <v>3.3931442227348314</v>
      </c>
      <c r="AY1872" s="224" t="s">
        <v>244</v>
      </c>
      <c r="AZ1872" s="224" t="s">
        <v>490</v>
      </c>
      <c r="BA1872" s="224" t="s">
        <v>257</v>
      </c>
      <c r="BB1872">
        <v>0</v>
      </c>
      <c r="BE1872" s="224" t="s">
        <v>244</v>
      </c>
      <c r="BF1872" s="224" t="s">
        <v>490</v>
      </c>
      <c r="BG1872" s="224" t="s">
        <v>257</v>
      </c>
      <c r="BH1872">
        <v>0</v>
      </c>
    </row>
    <row r="1873" spans="17:60">
      <c r="Q1873" s="224" t="s">
        <v>472</v>
      </c>
      <c r="R1873" s="224" t="s">
        <v>490</v>
      </c>
      <c r="S1873" s="224" t="s">
        <v>257</v>
      </c>
      <c r="T1873" s="224">
        <f ca="1">OFFSET('Calculations 2'!$C$45,W1873,X1873)*OFFSET($N$6,W1873,0)</f>
        <v>6.3276782762791957</v>
      </c>
      <c r="V1873">
        <f t="shared" si="89"/>
        <v>778</v>
      </c>
      <c r="W1873">
        <f t="shared" si="90"/>
        <v>19</v>
      </c>
      <c r="X1873">
        <f t="shared" si="91"/>
        <v>23</v>
      </c>
      <c r="AC1873" s="224" t="s">
        <v>472</v>
      </c>
      <c r="AD1873" s="224" t="s">
        <v>490</v>
      </c>
      <c r="AE1873" s="224" t="s">
        <v>257</v>
      </c>
      <c r="AF1873">
        <f ca="1">OFFSET('Calculations 2'!$CE$45,W1873,0)*OFFSET($AA$6,X1873,0)*OFFSET($N$6,W1873,)</f>
        <v>0</v>
      </c>
      <c r="AY1873" s="224" t="s">
        <v>472</v>
      </c>
      <c r="AZ1873" s="224" t="s">
        <v>490</v>
      </c>
      <c r="BA1873" s="224" t="s">
        <v>257</v>
      </c>
      <c r="BB1873">
        <v>0</v>
      </c>
      <c r="BE1873" s="224" t="s">
        <v>472</v>
      </c>
      <c r="BF1873" s="224" t="s">
        <v>490</v>
      </c>
      <c r="BG1873" s="224" t="s">
        <v>257</v>
      </c>
      <c r="BH1873">
        <v>0</v>
      </c>
    </row>
    <row r="1874" spans="17:60">
      <c r="Q1874" s="224" t="s">
        <v>238</v>
      </c>
      <c r="R1874" s="224" t="s">
        <v>490</v>
      </c>
      <c r="S1874" s="224" t="s">
        <v>257</v>
      </c>
      <c r="T1874" s="224">
        <f ca="1">OFFSET('Calculations 2'!$C$45,W1874,X1874)*OFFSET($N$6,W1874,0)</f>
        <v>65.274087610559391</v>
      </c>
      <c r="V1874">
        <f t="shared" si="89"/>
        <v>779</v>
      </c>
      <c r="W1874">
        <f t="shared" si="90"/>
        <v>20</v>
      </c>
      <c r="X1874">
        <f t="shared" si="91"/>
        <v>23</v>
      </c>
      <c r="AC1874" s="224" t="s">
        <v>238</v>
      </c>
      <c r="AD1874" s="224" t="s">
        <v>490</v>
      </c>
      <c r="AE1874" s="224" t="s">
        <v>257</v>
      </c>
      <c r="AF1874">
        <f ca="1">OFFSET('Calculations 2'!$CE$45,W1874,0)*OFFSET($AA$6,X1874,0)*OFFSET($N$6,W1874,)</f>
        <v>0</v>
      </c>
      <c r="AY1874" s="224" t="s">
        <v>238</v>
      </c>
      <c r="AZ1874" s="224" t="s">
        <v>490</v>
      </c>
      <c r="BA1874" s="224" t="s">
        <v>257</v>
      </c>
      <c r="BB1874">
        <v>0</v>
      </c>
      <c r="BE1874" s="224" t="s">
        <v>238</v>
      </c>
      <c r="BF1874" s="224" t="s">
        <v>490</v>
      </c>
      <c r="BG1874" s="224" t="s">
        <v>257</v>
      </c>
      <c r="BH1874">
        <v>0</v>
      </c>
    </row>
    <row r="1875" spans="17:60">
      <c r="Q1875" s="224" t="s">
        <v>247</v>
      </c>
      <c r="R1875" s="224" t="s">
        <v>490</v>
      </c>
      <c r="S1875" s="224" t="s">
        <v>257</v>
      </c>
      <c r="T1875" s="224">
        <f ca="1">OFFSET('Calculations 2'!$C$45,W1875,X1875)*OFFSET($N$6,W1875,0)</f>
        <v>0</v>
      </c>
      <c r="V1875">
        <f t="shared" si="89"/>
        <v>780</v>
      </c>
      <c r="W1875">
        <f t="shared" si="90"/>
        <v>21</v>
      </c>
      <c r="X1875">
        <f t="shared" si="91"/>
        <v>23</v>
      </c>
      <c r="AC1875" s="224" t="s">
        <v>247</v>
      </c>
      <c r="AD1875" s="224" t="s">
        <v>490</v>
      </c>
      <c r="AE1875" s="224" t="s">
        <v>257</v>
      </c>
      <c r="AF1875">
        <f ca="1">OFFSET('Calculations 2'!$CE$45,W1875,0)*OFFSET($AA$6,X1875,0)*OFFSET($N$6,W1875,)</f>
        <v>0</v>
      </c>
      <c r="AY1875" s="224" t="s">
        <v>247</v>
      </c>
      <c r="AZ1875" s="224" t="s">
        <v>490</v>
      </c>
      <c r="BA1875" s="224" t="s">
        <v>257</v>
      </c>
      <c r="BB1875">
        <v>0</v>
      </c>
      <c r="BE1875" s="224" t="s">
        <v>247</v>
      </c>
      <c r="BF1875" s="224" t="s">
        <v>490</v>
      </c>
      <c r="BG1875" s="224" t="s">
        <v>257</v>
      </c>
      <c r="BH1875">
        <v>0</v>
      </c>
    </row>
    <row r="1876" spans="17:60">
      <c r="Q1876" s="224" t="s">
        <v>218</v>
      </c>
      <c r="R1876" s="224" t="s">
        <v>490</v>
      </c>
      <c r="S1876" s="224" t="s">
        <v>257</v>
      </c>
      <c r="T1876" s="224">
        <f ca="1">OFFSET('Calculations 2'!$C$45,W1876,X1876)*OFFSET($N$6,W1876,0)</f>
        <v>70.315117828220167</v>
      </c>
      <c r="V1876">
        <f t="shared" si="89"/>
        <v>781</v>
      </c>
      <c r="W1876">
        <f t="shared" si="90"/>
        <v>22</v>
      </c>
      <c r="X1876">
        <f t="shared" si="91"/>
        <v>23</v>
      </c>
      <c r="AC1876" s="224" t="s">
        <v>218</v>
      </c>
      <c r="AD1876" s="224" t="s">
        <v>490</v>
      </c>
      <c r="AE1876" s="224" t="s">
        <v>257</v>
      </c>
      <c r="AF1876">
        <f ca="1">OFFSET('Calculations 2'!$CE$45,W1876,0)*OFFSET($AA$6,X1876,0)*OFFSET($N$6,W1876,)</f>
        <v>0</v>
      </c>
      <c r="AY1876" s="224" t="s">
        <v>218</v>
      </c>
      <c r="AZ1876" s="224" t="s">
        <v>490</v>
      </c>
      <c r="BA1876" s="224" t="s">
        <v>257</v>
      </c>
      <c r="BB1876">
        <v>0</v>
      </c>
      <c r="BE1876" s="224" t="s">
        <v>218</v>
      </c>
      <c r="BF1876" s="224" t="s">
        <v>490</v>
      </c>
      <c r="BG1876" s="224" t="s">
        <v>257</v>
      </c>
      <c r="BH1876">
        <v>0</v>
      </c>
    </row>
    <row r="1877" spans="17:60">
      <c r="Q1877" s="224" t="s">
        <v>257</v>
      </c>
      <c r="R1877" s="224" t="s">
        <v>490</v>
      </c>
      <c r="S1877" s="224" t="s">
        <v>257</v>
      </c>
      <c r="T1877" s="224">
        <f ca="1">OFFSET('Calculations 2'!$C$45,W1877,X1877)*OFFSET($N$6,W1877,0)</f>
        <v>54.264854933899414</v>
      </c>
      <c r="V1877">
        <f t="shared" si="89"/>
        <v>782</v>
      </c>
      <c r="W1877">
        <f t="shared" si="90"/>
        <v>23</v>
      </c>
      <c r="X1877">
        <f t="shared" si="91"/>
        <v>23</v>
      </c>
      <c r="AC1877" s="224" t="s">
        <v>257</v>
      </c>
      <c r="AD1877" s="224" t="s">
        <v>490</v>
      </c>
      <c r="AE1877" s="224" t="s">
        <v>257</v>
      </c>
      <c r="AF1877">
        <f ca="1">OFFSET('Calculations 2'!$CE$45,W1877,0)*OFFSET($AA$6,X1877,0)*OFFSET($N$6,W1877,)</f>
        <v>0</v>
      </c>
      <c r="AY1877" s="224" t="s">
        <v>257</v>
      </c>
      <c r="AZ1877" s="224" t="s">
        <v>490</v>
      </c>
      <c r="BA1877" s="224" t="s">
        <v>257</v>
      </c>
      <c r="BB1877">
        <v>0</v>
      </c>
      <c r="BE1877" s="224" t="s">
        <v>257</v>
      </c>
      <c r="BF1877" s="224" t="s">
        <v>490</v>
      </c>
      <c r="BG1877" s="224" t="s">
        <v>257</v>
      </c>
      <c r="BH1877">
        <v>0</v>
      </c>
    </row>
    <row r="1878" spans="17:60">
      <c r="Q1878" s="224" t="s">
        <v>220</v>
      </c>
      <c r="R1878" s="224" t="s">
        <v>490</v>
      </c>
      <c r="S1878" s="224" t="s">
        <v>257</v>
      </c>
      <c r="T1878" s="224">
        <f ca="1">OFFSET('Calculations 2'!$C$45,W1878,X1878)*OFFSET($N$6,W1878,0)</f>
        <v>5.053228320744676</v>
      </c>
      <c r="V1878">
        <f t="shared" si="89"/>
        <v>783</v>
      </c>
      <c r="W1878">
        <f t="shared" si="90"/>
        <v>24</v>
      </c>
      <c r="X1878">
        <f t="shared" si="91"/>
        <v>23</v>
      </c>
      <c r="AC1878" s="224" t="s">
        <v>220</v>
      </c>
      <c r="AD1878" s="224" t="s">
        <v>490</v>
      </c>
      <c r="AE1878" s="224" t="s">
        <v>257</v>
      </c>
      <c r="AF1878">
        <f ca="1">OFFSET('Calculations 2'!$CE$45,W1878,0)*OFFSET($AA$6,X1878,0)*OFFSET($N$6,W1878,)</f>
        <v>0</v>
      </c>
      <c r="AY1878" s="224" t="s">
        <v>220</v>
      </c>
      <c r="AZ1878" s="224" t="s">
        <v>490</v>
      </c>
      <c r="BA1878" s="224" t="s">
        <v>257</v>
      </c>
      <c r="BB1878">
        <v>0</v>
      </c>
      <c r="BE1878" s="224" t="s">
        <v>220</v>
      </c>
      <c r="BF1878" s="224" t="s">
        <v>490</v>
      </c>
      <c r="BG1878" s="224" t="s">
        <v>257</v>
      </c>
      <c r="BH1878">
        <v>0</v>
      </c>
    </row>
    <row r="1879" spans="17:60">
      <c r="Q1879" s="224" t="s">
        <v>235</v>
      </c>
      <c r="R1879" s="224" t="s">
        <v>490</v>
      </c>
      <c r="S1879" s="224" t="s">
        <v>257</v>
      </c>
      <c r="T1879" s="224">
        <f ca="1">OFFSET('Calculations 2'!$C$45,W1879,X1879)*OFFSET($N$6,W1879,0)</f>
        <v>2.9614492059811282</v>
      </c>
      <c r="V1879">
        <f t="shared" si="89"/>
        <v>784</v>
      </c>
      <c r="W1879">
        <f t="shared" si="90"/>
        <v>25</v>
      </c>
      <c r="X1879">
        <f t="shared" si="91"/>
        <v>23</v>
      </c>
      <c r="AC1879" s="224" t="s">
        <v>235</v>
      </c>
      <c r="AD1879" s="224" t="s">
        <v>490</v>
      </c>
      <c r="AE1879" s="224" t="s">
        <v>257</v>
      </c>
      <c r="AF1879">
        <f ca="1">OFFSET('Calculations 2'!$CE$45,W1879,0)*OFFSET($AA$6,X1879,0)*OFFSET($N$6,W1879,)</f>
        <v>0</v>
      </c>
      <c r="AY1879" s="224" t="s">
        <v>235</v>
      </c>
      <c r="AZ1879" s="224" t="s">
        <v>490</v>
      </c>
      <c r="BA1879" s="224" t="s">
        <v>257</v>
      </c>
      <c r="BB1879">
        <v>0</v>
      </c>
      <c r="BE1879" s="224" t="s">
        <v>235</v>
      </c>
      <c r="BF1879" s="224" t="s">
        <v>490</v>
      </c>
      <c r="BG1879" s="224" t="s">
        <v>257</v>
      </c>
      <c r="BH1879">
        <v>0</v>
      </c>
    </row>
    <row r="1880" spans="17:60">
      <c r="Q1880" s="224" t="s">
        <v>473</v>
      </c>
      <c r="R1880" s="224" t="s">
        <v>490</v>
      </c>
      <c r="S1880" s="224" t="s">
        <v>257</v>
      </c>
      <c r="T1880" s="224">
        <f ca="1">OFFSET('Calculations 2'!$C$45,W1880,X1880)*OFFSET($N$6,W1880,0)</f>
        <v>14.216808602789756</v>
      </c>
      <c r="V1880">
        <f t="shared" si="89"/>
        <v>785</v>
      </c>
      <c r="W1880">
        <f t="shared" si="90"/>
        <v>26</v>
      </c>
      <c r="X1880">
        <f t="shared" si="91"/>
        <v>23</v>
      </c>
      <c r="AC1880" s="224" t="s">
        <v>473</v>
      </c>
      <c r="AD1880" s="224" t="s">
        <v>490</v>
      </c>
      <c r="AE1880" s="224" t="s">
        <v>257</v>
      </c>
      <c r="AF1880">
        <f ca="1">OFFSET('Calculations 2'!$CE$45,W1880,0)*OFFSET($AA$6,X1880,0)*OFFSET($N$6,W1880,)</f>
        <v>0</v>
      </c>
      <c r="AY1880" s="224" t="s">
        <v>473</v>
      </c>
      <c r="AZ1880" s="224" t="s">
        <v>490</v>
      </c>
      <c r="BA1880" s="224" t="s">
        <v>257</v>
      </c>
      <c r="BB1880">
        <v>0</v>
      </c>
      <c r="BE1880" s="224" t="s">
        <v>473</v>
      </c>
      <c r="BF1880" s="224" t="s">
        <v>490</v>
      </c>
      <c r="BG1880" s="224" t="s">
        <v>257</v>
      </c>
      <c r="BH1880">
        <v>0</v>
      </c>
    </row>
    <row r="1881" spans="17:60">
      <c r="Q1881" s="224" t="s">
        <v>233</v>
      </c>
      <c r="R1881" s="224" t="s">
        <v>490</v>
      </c>
      <c r="S1881" s="224" t="s">
        <v>257</v>
      </c>
      <c r="T1881" s="224">
        <f ca="1">OFFSET('Calculations 2'!$C$45,W1881,X1881)*OFFSET($N$6,W1881,0)</f>
        <v>5.7457535946972573</v>
      </c>
      <c r="V1881">
        <f t="shared" si="89"/>
        <v>786</v>
      </c>
      <c r="W1881">
        <f t="shared" si="90"/>
        <v>27</v>
      </c>
      <c r="X1881">
        <f t="shared" si="91"/>
        <v>23</v>
      </c>
      <c r="AC1881" s="224" t="s">
        <v>233</v>
      </c>
      <c r="AD1881" s="224" t="s">
        <v>490</v>
      </c>
      <c r="AE1881" s="224" t="s">
        <v>257</v>
      </c>
      <c r="AF1881">
        <f ca="1">OFFSET('Calculations 2'!$CE$45,W1881,0)*OFFSET($AA$6,X1881,0)*OFFSET($N$6,W1881,)</f>
        <v>0</v>
      </c>
      <c r="AY1881" s="224" t="s">
        <v>233</v>
      </c>
      <c r="AZ1881" s="224" t="s">
        <v>490</v>
      </c>
      <c r="BA1881" s="224" t="s">
        <v>257</v>
      </c>
      <c r="BB1881">
        <v>0</v>
      </c>
      <c r="BE1881" s="224" t="s">
        <v>233</v>
      </c>
      <c r="BF1881" s="224" t="s">
        <v>490</v>
      </c>
      <c r="BG1881" s="224" t="s">
        <v>257</v>
      </c>
      <c r="BH1881">
        <v>0</v>
      </c>
    </row>
    <row r="1882" spans="17:60">
      <c r="Q1882" s="224" t="s">
        <v>474</v>
      </c>
      <c r="R1882" s="224" t="s">
        <v>490</v>
      </c>
      <c r="S1882" s="224" t="s">
        <v>257</v>
      </c>
      <c r="T1882" s="224">
        <f ca="1">OFFSET('Calculations 2'!$C$45,W1882,X1882)*OFFSET($N$6,W1882,0)</f>
        <v>0.11735138829639244</v>
      </c>
      <c r="V1882">
        <f t="shared" si="89"/>
        <v>787</v>
      </c>
      <c r="W1882">
        <f t="shared" si="90"/>
        <v>28</v>
      </c>
      <c r="X1882">
        <f t="shared" si="91"/>
        <v>23</v>
      </c>
      <c r="AC1882" s="224" t="s">
        <v>474</v>
      </c>
      <c r="AD1882" s="224" t="s">
        <v>490</v>
      </c>
      <c r="AE1882" s="224" t="s">
        <v>257</v>
      </c>
      <c r="AF1882">
        <f ca="1">OFFSET('Calculations 2'!$CE$45,W1882,0)*OFFSET($AA$6,X1882,0)*OFFSET($N$6,W1882,)</f>
        <v>0</v>
      </c>
      <c r="AY1882" s="224" t="s">
        <v>474</v>
      </c>
      <c r="AZ1882" s="224" t="s">
        <v>490</v>
      </c>
      <c r="BA1882" s="224" t="s">
        <v>257</v>
      </c>
      <c r="BB1882">
        <v>0</v>
      </c>
      <c r="BE1882" s="224" t="s">
        <v>474</v>
      </c>
      <c r="BF1882" s="224" t="s">
        <v>490</v>
      </c>
      <c r="BG1882" s="224" t="s">
        <v>257</v>
      </c>
      <c r="BH1882">
        <v>0</v>
      </c>
    </row>
    <row r="1883" spans="17:60">
      <c r="Q1883" s="224" t="s">
        <v>223</v>
      </c>
      <c r="R1883" s="224" t="s">
        <v>490</v>
      </c>
      <c r="S1883" s="224" t="s">
        <v>257</v>
      </c>
      <c r="T1883" s="224">
        <f ca="1">OFFSET('Calculations 2'!$C$45,W1883,X1883)*OFFSET($N$6,W1883,0)</f>
        <v>10.294954437439753</v>
      </c>
      <c r="V1883">
        <f t="shared" si="89"/>
        <v>788</v>
      </c>
      <c r="W1883">
        <f t="shared" si="90"/>
        <v>29</v>
      </c>
      <c r="X1883">
        <f t="shared" si="91"/>
        <v>23</v>
      </c>
      <c r="AC1883" s="224" t="s">
        <v>223</v>
      </c>
      <c r="AD1883" s="224" t="s">
        <v>490</v>
      </c>
      <c r="AE1883" s="224" t="s">
        <v>257</v>
      </c>
      <c r="AF1883">
        <f ca="1">OFFSET('Calculations 2'!$CE$45,W1883,0)*OFFSET($AA$6,X1883,0)*OFFSET($N$6,W1883,)</f>
        <v>0</v>
      </c>
      <c r="AY1883" s="224" t="s">
        <v>223</v>
      </c>
      <c r="AZ1883" s="224" t="s">
        <v>490</v>
      </c>
      <c r="BA1883" s="224" t="s">
        <v>257</v>
      </c>
      <c r="BB1883">
        <v>0</v>
      </c>
      <c r="BE1883" s="224" t="s">
        <v>223</v>
      </c>
      <c r="BF1883" s="224" t="s">
        <v>490</v>
      </c>
      <c r="BG1883" s="224" t="s">
        <v>257</v>
      </c>
      <c r="BH1883">
        <v>0</v>
      </c>
    </row>
    <row r="1884" spans="17:60">
      <c r="Q1884" s="224" t="s">
        <v>475</v>
      </c>
      <c r="R1884" s="224" t="s">
        <v>490</v>
      </c>
      <c r="S1884" s="224" t="s">
        <v>257</v>
      </c>
      <c r="T1884" s="224">
        <f ca="1">OFFSET('Calculations 2'!$C$45,W1884,X1884)*OFFSET($N$6,W1884,0)</f>
        <v>0.14906159391764462</v>
      </c>
      <c r="V1884">
        <f t="shared" si="89"/>
        <v>789</v>
      </c>
      <c r="W1884">
        <f t="shared" si="90"/>
        <v>30</v>
      </c>
      <c r="X1884">
        <f t="shared" si="91"/>
        <v>23</v>
      </c>
      <c r="AC1884" s="224" t="s">
        <v>475</v>
      </c>
      <c r="AD1884" s="224" t="s">
        <v>490</v>
      </c>
      <c r="AE1884" s="224" t="s">
        <v>257</v>
      </c>
      <c r="AF1884">
        <f ca="1">OFFSET('Calculations 2'!$CE$45,W1884,0)*OFFSET($AA$6,X1884,0)*OFFSET($N$6,W1884,)</f>
        <v>0</v>
      </c>
      <c r="AY1884" s="224" t="s">
        <v>475</v>
      </c>
      <c r="AZ1884" s="224" t="s">
        <v>490</v>
      </c>
      <c r="BA1884" s="224" t="s">
        <v>257</v>
      </c>
      <c r="BB1884">
        <v>0</v>
      </c>
      <c r="BE1884" s="224" t="s">
        <v>475</v>
      </c>
      <c r="BF1884" s="224" t="s">
        <v>490</v>
      </c>
      <c r="BG1884" s="224" t="s">
        <v>257</v>
      </c>
      <c r="BH1884">
        <v>0</v>
      </c>
    </row>
    <row r="1885" spans="17:60">
      <c r="Q1885" s="224" t="s">
        <v>476</v>
      </c>
      <c r="R1885" s="224" t="s">
        <v>490</v>
      </c>
      <c r="S1885" s="224" t="s">
        <v>257</v>
      </c>
      <c r="T1885" s="224">
        <f ca="1">OFFSET('Calculations 2'!$C$45,W1885,X1885)*OFFSET($N$6,W1885,0)</f>
        <v>1.1035600247149218</v>
      </c>
      <c r="V1885">
        <f t="shared" si="89"/>
        <v>790</v>
      </c>
      <c r="W1885">
        <f t="shared" si="90"/>
        <v>31</v>
      </c>
      <c r="X1885">
        <f t="shared" si="91"/>
        <v>23</v>
      </c>
      <c r="AC1885" s="224" t="s">
        <v>476</v>
      </c>
      <c r="AD1885" s="224" t="s">
        <v>490</v>
      </c>
      <c r="AE1885" s="224" t="s">
        <v>257</v>
      </c>
      <c r="AF1885">
        <f ca="1">OFFSET('Calculations 2'!$CE$45,W1885,0)*OFFSET($AA$6,X1885,0)*OFFSET($N$6,W1885,)</f>
        <v>0</v>
      </c>
      <c r="AY1885" s="224" t="s">
        <v>476</v>
      </c>
      <c r="AZ1885" s="224" t="s">
        <v>490</v>
      </c>
      <c r="BA1885" s="224" t="s">
        <v>257</v>
      </c>
      <c r="BB1885">
        <v>0</v>
      </c>
      <c r="BE1885" s="224" t="s">
        <v>476</v>
      </c>
      <c r="BF1885" s="224" t="s">
        <v>490</v>
      </c>
      <c r="BG1885" s="224" t="s">
        <v>257</v>
      </c>
      <c r="BH1885">
        <v>0</v>
      </c>
    </row>
    <row r="1886" spans="17:60">
      <c r="Q1886" s="224" t="s">
        <v>222</v>
      </c>
      <c r="R1886" s="224" t="s">
        <v>490</v>
      </c>
      <c r="S1886" s="224" t="s">
        <v>257</v>
      </c>
      <c r="T1886" s="224">
        <f ca="1">OFFSET('Calculations 2'!$C$45,W1886,X1886)*OFFSET($N$6,W1886,0)</f>
        <v>0</v>
      </c>
      <c r="V1886">
        <f t="shared" si="89"/>
        <v>791</v>
      </c>
      <c r="W1886">
        <f t="shared" si="90"/>
        <v>32</v>
      </c>
      <c r="X1886">
        <f t="shared" si="91"/>
        <v>23</v>
      </c>
      <c r="AC1886" s="224" t="s">
        <v>222</v>
      </c>
      <c r="AD1886" s="224" t="s">
        <v>490</v>
      </c>
      <c r="AE1886" s="224" t="s">
        <v>257</v>
      </c>
      <c r="AF1886">
        <f ca="1">OFFSET('Calculations 2'!$CE$45,W1886,0)*OFFSET($AA$6,X1886,0)*OFFSET($N$6,W1886,)</f>
        <v>0</v>
      </c>
      <c r="AY1886" s="224" t="s">
        <v>222</v>
      </c>
      <c r="AZ1886" s="224" t="s">
        <v>490</v>
      </c>
      <c r="BA1886" s="224" t="s">
        <v>257</v>
      </c>
      <c r="BB1886">
        <v>0</v>
      </c>
      <c r="BE1886" s="224" t="s">
        <v>222</v>
      </c>
      <c r="BF1886" s="224" t="s">
        <v>490</v>
      </c>
      <c r="BG1886" s="224" t="s">
        <v>257</v>
      </c>
      <c r="BH1886">
        <v>0</v>
      </c>
    </row>
    <row r="1887" spans="17:60">
      <c r="Q1887" s="224" t="s">
        <v>217</v>
      </c>
      <c r="R1887" s="224" t="s">
        <v>490</v>
      </c>
      <c r="S1887" s="224" t="s">
        <v>220</v>
      </c>
      <c r="T1887" s="224">
        <f ca="1">OFFSET('Calculations 2'!$C$45,W1887,X1887)*OFFSET($N$6,W1887,0)</f>
        <v>0</v>
      </c>
      <c r="V1887">
        <f t="shared" si="89"/>
        <v>792</v>
      </c>
      <c r="W1887">
        <f t="shared" si="90"/>
        <v>0</v>
      </c>
      <c r="X1887">
        <f t="shared" si="91"/>
        <v>24</v>
      </c>
      <c r="AC1887" s="224" t="s">
        <v>217</v>
      </c>
      <c r="AD1887" s="224" t="s">
        <v>490</v>
      </c>
      <c r="AE1887" s="224" t="s">
        <v>220</v>
      </c>
      <c r="AF1887">
        <f ca="1">OFFSET('Calculations 2'!$CE$45,W1887,0)*OFFSET($AA$6,X1887,0)*OFFSET($N$6,W1887,)</f>
        <v>12.005513491700619</v>
      </c>
      <c r="AY1887" s="224" t="s">
        <v>217</v>
      </c>
      <c r="AZ1887" s="224" t="s">
        <v>490</v>
      </c>
      <c r="BA1887" s="224" t="s">
        <v>220</v>
      </c>
      <c r="BB1887">
        <v>0</v>
      </c>
      <c r="BE1887" s="224" t="s">
        <v>217</v>
      </c>
      <c r="BF1887" s="224" t="s">
        <v>490</v>
      </c>
      <c r="BG1887" s="224" t="s">
        <v>220</v>
      </c>
      <c r="BH1887">
        <v>0</v>
      </c>
    </row>
    <row r="1888" spans="17:60">
      <c r="Q1888" s="224" t="s">
        <v>232</v>
      </c>
      <c r="R1888" s="224" t="s">
        <v>490</v>
      </c>
      <c r="S1888" s="224" t="s">
        <v>220</v>
      </c>
      <c r="T1888" s="224">
        <f ca="1">OFFSET('Calculations 2'!$C$45,W1888,X1888)*OFFSET($N$6,W1888,0)</f>
        <v>0</v>
      </c>
      <c r="V1888">
        <f t="shared" si="89"/>
        <v>793</v>
      </c>
      <c r="W1888">
        <f t="shared" si="90"/>
        <v>1</v>
      </c>
      <c r="X1888">
        <f t="shared" si="91"/>
        <v>24</v>
      </c>
      <c r="AC1888" s="224" t="s">
        <v>232</v>
      </c>
      <c r="AD1888" s="224" t="s">
        <v>490</v>
      </c>
      <c r="AE1888" s="224" t="s">
        <v>220</v>
      </c>
      <c r="AF1888">
        <f ca="1">OFFSET('Calculations 2'!$CE$45,W1888,0)*OFFSET($AA$6,X1888,0)*OFFSET($N$6,W1888,)</f>
        <v>18.940279291063323</v>
      </c>
      <c r="AY1888" s="224" t="s">
        <v>232</v>
      </c>
      <c r="AZ1888" s="224" t="s">
        <v>490</v>
      </c>
      <c r="BA1888" s="224" t="s">
        <v>220</v>
      </c>
      <c r="BB1888">
        <v>0</v>
      </c>
      <c r="BE1888" s="224" t="s">
        <v>232</v>
      </c>
      <c r="BF1888" s="224" t="s">
        <v>490</v>
      </c>
      <c r="BG1888" s="224" t="s">
        <v>220</v>
      </c>
      <c r="BH1888">
        <v>0</v>
      </c>
    </row>
    <row r="1889" spans="17:60">
      <c r="Q1889" s="224" t="s">
        <v>226</v>
      </c>
      <c r="R1889" s="224" t="s">
        <v>490</v>
      </c>
      <c r="S1889" s="224" t="s">
        <v>220</v>
      </c>
      <c r="T1889" s="224">
        <f ca="1">OFFSET('Calculations 2'!$C$45,W1889,X1889)*OFFSET($N$6,W1889,0)</f>
        <v>0</v>
      </c>
      <c r="V1889">
        <f t="shared" si="89"/>
        <v>794</v>
      </c>
      <c r="W1889">
        <f t="shared" si="90"/>
        <v>2</v>
      </c>
      <c r="X1889">
        <f t="shared" si="91"/>
        <v>24</v>
      </c>
      <c r="AC1889" s="224" t="s">
        <v>226</v>
      </c>
      <c r="AD1889" s="224" t="s">
        <v>490</v>
      </c>
      <c r="AE1889" s="224" t="s">
        <v>220</v>
      </c>
      <c r="AF1889">
        <f ca="1">OFFSET('Calculations 2'!$CE$45,W1889,0)*OFFSET($AA$6,X1889,0)*OFFSET($N$6,W1889,)</f>
        <v>4.7394378657433398</v>
      </c>
      <c r="AY1889" s="224" t="s">
        <v>226</v>
      </c>
      <c r="AZ1889" s="224" t="s">
        <v>490</v>
      </c>
      <c r="BA1889" s="224" t="s">
        <v>220</v>
      </c>
      <c r="BB1889">
        <v>0</v>
      </c>
      <c r="BE1889" s="224" t="s">
        <v>226</v>
      </c>
      <c r="BF1889" s="224" t="s">
        <v>490</v>
      </c>
      <c r="BG1889" s="224" t="s">
        <v>220</v>
      </c>
      <c r="BH1889">
        <v>0</v>
      </c>
    </row>
    <row r="1890" spans="17:60">
      <c r="Q1890" s="224" t="s">
        <v>243</v>
      </c>
      <c r="R1890" s="224" t="s">
        <v>490</v>
      </c>
      <c r="S1890" s="224" t="s">
        <v>220</v>
      </c>
      <c r="T1890" s="224">
        <f ca="1">OFFSET('Calculations 2'!$C$45,W1890,X1890)*OFFSET($N$6,W1890,0)</f>
        <v>73.045020790839558</v>
      </c>
      <c r="V1890">
        <f t="shared" si="89"/>
        <v>795</v>
      </c>
      <c r="W1890">
        <f t="shared" si="90"/>
        <v>3</v>
      </c>
      <c r="X1890">
        <f t="shared" si="91"/>
        <v>24</v>
      </c>
      <c r="AC1890" s="224" t="s">
        <v>243</v>
      </c>
      <c r="AD1890" s="224" t="s">
        <v>490</v>
      </c>
      <c r="AE1890" s="224" t="s">
        <v>220</v>
      </c>
      <c r="AF1890">
        <f ca="1">OFFSET('Calculations 2'!$CE$45,W1890,0)*OFFSET($AA$6,X1890,0)*OFFSET($N$6,W1890,)</f>
        <v>93.006828297729925</v>
      </c>
      <c r="AY1890" s="224" t="s">
        <v>243</v>
      </c>
      <c r="AZ1890" s="224" t="s">
        <v>490</v>
      </c>
      <c r="BA1890" s="224" t="s">
        <v>220</v>
      </c>
      <c r="BB1890">
        <v>0</v>
      </c>
      <c r="BE1890" s="224" t="s">
        <v>243</v>
      </c>
      <c r="BF1890" s="224" t="s">
        <v>490</v>
      </c>
      <c r="BG1890" s="224" t="s">
        <v>220</v>
      </c>
      <c r="BH1890">
        <v>0</v>
      </c>
    </row>
    <row r="1891" spans="17:60">
      <c r="Q1891" s="224" t="s">
        <v>228</v>
      </c>
      <c r="R1891" s="224" t="s">
        <v>490</v>
      </c>
      <c r="S1891" s="224" t="s">
        <v>220</v>
      </c>
      <c r="T1891" s="224">
        <f ca="1">OFFSET('Calculations 2'!$C$45,W1891,X1891)*OFFSET($N$6,W1891,0)</f>
        <v>31.72735506277953</v>
      </c>
      <c r="V1891">
        <f t="shared" si="89"/>
        <v>796</v>
      </c>
      <c r="W1891">
        <f t="shared" si="90"/>
        <v>4</v>
      </c>
      <c r="X1891">
        <f t="shared" si="91"/>
        <v>24</v>
      </c>
      <c r="AC1891" s="224" t="s">
        <v>228</v>
      </c>
      <c r="AD1891" s="224" t="s">
        <v>490</v>
      </c>
      <c r="AE1891" s="224" t="s">
        <v>220</v>
      </c>
      <c r="AF1891">
        <f ca="1">OFFSET('Calculations 2'!$CE$45,W1891,0)*OFFSET($AA$6,X1891,0)*OFFSET($N$6,W1891,)</f>
        <v>48.472319534712355</v>
      </c>
      <c r="AY1891" s="224" t="s">
        <v>228</v>
      </c>
      <c r="AZ1891" s="224" t="s">
        <v>490</v>
      </c>
      <c r="BA1891" s="224" t="s">
        <v>220</v>
      </c>
      <c r="BB1891">
        <v>0</v>
      </c>
      <c r="BE1891" s="224" t="s">
        <v>228</v>
      </c>
      <c r="BF1891" s="224" t="s">
        <v>490</v>
      </c>
      <c r="BG1891" s="224" t="s">
        <v>220</v>
      </c>
      <c r="BH1891">
        <v>0</v>
      </c>
    </row>
    <row r="1892" spans="17:60">
      <c r="Q1892" s="224" t="s">
        <v>246</v>
      </c>
      <c r="R1892" s="224" t="s">
        <v>490</v>
      </c>
      <c r="S1892" s="224" t="s">
        <v>220</v>
      </c>
      <c r="T1892" s="224">
        <f ca="1">OFFSET('Calculations 2'!$C$45,W1892,X1892)*OFFSET($N$6,W1892,0)</f>
        <v>0</v>
      </c>
      <c r="V1892">
        <f t="shared" si="89"/>
        <v>797</v>
      </c>
      <c r="W1892">
        <f t="shared" si="90"/>
        <v>5</v>
      </c>
      <c r="X1892">
        <f t="shared" si="91"/>
        <v>24</v>
      </c>
      <c r="AC1892" s="224" t="s">
        <v>246</v>
      </c>
      <c r="AD1892" s="224" t="s">
        <v>490</v>
      </c>
      <c r="AE1892" s="224" t="s">
        <v>220</v>
      </c>
      <c r="AF1892">
        <f ca="1">OFFSET('Calculations 2'!$CE$45,W1892,0)*OFFSET($AA$6,X1892,0)*OFFSET($N$6,W1892,)</f>
        <v>0.86761777598272161</v>
      </c>
      <c r="AY1892" s="224" t="s">
        <v>246</v>
      </c>
      <c r="AZ1892" s="224" t="s">
        <v>490</v>
      </c>
      <c r="BA1892" s="224" t="s">
        <v>220</v>
      </c>
      <c r="BB1892">
        <v>0</v>
      </c>
      <c r="BE1892" s="224" t="s">
        <v>246</v>
      </c>
      <c r="BF1892" s="224" t="s">
        <v>490</v>
      </c>
      <c r="BG1892" s="224" t="s">
        <v>220</v>
      </c>
      <c r="BH1892">
        <v>0</v>
      </c>
    </row>
    <row r="1893" spans="17:60">
      <c r="Q1893" s="224" t="s">
        <v>239</v>
      </c>
      <c r="R1893" s="224" t="s">
        <v>490</v>
      </c>
      <c r="S1893" s="224" t="s">
        <v>220</v>
      </c>
      <c r="T1893" s="224">
        <f ca="1">OFFSET('Calculations 2'!$C$45,W1893,X1893)*OFFSET($N$6,W1893,0)</f>
        <v>101.01644066583088</v>
      </c>
      <c r="V1893">
        <f t="shared" si="89"/>
        <v>798</v>
      </c>
      <c r="W1893">
        <f t="shared" si="90"/>
        <v>6</v>
      </c>
      <c r="X1893">
        <f t="shared" si="91"/>
        <v>24</v>
      </c>
      <c r="AC1893" s="224" t="s">
        <v>239</v>
      </c>
      <c r="AD1893" s="224" t="s">
        <v>490</v>
      </c>
      <c r="AE1893" s="224" t="s">
        <v>220</v>
      </c>
      <c r="AF1893">
        <f ca="1">OFFSET('Calculations 2'!$CE$45,W1893,0)*OFFSET($AA$6,X1893,0)*OFFSET($N$6,W1893,)</f>
        <v>12.493625816717916</v>
      </c>
      <c r="AY1893" s="224" t="s">
        <v>239</v>
      </c>
      <c r="AZ1893" s="224" t="s">
        <v>490</v>
      </c>
      <c r="BA1893" s="224" t="s">
        <v>220</v>
      </c>
      <c r="BB1893">
        <v>0</v>
      </c>
      <c r="BE1893" s="224" t="s">
        <v>239</v>
      </c>
      <c r="BF1893" s="224" t="s">
        <v>490</v>
      </c>
      <c r="BG1893" s="224" t="s">
        <v>220</v>
      </c>
      <c r="BH1893">
        <v>0</v>
      </c>
    </row>
    <row r="1894" spans="17:60">
      <c r="Q1894" s="224" t="s">
        <v>466</v>
      </c>
      <c r="R1894" s="224" t="s">
        <v>490</v>
      </c>
      <c r="S1894" s="224" t="s">
        <v>220</v>
      </c>
      <c r="T1894" s="224">
        <f ca="1">OFFSET('Calculations 2'!$C$45,W1894,X1894)*OFFSET($N$6,W1894,0)</f>
        <v>245.89860918263929</v>
      </c>
      <c r="V1894">
        <f t="shared" si="89"/>
        <v>799</v>
      </c>
      <c r="W1894">
        <f t="shared" si="90"/>
        <v>7</v>
      </c>
      <c r="X1894">
        <f t="shared" si="91"/>
        <v>24</v>
      </c>
      <c r="AC1894" s="224" t="s">
        <v>466</v>
      </c>
      <c r="AD1894" s="224" t="s">
        <v>490</v>
      </c>
      <c r="AE1894" s="224" t="s">
        <v>220</v>
      </c>
      <c r="AF1894">
        <f ca="1">OFFSET('Calculations 2'!$CE$45,W1894,0)*OFFSET($AA$6,X1894,0)*OFFSET($N$6,W1894,)</f>
        <v>3.146040921110357</v>
      </c>
      <c r="AY1894" s="224" t="s">
        <v>466</v>
      </c>
      <c r="AZ1894" s="224" t="s">
        <v>490</v>
      </c>
      <c r="BA1894" s="224" t="s">
        <v>220</v>
      </c>
      <c r="BB1894">
        <v>0</v>
      </c>
      <c r="BE1894" s="224" t="s">
        <v>466</v>
      </c>
      <c r="BF1894" s="224" t="s">
        <v>490</v>
      </c>
      <c r="BG1894" s="224" t="s">
        <v>220</v>
      </c>
      <c r="BH1894">
        <v>0</v>
      </c>
    </row>
    <row r="1895" spans="17:60">
      <c r="Q1895" s="224" t="s">
        <v>219</v>
      </c>
      <c r="R1895" s="224" t="s">
        <v>490</v>
      </c>
      <c r="S1895" s="224" t="s">
        <v>220</v>
      </c>
      <c r="T1895" s="224">
        <f ca="1">OFFSET('Calculations 2'!$C$45,W1895,X1895)*OFFSET($N$6,W1895,0)</f>
        <v>2.8826689019778216</v>
      </c>
      <c r="V1895">
        <f t="shared" si="89"/>
        <v>800</v>
      </c>
      <c r="W1895">
        <f t="shared" si="90"/>
        <v>8</v>
      </c>
      <c r="X1895">
        <f t="shared" si="91"/>
        <v>24</v>
      </c>
      <c r="AC1895" s="224" t="s">
        <v>219</v>
      </c>
      <c r="AD1895" s="224" t="s">
        <v>490</v>
      </c>
      <c r="AE1895" s="224" t="s">
        <v>220</v>
      </c>
      <c r="AF1895">
        <f ca="1">OFFSET('Calculations 2'!$CE$45,W1895,0)*OFFSET($AA$6,X1895,0)*OFFSET($N$6,W1895,)</f>
        <v>43.126984557589125</v>
      </c>
      <c r="AY1895" s="224" t="s">
        <v>219</v>
      </c>
      <c r="AZ1895" s="224" t="s">
        <v>490</v>
      </c>
      <c r="BA1895" s="224" t="s">
        <v>220</v>
      </c>
      <c r="BB1895">
        <v>0</v>
      </c>
      <c r="BE1895" s="224" t="s">
        <v>219</v>
      </c>
      <c r="BF1895" s="224" t="s">
        <v>490</v>
      </c>
      <c r="BG1895" s="224" t="s">
        <v>220</v>
      </c>
      <c r="BH1895">
        <v>0</v>
      </c>
    </row>
    <row r="1896" spans="17:60">
      <c r="Q1896" s="224" t="s">
        <v>242</v>
      </c>
      <c r="R1896" s="224" t="s">
        <v>490</v>
      </c>
      <c r="S1896" s="224" t="s">
        <v>220</v>
      </c>
      <c r="T1896" s="224">
        <f ca="1">OFFSET('Calculations 2'!$C$45,W1896,X1896)*OFFSET($N$6,W1896,0)</f>
        <v>74.600398370288787</v>
      </c>
      <c r="V1896">
        <f t="shared" si="89"/>
        <v>801</v>
      </c>
      <c r="W1896">
        <f t="shared" si="90"/>
        <v>9</v>
      </c>
      <c r="X1896">
        <f t="shared" si="91"/>
        <v>24</v>
      </c>
      <c r="AC1896" s="224" t="s">
        <v>242</v>
      </c>
      <c r="AD1896" s="224" t="s">
        <v>490</v>
      </c>
      <c r="AE1896" s="224" t="s">
        <v>220</v>
      </c>
      <c r="AF1896">
        <f ca="1">OFFSET('Calculations 2'!$CE$45,W1896,0)*OFFSET($AA$6,X1896,0)*OFFSET($N$6,W1896,)</f>
        <v>33.0295376952147</v>
      </c>
      <c r="AY1896" s="224" t="s">
        <v>242</v>
      </c>
      <c r="AZ1896" s="224" t="s">
        <v>490</v>
      </c>
      <c r="BA1896" s="224" t="s">
        <v>220</v>
      </c>
      <c r="BB1896">
        <v>0</v>
      </c>
      <c r="BE1896" s="224" t="s">
        <v>242</v>
      </c>
      <c r="BF1896" s="224" t="s">
        <v>490</v>
      </c>
      <c r="BG1896" s="224" t="s">
        <v>220</v>
      </c>
      <c r="BH1896">
        <v>0</v>
      </c>
    </row>
    <row r="1897" spans="17:60">
      <c r="Q1897" s="224" t="s">
        <v>467</v>
      </c>
      <c r="R1897" s="224" t="s">
        <v>490</v>
      </c>
      <c r="S1897" s="224" t="s">
        <v>220</v>
      </c>
      <c r="T1897" s="224">
        <f ca="1">OFFSET('Calculations 2'!$C$45,W1897,X1897)*OFFSET($N$6,W1897,0)</f>
        <v>0</v>
      </c>
      <c r="V1897">
        <f t="shared" si="89"/>
        <v>802</v>
      </c>
      <c r="W1897">
        <f t="shared" si="90"/>
        <v>10</v>
      </c>
      <c r="X1897">
        <f t="shared" si="91"/>
        <v>24</v>
      </c>
      <c r="AC1897" s="224" t="s">
        <v>467</v>
      </c>
      <c r="AD1897" s="224" t="s">
        <v>490</v>
      </c>
      <c r="AE1897" s="224" t="s">
        <v>220</v>
      </c>
      <c r="AF1897">
        <f ca="1">OFFSET('Calculations 2'!$CE$45,W1897,0)*OFFSET($AA$6,X1897,0)*OFFSET($N$6,W1897,)</f>
        <v>12.468232720917102</v>
      </c>
      <c r="AY1897" s="224" t="s">
        <v>467</v>
      </c>
      <c r="AZ1897" s="224" t="s">
        <v>490</v>
      </c>
      <c r="BA1897" s="224" t="s">
        <v>220</v>
      </c>
      <c r="BB1897">
        <v>0</v>
      </c>
      <c r="BE1897" s="224" t="s">
        <v>467</v>
      </c>
      <c r="BF1897" s="224" t="s">
        <v>490</v>
      </c>
      <c r="BG1897" s="224" t="s">
        <v>220</v>
      </c>
      <c r="BH1897">
        <v>0</v>
      </c>
    </row>
    <row r="1898" spans="17:60">
      <c r="Q1898" s="224" t="s">
        <v>231</v>
      </c>
      <c r="R1898" s="224" t="s">
        <v>490</v>
      </c>
      <c r="S1898" s="224" t="s">
        <v>220</v>
      </c>
      <c r="T1898" s="224">
        <f ca="1">OFFSET('Calculations 2'!$C$45,W1898,X1898)*OFFSET($N$6,W1898,0)</f>
        <v>0</v>
      </c>
      <c r="V1898">
        <f t="shared" si="89"/>
        <v>803</v>
      </c>
      <c r="W1898">
        <f t="shared" si="90"/>
        <v>11</v>
      </c>
      <c r="X1898">
        <f t="shared" si="91"/>
        <v>24</v>
      </c>
      <c r="AC1898" s="224" t="s">
        <v>231</v>
      </c>
      <c r="AD1898" s="224" t="s">
        <v>490</v>
      </c>
      <c r="AE1898" s="224" t="s">
        <v>220</v>
      </c>
      <c r="AF1898">
        <f ca="1">OFFSET('Calculations 2'!$CE$45,W1898,0)*OFFSET($AA$6,X1898,0)*OFFSET($N$6,W1898,)</f>
        <v>156.06660130336232</v>
      </c>
      <c r="AY1898" s="224" t="s">
        <v>231</v>
      </c>
      <c r="AZ1898" s="224" t="s">
        <v>490</v>
      </c>
      <c r="BA1898" s="224" t="s">
        <v>220</v>
      </c>
      <c r="BB1898">
        <v>0</v>
      </c>
      <c r="BE1898" s="224" t="s">
        <v>231</v>
      </c>
      <c r="BF1898" s="224" t="s">
        <v>490</v>
      </c>
      <c r="BG1898" s="224" t="s">
        <v>220</v>
      </c>
      <c r="BH1898">
        <v>0</v>
      </c>
    </row>
    <row r="1899" spans="17:60">
      <c r="Q1899" s="224" t="s">
        <v>468</v>
      </c>
      <c r="R1899" s="224" t="s">
        <v>490</v>
      </c>
      <c r="S1899" s="224" t="s">
        <v>220</v>
      </c>
      <c r="T1899" s="224">
        <f ca="1">OFFSET('Calculations 2'!$C$45,W1899,X1899)*OFFSET($N$6,W1899,0)</f>
        <v>0</v>
      </c>
      <c r="V1899">
        <f t="shared" si="89"/>
        <v>804</v>
      </c>
      <c r="W1899">
        <f t="shared" si="90"/>
        <v>12</v>
      </c>
      <c r="X1899">
        <f t="shared" si="91"/>
        <v>24</v>
      </c>
      <c r="AC1899" s="224" t="s">
        <v>468</v>
      </c>
      <c r="AD1899" s="224" t="s">
        <v>490</v>
      </c>
      <c r="AE1899" s="224" t="s">
        <v>220</v>
      </c>
      <c r="AF1899">
        <f ca="1">OFFSET('Calculations 2'!$CE$45,W1899,0)*OFFSET($AA$6,X1899,0)*OFFSET($N$6,W1899,)</f>
        <v>597.85555075859611</v>
      </c>
      <c r="AY1899" s="224" t="s">
        <v>468</v>
      </c>
      <c r="AZ1899" s="224" t="s">
        <v>490</v>
      </c>
      <c r="BA1899" s="224" t="s">
        <v>220</v>
      </c>
      <c r="BB1899">
        <v>0</v>
      </c>
      <c r="BE1899" s="224" t="s">
        <v>468</v>
      </c>
      <c r="BF1899" s="224" t="s">
        <v>490</v>
      </c>
      <c r="BG1899" s="224" t="s">
        <v>220</v>
      </c>
      <c r="BH1899">
        <v>0</v>
      </c>
    </row>
    <row r="1900" spans="17:60">
      <c r="Q1900" s="224" t="s">
        <v>469</v>
      </c>
      <c r="R1900" s="224" t="s">
        <v>490</v>
      </c>
      <c r="S1900" s="224" t="s">
        <v>220</v>
      </c>
      <c r="T1900" s="224">
        <f ca="1">OFFSET('Calculations 2'!$C$45,W1900,X1900)*OFFSET($N$6,W1900,0)</f>
        <v>1149.147664050108</v>
      </c>
      <c r="V1900">
        <f t="shared" si="89"/>
        <v>805</v>
      </c>
      <c r="W1900">
        <f t="shared" si="90"/>
        <v>13</v>
      </c>
      <c r="X1900">
        <f t="shared" si="91"/>
        <v>24</v>
      </c>
      <c r="AC1900" s="224" t="s">
        <v>469</v>
      </c>
      <c r="AD1900" s="224" t="s">
        <v>490</v>
      </c>
      <c r="AE1900" s="224" t="s">
        <v>220</v>
      </c>
      <c r="AF1900">
        <f ca="1">OFFSET('Calculations 2'!$CE$45,W1900,0)*OFFSET($AA$6,X1900,0)*OFFSET($N$6,W1900,)</f>
        <v>320.55190871712131</v>
      </c>
      <c r="AY1900" s="224" t="s">
        <v>469</v>
      </c>
      <c r="AZ1900" s="224" t="s">
        <v>490</v>
      </c>
      <c r="BA1900" s="224" t="s">
        <v>220</v>
      </c>
      <c r="BB1900">
        <v>0</v>
      </c>
      <c r="BE1900" s="224" t="s">
        <v>469</v>
      </c>
      <c r="BF1900" s="224" t="s">
        <v>490</v>
      </c>
      <c r="BG1900" s="224" t="s">
        <v>220</v>
      </c>
      <c r="BH1900">
        <v>0</v>
      </c>
    </row>
    <row r="1901" spans="17:60">
      <c r="Q1901" s="224" t="s">
        <v>245</v>
      </c>
      <c r="R1901" s="224" t="s">
        <v>490</v>
      </c>
      <c r="S1901" s="224" t="s">
        <v>220</v>
      </c>
      <c r="T1901" s="224">
        <f ca="1">OFFSET('Calculations 2'!$C$45,W1901,X1901)*OFFSET($N$6,W1901,0)</f>
        <v>375.33427324871946</v>
      </c>
      <c r="V1901">
        <f t="shared" si="89"/>
        <v>806</v>
      </c>
      <c r="W1901">
        <f t="shared" si="90"/>
        <v>14</v>
      </c>
      <c r="X1901">
        <f t="shared" si="91"/>
        <v>24</v>
      </c>
      <c r="AC1901" s="224" t="s">
        <v>245</v>
      </c>
      <c r="AD1901" s="224" t="s">
        <v>490</v>
      </c>
      <c r="AE1901" s="224" t="s">
        <v>220</v>
      </c>
      <c r="AF1901">
        <f ca="1">OFFSET('Calculations 2'!$CE$45,W1901,0)*OFFSET($AA$6,X1901,0)*OFFSET($N$6,W1901,)</f>
        <v>511.56479166156026</v>
      </c>
      <c r="AY1901" s="224" t="s">
        <v>245</v>
      </c>
      <c r="AZ1901" s="224" t="s">
        <v>490</v>
      </c>
      <c r="BA1901" s="224" t="s">
        <v>220</v>
      </c>
      <c r="BB1901">
        <v>0</v>
      </c>
      <c r="BE1901" s="224" t="s">
        <v>245</v>
      </c>
      <c r="BF1901" s="224" t="s">
        <v>490</v>
      </c>
      <c r="BG1901" s="224" t="s">
        <v>220</v>
      </c>
      <c r="BH1901">
        <v>0</v>
      </c>
    </row>
    <row r="1902" spans="17:60">
      <c r="Q1902" s="224" t="s">
        <v>470</v>
      </c>
      <c r="R1902" s="224" t="s">
        <v>490</v>
      </c>
      <c r="S1902" s="224" t="s">
        <v>220</v>
      </c>
      <c r="T1902" s="224">
        <f ca="1">OFFSET('Calculations 2'!$C$45,W1902,X1902)*OFFSET($N$6,W1902,0)</f>
        <v>1484.1367007372164</v>
      </c>
      <c r="V1902">
        <f t="shared" si="89"/>
        <v>807</v>
      </c>
      <c r="W1902">
        <f t="shared" si="90"/>
        <v>15</v>
      </c>
      <c r="X1902">
        <f t="shared" si="91"/>
        <v>24</v>
      </c>
      <c r="AC1902" s="224" t="s">
        <v>470</v>
      </c>
      <c r="AD1902" s="224" t="s">
        <v>490</v>
      </c>
      <c r="AE1902" s="224" t="s">
        <v>220</v>
      </c>
      <c r="AF1902">
        <f ca="1">OFFSET('Calculations 2'!$CE$45,W1902,0)*OFFSET($AA$6,X1902,0)*OFFSET($N$6,W1902,)</f>
        <v>194.10541715669967</v>
      </c>
      <c r="AY1902" s="224" t="s">
        <v>470</v>
      </c>
      <c r="AZ1902" s="224" t="s">
        <v>490</v>
      </c>
      <c r="BA1902" s="224" t="s">
        <v>220</v>
      </c>
      <c r="BB1902">
        <v>0</v>
      </c>
      <c r="BE1902" s="224" t="s">
        <v>470</v>
      </c>
      <c r="BF1902" s="224" t="s">
        <v>490</v>
      </c>
      <c r="BG1902" s="224" t="s">
        <v>220</v>
      </c>
      <c r="BH1902">
        <v>0</v>
      </c>
    </row>
    <row r="1903" spans="17:60">
      <c r="Q1903" s="224" t="s">
        <v>471</v>
      </c>
      <c r="R1903" s="224" t="s">
        <v>490</v>
      </c>
      <c r="S1903" s="224" t="s">
        <v>220</v>
      </c>
      <c r="T1903" s="224">
        <f ca="1">OFFSET('Calculations 2'!$C$45,W1903,X1903)*OFFSET($N$6,W1903,0)</f>
        <v>2.0310168352593974</v>
      </c>
      <c r="V1903">
        <f t="shared" si="89"/>
        <v>808</v>
      </c>
      <c r="W1903">
        <f t="shared" si="90"/>
        <v>16</v>
      </c>
      <c r="X1903">
        <f t="shared" si="91"/>
        <v>24</v>
      </c>
      <c r="AC1903" s="224" t="s">
        <v>471</v>
      </c>
      <c r="AD1903" s="224" t="s">
        <v>490</v>
      </c>
      <c r="AE1903" s="224" t="s">
        <v>220</v>
      </c>
      <c r="AF1903">
        <f ca="1">OFFSET('Calculations 2'!$CE$45,W1903,0)*OFFSET($AA$6,X1903,0)*OFFSET($N$6,W1903,)</f>
        <v>0</v>
      </c>
      <c r="AY1903" s="224" t="s">
        <v>471</v>
      </c>
      <c r="AZ1903" s="224" t="s">
        <v>490</v>
      </c>
      <c r="BA1903" s="224" t="s">
        <v>220</v>
      </c>
      <c r="BB1903">
        <v>0</v>
      </c>
      <c r="BE1903" s="224" t="s">
        <v>471</v>
      </c>
      <c r="BF1903" s="224" t="s">
        <v>490</v>
      </c>
      <c r="BG1903" s="224" t="s">
        <v>220</v>
      </c>
      <c r="BH1903">
        <v>0</v>
      </c>
    </row>
    <row r="1904" spans="17:60">
      <c r="Q1904" s="224" t="s">
        <v>221</v>
      </c>
      <c r="R1904" s="224" t="s">
        <v>490</v>
      </c>
      <c r="S1904" s="224" t="s">
        <v>220</v>
      </c>
      <c r="T1904" s="224">
        <f ca="1">OFFSET('Calculations 2'!$C$45,W1904,X1904)*OFFSET($N$6,W1904,0)</f>
        <v>3.670388187714543</v>
      </c>
      <c r="V1904">
        <f t="shared" si="89"/>
        <v>809</v>
      </c>
      <c r="W1904">
        <f t="shared" si="90"/>
        <v>17</v>
      </c>
      <c r="X1904">
        <f t="shared" si="91"/>
        <v>24</v>
      </c>
      <c r="AC1904" s="224" t="s">
        <v>221</v>
      </c>
      <c r="AD1904" s="224" t="s">
        <v>490</v>
      </c>
      <c r="AE1904" s="224" t="s">
        <v>220</v>
      </c>
      <c r="AF1904">
        <f ca="1">OFFSET('Calculations 2'!$CE$45,W1904,0)*OFFSET($AA$6,X1904,0)*OFFSET($N$6,W1904,)</f>
        <v>37.997253031705945</v>
      </c>
      <c r="AY1904" s="224" t="s">
        <v>221</v>
      </c>
      <c r="AZ1904" s="224" t="s">
        <v>490</v>
      </c>
      <c r="BA1904" s="224" t="s">
        <v>220</v>
      </c>
      <c r="BB1904">
        <v>0</v>
      </c>
      <c r="BE1904" s="224" t="s">
        <v>221</v>
      </c>
      <c r="BF1904" s="224" t="s">
        <v>490</v>
      </c>
      <c r="BG1904" s="224" t="s">
        <v>220</v>
      </c>
      <c r="BH1904">
        <v>0</v>
      </c>
    </row>
    <row r="1905" spans="17:60">
      <c r="Q1905" s="224" t="s">
        <v>244</v>
      </c>
      <c r="R1905" s="224" t="s">
        <v>490</v>
      </c>
      <c r="S1905" s="224" t="s">
        <v>220</v>
      </c>
      <c r="T1905" s="224">
        <f ca="1">OFFSET('Calculations 2'!$C$45,W1905,X1905)*OFFSET($N$6,W1905,0)</f>
        <v>14.529279403780517</v>
      </c>
      <c r="V1905">
        <f t="shared" si="89"/>
        <v>810</v>
      </c>
      <c r="W1905">
        <f t="shared" si="90"/>
        <v>18</v>
      </c>
      <c r="X1905">
        <f t="shared" si="91"/>
        <v>24</v>
      </c>
      <c r="AC1905" s="224" t="s">
        <v>244</v>
      </c>
      <c r="AD1905" s="224" t="s">
        <v>490</v>
      </c>
      <c r="AE1905" s="224" t="s">
        <v>220</v>
      </c>
      <c r="AF1905">
        <f ca="1">OFFSET('Calculations 2'!$CE$45,W1905,0)*OFFSET($AA$6,X1905,0)*OFFSET($N$6,W1905,)</f>
        <v>3.3245017497978115</v>
      </c>
      <c r="AY1905" s="224" t="s">
        <v>244</v>
      </c>
      <c r="AZ1905" s="224" t="s">
        <v>490</v>
      </c>
      <c r="BA1905" s="224" t="s">
        <v>220</v>
      </c>
      <c r="BB1905">
        <v>0</v>
      </c>
      <c r="BE1905" s="224" t="s">
        <v>244</v>
      </c>
      <c r="BF1905" s="224" t="s">
        <v>490</v>
      </c>
      <c r="BG1905" s="224" t="s">
        <v>220</v>
      </c>
      <c r="BH1905">
        <v>0</v>
      </c>
    </row>
    <row r="1906" spans="17:60">
      <c r="Q1906" s="224" t="s">
        <v>472</v>
      </c>
      <c r="R1906" s="224" t="s">
        <v>490</v>
      </c>
      <c r="S1906" s="224" t="s">
        <v>220</v>
      </c>
      <c r="T1906" s="224">
        <f ca="1">OFFSET('Calculations 2'!$C$45,W1906,X1906)*OFFSET($N$6,W1906,0)</f>
        <v>0</v>
      </c>
      <c r="V1906">
        <f t="shared" si="89"/>
        <v>811</v>
      </c>
      <c r="W1906">
        <f t="shared" si="90"/>
        <v>19</v>
      </c>
      <c r="X1906">
        <f t="shared" si="91"/>
        <v>24</v>
      </c>
      <c r="AC1906" s="224" t="s">
        <v>472</v>
      </c>
      <c r="AD1906" s="224" t="s">
        <v>490</v>
      </c>
      <c r="AE1906" s="224" t="s">
        <v>220</v>
      </c>
      <c r="AF1906">
        <f ca="1">OFFSET('Calculations 2'!$CE$45,W1906,0)*OFFSET($AA$6,X1906,0)*OFFSET($N$6,W1906,)</f>
        <v>0</v>
      </c>
      <c r="AY1906" s="224" t="s">
        <v>472</v>
      </c>
      <c r="AZ1906" s="224" t="s">
        <v>490</v>
      </c>
      <c r="BA1906" s="224" t="s">
        <v>220</v>
      </c>
      <c r="BB1906">
        <v>0</v>
      </c>
      <c r="BE1906" s="224" t="s">
        <v>472</v>
      </c>
      <c r="BF1906" s="224" t="s">
        <v>490</v>
      </c>
      <c r="BG1906" s="224" t="s">
        <v>220</v>
      </c>
      <c r="BH1906">
        <v>0</v>
      </c>
    </row>
    <row r="1907" spans="17:60">
      <c r="Q1907" s="224" t="s">
        <v>238</v>
      </c>
      <c r="R1907" s="224" t="s">
        <v>490</v>
      </c>
      <c r="S1907" s="224" t="s">
        <v>220</v>
      </c>
      <c r="T1907" s="224">
        <f ca="1">OFFSET('Calculations 2'!$C$45,W1907,X1907)*OFFSET($N$6,W1907,0)</f>
        <v>11.563737428143439</v>
      </c>
      <c r="V1907">
        <f t="shared" si="89"/>
        <v>812</v>
      </c>
      <c r="W1907">
        <f t="shared" si="90"/>
        <v>20</v>
      </c>
      <c r="X1907">
        <f t="shared" si="91"/>
        <v>24</v>
      </c>
      <c r="AC1907" s="224" t="s">
        <v>238</v>
      </c>
      <c r="AD1907" s="224" t="s">
        <v>490</v>
      </c>
      <c r="AE1907" s="224" t="s">
        <v>220</v>
      </c>
      <c r="AF1907">
        <f ca="1">OFFSET('Calculations 2'!$CE$45,W1907,0)*OFFSET($AA$6,X1907,0)*OFFSET($N$6,W1907,)</f>
        <v>0</v>
      </c>
      <c r="AY1907" s="224" t="s">
        <v>238</v>
      </c>
      <c r="AZ1907" s="224" t="s">
        <v>490</v>
      </c>
      <c r="BA1907" s="224" t="s">
        <v>220</v>
      </c>
      <c r="BB1907">
        <v>0</v>
      </c>
      <c r="BE1907" s="224" t="s">
        <v>238</v>
      </c>
      <c r="BF1907" s="224" t="s">
        <v>490</v>
      </c>
      <c r="BG1907" s="224" t="s">
        <v>220</v>
      </c>
      <c r="BH1907">
        <v>0</v>
      </c>
    </row>
    <row r="1908" spans="17:60">
      <c r="Q1908" s="224" t="s">
        <v>247</v>
      </c>
      <c r="R1908" s="224" t="s">
        <v>490</v>
      </c>
      <c r="S1908" s="224" t="s">
        <v>220</v>
      </c>
      <c r="T1908" s="224">
        <f ca="1">OFFSET('Calculations 2'!$C$45,W1908,X1908)*OFFSET($N$6,W1908,0)</f>
        <v>0</v>
      </c>
      <c r="V1908">
        <f t="shared" si="89"/>
        <v>813</v>
      </c>
      <c r="W1908">
        <f t="shared" si="90"/>
        <v>21</v>
      </c>
      <c r="X1908">
        <f t="shared" si="91"/>
        <v>24</v>
      </c>
      <c r="AC1908" s="224" t="s">
        <v>247</v>
      </c>
      <c r="AD1908" s="224" t="s">
        <v>490</v>
      </c>
      <c r="AE1908" s="224" t="s">
        <v>220</v>
      </c>
      <c r="AF1908">
        <f ca="1">OFFSET('Calculations 2'!$CE$45,W1908,0)*OFFSET($AA$6,X1908,0)*OFFSET($N$6,W1908,)</f>
        <v>0</v>
      </c>
      <c r="AY1908" s="224" t="s">
        <v>247</v>
      </c>
      <c r="AZ1908" s="224" t="s">
        <v>490</v>
      </c>
      <c r="BA1908" s="224" t="s">
        <v>220</v>
      </c>
      <c r="BB1908">
        <v>0</v>
      </c>
      <c r="BE1908" s="224" t="s">
        <v>247</v>
      </c>
      <c r="BF1908" s="224" t="s">
        <v>490</v>
      </c>
      <c r="BG1908" s="224" t="s">
        <v>220</v>
      </c>
      <c r="BH1908">
        <v>0</v>
      </c>
    </row>
    <row r="1909" spans="17:60">
      <c r="Q1909" s="224" t="s">
        <v>218</v>
      </c>
      <c r="R1909" s="224" t="s">
        <v>490</v>
      </c>
      <c r="S1909" s="224" t="s">
        <v>220</v>
      </c>
      <c r="T1909" s="224">
        <f ca="1">OFFSET('Calculations 2'!$C$45,W1909,X1909)*OFFSET($N$6,W1909,0)</f>
        <v>29.583641104237348</v>
      </c>
      <c r="V1909">
        <f t="shared" si="89"/>
        <v>814</v>
      </c>
      <c r="W1909">
        <f t="shared" si="90"/>
        <v>22</v>
      </c>
      <c r="X1909">
        <f t="shared" si="91"/>
        <v>24</v>
      </c>
      <c r="AC1909" s="224" t="s">
        <v>218</v>
      </c>
      <c r="AD1909" s="224" t="s">
        <v>490</v>
      </c>
      <c r="AE1909" s="224" t="s">
        <v>220</v>
      </c>
      <c r="AF1909">
        <f ca="1">OFFSET('Calculations 2'!$CE$45,W1909,0)*OFFSET($AA$6,X1909,0)*OFFSET($N$6,W1909,)</f>
        <v>0</v>
      </c>
      <c r="AY1909" s="224" t="s">
        <v>218</v>
      </c>
      <c r="AZ1909" s="224" t="s">
        <v>490</v>
      </c>
      <c r="BA1909" s="224" t="s">
        <v>220</v>
      </c>
      <c r="BB1909">
        <v>0</v>
      </c>
      <c r="BE1909" s="224" t="s">
        <v>218</v>
      </c>
      <c r="BF1909" s="224" t="s">
        <v>490</v>
      </c>
      <c r="BG1909" s="224" t="s">
        <v>220</v>
      </c>
      <c r="BH1909">
        <v>0</v>
      </c>
    </row>
    <row r="1910" spans="17:60">
      <c r="Q1910" s="224" t="s">
        <v>257</v>
      </c>
      <c r="R1910" s="224" t="s">
        <v>490</v>
      </c>
      <c r="S1910" s="224" t="s">
        <v>220</v>
      </c>
      <c r="T1910" s="224">
        <f ca="1">OFFSET('Calculations 2'!$C$45,W1910,X1910)*OFFSET($N$6,W1910,0)</f>
        <v>11.024955025413862</v>
      </c>
      <c r="V1910">
        <f t="shared" si="89"/>
        <v>815</v>
      </c>
      <c r="W1910">
        <f t="shared" si="90"/>
        <v>23</v>
      </c>
      <c r="X1910">
        <f t="shared" si="91"/>
        <v>24</v>
      </c>
      <c r="AC1910" s="224" t="s">
        <v>257</v>
      </c>
      <c r="AD1910" s="224" t="s">
        <v>490</v>
      </c>
      <c r="AE1910" s="224" t="s">
        <v>220</v>
      </c>
      <c r="AF1910">
        <f ca="1">OFFSET('Calculations 2'!$CE$45,W1910,0)*OFFSET($AA$6,X1910,0)*OFFSET($N$6,W1910,)</f>
        <v>0</v>
      </c>
      <c r="AY1910" s="224" t="s">
        <v>257</v>
      </c>
      <c r="AZ1910" s="224" t="s">
        <v>490</v>
      </c>
      <c r="BA1910" s="224" t="s">
        <v>220</v>
      </c>
      <c r="BB1910">
        <v>0</v>
      </c>
      <c r="BE1910" s="224" t="s">
        <v>257</v>
      </c>
      <c r="BF1910" s="224" t="s">
        <v>490</v>
      </c>
      <c r="BG1910" s="224" t="s">
        <v>220</v>
      </c>
      <c r="BH1910">
        <v>0</v>
      </c>
    </row>
    <row r="1911" spans="17:60">
      <c r="Q1911" s="224" t="s">
        <v>220</v>
      </c>
      <c r="R1911" s="224" t="s">
        <v>490</v>
      </c>
      <c r="S1911" s="224" t="s">
        <v>220</v>
      </c>
      <c r="T1911" s="224">
        <f ca="1">OFFSET('Calculations 2'!$C$45,W1911,X1911)*OFFSET($N$6,W1911,0)</f>
        <v>56.113020482946254</v>
      </c>
      <c r="V1911">
        <f t="shared" si="89"/>
        <v>816</v>
      </c>
      <c r="W1911">
        <f t="shared" si="90"/>
        <v>24</v>
      </c>
      <c r="X1911">
        <f t="shared" si="91"/>
        <v>24</v>
      </c>
      <c r="AC1911" s="224" t="s">
        <v>220</v>
      </c>
      <c r="AD1911" s="224" t="s">
        <v>490</v>
      </c>
      <c r="AE1911" s="224" t="s">
        <v>220</v>
      </c>
      <c r="AF1911">
        <f ca="1">OFFSET('Calculations 2'!$CE$45,W1911,0)*OFFSET($AA$6,X1911,0)*OFFSET($N$6,W1911,)</f>
        <v>0</v>
      </c>
      <c r="AY1911" s="224" t="s">
        <v>220</v>
      </c>
      <c r="AZ1911" s="224" t="s">
        <v>490</v>
      </c>
      <c r="BA1911" s="224" t="s">
        <v>220</v>
      </c>
      <c r="BB1911">
        <v>0</v>
      </c>
      <c r="BE1911" s="224" t="s">
        <v>220</v>
      </c>
      <c r="BF1911" s="224" t="s">
        <v>490</v>
      </c>
      <c r="BG1911" s="224" t="s">
        <v>220</v>
      </c>
      <c r="BH1911">
        <v>0</v>
      </c>
    </row>
    <row r="1912" spans="17:60">
      <c r="Q1912" s="224" t="s">
        <v>235</v>
      </c>
      <c r="R1912" s="224" t="s">
        <v>490</v>
      </c>
      <c r="S1912" s="224" t="s">
        <v>220</v>
      </c>
      <c r="T1912" s="224">
        <f ca="1">OFFSET('Calculations 2'!$C$45,W1912,X1912)*OFFSET($N$6,W1912,0)</f>
        <v>5.78192429711142</v>
      </c>
      <c r="V1912">
        <f t="shared" si="89"/>
        <v>817</v>
      </c>
      <c r="W1912">
        <f t="shared" si="90"/>
        <v>25</v>
      </c>
      <c r="X1912">
        <f t="shared" si="91"/>
        <v>24</v>
      </c>
      <c r="AC1912" s="224" t="s">
        <v>235</v>
      </c>
      <c r="AD1912" s="224" t="s">
        <v>490</v>
      </c>
      <c r="AE1912" s="224" t="s">
        <v>220</v>
      </c>
      <c r="AF1912">
        <f ca="1">OFFSET('Calculations 2'!$CE$45,W1912,0)*OFFSET($AA$6,X1912,0)*OFFSET($N$6,W1912,)</f>
        <v>0</v>
      </c>
      <c r="AY1912" s="224" t="s">
        <v>235</v>
      </c>
      <c r="AZ1912" s="224" t="s">
        <v>490</v>
      </c>
      <c r="BA1912" s="224" t="s">
        <v>220</v>
      </c>
      <c r="BB1912">
        <v>0</v>
      </c>
      <c r="BE1912" s="224" t="s">
        <v>235</v>
      </c>
      <c r="BF1912" s="224" t="s">
        <v>490</v>
      </c>
      <c r="BG1912" s="224" t="s">
        <v>220</v>
      </c>
      <c r="BH1912">
        <v>0</v>
      </c>
    </row>
    <row r="1913" spans="17:60">
      <c r="Q1913" s="224" t="s">
        <v>473</v>
      </c>
      <c r="R1913" s="224" t="s">
        <v>490</v>
      </c>
      <c r="S1913" s="224" t="s">
        <v>220</v>
      </c>
      <c r="T1913" s="224">
        <f ca="1">OFFSET('Calculations 2'!$C$45,W1913,X1913)*OFFSET($N$6,W1913,0)</f>
        <v>16.152593591478389</v>
      </c>
      <c r="V1913">
        <f t="shared" si="89"/>
        <v>818</v>
      </c>
      <c r="W1913">
        <f t="shared" si="90"/>
        <v>26</v>
      </c>
      <c r="X1913">
        <f t="shared" si="91"/>
        <v>24</v>
      </c>
      <c r="AC1913" s="224" t="s">
        <v>473</v>
      </c>
      <c r="AD1913" s="224" t="s">
        <v>490</v>
      </c>
      <c r="AE1913" s="224" t="s">
        <v>220</v>
      </c>
      <c r="AF1913">
        <f ca="1">OFFSET('Calculations 2'!$CE$45,W1913,0)*OFFSET($AA$6,X1913,0)*OFFSET($N$6,W1913,)</f>
        <v>0</v>
      </c>
      <c r="AY1913" s="224" t="s">
        <v>473</v>
      </c>
      <c r="AZ1913" s="224" t="s">
        <v>490</v>
      </c>
      <c r="BA1913" s="224" t="s">
        <v>220</v>
      </c>
      <c r="BB1913">
        <v>0</v>
      </c>
      <c r="BE1913" s="224" t="s">
        <v>473</v>
      </c>
      <c r="BF1913" s="224" t="s">
        <v>490</v>
      </c>
      <c r="BG1913" s="224" t="s">
        <v>220</v>
      </c>
      <c r="BH1913">
        <v>0</v>
      </c>
    </row>
    <row r="1914" spans="17:60">
      <c r="Q1914" s="224" t="s">
        <v>233</v>
      </c>
      <c r="R1914" s="224" t="s">
        <v>490</v>
      </c>
      <c r="S1914" s="224" t="s">
        <v>220</v>
      </c>
      <c r="T1914" s="224">
        <f ca="1">OFFSET('Calculations 2'!$C$45,W1914,X1914)*OFFSET($N$6,W1914,0)</f>
        <v>26.585579000677747</v>
      </c>
      <c r="V1914">
        <f t="shared" si="89"/>
        <v>819</v>
      </c>
      <c r="W1914">
        <f t="shared" si="90"/>
        <v>27</v>
      </c>
      <c r="X1914">
        <f t="shared" si="91"/>
        <v>24</v>
      </c>
      <c r="AC1914" s="224" t="s">
        <v>233</v>
      </c>
      <c r="AD1914" s="224" t="s">
        <v>490</v>
      </c>
      <c r="AE1914" s="224" t="s">
        <v>220</v>
      </c>
      <c r="AF1914">
        <f ca="1">OFFSET('Calculations 2'!$CE$45,W1914,0)*OFFSET($AA$6,X1914,0)*OFFSET($N$6,W1914,)</f>
        <v>0</v>
      </c>
      <c r="AY1914" s="224" t="s">
        <v>233</v>
      </c>
      <c r="AZ1914" s="224" t="s">
        <v>490</v>
      </c>
      <c r="BA1914" s="224" t="s">
        <v>220</v>
      </c>
      <c r="BB1914">
        <v>0</v>
      </c>
      <c r="BE1914" s="224" t="s">
        <v>233</v>
      </c>
      <c r="BF1914" s="224" t="s">
        <v>490</v>
      </c>
      <c r="BG1914" s="224" t="s">
        <v>220</v>
      </c>
      <c r="BH1914">
        <v>0</v>
      </c>
    </row>
    <row r="1915" spans="17:60">
      <c r="Q1915" s="224" t="s">
        <v>474</v>
      </c>
      <c r="R1915" s="224" t="s">
        <v>490</v>
      </c>
      <c r="S1915" s="224" t="s">
        <v>220</v>
      </c>
      <c r="T1915" s="224">
        <f ca="1">OFFSET('Calculations 2'!$C$45,W1915,X1915)*OFFSET($N$6,W1915,0)</f>
        <v>5.9764001070482893</v>
      </c>
      <c r="V1915">
        <f t="shared" si="89"/>
        <v>820</v>
      </c>
      <c r="W1915">
        <f t="shared" si="90"/>
        <v>28</v>
      </c>
      <c r="X1915">
        <f t="shared" si="91"/>
        <v>24</v>
      </c>
      <c r="AC1915" s="224" t="s">
        <v>474</v>
      </c>
      <c r="AD1915" s="224" t="s">
        <v>490</v>
      </c>
      <c r="AE1915" s="224" t="s">
        <v>220</v>
      </c>
      <c r="AF1915">
        <f ca="1">OFFSET('Calculations 2'!$CE$45,W1915,0)*OFFSET($AA$6,X1915,0)*OFFSET($N$6,W1915,)</f>
        <v>0</v>
      </c>
      <c r="AY1915" s="224" t="s">
        <v>474</v>
      </c>
      <c r="AZ1915" s="224" t="s">
        <v>490</v>
      </c>
      <c r="BA1915" s="224" t="s">
        <v>220</v>
      </c>
      <c r="BB1915">
        <v>0</v>
      </c>
      <c r="BE1915" s="224" t="s">
        <v>474</v>
      </c>
      <c r="BF1915" s="224" t="s">
        <v>490</v>
      </c>
      <c r="BG1915" s="224" t="s">
        <v>220</v>
      </c>
      <c r="BH1915">
        <v>0</v>
      </c>
    </row>
    <row r="1916" spans="17:60">
      <c r="Q1916" s="224" t="s">
        <v>223</v>
      </c>
      <c r="R1916" s="224" t="s">
        <v>490</v>
      </c>
      <c r="S1916" s="224" t="s">
        <v>220</v>
      </c>
      <c r="T1916" s="224">
        <f ca="1">OFFSET('Calculations 2'!$C$45,W1916,X1916)*OFFSET($N$6,W1916,0)</f>
        <v>3.5213934463212113</v>
      </c>
      <c r="V1916">
        <f t="shared" si="89"/>
        <v>821</v>
      </c>
      <c r="W1916">
        <f t="shared" si="90"/>
        <v>29</v>
      </c>
      <c r="X1916">
        <f t="shared" si="91"/>
        <v>24</v>
      </c>
      <c r="AC1916" s="224" t="s">
        <v>223</v>
      </c>
      <c r="AD1916" s="224" t="s">
        <v>490</v>
      </c>
      <c r="AE1916" s="224" t="s">
        <v>220</v>
      </c>
      <c r="AF1916">
        <f ca="1">OFFSET('Calculations 2'!$CE$45,W1916,0)*OFFSET($AA$6,X1916,0)*OFFSET($N$6,W1916,)</f>
        <v>0</v>
      </c>
      <c r="AY1916" s="224" t="s">
        <v>223</v>
      </c>
      <c r="AZ1916" s="224" t="s">
        <v>490</v>
      </c>
      <c r="BA1916" s="224" t="s">
        <v>220</v>
      </c>
      <c r="BB1916">
        <v>0</v>
      </c>
      <c r="BE1916" s="224" t="s">
        <v>223</v>
      </c>
      <c r="BF1916" s="224" t="s">
        <v>490</v>
      </c>
      <c r="BG1916" s="224" t="s">
        <v>220</v>
      </c>
      <c r="BH1916">
        <v>0</v>
      </c>
    </row>
    <row r="1917" spans="17:60">
      <c r="Q1917" s="224" t="s">
        <v>475</v>
      </c>
      <c r="R1917" s="224" t="s">
        <v>490</v>
      </c>
      <c r="S1917" s="224" t="s">
        <v>220</v>
      </c>
      <c r="T1917" s="224">
        <f ca="1">OFFSET('Calculations 2'!$C$45,W1917,X1917)*OFFSET($N$6,W1917,0)</f>
        <v>0.75043136112772635</v>
      </c>
      <c r="V1917">
        <f t="shared" si="89"/>
        <v>822</v>
      </c>
      <c r="W1917">
        <f t="shared" si="90"/>
        <v>30</v>
      </c>
      <c r="X1917">
        <f t="shared" si="91"/>
        <v>24</v>
      </c>
      <c r="AC1917" s="224" t="s">
        <v>475</v>
      </c>
      <c r="AD1917" s="224" t="s">
        <v>490</v>
      </c>
      <c r="AE1917" s="224" t="s">
        <v>220</v>
      </c>
      <c r="AF1917">
        <f ca="1">OFFSET('Calculations 2'!$CE$45,W1917,0)*OFFSET($AA$6,X1917,0)*OFFSET($N$6,W1917,)</f>
        <v>0</v>
      </c>
      <c r="AY1917" s="224" t="s">
        <v>475</v>
      </c>
      <c r="AZ1917" s="224" t="s">
        <v>490</v>
      </c>
      <c r="BA1917" s="224" t="s">
        <v>220</v>
      </c>
      <c r="BB1917">
        <v>0</v>
      </c>
      <c r="BE1917" s="224" t="s">
        <v>475</v>
      </c>
      <c r="BF1917" s="224" t="s">
        <v>490</v>
      </c>
      <c r="BG1917" s="224" t="s">
        <v>220</v>
      </c>
      <c r="BH1917">
        <v>0</v>
      </c>
    </row>
    <row r="1918" spans="17:60">
      <c r="Q1918" s="224" t="s">
        <v>476</v>
      </c>
      <c r="R1918" s="224" t="s">
        <v>490</v>
      </c>
      <c r="S1918" s="224" t="s">
        <v>220</v>
      </c>
      <c r="T1918" s="224">
        <f ca="1">OFFSET('Calculations 2'!$C$45,W1918,X1918)*OFFSET($N$6,W1918,0)</f>
        <v>0.65532446243037545</v>
      </c>
      <c r="V1918">
        <f t="shared" si="89"/>
        <v>823</v>
      </c>
      <c r="W1918">
        <f t="shared" si="90"/>
        <v>31</v>
      </c>
      <c r="X1918">
        <f t="shared" si="91"/>
        <v>24</v>
      </c>
      <c r="AC1918" s="224" t="s">
        <v>476</v>
      </c>
      <c r="AD1918" s="224" t="s">
        <v>490</v>
      </c>
      <c r="AE1918" s="224" t="s">
        <v>220</v>
      </c>
      <c r="AF1918">
        <f ca="1">OFFSET('Calculations 2'!$CE$45,W1918,0)*OFFSET($AA$6,X1918,0)*OFFSET($N$6,W1918,)</f>
        <v>0</v>
      </c>
      <c r="AY1918" s="224" t="s">
        <v>476</v>
      </c>
      <c r="AZ1918" s="224" t="s">
        <v>490</v>
      </c>
      <c r="BA1918" s="224" t="s">
        <v>220</v>
      </c>
      <c r="BB1918">
        <v>0</v>
      </c>
      <c r="BE1918" s="224" t="s">
        <v>476</v>
      </c>
      <c r="BF1918" s="224" t="s">
        <v>490</v>
      </c>
      <c r="BG1918" s="224" t="s">
        <v>220</v>
      </c>
      <c r="BH1918">
        <v>0</v>
      </c>
    </row>
    <row r="1919" spans="17:60">
      <c r="Q1919" s="224" t="s">
        <v>222</v>
      </c>
      <c r="R1919" s="224" t="s">
        <v>490</v>
      </c>
      <c r="S1919" s="224" t="s">
        <v>220</v>
      </c>
      <c r="T1919" s="224">
        <f ca="1">OFFSET('Calculations 2'!$C$45,W1919,X1919)*OFFSET($N$6,W1919,0)</f>
        <v>0</v>
      </c>
      <c r="V1919">
        <f t="shared" si="89"/>
        <v>824</v>
      </c>
      <c r="W1919">
        <f t="shared" si="90"/>
        <v>32</v>
      </c>
      <c r="X1919">
        <f t="shared" si="91"/>
        <v>24</v>
      </c>
      <c r="AC1919" s="224" t="s">
        <v>222</v>
      </c>
      <c r="AD1919" s="224" t="s">
        <v>490</v>
      </c>
      <c r="AE1919" s="224" t="s">
        <v>220</v>
      </c>
      <c r="AF1919">
        <f ca="1">OFFSET('Calculations 2'!$CE$45,W1919,0)*OFFSET($AA$6,X1919,0)*OFFSET($N$6,W1919,)</f>
        <v>0</v>
      </c>
      <c r="AY1919" s="224" t="s">
        <v>222</v>
      </c>
      <c r="AZ1919" s="224" t="s">
        <v>490</v>
      </c>
      <c r="BA1919" s="224" t="s">
        <v>220</v>
      </c>
      <c r="BB1919">
        <v>0</v>
      </c>
      <c r="BE1919" s="224" t="s">
        <v>222</v>
      </c>
      <c r="BF1919" s="224" t="s">
        <v>490</v>
      </c>
      <c r="BG1919" s="224" t="s">
        <v>220</v>
      </c>
      <c r="BH1919">
        <v>0</v>
      </c>
    </row>
    <row r="1920" spans="17:60">
      <c r="Q1920" s="224" t="s">
        <v>217</v>
      </c>
      <c r="R1920" s="224" t="s">
        <v>490</v>
      </c>
      <c r="S1920" s="224" t="s">
        <v>235</v>
      </c>
      <c r="T1920" s="224">
        <f ca="1">OFFSET('Calculations 2'!$C$45,W1920,X1920)*OFFSET($N$6,W1920,0)</f>
        <v>0</v>
      </c>
      <c r="V1920">
        <f t="shared" si="89"/>
        <v>825</v>
      </c>
      <c r="W1920">
        <f t="shared" si="90"/>
        <v>0</v>
      </c>
      <c r="X1920">
        <f t="shared" si="91"/>
        <v>25</v>
      </c>
      <c r="AC1920" s="224" t="s">
        <v>217</v>
      </c>
      <c r="AD1920" s="224" t="s">
        <v>490</v>
      </c>
      <c r="AE1920" s="224" t="s">
        <v>235</v>
      </c>
      <c r="AF1920">
        <f ca="1">OFFSET('Calculations 2'!$CE$45,W1920,0)*OFFSET($AA$6,X1920,0)*OFFSET($N$6,W1920,)</f>
        <v>52.650415645028652</v>
      </c>
      <c r="AY1920" s="224" t="s">
        <v>217</v>
      </c>
      <c r="AZ1920" s="224" t="s">
        <v>490</v>
      </c>
      <c r="BA1920" s="224" t="s">
        <v>235</v>
      </c>
      <c r="BB1920">
        <v>0</v>
      </c>
      <c r="BE1920" s="224" t="s">
        <v>217</v>
      </c>
      <c r="BF1920" s="224" t="s">
        <v>490</v>
      </c>
      <c r="BG1920" s="224" t="s">
        <v>235</v>
      </c>
      <c r="BH1920">
        <v>0</v>
      </c>
    </row>
    <row r="1921" spans="17:60">
      <c r="Q1921" s="224" t="s">
        <v>232</v>
      </c>
      <c r="R1921" s="224" t="s">
        <v>490</v>
      </c>
      <c r="S1921" s="224" t="s">
        <v>235</v>
      </c>
      <c r="T1921" s="224">
        <f ca="1">OFFSET('Calculations 2'!$C$45,W1921,X1921)*OFFSET($N$6,W1921,0)</f>
        <v>0</v>
      </c>
      <c r="V1921">
        <f t="shared" si="89"/>
        <v>826</v>
      </c>
      <c r="W1921">
        <f t="shared" si="90"/>
        <v>1</v>
      </c>
      <c r="X1921">
        <f t="shared" si="91"/>
        <v>25</v>
      </c>
      <c r="AC1921" s="224" t="s">
        <v>232</v>
      </c>
      <c r="AD1921" s="224" t="s">
        <v>490</v>
      </c>
      <c r="AE1921" s="224" t="s">
        <v>235</v>
      </c>
      <c r="AF1921">
        <f ca="1">OFFSET('Calculations 2'!$CE$45,W1921,0)*OFFSET($AA$6,X1921,0)*OFFSET($N$6,W1921,)</f>
        <v>83.062967510451244</v>
      </c>
      <c r="AY1921" s="224" t="s">
        <v>232</v>
      </c>
      <c r="AZ1921" s="224" t="s">
        <v>490</v>
      </c>
      <c r="BA1921" s="224" t="s">
        <v>235</v>
      </c>
      <c r="BB1921">
        <v>0</v>
      </c>
      <c r="BE1921" s="224" t="s">
        <v>232</v>
      </c>
      <c r="BF1921" s="224" t="s">
        <v>490</v>
      </c>
      <c r="BG1921" s="224" t="s">
        <v>235</v>
      </c>
      <c r="BH1921">
        <v>0</v>
      </c>
    </row>
    <row r="1922" spans="17:60">
      <c r="Q1922" s="224" t="s">
        <v>226</v>
      </c>
      <c r="R1922" s="224" t="s">
        <v>490</v>
      </c>
      <c r="S1922" s="224" t="s">
        <v>235</v>
      </c>
      <c r="T1922" s="224">
        <f ca="1">OFFSET('Calculations 2'!$C$45,W1922,X1922)*OFFSET($N$6,W1922,0)</f>
        <v>0</v>
      </c>
      <c r="V1922">
        <f t="shared" si="89"/>
        <v>827</v>
      </c>
      <c r="W1922">
        <f t="shared" si="90"/>
        <v>2</v>
      </c>
      <c r="X1922">
        <f t="shared" si="91"/>
        <v>25</v>
      </c>
      <c r="AC1922" s="224" t="s">
        <v>226</v>
      </c>
      <c r="AD1922" s="224" t="s">
        <v>490</v>
      </c>
      <c r="AE1922" s="224" t="s">
        <v>235</v>
      </c>
      <c r="AF1922">
        <f ca="1">OFFSET('Calculations 2'!$CE$45,W1922,0)*OFFSET($AA$6,X1922,0)*OFFSET($N$6,W1922,)</f>
        <v>20.784898016038724</v>
      </c>
      <c r="AY1922" s="224" t="s">
        <v>226</v>
      </c>
      <c r="AZ1922" s="224" t="s">
        <v>490</v>
      </c>
      <c r="BA1922" s="224" t="s">
        <v>235</v>
      </c>
      <c r="BB1922">
        <v>0</v>
      </c>
      <c r="BE1922" s="224" t="s">
        <v>226</v>
      </c>
      <c r="BF1922" s="224" t="s">
        <v>490</v>
      </c>
      <c r="BG1922" s="224" t="s">
        <v>235</v>
      </c>
      <c r="BH1922">
        <v>0</v>
      </c>
    </row>
    <row r="1923" spans="17:60">
      <c r="Q1923" s="224" t="s">
        <v>243</v>
      </c>
      <c r="R1923" s="224" t="s">
        <v>490</v>
      </c>
      <c r="S1923" s="224" t="s">
        <v>235</v>
      </c>
      <c r="T1923" s="224">
        <f ca="1">OFFSET('Calculations 2'!$C$45,W1923,X1923)*OFFSET($N$6,W1923,0)</f>
        <v>0</v>
      </c>
      <c r="V1923">
        <f t="shared" si="89"/>
        <v>828</v>
      </c>
      <c r="W1923">
        <f t="shared" si="90"/>
        <v>3</v>
      </c>
      <c r="X1923">
        <f t="shared" si="91"/>
        <v>25</v>
      </c>
      <c r="AC1923" s="224" t="s">
        <v>243</v>
      </c>
      <c r="AD1923" s="224" t="s">
        <v>490</v>
      </c>
      <c r="AE1923" s="224" t="s">
        <v>235</v>
      </c>
      <c r="AF1923">
        <f ca="1">OFFSET('Calculations 2'!$CE$45,W1923,0)*OFFSET($AA$6,X1923,0)*OFFSET($N$6,W1923,)</f>
        <v>407.88327555389213</v>
      </c>
      <c r="AY1923" s="224" t="s">
        <v>243</v>
      </c>
      <c r="AZ1923" s="224" t="s">
        <v>490</v>
      </c>
      <c r="BA1923" s="224" t="s">
        <v>235</v>
      </c>
      <c r="BB1923">
        <v>0</v>
      </c>
      <c r="BE1923" s="224" t="s">
        <v>243</v>
      </c>
      <c r="BF1923" s="224" t="s">
        <v>490</v>
      </c>
      <c r="BG1923" s="224" t="s">
        <v>235</v>
      </c>
      <c r="BH1923">
        <v>0</v>
      </c>
    </row>
    <row r="1924" spans="17:60">
      <c r="Q1924" s="224" t="s">
        <v>228</v>
      </c>
      <c r="R1924" s="224" t="s">
        <v>490</v>
      </c>
      <c r="S1924" s="224" t="s">
        <v>235</v>
      </c>
      <c r="T1924" s="224">
        <f ca="1">OFFSET('Calculations 2'!$C$45,W1924,X1924)*OFFSET($N$6,W1924,0)</f>
        <v>0</v>
      </c>
      <c r="V1924">
        <f t="shared" si="89"/>
        <v>829</v>
      </c>
      <c r="W1924">
        <f t="shared" si="90"/>
        <v>4</v>
      </c>
      <c r="X1924">
        <f t="shared" si="91"/>
        <v>25</v>
      </c>
      <c r="AC1924" s="224" t="s">
        <v>228</v>
      </c>
      <c r="AD1924" s="224" t="s">
        <v>490</v>
      </c>
      <c r="AE1924" s="224" t="s">
        <v>235</v>
      </c>
      <c r="AF1924">
        <f ca="1">OFFSET('Calculations 2'!$CE$45,W1924,0)*OFFSET($AA$6,X1924,0)*OFFSET($N$6,W1924,)</f>
        <v>212.57631108785966</v>
      </c>
      <c r="AY1924" s="224" t="s">
        <v>228</v>
      </c>
      <c r="AZ1924" s="224" t="s">
        <v>490</v>
      </c>
      <c r="BA1924" s="224" t="s">
        <v>235</v>
      </c>
      <c r="BB1924">
        <v>0</v>
      </c>
      <c r="BE1924" s="224" t="s">
        <v>228</v>
      </c>
      <c r="BF1924" s="224" t="s">
        <v>490</v>
      </c>
      <c r="BG1924" s="224" t="s">
        <v>235</v>
      </c>
      <c r="BH1924">
        <v>0</v>
      </c>
    </row>
    <row r="1925" spans="17:60">
      <c r="Q1925" s="224" t="s">
        <v>246</v>
      </c>
      <c r="R1925" s="224" t="s">
        <v>490</v>
      </c>
      <c r="S1925" s="224" t="s">
        <v>235</v>
      </c>
      <c r="T1925" s="224">
        <f ca="1">OFFSET('Calculations 2'!$C$45,W1925,X1925)*OFFSET($N$6,W1925,0)</f>
        <v>0</v>
      </c>
      <c r="V1925">
        <f t="shared" si="89"/>
        <v>830</v>
      </c>
      <c r="W1925">
        <f t="shared" si="90"/>
        <v>5</v>
      </c>
      <c r="X1925">
        <f t="shared" si="91"/>
        <v>25</v>
      </c>
      <c r="AC1925" s="224" t="s">
        <v>246</v>
      </c>
      <c r="AD1925" s="224" t="s">
        <v>490</v>
      </c>
      <c r="AE1925" s="224" t="s">
        <v>235</v>
      </c>
      <c r="AF1925">
        <f ca="1">OFFSET('Calculations 2'!$CE$45,W1925,0)*OFFSET($AA$6,X1925,0)*OFFSET($N$6,W1925,)</f>
        <v>3.8049548283032144</v>
      </c>
      <c r="AY1925" s="224" t="s">
        <v>246</v>
      </c>
      <c r="AZ1925" s="224" t="s">
        <v>490</v>
      </c>
      <c r="BA1925" s="224" t="s">
        <v>235</v>
      </c>
      <c r="BB1925">
        <v>0</v>
      </c>
      <c r="BE1925" s="224" t="s">
        <v>246</v>
      </c>
      <c r="BF1925" s="224" t="s">
        <v>490</v>
      </c>
      <c r="BG1925" s="224" t="s">
        <v>235</v>
      </c>
      <c r="BH1925">
        <v>0</v>
      </c>
    </row>
    <row r="1926" spans="17:60">
      <c r="Q1926" s="224" t="s">
        <v>239</v>
      </c>
      <c r="R1926" s="224" t="s">
        <v>490</v>
      </c>
      <c r="S1926" s="224" t="s">
        <v>235</v>
      </c>
      <c r="T1926" s="224">
        <f ca="1">OFFSET('Calculations 2'!$C$45,W1926,X1926)*OFFSET($N$6,W1926,0)</f>
        <v>94.574132715658166</v>
      </c>
      <c r="V1926">
        <f t="shared" si="89"/>
        <v>831</v>
      </c>
      <c r="W1926">
        <f t="shared" si="90"/>
        <v>6</v>
      </c>
      <c r="X1926">
        <f t="shared" si="91"/>
        <v>25</v>
      </c>
      <c r="AC1926" s="224" t="s">
        <v>239</v>
      </c>
      <c r="AD1926" s="224" t="s">
        <v>490</v>
      </c>
      <c r="AE1926" s="224" t="s">
        <v>235</v>
      </c>
      <c r="AF1926">
        <f ca="1">OFFSET('Calculations 2'!$CE$45,W1926,0)*OFFSET($AA$6,X1926,0)*OFFSET($N$6,W1926,)</f>
        <v>54.791041850762198</v>
      </c>
      <c r="AY1926" s="224" t="s">
        <v>239</v>
      </c>
      <c r="AZ1926" s="224" t="s">
        <v>490</v>
      </c>
      <c r="BA1926" s="224" t="s">
        <v>235</v>
      </c>
      <c r="BB1926">
        <v>0</v>
      </c>
      <c r="BE1926" s="224" t="s">
        <v>239</v>
      </c>
      <c r="BF1926" s="224" t="s">
        <v>490</v>
      </c>
      <c r="BG1926" s="224" t="s">
        <v>235</v>
      </c>
      <c r="BH1926">
        <v>0</v>
      </c>
    </row>
    <row r="1927" spans="17:60">
      <c r="Q1927" s="224" t="s">
        <v>466</v>
      </c>
      <c r="R1927" s="224" t="s">
        <v>490</v>
      </c>
      <c r="S1927" s="224" t="s">
        <v>235</v>
      </c>
      <c r="T1927" s="224">
        <f ca="1">OFFSET('Calculations 2'!$C$45,W1927,X1927)*OFFSET($N$6,W1927,0)</f>
        <v>7.4091717418342666</v>
      </c>
      <c r="V1927">
        <f t="shared" si="89"/>
        <v>832</v>
      </c>
      <c r="W1927">
        <f t="shared" si="90"/>
        <v>7</v>
      </c>
      <c r="X1927">
        <f t="shared" si="91"/>
        <v>25</v>
      </c>
      <c r="AC1927" s="224" t="s">
        <v>466</v>
      </c>
      <c r="AD1927" s="224" t="s">
        <v>490</v>
      </c>
      <c r="AE1927" s="224" t="s">
        <v>235</v>
      </c>
      <c r="AF1927">
        <f ca="1">OFFSET('Calculations 2'!$CE$45,W1927,0)*OFFSET($AA$6,X1927,0)*OFFSET($N$6,W1927,)</f>
        <v>13.797024362784304</v>
      </c>
      <c r="AY1927" s="224" t="s">
        <v>466</v>
      </c>
      <c r="AZ1927" s="224" t="s">
        <v>490</v>
      </c>
      <c r="BA1927" s="224" t="s">
        <v>235</v>
      </c>
      <c r="BB1927">
        <v>0</v>
      </c>
      <c r="BE1927" s="224" t="s">
        <v>466</v>
      </c>
      <c r="BF1927" s="224" t="s">
        <v>490</v>
      </c>
      <c r="BG1927" s="224" t="s">
        <v>235</v>
      </c>
      <c r="BH1927">
        <v>0</v>
      </c>
    </row>
    <row r="1928" spans="17:60">
      <c r="Q1928" s="224" t="s">
        <v>219</v>
      </c>
      <c r="R1928" s="224" t="s">
        <v>490</v>
      </c>
      <c r="S1928" s="224" t="s">
        <v>235</v>
      </c>
      <c r="T1928" s="224">
        <f ca="1">OFFSET('Calculations 2'!$C$45,W1928,X1928)*OFFSET($N$6,W1928,0)</f>
        <v>0</v>
      </c>
      <c r="V1928">
        <f t="shared" si="89"/>
        <v>833</v>
      </c>
      <c r="W1928">
        <f t="shared" si="90"/>
        <v>8</v>
      </c>
      <c r="X1928">
        <f t="shared" si="91"/>
        <v>25</v>
      </c>
      <c r="AC1928" s="224" t="s">
        <v>219</v>
      </c>
      <c r="AD1928" s="224" t="s">
        <v>490</v>
      </c>
      <c r="AE1928" s="224" t="s">
        <v>235</v>
      </c>
      <c r="AF1928">
        <f ca="1">OFFSET('Calculations 2'!$CE$45,W1928,0)*OFFSET($AA$6,X1928,0)*OFFSET($N$6,W1928,)</f>
        <v>189.13423936789516</v>
      </c>
      <c r="AY1928" s="224" t="s">
        <v>219</v>
      </c>
      <c r="AZ1928" s="224" t="s">
        <v>490</v>
      </c>
      <c r="BA1928" s="224" t="s">
        <v>235</v>
      </c>
      <c r="BB1928">
        <v>0</v>
      </c>
      <c r="BE1928" s="224" t="s">
        <v>219</v>
      </c>
      <c r="BF1928" s="224" t="s">
        <v>490</v>
      </c>
      <c r="BG1928" s="224" t="s">
        <v>235</v>
      </c>
      <c r="BH1928">
        <v>0</v>
      </c>
    </row>
    <row r="1929" spans="17:60">
      <c r="Q1929" s="224" t="s">
        <v>242</v>
      </c>
      <c r="R1929" s="224" t="s">
        <v>490</v>
      </c>
      <c r="S1929" s="224" t="s">
        <v>235</v>
      </c>
      <c r="T1929" s="224">
        <f ca="1">OFFSET('Calculations 2'!$C$45,W1929,X1929)*OFFSET($N$6,W1929,0)</f>
        <v>0</v>
      </c>
      <c r="V1929">
        <f t="shared" ref="V1929:V1992" si="92">V1928+1</f>
        <v>834</v>
      </c>
      <c r="W1929">
        <f t="shared" ref="W1929:W1992" si="93">MOD(V1929,$V$3)</f>
        <v>9</v>
      </c>
      <c r="X1929">
        <f t="shared" ref="X1929:X1992" si="94">FLOOR(V1929/$V$3,1)</f>
        <v>25</v>
      </c>
      <c r="AC1929" s="224" t="s">
        <v>242</v>
      </c>
      <c r="AD1929" s="224" t="s">
        <v>490</v>
      </c>
      <c r="AE1929" s="224" t="s">
        <v>235</v>
      </c>
      <c r="AF1929">
        <f ca="1">OFFSET('Calculations 2'!$CE$45,W1929,0)*OFFSET($AA$6,X1929,0)*OFFSET($N$6,W1929,)</f>
        <v>144.85168746995913</v>
      </c>
      <c r="AY1929" s="224" t="s">
        <v>242</v>
      </c>
      <c r="AZ1929" s="224" t="s">
        <v>490</v>
      </c>
      <c r="BA1929" s="224" t="s">
        <v>235</v>
      </c>
      <c r="BB1929">
        <v>0</v>
      </c>
      <c r="BE1929" s="224" t="s">
        <v>242</v>
      </c>
      <c r="BF1929" s="224" t="s">
        <v>490</v>
      </c>
      <c r="BG1929" s="224" t="s">
        <v>235</v>
      </c>
      <c r="BH1929">
        <v>0</v>
      </c>
    </row>
    <row r="1930" spans="17:60">
      <c r="Q1930" s="224" t="s">
        <v>467</v>
      </c>
      <c r="R1930" s="224" t="s">
        <v>490</v>
      </c>
      <c r="S1930" s="224" t="s">
        <v>235</v>
      </c>
      <c r="T1930" s="224">
        <f ca="1">OFFSET('Calculations 2'!$C$45,W1930,X1930)*OFFSET($N$6,W1930,0)</f>
        <v>0</v>
      </c>
      <c r="V1930">
        <f t="shared" si="92"/>
        <v>835</v>
      </c>
      <c r="W1930">
        <f t="shared" si="93"/>
        <v>10</v>
      </c>
      <c r="X1930">
        <f t="shared" si="94"/>
        <v>25</v>
      </c>
      <c r="AC1930" s="224" t="s">
        <v>467</v>
      </c>
      <c r="AD1930" s="224" t="s">
        <v>490</v>
      </c>
      <c r="AE1930" s="224" t="s">
        <v>235</v>
      </c>
      <c r="AF1930">
        <f ca="1">OFFSET('Calculations 2'!$CE$45,W1930,0)*OFFSET($AA$6,X1930,0)*OFFSET($N$6,W1930,)</f>
        <v>54.679679929479022</v>
      </c>
      <c r="AY1930" s="224" t="s">
        <v>467</v>
      </c>
      <c r="AZ1930" s="224" t="s">
        <v>490</v>
      </c>
      <c r="BA1930" s="224" t="s">
        <v>235</v>
      </c>
      <c r="BB1930">
        <v>0</v>
      </c>
      <c r="BE1930" s="224" t="s">
        <v>467</v>
      </c>
      <c r="BF1930" s="224" t="s">
        <v>490</v>
      </c>
      <c r="BG1930" s="224" t="s">
        <v>235</v>
      </c>
      <c r="BH1930">
        <v>0</v>
      </c>
    </row>
    <row r="1931" spans="17:60">
      <c r="Q1931" s="224" t="s">
        <v>231</v>
      </c>
      <c r="R1931" s="224" t="s">
        <v>490</v>
      </c>
      <c r="S1931" s="224" t="s">
        <v>235</v>
      </c>
      <c r="T1931" s="224">
        <f ca="1">OFFSET('Calculations 2'!$C$45,W1931,X1931)*OFFSET($N$6,W1931,0)</f>
        <v>0</v>
      </c>
      <c r="V1931">
        <f t="shared" si="92"/>
        <v>836</v>
      </c>
      <c r="W1931">
        <f t="shared" si="93"/>
        <v>11</v>
      </c>
      <c r="X1931">
        <f t="shared" si="94"/>
        <v>25</v>
      </c>
      <c r="AC1931" s="224" t="s">
        <v>231</v>
      </c>
      <c r="AD1931" s="224" t="s">
        <v>490</v>
      </c>
      <c r="AE1931" s="224" t="s">
        <v>235</v>
      </c>
      <c r="AF1931">
        <f ca="1">OFFSET('Calculations 2'!$CE$45,W1931,0)*OFFSET($AA$6,X1931,0)*OFFSET($N$6,W1931,)</f>
        <v>684.43315086933751</v>
      </c>
      <c r="AY1931" s="224" t="s">
        <v>231</v>
      </c>
      <c r="AZ1931" s="224" t="s">
        <v>490</v>
      </c>
      <c r="BA1931" s="224" t="s">
        <v>235</v>
      </c>
      <c r="BB1931">
        <v>0</v>
      </c>
      <c r="BE1931" s="224" t="s">
        <v>231</v>
      </c>
      <c r="BF1931" s="224" t="s">
        <v>490</v>
      </c>
      <c r="BG1931" s="224" t="s">
        <v>235</v>
      </c>
      <c r="BH1931">
        <v>0</v>
      </c>
    </row>
    <row r="1932" spans="17:60">
      <c r="Q1932" s="224" t="s">
        <v>468</v>
      </c>
      <c r="R1932" s="224" t="s">
        <v>490</v>
      </c>
      <c r="S1932" s="224" t="s">
        <v>235</v>
      </c>
      <c r="T1932" s="224">
        <f ca="1">OFFSET('Calculations 2'!$C$45,W1932,X1932)*OFFSET($N$6,W1932,0)</f>
        <v>0</v>
      </c>
      <c r="V1932">
        <f t="shared" si="92"/>
        <v>837</v>
      </c>
      <c r="W1932">
        <f t="shared" si="93"/>
        <v>12</v>
      </c>
      <c r="X1932">
        <f t="shared" si="94"/>
        <v>25</v>
      </c>
      <c r="AC1932" s="224" t="s">
        <v>468</v>
      </c>
      <c r="AD1932" s="224" t="s">
        <v>490</v>
      </c>
      <c r="AE1932" s="224" t="s">
        <v>235</v>
      </c>
      <c r="AF1932">
        <f ca="1">OFFSET('Calculations 2'!$CE$45,W1932,0)*OFFSET($AA$6,X1932,0)*OFFSET($N$6,W1932,)</f>
        <v>2621.9072815908971</v>
      </c>
      <c r="AY1932" s="224" t="s">
        <v>468</v>
      </c>
      <c r="AZ1932" s="224" t="s">
        <v>490</v>
      </c>
      <c r="BA1932" s="224" t="s">
        <v>235</v>
      </c>
      <c r="BB1932">
        <v>0</v>
      </c>
      <c r="BE1932" s="224" t="s">
        <v>468</v>
      </c>
      <c r="BF1932" s="224" t="s">
        <v>490</v>
      </c>
      <c r="BG1932" s="224" t="s">
        <v>235</v>
      </c>
      <c r="BH1932">
        <v>0</v>
      </c>
    </row>
    <row r="1933" spans="17:60">
      <c r="Q1933" s="224" t="s">
        <v>469</v>
      </c>
      <c r="R1933" s="224" t="s">
        <v>490</v>
      </c>
      <c r="S1933" s="224" t="s">
        <v>235</v>
      </c>
      <c r="T1933" s="224">
        <f ca="1">OFFSET('Calculations 2'!$C$45,W1933,X1933)*OFFSET($N$6,W1933,0)</f>
        <v>0</v>
      </c>
      <c r="V1933">
        <f t="shared" si="92"/>
        <v>838</v>
      </c>
      <c r="W1933">
        <f t="shared" si="93"/>
        <v>13</v>
      </c>
      <c r="X1933">
        <f t="shared" si="94"/>
        <v>25</v>
      </c>
      <c r="AC1933" s="224" t="s">
        <v>469</v>
      </c>
      <c r="AD1933" s="224" t="s">
        <v>490</v>
      </c>
      <c r="AE1933" s="224" t="s">
        <v>235</v>
      </c>
      <c r="AF1933">
        <f ca="1">OFFSET('Calculations 2'!$CE$45,W1933,0)*OFFSET($AA$6,X1933,0)*OFFSET($N$6,W1933,)</f>
        <v>1405.7867030369737</v>
      </c>
      <c r="AY1933" s="224" t="s">
        <v>469</v>
      </c>
      <c r="AZ1933" s="224" t="s">
        <v>490</v>
      </c>
      <c r="BA1933" s="224" t="s">
        <v>235</v>
      </c>
      <c r="BB1933">
        <v>0</v>
      </c>
      <c r="BE1933" s="224" t="s">
        <v>469</v>
      </c>
      <c r="BF1933" s="224" t="s">
        <v>490</v>
      </c>
      <c r="BG1933" s="224" t="s">
        <v>235</v>
      </c>
      <c r="BH1933">
        <v>0</v>
      </c>
    </row>
    <row r="1934" spans="17:60">
      <c r="Q1934" s="224" t="s">
        <v>245</v>
      </c>
      <c r="R1934" s="224" t="s">
        <v>490</v>
      </c>
      <c r="S1934" s="224" t="s">
        <v>235</v>
      </c>
      <c r="T1934" s="224">
        <f ca="1">OFFSET('Calculations 2'!$C$45,W1934,X1934)*OFFSET($N$6,W1934,0)</f>
        <v>0</v>
      </c>
      <c r="V1934">
        <f t="shared" si="92"/>
        <v>839</v>
      </c>
      <c r="W1934">
        <f t="shared" si="93"/>
        <v>14</v>
      </c>
      <c r="X1934">
        <f t="shared" si="94"/>
        <v>25</v>
      </c>
      <c r="AC1934" s="224" t="s">
        <v>245</v>
      </c>
      <c r="AD1934" s="224" t="s">
        <v>490</v>
      </c>
      <c r="AE1934" s="224" t="s">
        <v>235</v>
      </c>
      <c r="AF1934">
        <f ca="1">OFFSET('Calculations 2'!$CE$45,W1934,0)*OFFSET($AA$6,X1934,0)*OFFSET($N$6,W1934,)</f>
        <v>2243.4774596657703</v>
      </c>
      <c r="AY1934" s="224" t="s">
        <v>245</v>
      </c>
      <c r="AZ1934" s="224" t="s">
        <v>490</v>
      </c>
      <c r="BA1934" s="224" t="s">
        <v>235</v>
      </c>
      <c r="BB1934">
        <v>0</v>
      </c>
      <c r="BE1934" s="224" t="s">
        <v>245</v>
      </c>
      <c r="BF1934" s="224" t="s">
        <v>490</v>
      </c>
      <c r="BG1934" s="224" t="s">
        <v>235</v>
      </c>
      <c r="BH1934">
        <v>0</v>
      </c>
    </row>
    <row r="1935" spans="17:60">
      <c r="Q1935" s="224" t="s">
        <v>470</v>
      </c>
      <c r="R1935" s="224" t="s">
        <v>490</v>
      </c>
      <c r="S1935" s="224" t="s">
        <v>235</v>
      </c>
      <c r="T1935" s="224">
        <f ca="1">OFFSET('Calculations 2'!$C$45,W1935,X1935)*OFFSET($N$6,W1935,0)</f>
        <v>174.54630652284837</v>
      </c>
      <c r="V1935">
        <f t="shared" si="92"/>
        <v>840</v>
      </c>
      <c r="W1935">
        <f t="shared" si="93"/>
        <v>15</v>
      </c>
      <c r="X1935">
        <f t="shared" si="94"/>
        <v>25</v>
      </c>
      <c r="AC1935" s="224" t="s">
        <v>470</v>
      </c>
      <c r="AD1935" s="224" t="s">
        <v>490</v>
      </c>
      <c r="AE1935" s="224" t="s">
        <v>235</v>
      </c>
      <c r="AF1935">
        <f ca="1">OFFSET('Calculations 2'!$CE$45,W1935,0)*OFFSET($AA$6,X1935,0)*OFFSET($N$6,W1935,)</f>
        <v>851.25312626709274</v>
      </c>
      <c r="AY1935" s="224" t="s">
        <v>470</v>
      </c>
      <c r="AZ1935" s="224" t="s">
        <v>490</v>
      </c>
      <c r="BA1935" s="224" t="s">
        <v>235</v>
      </c>
      <c r="BB1935">
        <v>0</v>
      </c>
      <c r="BE1935" s="224" t="s">
        <v>470</v>
      </c>
      <c r="BF1935" s="224" t="s">
        <v>490</v>
      </c>
      <c r="BG1935" s="224" t="s">
        <v>235</v>
      </c>
      <c r="BH1935">
        <v>0</v>
      </c>
    </row>
    <row r="1936" spans="17:60">
      <c r="Q1936" s="224" t="s">
        <v>471</v>
      </c>
      <c r="R1936" s="224" t="s">
        <v>490</v>
      </c>
      <c r="S1936" s="224" t="s">
        <v>235</v>
      </c>
      <c r="T1936" s="224">
        <f ca="1">OFFSET('Calculations 2'!$C$45,W1936,X1936)*OFFSET($N$6,W1936,0)</f>
        <v>2.6630555323700267</v>
      </c>
      <c r="V1936">
        <f t="shared" si="92"/>
        <v>841</v>
      </c>
      <c r="W1936">
        <f t="shared" si="93"/>
        <v>16</v>
      </c>
      <c r="X1936">
        <f t="shared" si="94"/>
        <v>25</v>
      </c>
      <c r="AC1936" s="224" t="s">
        <v>471</v>
      </c>
      <c r="AD1936" s="224" t="s">
        <v>490</v>
      </c>
      <c r="AE1936" s="224" t="s">
        <v>235</v>
      </c>
      <c r="AF1936">
        <f ca="1">OFFSET('Calculations 2'!$CE$45,W1936,0)*OFFSET($AA$6,X1936,0)*OFFSET($N$6,W1936,)</f>
        <v>0</v>
      </c>
      <c r="AY1936" s="224" t="s">
        <v>471</v>
      </c>
      <c r="AZ1936" s="224" t="s">
        <v>490</v>
      </c>
      <c r="BA1936" s="224" t="s">
        <v>235</v>
      </c>
      <c r="BB1936">
        <v>0</v>
      </c>
      <c r="BE1936" s="224" t="s">
        <v>471</v>
      </c>
      <c r="BF1936" s="224" t="s">
        <v>490</v>
      </c>
      <c r="BG1936" s="224" t="s">
        <v>235</v>
      </c>
      <c r="BH1936">
        <v>0</v>
      </c>
    </row>
    <row r="1937" spans="17:60">
      <c r="Q1937" s="224" t="s">
        <v>221</v>
      </c>
      <c r="R1937" s="224" t="s">
        <v>490</v>
      </c>
      <c r="S1937" s="224" t="s">
        <v>235</v>
      </c>
      <c r="T1937" s="224">
        <f ca="1">OFFSET('Calculations 2'!$C$45,W1937,X1937)*OFFSET($N$6,W1937,0)</f>
        <v>6.6236699894305033</v>
      </c>
      <c r="V1937">
        <f t="shared" si="92"/>
        <v>842</v>
      </c>
      <c r="W1937">
        <f t="shared" si="93"/>
        <v>17</v>
      </c>
      <c r="X1937">
        <f t="shared" si="94"/>
        <v>25</v>
      </c>
      <c r="AC1937" s="224" t="s">
        <v>221</v>
      </c>
      <c r="AD1937" s="224" t="s">
        <v>490</v>
      </c>
      <c r="AE1937" s="224" t="s">
        <v>235</v>
      </c>
      <c r="AF1937">
        <f ca="1">OFFSET('Calculations 2'!$CE$45,W1937,0)*OFFSET($AA$6,X1937,0)*OFFSET($N$6,W1937,)</f>
        <v>166.63770082567754</v>
      </c>
      <c r="AY1937" s="224" t="s">
        <v>221</v>
      </c>
      <c r="AZ1937" s="224" t="s">
        <v>490</v>
      </c>
      <c r="BA1937" s="224" t="s">
        <v>235</v>
      </c>
      <c r="BB1937">
        <v>0</v>
      </c>
      <c r="BE1937" s="224" t="s">
        <v>221</v>
      </c>
      <c r="BF1937" s="224" t="s">
        <v>490</v>
      </c>
      <c r="BG1937" s="224" t="s">
        <v>235</v>
      </c>
      <c r="BH1937">
        <v>0</v>
      </c>
    </row>
    <row r="1938" spans="17:60">
      <c r="Q1938" s="224" t="s">
        <v>244</v>
      </c>
      <c r="R1938" s="224" t="s">
        <v>490</v>
      </c>
      <c r="S1938" s="224" t="s">
        <v>235</v>
      </c>
      <c r="T1938" s="224">
        <f ca="1">OFFSET('Calculations 2'!$C$45,W1938,X1938)*OFFSET($N$6,W1938,0)</f>
        <v>0.41704182976780463</v>
      </c>
      <c r="V1938">
        <f t="shared" si="92"/>
        <v>843</v>
      </c>
      <c r="W1938">
        <f t="shared" si="93"/>
        <v>18</v>
      </c>
      <c r="X1938">
        <f t="shared" si="94"/>
        <v>25</v>
      </c>
      <c r="AC1938" s="224" t="s">
        <v>244</v>
      </c>
      <c r="AD1938" s="224" t="s">
        <v>490</v>
      </c>
      <c r="AE1938" s="224" t="s">
        <v>235</v>
      </c>
      <c r="AF1938">
        <f ca="1">OFFSET('Calculations 2'!$CE$45,W1938,0)*OFFSET($AA$6,X1938,0)*OFFSET($N$6,W1938,)</f>
        <v>14.579667838487879</v>
      </c>
      <c r="AY1938" s="224" t="s">
        <v>244</v>
      </c>
      <c r="AZ1938" s="224" t="s">
        <v>490</v>
      </c>
      <c r="BA1938" s="224" t="s">
        <v>235</v>
      </c>
      <c r="BB1938">
        <v>0</v>
      </c>
      <c r="BE1938" s="224" t="s">
        <v>244</v>
      </c>
      <c r="BF1938" s="224" t="s">
        <v>490</v>
      </c>
      <c r="BG1938" s="224" t="s">
        <v>235</v>
      </c>
      <c r="BH1938">
        <v>0</v>
      </c>
    </row>
    <row r="1939" spans="17:60">
      <c r="Q1939" s="224" t="s">
        <v>472</v>
      </c>
      <c r="R1939" s="224" t="s">
        <v>490</v>
      </c>
      <c r="S1939" s="224" t="s">
        <v>235</v>
      </c>
      <c r="T1939" s="224">
        <f ca="1">OFFSET('Calculations 2'!$C$45,W1939,X1939)*OFFSET($N$6,W1939,0)</f>
        <v>0</v>
      </c>
      <c r="V1939">
        <f t="shared" si="92"/>
        <v>844</v>
      </c>
      <c r="W1939">
        <f t="shared" si="93"/>
        <v>19</v>
      </c>
      <c r="X1939">
        <f t="shared" si="94"/>
        <v>25</v>
      </c>
      <c r="AC1939" s="224" t="s">
        <v>472</v>
      </c>
      <c r="AD1939" s="224" t="s">
        <v>490</v>
      </c>
      <c r="AE1939" s="224" t="s">
        <v>235</v>
      </c>
      <c r="AF1939">
        <f ca="1">OFFSET('Calculations 2'!$CE$45,W1939,0)*OFFSET($AA$6,X1939,0)*OFFSET($N$6,W1939,)</f>
        <v>0</v>
      </c>
      <c r="AY1939" s="224" t="s">
        <v>472</v>
      </c>
      <c r="AZ1939" s="224" t="s">
        <v>490</v>
      </c>
      <c r="BA1939" s="224" t="s">
        <v>235</v>
      </c>
      <c r="BB1939">
        <v>0</v>
      </c>
      <c r="BE1939" s="224" t="s">
        <v>472</v>
      </c>
      <c r="BF1939" s="224" t="s">
        <v>490</v>
      </c>
      <c r="BG1939" s="224" t="s">
        <v>235</v>
      </c>
      <c r="BH1939">
        <v>0</v>
      </c>
    </row>
    <row r="1940" spans="17:60">
      <c r="Q1940" s="224" t="s">
        <v>238</v>
      </c>
      <c r="R1940" s="224" t="s">
        <v>490</v>
      </c>
      <c r="S1940" s="224" t="s">
        <v>235</v>
      </c>
      <c r="T1940" s="224">
        <f ca="1">OFFSET('Calculations 2'!$C$45,W1940,X1940)*OFFSET($N$6,W1940,0)</f>
        <v>0.58750799921708641</v>
      </c>
      <c r="V1940">
        <f t="shared" si="92"/>
        <v>845</v>
      </c>
      <c r="W1940">
        <f t="shared" si="93"/>
        <v>20</v>
      </c>
      <c r="X1940">
        <f t="shared" si="94"/>
        <v>25</v>
      </c>
      <c r="AC1940" s="224" t="s">
        <v>238</v>
      </c>
      <c r="AD1940" s="224" t="s">
        <v>490</v>
      </c>
      <c r="AE1940" s="224" t="s">
        <v>235</v>
      </c>
      <c r="AF1940">
        <f ca="1">OFFSET('Calculations 2'!$CE$45,W1940,0)*OFFSET($AA$6,X1940,0)*OFFSET($N$6,W1940,)</f>
        <v>0</v>
      </c>
      <c r="AY1940" s="224" t="s">
        <v>238</v>
      </c>
      <c r="AZ1940" s="224" t="s">
        <v>490</v>
      </c>
      <c r="BA1940" s="224" t="s">
        <v>235</v>
      </c>
      <c r="BB1940">
        <v>0</v>
      </c>
      <c r="BE1940" s="224" t="s">
        <v>238</v>
      </c>
      <c r="BF1940" s="224" t="s">
        <v>490</v>
      </c>
      <c r="BG1940" s="224" t="s">
        <v>235</v>
      </c>
      <c r="BH1940">
        <v>0</v>
      </c>
    </row>
    <row r="1941" spans="17:60">
      <c r="Q1941" s="224" t="s">
        <v>247</v>
      </c>
      <c r="R1941" s="224" t="s">
        <v>490</v>
      </c>
      <c r="S1941" s="224" t="s">
        <v>235</v>
      </c>
      <c r="T1941" s="224">
        <f ca="1">OFFSET('Calculations 2'!$C$45,W1941,X1941)*OFFSET($N$6,W1941,0)</f>
        <v>0</v>
      </c>
      <c r="V1941">
        <f t="shared" si="92"/>
        <v>846</v>
      </c>
      <c r="W1941">
        <f t="shared" si="93"/>
        <v>21</v>
      </c>
      <c r="X1941">
        <f t="shared" si="94"/>
        <v>25</v>
      </c>
      <c r="AC1941" s="224" t="s">
        <v>247</v>
      </c>
      <c r="AD1941" s="224" t="s">
        <v>490</v>
      </c>
      <c r="AE1941" s="224" t="s">
        <v>235</v>
      </c>
      <c r="AF1941">
        <f ca="1">OFFSET('Calculations 2'!$CE$45,W1941,0)*OFFSET($AA$6,X1941,0)*OFFSET($N$6,W1941,)</f>
        <v>0</v>
      </c>
      <c r="AY1941" s="224" t="s">
        <v>247</v>
      </c>
      <c r="AZ1941" s="224" t="s">
        <v>490</v>
      </c>
      <c r="BA1941" s="224" t="s">
        <v>235</v>
      </c>
      <c r="BB1941">
        <v>0</v>
      </c>
      <c r="BE1941" s="224" t="s">
        <v>247</v>
      </c>
      <c r="BF1941" s="224" t="s">
        <v>490</v>
      </c>
      <c r="BG1941" s="224" t="s">
        <v>235</v>
      </c>
      <c r="BH1941">
        <v>0</v>
      </c>
    </row>
    <row r="1942" spans="17:60">
      <c r="Q1942" s="224" t="s">
        <v>218</v>
      </c>
      <c r="R1942" s="224" t="s">
        <v>490</v>
      </c>
      <c r="S1942" s="224" t="s">
        <v>235</v>
      </c>
      <c r="T1942" s="224">
        <f ca="1">OFFSET('Calculations 2'!$C$45,W1942,X1942)*OFFSET($N$6,W1942,0)</f>
        <v>0</v>
      </c>
      <c r="V1942">
        <f t="shared" si="92"/>
        <v>847</v>
      </c>
      <c r="W1942">
        <f t="shared" si="93"/>
        <v>22</v>
      </c>
      <c r="X1942">
        <f t="shared" si="94"/>
        <v>25</v>
      </c>
      <c r="AC1942" s="224" t="s">
        <v>218</v>
      </c>
      <c r="AD1942" s="224" t="s">
        <v>490</v>
      </c>
      <c r="AE1942" s="224" t="s">
        <v>235</v>
      </c>
      <c r="AF1942">
        <f ca="1">OFFSET('Calculations 2'!$CE$45,W1942,0)*OFFSET($AA$6,X1942,0)*OFFSET($N$6,W1942,)</f>
        <v>0</v>
      </c>
      <c r="AY1942" s="224" t="s">
        <v>218</v>
      </c>
      <c r="AZ1942" s="224" t="s">
        <v>490</v>
      </c>
      <c r="BA1942" s="224" t="s">
        <v>235</v>
      </c>
      <c r="BB1942">
        <v>0</v>
      </c>
      <c r="BE1942" s="224" t="s">
        <v>218</v>
      </c>
      <c r="BF1942" s="224" t="s">
        <v>490</v>
      </c>
      <c r="BG1942" s="224" t="s">
        <v>235</v>
      </c>
      <c r="BH1942">
        <v>0</v>
      </c>
    </row>
    <row r="1943" spans="17:60">
      <c r="Q1943" s="224" t="s">
        <v>257</v>
      </c>
      <c r="R1943" s="224" t="s">
        <v>490</v>
      </c>
      <c r="S1943" s="224" t="s">
        <v>235</v>
      </c>
      <c r="T1943" s="224">
        <f ca="1">OFFSET('Calculations 2'!$C$45,W1943,X1943)*OFFSET($N$6,W1943,0)</f>
        <v>0</v>
      </c>
      <c r="V1943">
        <f t="shared" si="92"/>
        <v>848</v>
      </c>
      <c r="W1943">
        <f t="shared" si="93"/>
        <v>23</v>
      </c>
      <c r="X1943">
        <f t="shared" si="94"/>
        <v>25</v>
      </c>
      <c r="AC1943" s="224" t="s">
        <v>257</v>
      </c>
      <c r="AD1943" s="224" t="s">
        <v>490</v>
      </c>
      <c r="AE1943" s="224" t="s">
        <v>235</v>
      </c>
      <c r="AF1943">
        <f ca="1">OFFSET('Calculations 2'!$CE$45,W1943,0)*OFFSET($AA$6,X1943,0)*OFFSET($N$6,W1943,)</f>
        <v>0</v>
      </c>
      <c r="AY1943" s="224" t="s">
        <v>257</v>
      </c>
      <c r="AZ1943" s="224" t="s">
        <v>490</v>
      </c>
      <c r="BA1943" s="224" t="s">
        <v>235</v>
      </c>
      <c r="BB1943">
        <v>0</v>
      </c>
      <c r="BE1943" s="224" t="s">
        <v>257</v>
      </c>
      <c r="BF1943" s="224" t="s">
        <v>490</v>
      </c>
      <c r="BG1943" s="224" t="s">
        <v>235</v>
      </c>
      <c r="BH1943">
        <v>0</v>
      </c>
    </row>
    <row r="1944" spans="17:60">
      <c r="Q1944" s="224" t="s">
        <v>220</v>
      </c>
      <c r="R1944" s="224" t="s">
        <v>490</v>
      </c>
      <c r="S1944" s="224" t="s">
        <v>235</v>
      </c>
      <c r="T1944" s="224">
        <f ca="1">OFFSET('Calculations 2'!$C$45,W1944,X1944)*OFFSET($N$6,W1944,0)</f>
        <v>79.100034028588681</v>
      </c>
      <c r="V1944">
        <f t="shared" si="92"/>
        <v>849</v>
      </c>
      <c r="W1944">
        <f t="shared" si="93"/>
        <v>24</v>
      </c>
      <c r="X1944">
        <f t="shared" si="94"/>
        <v>25</v>
      </c>
      <c r="AC1944" s="224" t="s">
        <v>220</v>
      </c>
      <c r="AD1944" s="224" t="s">
        <v>490</v>
      </c>
      <c r="AE1944" s="224" t="s">
        <v>235</v>
      </c>
      <c r="AF1944">
        <f ca="1">OFFSET('Calculations 2'!$CE$45,W1944,0)*OFFSET($AA$6,X1944,0)*OFFSET($N$6,W1944,)</f>
        <v>0</v>
      </c>
      <c r="AY1944" s="224" t="s">
        <v>220</v>
      </c>
      <c r="AZ1944" s="224" t="s">
        <v>490</v>
      </c>
      <c r="BA1944" s="224" t="s">
        <v>235</v>
      </c>
      <c r="BB1944">
        <v>0</v>
      </c>
      <c r="BE1944" s="224" t="s">
        <v>220</v>
      </c>
      <c r="BF1944" s="224" t="s">
        <v>490</v>
      </c>
      <c r="BG1944" s="224" t="s">
        <v>235</v>
      </c>
      <c r="BH1944">
        <v>0</v>
      </c>
    </row>
    <row r="1945" spans="17:60">
      <c r="Q1945" s="224" t="s">
        <v>235</v>
      </c>
      <c r="R1945" s="224" t="s">
        <v>490</v>
      </c>
      <c r="S1945" s="224" t="s">
        <v>235</v>
      </c>
      <c r="T1945" s="224">
        <f ca="1">OFFSET('Calculations 2'!$C$45,W1945,X1945)*OFFSET($N$6,W1945,0)</f>
        <v>66.982066573730194</v>
      </c>
      <c r="V1945">
        <f t="shared" si="92"/>
        <v>850</v>
      </c>
      <c r="W1945">
        <f t="shared" si="93"/>
        <v>25</v>
      </c>
      <c r="X1945">
        <f t="shared" si="94"/>
        <v>25</v>
      </c>
      <c r="AC1945" s="224" t="s">
        <v>235</v>
      </c>
      <c r="AD1945" s="224" t="s">
        <v>490</v>
      </c>
      <c r="AE1945" s="224" t="s">
        <v>235</v>
      </c>
      <c r="AF1945">
        <f ca="1">OFFSET('Calculations 2'!$CE$45,W1945,0)*OFFSET($AA$6,X1945,0)*OFFSET($N$6,W1945,)</f>
        <v>0</v>
      </c>
      <c r="AY1945" s="224" t="s">
        <v>235</v>
      </c>
      <c r="AZ1945" s="224" t="s">
        <v>490</v>
      </c>
      <c r="BA1945" s="224" t="s">
        <v>235</v>
      </c>
      <c r="BB1945">
        <v>0</v>
      </c>
      <c r="BE1945" s="224" t="s">
        <v>235</v>
      </c>
      <c r="BF1945" s="224" t="s">
        <v>490</v>
      </c>
      <c r="BG1945" s="224" t="s">
        <v>235</v>
      </c>
      <c r="BH1945">
        <v>0</v>
      </c>
    </row>
    <row r="1946" spans="17:60">
      <c r="Q1946" s="224" t="s">
        <v>473</v>
      </c>
      <c r="R1946" s="224" t="s">
        <v>490</v>
      </c>
      <c r="S1946" s="224" t="s">
        <v>235</v>
      </c>
      <c r="T1946" s="224">
        <f ca="1">OFFSET('Calculations 2'!$C$45,W1946,X1946)*OFFSET($N$6,W1946,0)</f>
        <v>8.6136674389323034</v>
      </c>
      <c r="V1946">
        <f t="shared" si="92"/>
        <v>851</v>
      </c>
      <c r="W1946">
        <f t="shared" si="93"/>
        <v>26</v>
      </c>
      <c r="X1946">
        <f t="shared" si="94"/>
        <v>25</v>
      </c>
      <c r="AC1946" s="224" t="s">
        <v>473</v>
      </c>
      <c r="AD1946" s="224" t="s">
        <v>490</v>
      </c>
      <c r="AE1946" s="224" t="s">
        <v>235</v>
      </c>
      <c r="AF1946">
        <f ca="1">OFFSET('Calculations 2'!$CE$45,W1946,0)*OFFSET($AA$6,X1946,0)*OFFSET($N$6,W1946,)</f>
        <v>0</v>
      </c>
      <c r="AY1946" s="224" t="s">
        <v>473</v>
      </c>
      <c r="AZ1946" s="224" t="s">
        <v>490</v>
      </c>
      <c r="BA1946" s="224" t="s">
        <v>235</v>
      </c>
      <c r="BB1946">
        <v>0</v>
      </c>
      <c r="BE1946" s="224" t="s">
        <v>473</v>
      </c>
      <c r="BF1946" s="224" t="s">
        <v>490</v>
      </c>
      <c r="BG1946" s="224" t="s">
        <v>235</v>
      </c>
      <c r="BH1946">
        <v>0</v>
      </c>
    </row>
    <row r="1947" spans="17:60">
      <c r="Q1947" s="224" t="s">
        <v>233</v>
      </c>
      <c r="R1947" s="224" t="s">
        <v>490</v>
      </c>
      <c r="S1947" s="224" t="s">
        <v>235</v>
      </c>
      <c r="T1947" s="224">
        <f ca="1">OFFSET('Calculations 2'!$C$45,W1947,X1947)*OFFSET($N$6,W1947,0)</f>
        <v>10.673675157931303</v>
      </c>
      <c r="V1947">
        <f t="shared" si="92"/>
        <v>852</v>
      </c>
      <c r="W1947">
        <f t="shared" si="93"/>
        <v>27</v>
      </c>
      <c r="X1947">
        <f t="shared" si="94"/>
        <v>25</v>
      </c>
      <c r="AC1947" s="224" t="s">
        <v>233</v>
      </c>
      <c r="AD1947" s="224" t="s">
        <v>490</v>
      </c>
      <c r="AE1947" s="224" t="s">
        <v>235</v>
      </c>
      <c r="AF1947">
        <f ca="1">OFFSET('Calculations 2'!$CE$45,W1947,0)*OFFSET($AA$6,X1947,0)*OFFSET($N$6,W1947,)</f>
        <v>0</v>
      </c>
      <c r="AY1947" s="224" t="s">
        <v>233</v>
      </c>
      <c r="AZ1947" s="224" t="s">
        <v>490</v>
      </c>
      <c r="BA1947" s="224" t="s">
        <v>235</v>
      </c>
      <c r="BB1947">
        <v>0</v>
      </c>
      <c r="BE1947" s="224" t="s">
        <v>233</v>
      </c>
      <c r="BF1947" s="224" t="s">
        <v>490</v>
      </c>
      <c r="BG1947" s="224" t="s">
        <v>235</v>
      </c>
      <c r="BH1947">
        <v>0</v>
      </c>
    </row>
    <row r="1948" spans="17:60">
      <c r="Q1948" s="224" t="s">
        <v>474</v>
      </c>
      <c r="R1948" s="224" t="s">
        <v>490</v>
      </c>
      <c r="S1948" s="224" t="s">
        <v>235</v>
      </c>
      <c r="T1948" s="224">
        <f ca="1">OFFSET('Calculations 2'!$C$45,W1948,X1948)*OFFSET($N$6,W1948,0)</f>
        <v>0.75053103264868815</v>
      </c>
      <c r="V1948">
        <f t="shared" si="92"/>
        <v>853</v>
      </c>
      <c r="W1948">
        <f t="shared" si="93"/>
        <v>28</v>
      </c>
      <c r="X1948">
        <f t="shared" si="94"/>
        <v>25</v>
      </c>
      <c r="AC1948" s="224" t="s">
        <v>474</v>
      </c>
      <c r="AD1948" s="224" t="s">
        <v>490</v>
      </c>
      <c r="AE1948" s="224" t="s">
        <v>235</v>
      </c>
      <c r="AF1948">
        <f ca="1">OFFSET('Calculations 2'!$CE$45,W1948,0)*OFFSET($AA$6,X1948,0)*OFFSET($N$6,W1948,)</f>
        <v>0</v>
      </c>
      <c r="AY1948" s="224" t="s">
        <v>474</v>
      </c>
      <c r="AZ1948" s="224" t="s">
        <v>490</v>
      </c>
      <c r="BA1948" s="224" t="s">
        <v>235</v>
      </c>
      <c r="BB1948">
        <v>0</v>
      </c>
      <c r="BE1948" s="224" t="s">
        <v>474</v>
      </c>
      <c r="BF1948" s="224" t="s">
        <v>490</v>
      </c>
      <c r="BG1948" s="224" t="s">
        <v>235</v>
      </c>
      <c r="BH1948">
        <v>0</v>
      </c>
    </row>
    <row r="1949" spans="17:60">
      <c r="Q1949" s="224" t="s">
        <v>223</v>
      </c>
      <c r="R1949" s="224" t="s">
        <v>490</v>
      </c>
      <c r="S1949" s="224" t="s">
        <v>235</v>
      </c>
      <c r="T1949" s="224">
        <f ca="1">OFFSET('Calculations 2'!$C$45,W1949,X1949)*OFFSET($N$6,W1949,0)</f>
        <v>0</v>
      </c>
      <c r="V1949">
        <f t="shared" si="92"/>
        <v>854</v>
      </c>
      <c r="W1949">
        <f t="shared" si="93"/>
        <v>29</v>
      </c>
      <c r="X1949">
        <f t="shared" si="94"/>
        <v>25</v>
      </c>
      <c r="AC1949" s="224" t="s">
        <v>223</v>
      </c>
      <c r="AD1949" s="224" t="s">
        <v>490</v>
      </c>
      <c r="AE1949" s="224" t="s">
        <v>235</v>
      </c>
      <c r="AF1949">
        <f ca="1">OFFSET('Calculations 2'!$CE$45,W1949,0)*OFFSET($AA$6,X1949,0)*OFFSET($N$6,W1949,)</f>
        <v>0</v>
      </c>
      <c r="AY1949" s="224" t="s">
        <v>223</v>
      </c>
      <c r="AZ1949" s="224" t="s">
        <v>490</v>
      </c>
      <c r="BA1949" s="224" t="s">
        <v>235</v>
      </c>
      <c r="BB1949">
        <v>0</v>
      </c>
      <c r="BE1949" s="224" t="s">
        <v>223</v>
      </c>
      <c r="BF1949" s="224" t="s">
        <v>490</v>
      </c>
      <c r="BG1949" s="224" t="s">
        <v>235</v>
      </c>
      <c r="BH1949">
        <v>0</v>
      </c>
    </row>
    <row r="1950" spans="17:60">
      <c r="Q1950" s="224" t="s">
        <v>475</v>
      </c>
      <c r="R1950" s="224" t="s">
        <v>490</v>
      </c>
      <c r="S1950" s="224" t="s">
        <v>235</v>
      </c>
      <c r="T1950" s="224">
        <f ca="1">OFFSET('Calculations 2'!$C$45,W1950,X1950)*OFFSET($N$6,W1950,0)</f>
        <v>0</v>
      </c>
      <c r="V1950">
        <f t="shared" si="92"/>
        <v>855</v>
      </c>
      <c r="W1950">
        <f t="shared" si="93"/>
        <v>30</v>
      </c>
      <c r="X1950">
        <f t="shared" si="94"/>
        <v>25</v>
      </c>
      <c r="AC1950" s="224" t="s">
        <v>475</v>
      </c>
      <c r="AD1950" s="224" t="s">
        <v>490</v>
      </c>
      <c r="AE1950" s="224" t="s">
        <v>235</v>
      </c>
      <c r="AF1950">
        <f ca="1">OFFSET('Calculations 2'!$CE$45,W1950,0)*OFFSET($AA$6,X1950,0)*OFFSET($N$6,W1950,)</f>
        <v>0</v>
      </c>
      <c r="AY1950" s="224" t="s">
        <v>475</v>
      </c>
      <c r="AZ1950" s="224" t="s">
        <v>490</v>
      </c>
      <c r="BA1950" s="224" t="s">
        <v>235</v>
      </c>
      <c r="BB1950">
        <v>0</v>
      </c>
      <c r="BE1950" s="224" t="s">
        <v>475</v>
      </c>
      <c r="BF1950" s="224" t="s">
        <v>490</v>
      </c>
      <c r="BG1950" s="224" t="s">
        <v>235</v>
      </c>
      <c r="BH1950">
        <v>0</v>
      </c>
    </row>
    <row r="1951" spans="17:60">
      <c r="Q1951" s="224" t="s">
        <v>476</v>
      </c>
      <c r="R1951" s="224" t="s">
        <v>490</v>
      </c>
      <c r="S1951" s="224" t="s">
        <v>235</v>
      </c>
      <c r="T1951" s="224">
        <f ca="1">OFFSET('Calculations 2'!$C$45,W1951,X1951)*OFFSET($N$6,W1951,0)</f>
        <v>14.818819637347408</v>
      </c>
      <c r="V1951">
        <f t="shared" si="92"/>
        <v>856</v>
      </c>
      <c r="W1951">
        <f t="shared" si="93"/>
        <v>31</v>
      </c>
      <c r="X1951">
        <f t="shared" si="94"/>
        <v>25</v>
      </c>
      <c r="AC1951" s="224" t="s">
        <v>476</v>
      </c>
      <c r="AD1951" s="224" t="s">
        <v>490</v>
      </c>
      <c r="AE1951" s="224" t="s">
        <v>235</v>
      </c>
      <c r="AF1951">
        <f ca="1">OFFSET('Calculations 2'!$CE$45,W1951,0)*OFFSET($AA$6,X1951,0)*OFFSET($N$6,W1951,)</f>
        <v>0</v>
      </c>
      <c r="AY1951" s="224" t="s">
        <v>476</v>
      </c>
      <c r="AZ1951" s="224" t="s">
        <v>490</v>
      </c>
      <c r="BA1951" s="224" t="s">
        <v>235</v>
      </c>
      <c r="BB1951">
        <v>0</v>
      </c>
      <c r="BE1951" s="224" t="s">
        <v>476</v>
      </c>
      <c r="BF1951" s="224" t="s">
        <v>490</v>
      </c>
      <c r="BG1951" s="224" t="s">
        <v>235</v>
      </c>
      <c r="BH1951">
        <v>0</v>
      </c>
    </row>
    <row r="1952" spans="17:60">
      <c r="Q1952" s="224" t="s">
        <v>222</v>
      </c>
      <c r="R1952" s="224" t="s">
        <v>490</v>
      </c>
      <c r="S1952" s="224" t="s">
        <v>235</v>
      </c>
      <c r="T1952" s="224">
        <f ca="1">OFFSET('Calculations 2'!$C$45,W1952,X1952)*OFFSET($N$6,W1952,0)</f>
        <v>0</v>
      </c>
      <c r="V1952">
        <f t="shared" si="92"/>
        <v>857</v>
      </c>
      <c r="W1952">
        <f t="shared" si="93"/>
        <v>32</v>
      </c>
      <c r="X1952">
        <f t="shared" si="94"/>
        <v>25</v>
      </c>
      <c r="AC1952" s="224" t="s">
        <v>222</v>
      </c>
      <c r="AD1952" s="224" t="s">
        <v>490</v>
      </c>
      <c r="AE1952" s="224" t="s">
        <v>235</v>
      </c>
      <c r="AF1952">
        <f ca="1">OFFSET('Calculations 2'!$CE$45,W1952,0)*OFFSET($AA$6,X1952,0)*OFFSET($N$6,W1952,)</f>
        <v>0</v>
      </c>
      <c r="AY1952" s="224" t="s">
        <v>222</v>
      </c>
      <c r="AZ1952" s="224" t="s">
        <v>490</v>
      </c>
      <c r="BA1952" s="224" t="s">
        <v>235</v>
      </c>
      <c r="BB1952">
        <v>0</v>
      </c>
      <c r="BE1952" s="224" t="s">
        <v>222</v>
      </c>
      <c r="BF1952" s="224" t="s">
        <v>490</v>
      </c>
      <c r="BG1952" s="224" t="s">
        <v>235</v>
      </c>
      <c r="BH1952">
        <v>0</v>
      </c>
    </row>
    <row r="1953" spans="17:60">
      <c r="Q1953" s="224" t="s">
        <v>217</v>
      </c>
      <c r="R1953" s="224" t="s">
        <v>490</v>
      </c>
      <c r="S1953" s="224" t="s">
        <v>473</v>
      </c>
      <c r="T1953" s="224">
        <f ca="1">OFFSET('Calculations 2'!$C$45,W1953,X1953)*OFFSET($N$6,W1953,0)</f>
        <v>0</v>
      </c>
      <c r="V1953">
        <f t="shared" si="92"/>
        <v>858</v>
      </c>
      <c r="W1953">
        <f t="shared" si="93"/>
        <v>0</v>
      </c>
      <c r="X1953">
        <f t="shared" si="94"/>
        <v>26</v>
      </c>
      <c r="AC1953" s="224" t="s">
        <v>217</v>
      </c>
      <c r="AD1953" s="224" t="s">
        <v>490</v>
      </c>
      <c r="AE1953" s="224" t="s">
        <v>473</v>
      </c>
      <c r="AF1953">
        <f ca="1">OFFSET('Calculations 2'!$CE$45,W1953,0)*OFFSET($AA$6,X1953,0)*OFFSET($N$6,W1953,)</f>
        <v>32.976338962238977</v>
      </c>
      <c r="AY1953" s="224" t="s">
        <v>217</v>
      </c>
      <c r="AZ1953" s="224" t="s">
        <v>490</v>
      </c>
      <c r="BA1953" s="224" t="s">
        <v>473</v>
      </c>
      <c r="BB1953">
        <v>0</v>
      </c>
      <c r="BE1953" s="224" t="s">
        <v>217</v>
      </c>
      <c r="BF1953" s="224" t="s">
        <v>490</v>
      </c>
      <c r="BG1953" s="224" t="s">
        <v>473</v>
      </c>
      <c r="BH1953">
        <v>0</v>
      </c>
    </row>
    <row r="1954" spans="17:60">
      <c r="Q1954" s="224" t="s">
        <v>232</v>
      </c>
      <c r="R1954" s="224" t="s">
        <v>490</v>
      </c>
      <c r="S1954" s="224" t="s">
        <v>473</v>
      </c>
      <c r="T1954" s="224">
        <f ca="1">OFFSET('Calculations 2'!$C$45,W1954,X1954)*OFFSET($N$6,W1954,0)</f>
        <v>0</v>
      </c>
      <c r="V1954">
        <f t="shared" si="92"/>
        <v>859</v>
      </c>
      <c r="W1954">
        <f t="shared" si="93"/>
        <v>1</v>
      </c>
      <c r="X1954">
        <f t="shared" si="94"/>
        <v>26</v>
      </c>
      <c r="AC1954" s="224" t="s">
        <v>232</v>
      </c>
      <c r="AD1954" s="224" t="s">
        <v>490</v>
      </c>
      <c r="AE1954" s="224" t="s">
        <v>473</v>
      </c>
      <c r="AF1954">
        <f ca="1">OFFSET('Calculations 2'!$CE$45,W1954,0)*OFFSET($AA$6,X1954,0)*OFFSET($N$6,W1954,)</f>
        <v>52.024519432121807</v>
      </c>
      <c r="AY1954" s="224" t="s">
        <v>232</v>
      </c>
      <c r="AZ1954" s="224" t="s">
        <v>490</v>
      </c>
      <c r="BA1954" s="224" t="s">
        <v>473</v>
      </c>
      <c r="BB1954">
        <v>0</v>
      </c>
      <c r="BE1954" s="224" t="s">
        <v>232</v>
      </c>
      <c r="BF1954" s="224" t="s">
        <v>490</v>
      </c>
      <c r="BG1954" s="224" t="s">
        <v>473</v>
      </c>
      <c r="BH1954">
        <v>0</v>
      </c>
    </row>
    <row r="1955" spans="17:60">
      <c r="Q1955" s="224" t="s">
        <v>226</v>
      </c>
      <c r="R1955" s="224" t="s">
        <v>490</v>
      </c>
      <c r="S1955" s="224" t="s">
        <v>473</v>
      </c>
      <c r="T1955" s="224">
        <f ca="1">OFFSET('Calculations 2'!$C$45,W1955,X1955)*OFFSET($N$6,W1955,0)</f>
        <v>34.115635203979721</v>
      </c>
      <c r="V1955">
        <f t="shared" si="92"/>
        <v>860</v>
      </c>
      <c r="W1955">
        <f t="shared" si="93"/>
        <v>2</v>
      </c>
      <c r="X1955">
        <f t="shared" si="94"/>
        <v>26</v>
      </c>
      <c r="AC1955" s="224" t="s">
        <v>226</v>
      </c>
      <c r="AD1955" s="224" t="s">
        <v>490</v>
      </c>
      <c r="AE1955" s="224" t="s">
        <v>473</v>
      </c>
      <c r="AF1955">
        <f ca="1">OFFSET('Calculations 2'!$CE$45,W1955,0)*OFFSET($AA$6,X1955,0)*OFFSET($N$6,W1955,)</f>
        <v>13.018127850946588</v>
      </c>
      <c r="AY1955" s="224" t="s">
        <v>226</v>
      </c>
      <c r="AZ1955" s="224" t="s">
        <v>490</v>
      </c>
      <c r="BA1955" s="224" t="s">
        <v>473</v>
      </c>
      <c r="BB1955">
        <v>0</v>
      </c>
      <c r="BE1955" s="224" t="s">
        <v>226</v>
      </c>
      <c r="BF1955" s="224" t="s">
        <v>490</v>
      </c>
      <c r="BG1955" s="224" t="s">
        <v>473</v>
      </c>
      <c r="BH1955">
        <v>0</v>
      </c>
    </row>
    <row r="1956" spans="17:60">
      <c r="Q1956" s="224" t="s">
        <v>243</v>
      </c>
      <c r="R1956" s="224" t="s">
        <v>490</v>
      </c>
      <c r="S1956" s="224" t="s">
        <v>473</v>
      </c>
      <c r="T1956" s="224">
        <f ca="1">OFFSET('Calculations 2'!$C$45,W1956,X1956)*OFFSET($N$6,W1956,0)</f>
        <v>1.6300248457445112</v>
      </c>
      <c r="V1956">
        <f t="shared" si="92"/>
        <v>861</v>
      </c>
      <c r="W1956">
        <f t="shared" si="93"/>
        <v>3</v>
      </c>
      <c r="X1956">
        <f t="shared" si="94"/>
        <v>26</v>
      </c>
      <c r="AC1956" s="224" t="s">
        <v>243</v>
      </c>
      <c r="AD1956" s="224" t="s">
        <v>490</v>
      </c>
      <c r="AE1956" s="224" t="s">
        <v>473</v>
      </c>
      <c r="AF1956">
        <f ca="1">OFFSET('Calculations 2'!$CE$45,W1956,0)*OFFSET($AA$6,X1956,0)*OFFSET($N$6,W1956,)</f>
        <v>255.46801458087805</v>
      </c>
      <c r="AY1956" s="224" t="s">
        <v>243</v>
      </c>
      <c r="AZ1956" s="224" t="s">
        <v>490</v>
      </c>
      <c r="BA1956" s="224" t="s">
        <v>473</v>
      </c>
      <c r="BB1956">
        <v>0</v>
      </c>
      <c r="BE1956" s="224" t="s">
        <v>243</v>
      </c>
      <c r="BF1956" s="224" t="s">
        <v>490</v>
      </c>
      <c r="BG1956" s="224" t="s">
        <v>473</v>
      </c>
      <c r="BH1956">
        <v>0</v>
      </c>
    </row>
    <row r="1957" spans="17:60">
      <c r="Q1957" s="224" t="s">
        <v>228</v>
      </c>
      <c r="R1957" s="224" t="s">
        <v>490</v>
      </c>
      <c r="S1957" s="224" t="s">
        <v>473</v>
      </c>
      <c r="T1957" s="224">
        <f ca="1">OFFSET('Calculations 2'!$C$45,W1957,X1957)*OFFSET($N$6,W1957,0)</f>
        <v>0</v>
      </c>
      <c r="V1957">
        <f t="shared" si="92"/>
        <v>862</v>
      </c>
      <c r="W1957">
        <f t="shared" si="93"/>
        <v>4</v>
      </c>
      <c r="X1957">
        <f t="shared" si="94"/>
        <v>26</v>
      </c>
      <c r="AC1957" s="224" t="s">
        <v>228</v>
      </c>
      <c r="AD1957" s="224" t="s">
        <v>490</v>
      </c>
      <c r="AE1957" s="224" t="s">
        <v>473</v>
      </c>
      <c r="AF1957">
        <f ca="1">OFFSET('Calculations 2'!$CE$45,W1957,0)*OFFSET($AA$6,X1957,0)*OFFSET($N$6,W1957,)</f>
        <v>133.14213010277567</v>
      </c>
      <c r="AY1957" s="224" t="s">
        <v>228</v>
      </c>
      <c r="AZ1957" s="224" t="s">
        <v>490</v>
      </c>
      <c r="BA1957" s="224" t="s">
        <v>473</v>
      </c>
      <c r="BB1957">
        <v>0</v>
      </c>
      <c r="BE1957" s="224" t="s">
        <v>228</v>
      </c>
      <c r="BF1957" s="224" t="s">
        <v>490</v>
      </c>
      <c r="BG1957" s="224" t="s">
        <v>473</v>
      </c>
      <c r="BH1957">
        <v>0</v>
      </c>
    </row>
    <row r="1958" spans="17:60">
      <c r="Q1958" s="224" t="s">
        <v>246</v>
      </c>
      <c r="R1958" s="224" t="s">
        <v>490</v>
      </c>
      <c r="S1958" s="224" t="s">
        <v>473</v>
      </c>
      <c r="T1958" s="224">
        <f ca="1">OFFSET('Calculations 2'!$C$45,W1958,X1958)*OFFSET($N$6,W1958,0)</f>
        <v>0</v>
      </c>
      <c r="V1958">
        <f t="shared" si="92"/>
        <v>863</v>
      </c>
      <c r="W1958">
        <f t="shared" si="93"/>
        <v>5</v>
      </c>
      <c r="X1958">
        <f t="shared" si="94"/>
        <v>26</v>
      </c>
      <c r="AC1958" s="224" t="s">
        <v>246</v>
      </c>
      <c r="AD1958" s="224" t="s">
        <v>490</v>
      </c>
      <c r="AE1958" s="224" t="s">
        <v>473</v>
      </c>
      <c r="AF1958">
        <f ca="1">OFFSET('Calculations 2'!$CE$45,W1958,0)*OFFSET($AA$6,X1958,0)*OFFSET($N$6,W1958,)</f>
        <v>2.3831432025168078</v>
      </c>
      <c r="AY1958" s="224" t="s">
        <v>246</v>
      </c>
      <c r="AZ1958" s="224" t="s">
        <v>490</v>
      </c>
      <c r="BA1958" s="224" t="s">
        <v>473</v>
      </c>
      <c r="BB1958">
        <v>0</v>
      </c>
      <c r="BE1958" s="224" t="s">
        <v>246</v>
      </c>
      <c r="BF1958" s="224" t="s">
        <v>490</v>
      </c>
      <c r="BG1958" s="224" t="s">
        <v>473</v>
      </c>
      <c r="BH1958">
        <v>0</v>
      </c>
    </row>
    <row r="1959" spans="17:60">
      <c r="Q1959" s="224" t="s">
        <v>239</v>
      </c>
      <c r="R1959" s="224" t="s">
        <v>490</v>
      </c>
      <c r="S1959" s="224" t="s">
        <v>473</v>
      </c>
      <c r="T1959" s="224">
        <f ca="1">OFFSET('Calculations 2'!$C$45,W1959,X1959)*OFFSET($N$6,W1959,0)</f>
        <v>15.646545089309155</v>
      </c>
      <c r="V1959">
        <f t="shared" si="92"/>
        <v>864</v>
      </c>
      <c r="W1959">
        <f t="shared" si="93"/>
        <v>6</v>
      </c>
      <c r="X1959">
        <f t="shared" si="94"/>
        <v>26</v>
      </c>
      <c r="AC1959" s="224" t="s">
        <v>239</v>
      </c>
      <c r="AD1959" s="224" t="s">
        <v>490</v>
      </c>
      <c r="AE1959" s="224" t="s">
        <v>473</v>
      </c>
      <c r="AF1959">
        <f ca="1">OFFSET('Calculations 2'!$CE$45,W1959,0)*OFFSET($AA$6,X1959,0)*OFFSET($N$6,W1959,)</f>
        <v>34.317069410173936</v>
      </c>
      <c r="AY1959" s="224" t="s">
        <v>239</v>
      </c>
      <c r="AZ1959" s="224" t="s">
        <v>490</v>
      </c>
      <c r="BA1959" s="224" t="s">
        <v>473</v>
      </c>
      <c r="BB1959">
        <v>0</v>
      </c>
      <c r="BE1959" s="224" t="s">
        <v>239</v>
      </c>
      <c r="BF1959" s="224" t="s">
        <v>490</v>
      </c>
      <c r="BG1959" s="224" t="s">
        <v>473</v>
      </c>
      <c r="BH1959">
        <v>0</v>
      </c>
    </row>
    <row r="1960" spans="17:60">
      <c r="Q1960" s="224" t="s">
        <v>466</v>
      </c>
      <c r="R1960" s="224" t="s">
        <v>490</v>
      </c>
      <c r="S1960" s="224" t="s">
        <v>473</v>
      </c>
      <c r="T1960" s="224">
        <f ca="1">OFFSET('Calculations 2'!$C$45,W1960,X1960)*OFFSET($N$6,W1960,0)</f>
        <v>28.218036593704809</v>
      </c>
      <c r="V1960">
        <f t="shared" si="92"/>
        <v>865</v>
      </c>
      <c r="W1960">
        <f t="shared" si="93"/>
        <v>7</v>
      </c>
      <c r="X1960">
        <f t="shared" si="94"/>
        <v>26</v>
      </c>
      <c r="AC1960" s="224" t="s">
        <v>466</v>
      </c>
      <c r="AD1960" s="224" t="s">
        <v>490</v>
      </c>
      <c r="AE1960" s="224" t="s">
        <v>473</v>
      </c>
      <c r="AF1960">
        <f ca="1">OFFSET('Calculations 2'!$CE$45,W1960,0)*OFFSET($AA$6,X1960,0)*OFFSET($N$6,W1960,)</f>
        <v>8.6414389418102164</v>
      </c>
      <c r="AY1960" s="224" t="s">
        <v>466</v>
      </c>
      <c r="AZ1960" s="224" t="s">
        <v>490</v>
      </c>
      <c r="BA1960" s="224" t="s">
        <v>473</v>
      </c>
      <c r="BB1960">
        <v>0</v>
      </c>
      <c r="BE1960" s="224" t="s">
        <v>466</v>
      </c>
      <c r="BF1960" s="224" t="s">
        <v>490</v>
      </c>
      <c r="BG1960" s="224" t="s">
        <v>473</v>
      </c>
      <c r="BH1960">
        <v>0</v>
      </c>
    </row>
    <row r="1961" spans="17:60">
      <c r="Q1961" s="224" t="s">
        <v>219</v>
      </c>
      <c r="R1961" s="224" t="s">
        <v>490</v>
      </c>
      <c r="S1961" s="224" t="s">
        <v>473</v>
      </c>
      <c r="T1961" s="224">
        <f ca="1">OFFSET('Calculations 2'!$C$45,W1961,X1961)*OFFSET($N$6,W1961,0)</f>
        <v>2.9134331365420998</v>
      </c>
      <c r="V1961">
        <f t="shared" si="92"/>
        <v>866</v>
      </c>
      <c r="W1961">
        <f t="shared" si="93"/>
        <v>8</v>
      </c>
      <c r="X1961">
        <f t="shared" si="94"/>
        <v>26</v>
      </c>
      <c r="AC1961" s="224" t="s">
        <v>219</v>
      </c>
      <c r="AD1961" s="224" t="s">
        <v>490</v>
      </c>
      <c r="AE1961" s="224" t="s">
        <v>473</v>
      </c>
      <c r="AF1961">
        <f ca="1">OFFSET('Calculations 2'!$CE$45,W1961,0)*OFFSET($AA$6,X1961,0)*OFFSET($N$6,W1961,)</f>
        <v>118.45974453099799</v>
      </c>
      <c r="AY1961" s="224" t="s">
        <v>219</v>
      </c>
      <c r="AZ1961" s="224" t="s">
        <v>490</v>
      </c>
      <c r="BA1961" s="224" t="s">
        <v>473</v>
      </c>
      <c r="BB1961">
        <v>0</v>
      </c>
      <c r="BE1961" s="224" t="s">
        <v>219</v>
      </c>
      <c r="BF1961" s="224" t="s">
        <v>490</v>
      </c>
      <c r="BG1961" s="224" t="s">
        <v>473</v>
      </c>
      <c r="BH1961">
        <v>0</v>
      </c>
    </row>
    <row r="1962" spans="17:60">
      <c r="Q1962" s="224" t="s">
        <v>242</v>
      </c>
      <c r="R1962" s="224" t="s">
        <v>490</v>
      </c>
      <c r="S1962" s="224" t="s">
        <v>473</v>
      </c>
      <c r="T1962" s="224">
        <f ca="1">OFFSET('Calculations 2'!$C$45,W1962,X1962)*OFFSET($N$6,W1962,0)</f>
        <v>0</v>
      </c>
      <c r="V1962">
        <f t="shared" si="92"/>
        <v>867</v>
      </c>
      <c r="W1962">
        <f t="shared" si="93"/>
        <v>9</v>
      </c>
      <c r="X1962">
        <f t="shared" si="94"/>
        <v>26</v>
      </c>
      <c r="AC1962" s="224" t="s">
        <v>242</v>
      </c>
      <c r="AD1962" s="224" t="s">
        <v>490</v>
      </c>
      <c r="AE1962" s="224" t="s">
        <v>473</v>
      </c>
      <c r="AF1962">
        <f ca="1">OFFSET('Calculations 2'!$CE$45,W1962,0)*OFFSET($AA$6,X1962,0)*OFFSET($N$6,W1962,)</f>
        <v>90.724418539565661</v>
      </c>
      <c r="AY1962" s="224" t="s">
        <v>242</v>
      </c>
      <c r="AZ1962" s="224" t="s">
        <v>490</v>
      </c>
      <c r="BA1962" s="224" t="s">
        <v>473</v>
      </c>
      <c r="BB1962">
        <v>0</v>
      </c>
      <c r="BE1962" s="224" t="s">
        <v>242</v>
      </c>
      <c r="BF1962" s="224" t="s">
        <v>490</v>
      </c>
      <c r="BG1962" s="224" t="s">
        <v>473</v>
      </c>
      <c r="BH1962">
        <v>0</v>
      </c>
    </row>
    <row r="1963" spans="17:60">
      <c r="Q1963" s="224" t="s">
        <v>467</v>
      </c>
      <c r="R1963" s="224" t="s">
        <v>490</v>
      </c>
      <c r="S1963" s="224" t="s">
        <v>473</v>
      </c>
      <c r="T1963" s="224">
        <f ca="1">OFFSET('Calculations 2'!$C$45,W1963,X1963)*OFFSET($N$6,W1963,0)</f>
        <v>0</v>
      </c>
      <c r="V1963">
        <f t="shared" si="92"/>
        <v>868</v>
      </c>
      <c r="W1963">
        <f t="shared" si="93"/>
        <v>10</v>
      </c>
      <c r="X1963">
        <f t="shared" si="94"/>
        <v>26</v>
      </c>
      <c r="AC1963" s="224" t="s">
        <v>467</v>
      </c>
      <c r="AD1963" s="224" t="s">
        <v>490</v>
      </c>
      <c r="AE1963" s="224" t="s">
        <v>473</v>
      </c>
      <c r="AF1963">
        <f ca="1">OFFSET('Calculations 2'!$CE$45,W1963,0)*OFFSET($AA$6,X1963,0)*OFFSET($N$6,W1963,)</f>
        <v>34.247320512302373</v>
      </c>
      <c r="AY1963" s="224" t="s">
        <v>467</v>
      </c>
      <c r="AZ1963" s="224" t="s">
        <v>490</v>
      </c>
      <c r="BA1963" s="224" t="s">
        <v>473</v>
      </c>
      <c r="BB1963">
        <v>0</v>
      </c>
      <c r="BE1963" s="224" t="s">
        <v>467</v>
      </c>
      <c r="BF1963" s="224" t="s">
        <v>490</v>
      </c>
      <c r="BG1963" s="224" t="s">
        <v>473</v>
      </c>
      <c r="BH1963">
        <v>0</v>
      </c>
    </row>
    <row r="1964" spans="17:60">
      <c r="Q1964" s="224" t="s">
        <v>231</v>
      </c>
      <c r="R1964" s="224" t="s">
        <v>490</v>
      </c>
      <c r="S1964" s="224" t="s">
        <v>473</v>
      </c>
      <c r="T1964" s="224">
        <f ca="1">OFFSET('Calculations 2'!$C$45,W1964,X1964)*OFFSET($N$6,W1964,0)</f>
        <v>0</v>
      </c>
      <c r="V1964">
        <f t="shared" si="92"/>
        <v>869</v>
      </c>
      <c r="W1964">
        <f t="shared" si="93"/>
        <v>11</v>
      </c>
      <c r="X1964">
        <f t="shared" si="94"/>
        <v>26</v>
      </c>
      <c r="AC1964" s="224" t="s">
        <v>231</v>
      </c>
      <c r="AD1964" s="224" t="s">
        <v>490</v>
      </c>
      <c r="AE1964" s="224" t="s">
        <v>473</v>
      </c>
      <c r="AF1964">
        <f ca="1">OFFSET('Calculations 2'!$CE$45,W1964,0)*OFFSET($AA$6,X1964,0)*OFFSET($N$6,W1964,)</f>
        <v>428.67846917352176</v>
      </c>
      <c r="AY1964" s="224" t="s">
        <v>231</v>
      </c>
      <c r="AZ1964" s="224" t="s">
        <v>490</v>
      </c>
      <c r="BA1964" s="224" t="s">
        <v>473</v>
      </c>
      <c r="BB1964">
        <v>0</v>
      </c>
      <c r="BE1964" s="224" t="s">
        <v>231</v>
      </c>
      <c r="BF1964" s="224" t="s">
        <v>490</v>
      </c>
      <c r="BG1964" s="224" t="s">
        <v>473</v>
      </c>
      <c r="BH1964">
        <v>0</v>
      </c>
    </row>
    <row r="1965" spans="17:60">
      <c r="Q1965" s="224" t="s">
        <v>468</v>
      </c>
      <c r="R1965" s="224" t="s">
        <v>490</v>
      </c>
      <c r="S1965" s="224" t="s">
        <v>473</v>
      </c>
      <c r="T1965" s="224">
        <f ca="1">OFFSET('Calculations 2'!$C$45,W1965,X1965)*OFFSET($N$6,W1965,0)</f>
        <v>247.27149152919807</v>
      </c>
      <c r="V1965">
        <f t="shared" si="92"/>
        <v>870</v>
      </c>
      <c r="W1965">
        <f t="shared" si="93"/>
        <v>12</v>
      </c>
      <c r="X1965">
        <f t="shared" si="94"/>
        <v>26</v>
      </c>
      <c r="AC1965" s="224" t="s">
        <v>468</v>
      </c>
      <c r="AD1965" s="224" t="s">
        <v>490</v>
      </c>
      <c r="AE1965" s="224" t="s">
        <v>473</v>
      </c>
      <c r="AF1965">
        <f ca="1">OFFSET('Calculations 2'!$CE$45,W1965,0)*OFFSET($AA$6,X1965,0)*OFFSET($N$6,W1965,)</f>
        <v>1642.1694337273057</v>
      </c>
      <c r="AY1965" s="224" t="s">
        <v>468</v>
      </c>
      <c r="AZ1965" s="224" t="s">
        <v>490</v>
      </c>
      <c r="BA1965" s="224" t="s">
        <v>473</v>
      </c>
      <c r="BB1965">
        <v>0</v>
      </c>
      <c r="BE1965" s="224" t="s">
        <v>468</v>
      </c>
      <c r="BF1965" s="224" t="s">
        <v>490</v>
      </c>
      <c r="BG1965" s="224" t="s">
        <v>473</v>
      </c>
      <c r="BH1965">
        <v>0</v>
      </c>
    </row>
    <row r="1966" spans="17:60">
      <c r="Q1966" s="224" t="s">
        <v>469</v>
      </c>
      <c r="R1966" s="224" t="s">
        <v>490</v>
      </c>
      <c r="S1966" s="224" t="s">
        <v>473</v>
      </c>
      <c r="T1966" s="224">
        <f ca="1">OFFSET('Calculations 2'!$C$45,W1966,X1966)*OFFSET($N$6,W1966,0)</f>
        <v>0</v>
      </c>
      <c r="V1966">
        <f t="shared" si="92"/>
        <v>871</v>
      </c>
      <c r="W1966">
        <f t="shared" si="93"/>
        <v>13</v>
      </c>
      <c r="X1966">
        <f t="shared" si="94"/>
        <v>26</v>
      </c>
      <c r="AC1966" s="224" t="s">
        <v>469</v>
      </c>
      <c r="AD1966" s="224" t="s">
        <v>490</v>
      </c>
      <c r="AE1966" s="224" t="s">
        <v>473</v>
      </c>
      <c r="AF1966">
        <f ca="1">OFFSET('Calculations 2'!$CE$45,W1966,0)*OFFSET($AA$6,X1966,0)*OFFSET($N$6,W1966,)</f>
        <v>880.48115594188675</v>
      </c>
      <c r="AY1966" s="224" t="s">
        <v>469</v>
      </c>
      <c r="AZ1966" s="224" t="s">
        <v>490</v>
      </c>
      <c r="BA1966" s="224" t="s">
        <v>473</v>
      </c>
      <c r="BB1966">
        <v>0</v>
      </c>
      <c r="BE1966" s="224" t="s">
        <v>469</v>
      </c>
      <c r="BF1966" s="224" t="s">
        <v>490</v>
      </c>
      <c r="BG1966" s="224" t="s">
        <v>473</v>
      </c>
      <c r="BH1966">
        <v>0</v>
      </c>
    </row>
    <row r="1967" spans="17:60">
      <c r="Q1967" s="224" t="s">
        <v>245</v>
      </c>
      <c r="R1967" s="224" t="s">
        <v>490</v>
      </c>
      <c r="S1967" s="224" t="s">
        <v>473</v>
      </c>
      <c r="T1967" s="224">
        <f ca="1">OFFSET('Calculations 2'!$C$45,W1967,X1967)*OFFSET($N$6,W1967,0)</f>
        <v>6.7361931324078759</v>
      </c>
      <c r="V1967">
        <f t="shared" si="92"/>
        <v>872</v>
      </c>
      <c r="W1967">
        <f t="shared" si="93"/>
        <v>14</v>
      </c>
      <c r="X1967">
        <f t="shared" si="94"/>
        <v>26</v>
      </c>
      <c r="AC1967" s="224" t="s">
        <v>245</v>
      </c>
      <c r="AD1967" s="224" t="s">
        <v>490</v>
      </c>
      <c r="AE1967" s="224" t="s">
        <v>473</v>
      </c>
      <c r="AF1967">
        <f ca="1">OFFSET('Calculations 2'!$CE$45,W1967,0)*OFFSET($AA$6,X1967,0)*OFFSET($N$6,W1967,)</f>
        <v>1405.1488911857573</v>
      </c>
      <c r="AY1967" s="224" t="s">
        <v>245</v>
      </c>
      <c r="AZ1967" s="224" t="s">
        <v>490</v>
      </c>
      <c r="BA1967" s="224" t="s">
        <v>473</v>
      </c>
      <c r="BB1967">
        <v>0</v>
      </c>
      <c r="BE1967" s="224" t="s">
        <v>245</v>
      </c>
      <c r="BF1967" s="224" t="s">
        <v>490</v>
      </c>
      <c r="BG1967" s="224" t="s">
        <v>473</v>
      </c>
      <c r="BH1967">
        <v>0</v>
      </c>
    </row>
    <row r="1968" spans="17:60">
      <c r="Q1968" s="224" t="s">
        <v>470</v>
      </c>
      <c r="R1968" s="224" t="s">
        <v>490</v>
      </c>
      <c r="S1968" s="224" t="s">
        <v>473</v>
      </c>
      <c r="T1968" s="224">
        <f ca="1">OFFSET('Calculations 2'!$C$45,W1968,X1968)*OFFSET($N$6,W1968,0)</f>
        <v>46.163422910030462</v>
      </c>
      <c r="V1968">
        <f t="shared" si="92"/>
        <v>873</v>
      </c>
      <c r="W1968">
        <f t="shared" si="93"/>
        <v>15</v>
      </c>
      <c r="X1968">
        <f t="shared" si="94"/>
        <v>26</v>
      </c>
      <c r="AC1968" s="224" t="s">
        <v>470</v>
      </c>
      <c r="AD1968" s="224" t="s">
        <v>490</v>
      </c>
      <c r="AE1968" s="224" t="s">
        <v>473</v>
      </c>
      <c r="AF1968">
        <f ca="1">OFFSET('Calculations 2'!$CE$45,W1968,0)*OFFSET($AA$6,X1968,0)*OFFSET($N$6,W1968,)</f>
        <v>533.1622037650485</v>
      </c>
      <c r="AY1968" s="224" t="s">
        <v>470</v>
      </c>
      <c r="AZ1968" s="224" t="s">
        <v>490</v>
      </c>
      <c r="BA1968" s="224" t="s">
        <v>473</v>
      </c>
      <c r="BB1968">
        <v>0</v>
      </c>
      <c r="BE1968" s="224" t="s">
        <v>470</v>
      </c>
      <c r="BF1968" s="224" t="s">
        <v>490</v>
      </c>
      <c r="BG1968" s="224" t="s">
        <v>473</v>
      </c>
      <c r="BH1968">
        <v>0</v>
      </c>
    </row>
    <row r="1969" spans="17:60">
      <c r="Q1969" s="224" t="s">
        <v>471</v>
      </c>
      <c r="R1969" s="224" t="s">
        <v>490</v>
      </c>
      <c r="S1969" s="224" t="s">
        <v>473</v>
      </c>
      <c r="T1969" s="224">
        <f ca="1">OFFSET('Calculations 2'!$C$45,W1969,X1969)*OFFSET($N$6,W1969,0)</f>
        <v>10.229603713890707</v>
      </c>
      <c r="V1969">
        <f t="shared" si="92"/>
        <v>874</v>
      </c>
      <c r="W1969">
        <f t="shared" si="93"/>
        <v>16</v>
      </c>
      <c r="X1969">
        <f t="shared" si="94"/>
        <v>26</v>
      </c>
      <c r="AC1969" s="224" t="s">
        <v>471</v>
      </c>
      <c r="AD1969" s="224" t="s">
        <v>490</v>
      </c>
      <c r="AE1969" s="224" t="s">
        <v>473</v>
      </c>
      <c r="AF1969">
        <f ca="1">OFFSET('Calculations 2'!$CE$45,W1969,0)*OFFSET($AA$6,X1969,0)*OFFSET($N$6,W1969,)</f>
        <v>0</v>
      </c>
      <c r="AY1969" s="224" t="s">
        <v>471</v>
      </c>
      <c r="AZ1969" s="224" t="s">
        <v>490</v>
      </c>
      <c r="BA1969" s="224" t="s">
        <v>473</v>
      </c>
      <c r="BB1969">
        <v>0</v>
      </c>
      <c r="BE1969" s="224" t="s">
        <v>471</v>
      </c>
      <c r="BF1969" s="224" t="s">
        <v>490</v>
      </c>
      <c r="BG1969" s="224" t="s">
        <v>473</v>
      </c>
      <c r="BH1969">
        <v>0</v>
      </c>
    </row>
    <row r="1970" spans="17:60">
      <c r="Q1970" s="224" t="s">
        <v>221</v>
      </c>
      <c r="R1970" s="224" t="s">
        <v>490</v>
      </c>
      <c r="S1970" s="224" t="s">
        <v>473</v>
      </c>
      <c r="T1970" s="224">
        <f ca="1">OFFSET('Calculations 2'!$C$45,W1970,X1970)*OFFSET($N$6,W1970,0)</f>
        <v>70.404838612802976</v>
      </c>
      <c r="V1970">
        <f t="shared" si="92"/>
        <v>875</v>
      </c>
      <c r="W1970">
        <f t="shared" si="93"/>
        <v>17</v>
      </c>
      <c r="X1970">
        <f t="shared" si="94"/>
        <v>26</v>
      </c>
      <c r="AC1970" s="224" t="s">
        <v>221</v>
      </c>
      <c r="AD1970" s="224" t="s">
        <v>490</v>
      </c>
      <c r="AE1970" s="224" t="s">
        <v>473</v>
      </c>
      <c r="AF1970">
        <f ca="1">OFFSET('Calculations 2'!$CE$45,W1970,0)*OFFSET($AA$6,X1970,0)*OFFSET($N$6,W1970,)</f>
        <v>104.36957123689051</v>
      </c>
      <c r="AY1970" s="224" t="s">
        <v>221</v>
      </c>
      <c r="AZ1970" s="224" t="s">
        <v>490</v>
      </c>
      <c r="BA1970" s="224" t="s">
        <v>473</v>
      </c>
      <c r="BB1970">
        <v>0</v>
      </c>
      <c r="BE1970" s="224" t="s">
        <v>221</v>
      </c>
      <c r="BF1970" s="224" t="s">
        <v>490</v>
      </c>
      <c r="BG1970" s="224" t="s">
        <v>473</v>
      </c>
      <c r="BH1970">
        <v>0</v>
      </c>
    </row>
    <row r="1971" spans="17:60">
      <c r="Q1971" s="224" t="s">
        <v>244</v>
      </c>
      <c r="R1971" s="224" t="s">
        <v>490</v>
      </c>
      <c r="S1971" s="224" t="s">
        <v>473</v>
      </c>
      <c r="T1971" s="224">
        <f ca="1">OFFSET('Calculations 2'!$C$45,W1971,X1971)*OFFSET($N$6,W1971,0)</f>
        <v>0.53495421334743098</v>
      </c>
      <c r="V1971">
        <f t="shared" si="92"/>
        <v>876</v>
      </c>
      <c r="W1971">
        <f t="shared" si="93"/>
        <v>18</v>
      </c>
      <c r="X1971">
        <f t="shared" si="94"/>
        <v>26</v>
      </c>
      <c r="AC1971" s="224" t="s">
        <v>244</v>
      </c>
      <c r="AD1971" s="224" t="s">
        <v>490</v>
      </c>
      <c r="AE1971" s="224" t="s">
        <v>473</v>
      </c>
      <c r="AF1971">
        <f ca="1">OFFSET('Calculations 2'!$CE$45,W1971,0)*OFFSET($AA$6,X1971,0)*OFFSET($N$6,W1971,)</f>
        <v>9.1316291183776617</v>
      </c>
      <c r="AY1971" s="224" t="s">
        <v>244</v>
      </c>
      <c r="AZ1971" s="224" t="s">
        <v>490</v>
      </c>
      <c r="BA1971" s="224" t="s">
        <v>473</v>
      </c>
      <c r="BB1971">
        <v>0</v>
      </c>
      <c r="BE1971" s="224" t="s">
        <v>244</v>
      </c>
      <c r="BF1971" s="224" t="s">
        <v>490</v>
      </c>
      <c r="BG1971" s="224" t="s">
        <v>473</v>
      </c>
      <c r="BH1971">
        <v>0</v>
      </c>
    </row>
    <row r="1972" spans="17:60">
      <c r="Q1972" s="224" t="s">
        <v>472</v>
      </c>
      <c r="R1972" s="224" t="s">
        <v>490</v>
      </c>
      <c r="S1972" s="224" t="s">
        <v>473</v>
      </c>
      <c r="T1972" s="224">
        <f ca="1">OFFSET('Calculations 2'!$C$45,W1972,X1972)*OFFSET($N$6,W1972,0)</f>
        <v>0</v>
      </c>
      <c r="V1972">
        <f t="shared" si="92"/>
        <v>877</v>
      </c>
      <c r="W1972">
        <f t="shared" si="93"/>
        <v>19</v>
      </c>
      <c r="X1972">
        <f t="shared" si="94"/>
        <v>26</v>
      </c>
      <c r="AC1972" s="224" t="s">
        <v>472</v>
      </c>
      <c r="AD1972" s="224" t="s">
        <v>490</v>
      </c>
      <c r="AE1972" s="224" t="s">
        <v>473</v>
      </c>
      <c r="AF1972">
        <f ca="1">OFFSET('Calculations 2'!$CE$45,W1972,0)*OFFSET($AA$6,X1972,0)*OFFSET($N$6,W1972,)</f>
        <v>0</v>
      </c>
      <c r="AY1972" s="224" t="s">
        <v>472</v>
      </c>
      <c r="AZ1972" s="224" t="s">
        <v>490</v>
      </c>
      <c r="BA1972" s="224" t="s">
        <v>473</v>
      </c>
      <c r="BB1972">
        <v>0</v>
      </c>
      <c r="BE1972" s="224" t="s">
        <v>472</v>
      </c>
      <c r="BF1972" s="224" t="s">
        <v>490</v>
      </c>
      <c r="BG1972" s="224" t="s">
        <v>473</v>
      </c>
      <c r="BH1972">
        <v>0</v>
      </c>
    </row>
    <row r="1973" spans="17:60">
      <c r="Q1973" s="224" t="s">
        <v>238</v>
      </c>
      <c r="R1973" s="224" t="s">
        <v>490</v>
      </c>
      <c r="S1973" s="224" t="s">
        <v>473</v>
      </c>
      <c r="T1973" s="224">
        <f ca="1">OFFSET('Calculations 2'!$C$45,W1973,X1973)*OFFSET($N$6,W1973,0)</f>
        <v>3.74992353479702E-2</v>
      </c>
      <c r="V1973">
        <f t="shared" si="92"/>
        <v>878</v>
      </c>
      <c r="W1973">
        <f t="shared" si="93"/>
        <v>20</v>
      </c>
      <c r="X1973">
        <f t="shared" si="94"/>
        <v>26</v>
      </c>
      <c r="AC1973" s="224" t="s">
        <v>238</v>
      </c>
      <c r="AD1973" s="224" t="s">
        <v>490</v>
      </c>
      <c r="AE1973" s="224" t="s">
        <v>473</v>
      </c>
      <c r="AF1973">
        <f ca="1">OFFSET('Calculations 2'!$CE$45,W1973,0)*OFFSET($AA$6,X1973,0)*OFFSET($N$6,W1973,)</f>
        <v>0</v>
      </c>
      <c r="AY1973" s="224" t="s">
        <v>238</v>
      </c>
      <c r="AZ1973" s="224" t="s">
        <v>490</v>
      </c>
      <c r="BA1973" s="224" t="s">
        <v>473</v>
      </c>
      <c r="BB1973">
        <v>0</v>
      </c>
      <c r="BE1973" s="224" t="s">
        <v>238</v>
      </c>
      <c r="BF1973" s="224" t="s">
        <v>490</v>
      </c>
      <c r="BG1973" s="224" t="s">
        <v>473</v>
      </c>
      <c r="BH1973">
        <v>0</v>
      </c>
    </row>
    <row r="1974" spans="17:60">
      <c r="Q1974" s="224" t="s">
        <v>247</v>
      </c>
      <c r="R1974" s="224" t="s">
        <v>490</v>
      </c>
      <c r="S1974" s="224" t="s">
        <v>473</v>
      </c>
      <c r="T1974" s="224">
        <f ca="1">OFFSET('Calculations 2'!$C$45,W1974,X1974)*OFFSET($N$6,W1974,0)</f>
        <v>0</v>
      </c>
      <c r="V1974">
        <f t="shared" si="92"/>
        <v>879</v>
      </c>
      <c r="W1974">
        <f t="shared" si="93"/>
        <v>21</v>
      </c>
      <c r="X1974">
        <f t="shared" si="94"/>
        <v>26</v>
      </c>
      <c r="AC1974" s="224" t="s">
        <v>247</v>
      </c>
      <c r="AD1974" s="224" t="s">
        <v>490</v>
      </c>
      <c r="AE1974" s="224" t="s">
        <v>473</v>
      </c>
      <c r="AF1974">
        <f ca="1">OFFSET('Calculations 2'!$CE$45,W1974,0)*OFFSET($AA$6,X1974,0)*OFFSET($N$6,W1974,)</f>
        <v>0</v>
      </c>
      <c r="AY1974" s="224" t="s">
        <v>247</v>
      </c>
      <c r="AZ1974" s="224" t="s">
        <v>490</v>
      </c>
      <c r="BA1974" s="224" t="s">
        <v>473</v>
      </c>
      <c r="BB1974">
        <v>0</v>
      </c>
      <c r="BE1974" s="224" t="s">
        <v>247</v>
      </c>
      <c r="BF1974" s="224" t="s">
        <v>490</v>
      </c>
      <c r="BG1974" s="224" t="s">
        <v>473</v>
      </c>
      <c r="BH1974">
        <v>0</v>
      </c>
    </row>
    <row r="1975" spans="17:60">
      <c r="Q1975" s="224" t="s">
        <v>218</v>
      </c>
      <c r="R1975" s="224" t="s">
        <v>490</v>
      </c>
      <c r="S1975" s="224" t="s">
        <v>473</v>
      </c>
      <c r="T1975" s="224">
        <f ca="1">OFFSET('Calculations 2'!$C$45,W1975,X1975)*OFFSET($N$6,W1975,0)</f>
        <v>1.8655803561876579E-2</v>
      </c>
      <c r="V1975">
        <f t="shared" si="92"/>
        <v>880</v>
      </c>
      <c r="W1975">
        <f t="shared" si="93"/>
        <v>22</v>
      </c>
      <c r="X1975">
        <f t="shared" si="94"/>
        <v>26</v>
      </c>
      <c r="AC1975" s="224" t="s">
        <v>218</v>
      </c>
      <c r="AD1975" s="224" t="s">
        <v>490</v>
      </c>
      <c r="AE1975" s="224" t="s">
        <v>473</v>
      </c>
      <c r="AF1975">
        <f ca="1">OFFSET('Calculations 2'!$CE$45,W1975,0)*OFFSET($AA$6,X1975,0)*OFFSET($N$6,W1975,)</f>
        <v>0</v>
      </c>
      <c r="AY1975" s="224" t="s">
        <v>218</v>
      </c>
      <c r="AZ1975" s="224" t="s">
        <v>490</v>
      </c>
      <c r="BA1975" s="224" t="s">
        <v>473</v>
      </c>
      <c r="BB1975">
        <v>0</v>
      </c>
      <c r="BE1975" s="224" t="s">
        <v>218</v>
      </c>
      <c r="BF1975" s="224" t="s">
        <v>490</v>
      </c>
      <c r="BG1975" s="224" t="s">
        <v>473</v>
      </c>
      <c r="BH1975">
        <v>0</v>
      </c>
    </row>
    <row r="1976" spans="17:60">
      <c r="Q1976" s="224" t="s">
        <v>257</v>
      </c>
      <c r="R1976" s="224" t="s">
        <v>490</v>
      </c>
      <c r="S1976" s="224" t="s">
        <v>473</v>
      </c>
      <c r="T1976" s="224">
        <f ca="1">OFFSET('Calculations 2'!$C$45,W1976,X1976)*OFFSET($N$6,W1976,0)</f>
        <v>3.2252046553564945E-3</v>
      </c>
      <c r="V1976">
        <f t="shared" si="92"/>
        <v>881</v>
      </c>
      <c r="W1976">
        <f t="shared" si="93"/>
        <v>23</v>
      </c>
      <c r="X1976">
        <f t="shared" si="94"/>
        <v>26</v>
      </c>
      <c r="AC1976" s="224" t="s">
        <v>257</v>
      </c>
      <c r="AD1976" s="224" t="s">
        <v>490</v>
      </c>
      <c r="AE1976" s="224" t="s">
        <v>473</v>
      </c>
      <c r="AF1976">
        <f ca="1">OFFSET('Calculations 2'!$CE$45,W1976,0)*OFFSET($AA$6,X1976,0)*OFFSET($N$6,W1976,)</f>
        <v>0</v>
      </c>
      <c r="AY1976" s="224" t="s">
        <v>257</v>
      </c>
      <c r="AZ1976" s="224" t="s">
        <v>490</v>
      </c>
      <c r="BA1976" s="224" t="s">
        <v>473</v>
      </c>
      <c r="BB1976">
        <v>0</v>
      </c>
      <c r="BE1976" s="224" t="s">
        <v>257</v>
      </c>
      <c r="BF1976" s="224" t="s">
        <v>490</v>
      </c>
      <c r="BG1976" s="224" t="s">
        <v>473</v>
      </c>
      <c r="BH1976">
        <v>0</v>
      </c>
    </row>
    <row r="1977" spans="17:60">
      <c r="Q1977" s="224" t="s">
        <v>220</v>
      </c>
      <c r="R1977" s="224" t="s">
        <v>490</v>
      </c>
      <c r="S1977" s="224" t="s">
        <v>473</v>
      </c>
      <c r="T1977" s="224">
        <f ca="1">OFFSET('Calculations 2'!$C$45,W1977,X1977)*OFFSET($N$6,W1977,0)</f>
        <v>7.4503338707125613</v>
      </c>
      <c r="V1977">
        <f t="shared" si="92"/>
        <v>882</v>
      </c>
      <c r="W1977">
        <f t="shared" si="93"/>
        <v>24</v>
      </c>
      <c r="X1977">
        <f t="shared" si="94"/>
        <v>26</v>
      </c>
      <c r="AC1977" s="224" t="s">
        <v>220</v>
      </c>
      <c r="AD1977" s="224" t="s">
        <v>490</v>
      </c>
      <c r="AE1977" s="224" t="s">
        <v>473</v>
      </c>
      <c r="AF1977">
        <f ca="1">OFFSET('Calculations 2'!$CE$45,W1977,0)*OFFSET($AA$6,X1977,0)*OFFSET($N$6,W1977,)</f>
        <v>0</v>
      </c>
      <c r="AY1977" s="224" t="s">
        <v>220</v>
      </c>
      <c r="AZ1977" s="224" t="s">
        <v>490</v>
      </c>
      <c r="BA1977" s="224" t="s">
        <v>473</v>
      </c>
      <c r="BB1977">
        <v>0</v>
      </c>
      <c r="BE1977" s="224" t="s">
        <v>220</v>
      </c>
      <c r="BF1977" s="224" t="s">
        <v>490</v>
      </c>
      <c r="BG1977" s="224" t="s">
        <v>473</v>
      </c>
      <c r="BH1977">
        <v>0</v>
      </c>
    </row>
    <row r="1978" spans="17:60">
      <c r="Q1978" s="224" t="s">
        <v>235</v>
      </c>
      <c r="R1978" s="224" t="s">
        <v>490</v>
      </c>
      <c r="S1978" s="224" t="s">
        <v>473</v>
      </c>
      <c r="T1978" s="224">
        <f ca="1">OFFSET('Calculations 2'!$C$45,W1978,X1978)*OFFSET($N$6,W1978,0)</f>
        <v>58.194272034689007</v>
      </c>
      <c r="V1978">
        <f t="shared" si="92"/>
        <v>883</v>
      </c>
      <c r="W1978">
        <f t="shared" si="93"/>
        <v>25</v>
      </c>
      <c r="X1978">
        <f t="shared" si="94"/>
        <v>26</v>
      </c>
      <c r="AC1978" s="224" t="s">
        <v>235</v>
      </c>
      <c r="AD1978" s="224" t="s">
        <v>490</v>
      </c>
      <c r="AE1978" s="224" t="s">
        <v>473</v>
      </c>
      <c r="AF1978">
        <f ca="1">OFFSET('Calculations 2'!$CE$45,W1978,0)*OFFSET($AA$6,X1978,0)*OFFSET($N$6,W1978,)</f>
        <v>0</v>
      </c>
      <c r="AY1978" s="224" t="s">
        <v>235</v>
      </c>
      <c r="AZ1978" s="224" t="s">
        <v>490</v>
      </c>
      <c r="BA1978" s="224" t="s">
        <v>473</v>
      </c>
      <c r="BB1978">
        <v>0</v>
      </c>
      <c r="BE1978" s="224" t="s">
        <v>235</v>
      </c>
      <c r="BF1978" s="224" t="s">
        <v>490</v>
      </c>
      <c r="BG1978" s="224" t="s">
        <v>473</v>
      </c>
      <c r="BH1978">
        <v>0</v>
      </c>
    </row>
    <row r="1979" spans="17:60">
      <c r="Q1979" s="224" t="s">
        <v>473</v>
      </c>
      <c r="R1979" s="224" t="s">
        <v>490</v>
      </c>
      <c r="S1979" s="224" t="s">
        <v>473</v>
      </c>
      <c r="T1979" s="224">
        <f ca="1">OFFSET('Calculations 2'!$C$45,W1979,X1979)*OFFSET($N$6,W1979,0)</f>
        <v>55.076510684950939</v>
      </c>
      <c r="V1979">
        <f t="shared" si="92"/>
        <v>884</v>
      </c>
      <c r="W1979">
        <f t="shared" si="93"/>
        <v>26</v>
      </c>
      <c r="X1979">
        <f t="shared" si="94"/>
        <v>26</v>
      </c>
      <c r="AC1979" s="224" t="s">
        <v>473</v>
      </c>
      <c r="AD1979" s="224" t="s">
        <v>490</v>
      </c>
      <c r="AE1979" s="224" t="s">
        <v>473</v>
      </c>
      <c r="AF1979">
        <f ca="1">OFFSET('Calculations 2'!$CE$45,W1979,0)*OFFSET($AA$6,X1979,0)*OFFSET($N$6,W1979,)</f>
        <v>0</v>
      </c>
      <c r="AY1979" s="224" t="s">
        <v>473</v>
      </c>
      <c r="AZ1979" s="224" t="s">
        <v>490</v>
      </c>
      <c r="BA1979" s="224" t="s">
        <v>473</v>
      </c>
      <c r="BB1979">
        <v>0</v>
      </c>
      <c r="BE1979" s="224" t="s">
        <v>473</v>
      </c>
      <c r="BF1979" s="224" t="s">
        <v>490</v>
      </c>
      <c r="BG1979" s="224" t="s">
        <v>473</v>
      </c>
      <c r="BH1979">
        <v>0</v>
      </c>
    </row>
    <row r="1980" spans="17:60">
      <c r="Q1980" s="224" t="s">
        <v>233</v>
      </c>
      <c r="R1980" s="224" t="s">
        <v>490</v>
      </c>
      <c r="S1980" s="224" t="s">
        <v>473</v>
      </c>
      <c r="T1980" s="224">
        <f ca="1">OFFSET('Calculations 2'!$C$45,W1980,X1980)*OFFSET($N$6,W1980,0)</f>
        <v>21.922574668219763</v>
      </c>
      <c r="V1980">
        <f t="shared" si="92"/>
        <v>885</v>
      </c>
      <c r="W1980">
        <f t="shared" si="93"/>
        <v>27</v>
      </c>
      <c r="X1980">
        <f t="shared" si="94"/>
        <v>26</v>
      </c>
      <c r="AC1980" s="224" t="s">
        <v>233</v>
      </c>
      <c r="AD1980" s="224" t="s">
        <v>490</v>
      </c>
      <c r="AE1980" s="224" t="s">
        <v>473</v>
      </c>
      <c r="AF1980">
        <f ca="1">OFFSET('Calculations 2'!$CE$45,W1980,0)*OFFSET($AA$6,X1980,0)*OFFSET($N$6,W1980,)</f>
        <v>0</v>
      </c>
      <c r="AY1980" s="224" t="s">
        <v>233</v>
      </c>
      <c r="AZ1980" s="224" t="s">
        <v>490</v>
      </c>
      <c r="BA1980" s="224" t="s">
        <v>473</v>
      </c>
      <c r="BB1980">
        <v>0</v>
      </c>
      <c r="BE1980" s="224" t="s">
        <v>233</v>
      </c>
      <c r="BF1980" s="224" t="s">
        <v>490</v>
      </c>
      <c r="BG1980" s="224" t="s">
        <v>473</v>
      </c>
      <c r="BH1980">
        <v>0</v>
      </c>
    </row>
    <row r="1981" spans="17:60">
      <c r="Q1981" s="224" t="s">
        <v>474</v>
      </c>
      <c r="R1981" s="224" t="s">
        <v>490</v>
      </c>
      <c r="S1981" s="224" t="s">
        <v>473</v>
      </c>
      <c r="T1981" s="224">
        <f ca="1">OFFSET('Calculations 2'!$C$45,W1981,X1981)*OFFSET($N$6,W1981,0)</f>
        <v>2.7326535077147822</v>
      </c>
      <c r="V1981">
        <f t="shared" si="92"/>
        <v>886</v>
      </c>
      <c r="W1981">
        <f t="shared" si="93"/>
        <v>28</v>
      </c>
      <c r="X1981">
        <f t="shared" si="94"/>
        <v>26</v>
      </c>
      <c r="AC1981" s="224" t="s">
        <v>474</v>
      </c>
      <c r="AD1981" s="224" t="s">
        <v>490</v>
      </c>
      <c r="AE1981" s="224" t="s">
        <v>473</v>
      </c>
      <c r="AF1981">
        <f ca="1">OFFSET('Calculations 2'!$CE$45,W1981,0)*OFFSET($AA$6,X1981,0)*OFFSET($N$6,W1981,)</f>
        <v>0</v>
      </c>
      <c r="AY1981" s="224" t="s">
        <v>474</v>
      </c>
      <c r="AZ1981" s="224" t="s">
        <v>490</v>
      </c>
      <c r="BA1981" s="224" t="s">
        <v>473</v>
      </c>
      <c r="BB1981">
        <v>0</v>
      </c>
      <c r="BE1981" s="224" t="s">
        <v>474</v>
      </c>
      <c r="BF1981" s="224" t="s">
        <v>490</v>
      </c>
      <c r="BG1981" s="224" t="s">
        <v>473</v>
      </c>
      <c r="BH1981">
        <v>0</v>
      </c>
    </row>
    <row r="1982" spans="17:60">
      <c r="Q1982" s="224" t="s">
        <v>223</v>
      </c>
      <c r="R1982" s="224" t="s">
        <v>490</v>
      </c>
      <c r="S1982" s="224" t="s">
        <v>473</v>
      </c>
      <c r="T1982" s="224">
        <f ca="1">OFFSET('Calculations 2'!$C$45,W1982,X1982)*OFFSET($N$6,W1982,0)</f>
        <v>60.365466151566807</v>
      </c>
      <c r="V1982">
        <f t="shared" si="92"/>
        <v>887</v>
      </c>
      <c r="W1982">
        <f t="shared" si="93"/>
        <v>29</v>
      </c>
      <c r="X1982">
        <f t="shared" si="94"/>
        <v>26</v>
      </c>
      <c r="AC1982" s="224" t="s">
        <v>223</v>
      </c>
      <c r="AD1982" s="224" t="s">
        <v>490</v>
      </c>
      <c r="AE1982" s="224" t="s">
        <v>473</v>
      </c>
      <c r="AF1982">
        <f ca="1">OFFSET('Calculations 2'!$CE$45,W1982,0)*OFFSET($AA$6,X1982,0)*OFFSET($N$6,W1982,)</f>
        <v>0</v>
      </c>
      <c r="AY1982" s="224" t="s">
        <v>223</v>
      </c>
      <c r="AZ1982" s="224" t="s">
        <v>490</v>
      </c>
      <c r="BA1982" s="224" t="s">
        <v>473</v>
      </c>
      <c r="BB1982">
        <v>0</v>
      </c>
      <c r="BE1982" s="224" t="s">
        <v>223</v>
      </c>
      <c r="BF1982" s="224" t="s">
        <v>490</v>
      </c>
      <c r="BG1982" s="224" t="s">
        <v>473</v>
      </c>
      <c r="BH1982">
        <v>0</v>
      </c>
    </row>
    <row r="1983" spans="17:60">
      <c r="Q1983" s="224" t="s">
        <v>475</v>
      </c>
      <c r="R1983" s="224" t="s">
        <v>490</v>
      </c>
      <c r="S1983" s="224" t="s">
        <v>473</v>
      </c>
      <c r="T1983" s="224">
        <f ca="1">OFFSET('Calculations 2'!$C$45,W1983,X1983)*OFFSET($N$6,W1983,0)</f>
        <v>3.5245132483719549E-2</v>
      </c>
      <c r="V1983">
        <f t="shared" si="92"/>
        <v>888</v>
      </c>
      <c r="W1983">
        <f t="shared" si="93"/>
        <v>30</v>
      </c>
      <c r="X1983">
        <f t="shared" si="94"/>
        <v>26</v>
      </c>
      <c r="AC1983" s="224" t="s">
        <v>475</v>
      </c>
      <c r="AD1983" s="224" t="s">
        <v>490</v>
      </c>
      <c r="AE1983" s="224" t="s">
        <v>473</v>
      </c>
      <c r="AF1983">
        <f ca="1">OFFSET('Calculations 2'!$CE$45,W1983,0)*OFFSET($AA$6,X1983,0)*OFFSET($N$6,W1983,)</f>
        <v>0</v>
      </c>
      <c r="AY1983" s="224" t="s">
        <v>475</v>
      </c>
      <c r="AZ1983" s="224" t="s">
        <v>490</v>
      </c>
      <c r="BA1983" s="224" t="s">
        <v>473</v>
      </c>
      <c r="BB1983">
        <v>0</v>
      </c>
      <c r="BE1983" s="224" t="s">
        <v>475</v>
      </c>
      <c r="BF1983" s="224" t="s">
        <v>490</v>
      </c>
      <c r="BG1983" s="224" t="s">
        <v>473</v>
      </c>
      <c r="BH1983">
        <v>0</v>
      </c>
    </row>
    <row r="1984" spans="17:60">
      <c r="Q1984" s="224" t="s">
        <v>476</v>
      </c>
      <c r="R1984" s="224" t="s">
        <v>490</v>
      </c>
      <c r="S1984" s="224" t="s">
        <v>473</v>
      </c>
      <c r="T1984" s="224">
        <f ca="1">OFFSET('Calculations 2'!$C$45,W1984,X1984)*OFFSET($N$6,W1984,0)</f>
        <v>6.1796279179005085</v>
      </c>
      <c r="V1984">
        <f t="shared" si="92"/>
        <v>889</v>
      </c>
      <c r="W1984">
        <f t="shared" si="93"/>
        <v>31</v>
      </c>
      <c r="X1984">
        <f t="shared" si="94"/>
        <v>26</v>
      </c>
      <c r="AC1984" s="224" t="s">
        <v>476</v>
      </c>
      <c r="AD1984" s="224" t="s">
        <v>490</v>
      </c>
      <c r="AE1984" s="224" t="s">
        <v>473</v>
      </c>
      <c r="AF1984">
        <f ca="1">OFFSET('Calculations 2'!$CE$45,W1984,0)*OFFSET($AA$6,X1984,0)*OFFSET($N$6,W1984,)</f>
        <v>0</v>
      </c>
      <c r="AY1984" s="224" t="s">
        <v>476</v>
      </c>
      <c r="AZ1984" s="224" t="s">
        <v>490</v>
      </c>
      <c r="BA1984" s="224" t="s">
        <v>473</v>
      </c>
      <c r="BB1984">
        <v>0</v>
      </c>
      <c r="BE1984" s="224" t="s">
        <v>476</v>
      </c>
      <c r="BF1984" s="224" t="s">
        <v>490</v>
      </c>
      <c r="BG1984" s="224" t="s">
        <v>473</v>
      </c>
      <c r="BH1984">
        <v>0</v>
      </c>
    </row>
    <row r="1985" spans="17:60">
      <c r="Q1985" s="224" t="s">
        <v>222</v>
      </c>
      <c r="R1985" s="224" t="s">
        <v>490</v>
      </c>
      <c r="S1985" s="224" t="s">
        <v>473</v>
      </c>
      <c r="T1985" s="224">
        <f ca="1">OFFSET('Calculations 2'!$C$45,W1985,X1985)*OFFSET($N$6,W1985,0)</f>
        <v>0</v>
      </c>
      <c r="V1985">
        <f t="shared" si="92"/>
        <v>890</v>
      </c>
      <c r="W1985">
        <f t="shared" si="93"/>
        <v>32</v>
      </c>
      <c r="X1985">
        <f t="shared" si="94"/>
        <v>26</v>
      </c>
      <c r="AC1985" s="224" t="s">
        <v>222</v>
      </c>
      <c r="AD1985" s="224" t="s">
        <v>490</v>
      </c>
      <c r="AE1985" s="224" t="s">
        <v>473</v>
      </c>
      <c r="AF1985">
        <f ca="1">OFFSET('Calculations 2'!$CE$45,W1985,0)*OFFSET($AA$6,X1985,0)*OFFSET($N$6,W1985,)</f>
        <v>0</v>
      </c>
      <c r="AY1985" s="224" t="s">
        <v>222</v>
      </c>
      <c r="AZ1985" s="224" t="s">
        <v>490</v>
      </c>
      <c r="BA1985" s="224" t="s">
        <v>473</v>
      </c>
      <c r="BB1985">
        <v>0</v>
      </c>
      <c r="BE1985" s="224" t="s">
        <v>222</v>
      </c>
      <c r="BF1985" s="224" t="s">
        <v>490</v>
      </c>
      <c r="BG1985" s="224" t="s">
        <v>473</v>
      </c>
      <c r="BH1985">
        <v>0</v>
      </c>
    </row>
    <row r="1986" spans="17:60">
      <c r="Q1986" s="224" t="s">
        <v>217</v>
      </c>
      <c r="R1986" s="224" t="s">
        <v>490</v>
      </c>
      <c r="S1986" s="224" t="s">
        <v>233</v>
      </c>
      <c r="T1986" s="224">
        <f ca="1">OFFSET('Calculations 2'!$C$45,W1986,X1986)*OFFSET($N$6,W1986,0)</f>
        <v>0</v>
      </c>
      <c r="V1986">
        <f t="shared" si="92"/>
        <v>891</v>
      </c>
      <c r="W1986">
        <f t="shared" si="93"/>
        <v>0</v>
      </c>
      <c r="X1986">
        <f t="shared" si="94"/>
        <v>27</v>
      </c>
      <c r="AC1986" s="224" t="s">
        <v>217</v>
      </c>
      <c r="AD1986" s="224" t="s">
        <v>490</v>
      </c>
      <c r="AE1986" s="224" t="s">
        <v>233</v>
      </c>
      <c r="AF1986">
        <f ca="1">OFFSET('Calculations 2'!$CE$45,W1986,0)*OFFSET($AA$6,X1986,0)*OFFSET($N$6,W1986,)</f>
        <v>5.6106361922458774</v>
      </c>
      <c r="AY1986" s="224" t="s">
        <v>217</v>
      </c>
      <c r="AZ1986" s="224" t="s">
        <v>490</v>
      </c>
      <c r="BA1986" s="224" t="s">
        <v>233</v>
      </c>
      <c r="BB1986">
        <v>0</v>
      </c>
      <c r="BE1986" s="224" t="s">
        <v>217</v>
      </c>
      <c r="BF1986" s="224" t="s">
        <v>490</v>
      </c>
      <c r="BG1986" s="224" t="s">
        <v>233</v>
      </c>
      <c r="BH1986">
        <v>0</v>
      </c>
    </row>
    <row r="1987" spans="17:60">
      <c r="Q1987" s="224" t="s">
        <v>232</v>
      </c>
      <c r="R1987" s="224" t="s">
        <v>490</v>
      </c>
      <c r="S1987" s="224" t="s">
        <v>233</v>
      </c>
      <c r="T1987" s="224">
        <f ca="1">OFFSET('Calculations 2'!$C$45,W1987,X1987)*OFFSET($N$6,W1987,0)</f>
        <v>0</v>
      </c>
      <c r="V1987">
        <f t="shared" si="92"/>
        <v>892</v>
      </c>
      <c r="W1987">
        <f t="shared" si="93"/>
        <v>1</v>
      </c>
      <c r="X1987">
        <f t="shared" si="94"/>
        <v>27</v>
      </c>
      <c r="AC1987" s="224" t="s">
        <v>232</v>
      </c>
      <c r="AD1987" s="224" t="s">
        <v>490</v>
      </c>
      <c r="AE1987" s="224" t="s">
        <v>233</v>
      </c>
      <c r="AF1987">
        <f ca="1">OFFSET('Calculations 2'!$CE$45,W1987,0)*OFFSET($AA$6,X1987,0)*OFFSET($N$6,W1987,)</f>
        <v>8.8515178093087883</v>
      </c>
      <c r="AY1987" s="224" t="s">
        <v>232</v>
      </c>
      <c r="AZ1987" s="224" t="s">
        <v>490</v>
      </c>
      <c r="BA1987" s="224" t="s">
        <v>233</v>
      </c>
      <c r="BB1987">
        <v>0</v>
      </c>
      <c r="BE1987" s="224" t="s">
        <v>232</v>
      </c>
      <c r="BF1987" s="224" t="s">
        <v>490</v>
      </c>
      <c r="BG1987" s="224" t="s">
        <v>233</v>
      </c>
      <c r="BH1987">
        <v>0</v>
      </c>
    </row>
    <row r="1988" spans="17:60">
      <c r="Q1988" s="224" t="s">
        <v>226</v>
      </c>
      <c r="R1988" s="224" t="s">
        <v>490</v>
      </c>
      <c r="S1988" s="224" t="s">
        <v>233</v>
      </c>
      <c r="T1988" s="224">
        <f ca="1">OFFSET('Calculations 2'!$C$45,W1988,X1988)*OFFSET($N$6,W1988,0)</f>
        <v>39.698562256766074</v>
      </c>
      <c r="V1988">
        <f t="shared" si="92"/>
        <v>893</v>
      </c>
      <c r="W1988">
        <f t="shared" si="93"/>
        <v>2</v>
      </c>
      <c r="X1988">
        <f t="shared" si="94"/>
        <v>27</v>
      </c>
      <c r="AC1988" s="224" t="s">
        <v>226</v>
      </c>
      <c r="AD1988" s="224" t="s">
        <v>490</v>
      </c>
      <c r="AE1988" s="224" t="s">
        <v>233</v>
      </c>
      <c r="AF1988">
        <f ca="1">OFFSET('Calculations 2'!$CE$45,W1988,0)*OFFSET($AA$6,X1988,0)*OFFSET($N$6,W1988,)</f>
        <v>2.2149208060798578</v>
      </c>
      <c r="AY1988" s="224" t="s">
        <v>226</v>
      </c>
      <c r="AZ1988" s="224" t="s">
        <v>490</v>
      </c>
      <c r="BA1988" s="224" t="s">
        <v>233</v>
      </c>
      <c r="BB1988">
        <v>0</v>
      </c>
      <c r="BE1988" s="224" t="s">
        <v>226</v>
      </c>
      <c r="BF1988" s="224" t="s">
        <v>490</v>
      </c>
      <c r="BG1988" s="224" t="s">
        <v>233</v>
      </c>
      <c r="BH1988">
        <v>0</v>
      </c>
    </row>
    <row r="1989" spans="17:60">
      <c r="Q1989" s="224" t="s">
        <v>243</v>
      </c>
      <c r="R1989" s="224" t="s">
        <v>490</v>
      </c>
      <c r="S1989" s="224" t="s">
        <v>233</v>
      </c>
      <c r="T1989" s="224">
        <f ca="1">OFFSET('Calculations 2'!$C$45,W1989,X1989)*OFFSET($N$6,W1989,0)</f>
        <v>118.84365160721735</v>
      </c>
      <c r="V1989">
        <f t="shared" si="92"/>
        <v>894</v>
      </c>
      <c r="W1989">
        <f t="shared" si="93"/>
        <v>3</v>
      </c>
      <c r="X1989">
        <f t="shared" si="94"/>
        <v>27</v>
      </c>
      <c r="AC1989" s="224" t="s">
        <v>243</v>
      </c>
      <c r="AD1989" s="224" t="s">
        <v>490</v>
      </c>
      <c r="AE1989" s="224" t="s">
        <v>233</v>
      </c>
      <c r="AF1989">
        <f ca="1">OFFSET('Calculations 2'!$CE$45,W1989,0)*OFFSET($AA$6,X1989,0)*OFFSET($N$6,W1989,)</f>
        <v>43.465652454930776</v>
      </c>
      <c r="AY1989" s="224" t="s">
        <v>243</v>
      </c>
      <c r="AZ1989" s="224" t="s">
        <v>490</v>
      </c>
      <c r="BA1989" s="224" t="s">
        <v>233</v>
      </c>
      <c r="BB1989">
        <v>0</v>
      </c>
      <c r="BE1989" s="224" t="s">
        <v>243</v>
      </c>
      <c r="BF1989" s="224" t="s">
        <v>490</v>
      </c>
      <c r="BG1989" s="224" t="s">
        <v>233</v>
      </c>
      <c r="BH1989">
        <v>0</v>
      </c>
    </row>
    <row r="1990" spans="17:60">
      <c r="Q1990" s="224" t="s">
        <v>228</v>
      </c>
      <c r="R1990" s="224" t="s">
        <v>490</v>
      </c>
      <c r="S1990" s="224" t="s">
        <v>233</v>
      </c>
      <c r="T1990" s="224">
        <f ca="1">OFFSET('Calculations 2'!$C$45,W1990,X1990)*OFFSET($N$6,W1990,0)</f>
        <v>0.31372332365978811</v>
      </c>
      <c r="V1990">
        <f t="shared" si="92"/>
        <v>895</v>
      </c>
      <c r="W1990">
        <f t="shared" si="93"/>
        <v>4</v>
      </c>
      <c r="X1990">
        <f t="shared" si="94"/>
        <v>27</v>
      </c>
      <c r="AC1990" s="224" t="s">
        <v>228</v>
      </c>
      <c r="AD1990" s="224" t="s">
        <v>490</v>
      </c>
      <c r="AE1990" s="224" t="s">
        <v>233</v>
      </c>
      <c r="AF1990">
        <f ca="1">OFFSET('Calculations 2'!$CE$45,W1990,0)*OFFSET($AA$6,X1990,0)*OFFSET($N$6,W1990,)</f>
        <v>22.652971111278969</v>
      </c>
      <c r="AY1990" s="224" t="s">
        <v>228</v>
      </c>
      <c r="AZ1990" s="224" t="s">
        <v>490</v>
      </c>
      <c r="BA1990" s="224" t="s">
        <v>233</v>
      </c>
      <c r="BB1990">
        <v>0</v>
      </c>
      <c r="BE1990" s="224" t="s">
        <v>228</v>
      </c>
      <c r="BF1990" s="224" t="s">
        <v>490</v>
      </c>
      <c r="BG1990" s="224" t="s">
        <v>233</v>
      </c>
      <c r="BH1990">
        <v>0</v>
      </c>
    </row>
    <row r="1991" spans="17:60">
      <c r="Q1991" s="224" t="s">
        <v>246</v>
      </c>
      <c r="R1991" s="224" t="s">
        <v>490</v>
      </c>
      <c r="S1991" s="224" t="s">
        <v>233</v>
      </c>
      <c r="T1991" s="224">
        <f ca="1">OFFSET('Calculations 2'!$C$45,W1991,X1991)*OFFSET($N$6,W1991,0)</f>
        <v>28.489893832764444</v>
      </c>
      <c r="V1991">
        <f t="shared" si="92"/>
        <v>896</v>
      </c>
      <c r="W1991">
        <f t="shared" si="93"/>
        <v>5</v>
      </c>
      <c r="X1991">
        <f t="shared" si="94"/>
        <v>27</v>
      </c>
      <c r="AC1991" s="224" t="s">
        <v>246</v>
      </c>
      <c r="AD1991" s="224" t="s">
        <v>490</v>
      </c>
      <c r="AE1991" s="224" t="s">
        <v>233</v>
      </c>
      <c r="AF1991">
        <f ca="1">OFFSET('Calculations 2'!$CE$45,W1991,0)*OFFSET($AA$6,X1991,0)*OFFSET($N$6,W1991,)</f>
        <v>0.40547101115913892</v>
      </c>
      <c r="AY1991" s="224" t="s">
        <v>246</v>
      </c>
      <c r="AZ1991" s="224" t="s">
        <v>490</v>
      </c>
      <c r="BA1991" s="224" t="s">
        <v>233</v>
      </c>
      <c r="BB1991">
        <v>0</v>
      </c>
      <c r="BE1991" s="224" t="s">
        <v>246</v>
      </c>
      <c r="BF1991" s="224" t="s">
        <v>490</v>
      </c>
      <c r="BG1991" s="224" t="s">
        <v>233</v>
      </c>
      <c r="BH1991">
        <v>0</v>
      </c>
    </row>
    <row r="1992" spans="17:60">
      <c r="Q1992" s="224" t="s">
        <v>239</v>
      </c>
      <c r="R1992" s="224" t="s">
        <v>490</v>
      </c>
      <c r="S1992" s="224" t="s">
        <v>233</v>
      </c>
      <c r="T1992" s="224">
        <f ca="1">OFFSET('Calculations 2'!$C$45,W1992,X1992)*OFFSET($N$6,W1992,0)</f>
        <v>1532.246443649072</v>
      </c>
      <c r="V1992">
        <f t="shared" si="92"/>
        <v>897</v>
      </c>
      <c r="W1992">
        <f t="shared" si="93"/>
        <v>6</v>
      </c>
      <c r="X1992">
        <f t="shared" si="94"/>
        <v>27</v>
      </c>
      <c r="AC1992" s="224" t="s">
        <v>239</v>
      </c>
      <c r="AD1992" s="224" t="s">
        <v>490</v>
      </c>
      <c r="AE1992" s="224" t="s">
        <v>233</v>
      </c>
      <c r="AF1992">
        <f ca="1">OFFSET('Calculations 2'!$CE$45,W1992,0)*OFFSET($AA$6,X1992,0)*OFFSET($N$6,W1992,)</f>
        <v>5.8387497734364304</v>
      </c>
      <c r="AY1992" s="224" t="s">
        <v>239</v>
      </c>
      <c r="AZ1992" s="224" t="s">
        <v>490</v>
      </c>
      <c r="BA1992" s="224" t="s">
        <v>233</v>
      </c>
      <c r="BB1992">
        <v>0</v>
      </c>
      <c r="BE1992" s="224" t="s">
        <v>239</v>
      </c>
      <c r="BF1992" s="224" t="s">
        <v>490</v>
      </c>
      <c r="BG1992" s="224" t="s">
        <v>233</v>
      </c>
      <c r="BH1992">
        <v>0</v>
      </c>
    </row>
    <row r="1993" spans="17:60">
      <c r="Q1993" s="224" t="s">
        <v>466</v>
      </c>
      <c r="R1993" s="224" t="s">
        <v>490</v>
      </c>
      <c r="S1993" s="224" t="s">
        <v>233</v>
      </c>
      <c r="T1993" s="224">
        <f ca="1">OFFSET('Calculations 2'!$C$45,W1993,X1993)*OFFSET($N$6,W1993,0)</f>
        <v>739.85008503700021</v>
      </c>
      <c r="V1993">
        <f t="shared" ref="V1993:V2056" si="95">V1992+1</f>
        <v>898</v>
      </c>
      <c r="W1993">
        <f t="shared" ref="W1993:W2056" si="96">MOD(V1993,$V$3)</f>
        <v>7</v>
      </c>
      <c r="X1993">
        <f t="shared" ref="X1993:X2056" si="97">FLOOR(V1993/$V$3,1)</f>
        <v>27</v>
      </c>
      <c r="AC1993" s="224" t="s">
        <v>466</v>
      </c>
      <c r="AD1993" s="224" t="s">
        <v>490</v>
      </c>
      <c r="AE1993" s="224" t="s">
        <v>233</v>
      </c>
      <c r="AF1993">
        <f ca="1">OFFSET('Calculations 2'!$CE$45,W1993,0)*OFFSET($AA$6,X1993,0)*OFFSET($N$6,W1993,)</f>
        <v>1.4702653965172439</v>
      </c>
      <c r="AY1993" s="224" t="s">
        <v>466</v>
      </c>
      <c r="AZ1993" s="224" t="s">
        <v>490</v>
      </c>
      <c r="BA1993" s="224" t="s">
        <v>233</v>
      </c>
      <c r="BB1993">
        <v>0</v>
      </c>
      <c r="BE1993" s="224" t="s">
        <v>466</v>
      </c>
      <c r="BF1993" s="224" t="s">
        <v>490</v>
      </c>
      <c r="BG1993" s="224" t="s">
        <v>233</v>
      </c>
      <c r="BH1993">
        <v>0</v>
      </c>
    </row>
    <row r="1994" spans="17:60">
      <c r="Q1994" s="224" t="s">
        <v>219</v>
      </c>
      <c r="R1994" s="224" t="s">
        <v>490</v>
      </c>
      <c r="S1994" s="224" t="s">
        <v>233</v>
      </c>
      <c r="T1994" s="224">
        <f ca="1">OFFSET('Calculations 2'!$C$45,W1994,X1994)*OFFSET($N$6,W1994,0)</f>
        <v>583.81929969109706</v>
      </c>
      <c r="V1994">
        <f t="shared" si="95"/>
        <v>899</v>
      </c>
      <c r="W1994">
        <f t="shared" si="96"/>
        <v>8</v>
      </c>
      <c r="X1994">
        <f t="shared" si="97"/>
        <v>27</v>
      </c>
      <c r="AC1994" s="224" t="s">
        <v>219</v>
      </c>
      <c r="AD1994" s="224" t="s">
        <v>490</v>
      </c>
      <c r="AE1994" s="224" t="s">
        <v>233</v>
      </c>
      <c r="AF1994">
        <f ca="1">OFFSET('Calculations 2'!$CE$45,W1994,0)*OFFSET($AA$6,X1994,0)*OFFSET($N$6,W1994,)</f>
        <v>20.154891382906008</v>
      </c>
      <c r="AY1994" s="224" t="s">
        <v>219</v>
      </c>
      <c r="AZ1994" s="224" t="s">
        <v>490</v>
      </c>
      <c r="BA1994" s="224" t="s">
        <v>233</v>
      </c>
      <c r="BB1994">
        <v>0</v>
      </c>
      <c r="BE1994" s="224" t="s">
        <v>219</v>
      </c>
      <c r="BF1994" s="224" t="s">
        <v>490</v>
      </c>
      <c r="BG1994" s="224" t="s">
        <v>233</v>
      </c>
      <c r="BH1994">
        <v>0</v>
      </c>
    </row>
    <row r="1995" spans="17:60">
      <c r="Q1995" s="224" t="s">
        <v>242</v>
      </c>
      <c r="R1995" s="224" t="s">
        <v>490</v>
      </c>
      <c r="S1995" s="224" t="s">
        <v>233</v>
      </c>
      <c r="T1995" s="224">
        <f ca="1">OFFSET('Calculations 2'!$C$45,W1995,X1995)*OFFSET($N$6,W1995,0)</f>
        <v>225.31186468619347</v>
      </c>
      <c r="V1995">
        <f t="shared" si="95"/>
        <v>900</v>
      </c>
      <c r="W1995">
        <f t="shared" si="96"/>
        <v>9</v>
      </c>
      <c r="X1995">
        <f t="shared" si="97"/>
        <v>27</v>
      </c>
      <c r="AC1995" s="224" t="s">
        <v>242</v>
      </c>
      <c r="AD1995" s="224" t="s">
        <v>490</v>
      </c>
      <c r="AE1995" s="224" t="s">
        <v>233</v>
      </c>
      <c r="AF1995">
        <f ca="1">OFFSET('Calculations 2'!$CE$45,W1995,0)*OFFSET($AA$6,X1995,0)*OFFSET($N$6,W1995,)</f>
        <v>15.435967793799914</v>
      </c>
      <c r="AY1995" s="224" t="s">
        <v>242</v>
      </c>
      <c r="AZ1995" s="224" t="s">
        <v>490</v>
      </c>
      <c r="BA1995" s="224" t="s">
        <v>233</v>
      </c>
      <c r="BB1995">
        <v>0</v>
      </c>
      <c r="BE1995" s="224" t="s">
        <v>242</v>
      </c>
      <c r="BF1995" s="224" t="s">
        <v>490</v>
      </c>
      <c r="BG1995" s="224" t="s">
        <v>233</v>
      </c>
      <c r="BH1995">
        <v>0</v>
      </c>
    </row>
    <row r="1996" spans="17:60">
      <c r="Q1996" s="224" t="s">
        <v>467</v>
      </c>
      <c r="R1996" s="224" t="s">
        <v>490</v>
      </c>
      <c r="S1996" s="224" t="s">
        <v>233</v>
      </c>
      <c r="T1996" s="224">
        <f ca="1">OFFSET('Calculations 2'!$C$45,W1996,X1996)*OFFSET($N$6,W1996,0)</f>
        <v>0</v>
      </c>
      <c r="V1996">
        <f t="shared" si="95"/>
        <v>901</v>
      </c>
      <c r="W1996">
        <f t="shared" si="96"/>
        <v>10</v>
      </c>
      <c r="X1996">
        <f t="shared" si="97"/>
        <v>27</v>
      </c>
      <c r="AC1996" s="224" t="s">
        <v>467</v>
      </c>
      <c r="AD1996" s="224" t="s">
        <v>490</v>
      </c>
      <c r="AE1996" s="224" t="s">
        <v>233</v>
      </c>
      <c r="AF1996">
        <f ca="1">OFFSET('Calculations 2'!$CE$45,W1996,0)*OFFSET($AA$6,X1996,0)*OFFSET($N$6,W1996,)</f>
        <v>5.8268826073687991</v>
      </c>
      <c r="AY1996" s="224" t="s">
        <v>467</v>
      </c>
      <c r="AZ1996" s="224" t="s">
        <v>490</v>
      </c>
      <c r="BA1996" s="224" t="s">
        <v>233</v>
      </c>
      <c r="BB1996">
        <v>0</v>
      </c>
      <c r="BE1996" s="224" t="s">
        <v>467</v>
      </c>
      <c r="BF1996" s="224" t="s">
        <v>490</v>
      </c>
      <c r="BG1996" s="224" t="s">
        <v>233</v>
      </c>
      <c r="BH1996">
        <v>0</v>
      </c>
    </row>
    <row r="1997" spans="17:60">
      <c r="Q1997" s="224" t="s">
        <v>231</v>
      </c>
      <c r="R1997" s="224" t="s">
        <v>490</v>
      </c>
      <c r="S1997" s="224" t="s">
        <v>233</v>
      </c>
      <c r="T1997" s="224">
        <f ca="1">OFFSET('Calculations 2'!$C$45,W1997,X1997)*OFFSET($N$6,W1997,0)</f>
        <v>27.075448220658824</v>
      </c>
      <c r="V1997">
        <f t="shared" si="95"/>
        <v>902</v>
      </c>
      <c r="W1997">
        <f t="shared" si="96"/>
        <v>11</v>
      </c>
      <c r="X1997">
        <f t="shared" si="97"/>
        <v>27</v>
      </c>
      <c r="AC1997" s="224" t="s">
        <v>231</v>
      </c>
      <c r="AD1997" s="224" t="s">
        <v>490</v>
      </c>
      <c r="AE1997" s="224" t="s">
        <v>233</v>
      </c>
      <c r="AF1997">
        <f ca="1">OFFSET('Calculations 2'!$CE$45,W1997,0)*OFFSET($AA$6,X1997,0)*OFFSET($N$6,W1997,)</f>
        <v>72.935899183219036</v>
      </c>
      <c r="AY1997" s="224" t="s">
        <v>231</v>
      </c>
      <c r="AZ1997" s="224" t="s">
        <v>490</v>
      </c>
      <c r="BA1997" s="224" t="s">
        <v>233</v>
      </c>
      <c r="BB1997">
        <v>0</v>
      </c>
      <c r="BE1997" s="224" t="s">
        <v>231</v>
      </c>
      <c r="BF1997" s="224" t="s">
        <v>490</v>
      </c>
      <c r="BG1997" s="224" t="s">
        <v>233</v>
      </c>
      <c r="BH1997">
        <v>0</v>
      </c>
    </row>
    <row r="1998" spans="17:60">
      <c r="Q1998" s="224" t="s">
        <v>468</v>
      </c>
      <c r="R1998" s="224" t="s">
        <v>490</v>
      </c>
      <c r="S1998" s="224" t="s">
        <v>233</v>
      </c>
      <c r="T1998" s="224">
        <f ca="1">OFFSET('Calculations 2'!$C$45,W1998,X1998)*OFFSET($N$6,W1998,0)</f>
        <v>109.3768097678382</v>
      </c>
      <c r="V1998">
        <f t="shared" si="95"/>
        <v>903</v>
      </c>
      <c r="W1998">
        <f t="shared" si="96"/>
        <v>12</v>
      </c>
      <c r="X1998">
        <f t="shared" si="97"/>
        <v>27</v>
      </c>
      <c r="AC1998" s="224" t="s">
        <v>468</v>
      </c>
      <c r="AD1998" s="224" t="s">
        <v>490</v>
      </c>
      <c r="AE1998" s="224" t="s">
        <v>233</v>
      </c>
      <c r="AF1998">
        <f ca="1">OFFSET('Calculations 2'!$CE$45,W1998,0)*OFFSET($AA$6,X1998,0)*OFFSET($N$6,W1998,)</f>
        <v>279.40079307229348</v>
      </c>
      <c r="AY1998" s="224" t="s">
        <v>468</v>
      </c>
      <c r="AZ1998" s="224" t="s">
        <v>490</v>
      </c>
      <c r="BA1998" s="224" t="s">
        <v>233</v>
      </c>
      <c r="BB1998">
        <v>0</v>
      </c>
      <c r="BE1998" s="224" t="s">
        <v>468</v>
      </c>
      <c r="BF1998" s="224" t="s">
        <v>490</v>
      </c>
      <c r="BG1998" s="224" t="s">
        <v>233</v>
      </c>
      <c r="BH1998">
        <v>0</v>
      </c>
    </row>
    <row r="1999" spans="17:60">
      <c r="Q1999" s="224" t="s">
        <v>469</v>
      </c>
      <c r="R1999" s="224" t="s">
        <v>490</v>
      </c>
      <c r="S1999" s="224" t="s">
        <v>233</v>
      </c>
      <c r="T1999" s="224">
        <f ca="1">OFFSET('Calculations 2'!$C$45,W1999,X1999)*OFFSET($N$6,W1999,0)</f>
        <v>773.96525173043949</v>
      </c>
      <c r="V1999">
        <f t="shared" si="95"/>
        <v>904</v>
      </c>
      <c r="W1999">
        <f t="shared" si="96"/>
        <v>13</v>
      </c>
      <c r="X1999">
        <f t="shared" si="97"/>
        <v>27</v>
      </c>
      <c r="AC1999" s="224" t="s">
        <v>469</v>
      </c>
      <c r="AD1999" s="224" t="s">
        <v>490</v>
      </c>
      <c r="AE1999" s="224" t="s">
        <v>233</v>
      </c>
      <c r="AF1999">
        <f ca="1">OFFSET('Calculations 2'!$CE$45,W1999,0)*OFFSET($AA$6,X1999,0)*OFFSET($N$6,W1999,)</f>
        <v>149.80618211666467</v>
      </c>
      <c r="AY1999" s="224" t="s">
        <v>469</v>
      </c>
      <c r="AZ1999" s="224" t="s">
        <v>490</v>
      </c>
      <c r="BA1999" s="224" t="s">
        <v>233</v>
      </c>
      <c r="BB1999">
        <v>0</v>
      </c>
      <c r="BE1999" s="224" t="s">
        <v>469</v>
      </c>
      <c r="BF1999" s="224" t="s">
        <v>490</v>
      </c>
      <c r="BG1999" s="224" t="s">
        <v>233</v>
      </c>
      <c r="BH1999">
        <v>0</v>
      </c>
    </row>
    <row r="2000" spans="17:60">
      <c r="Q2000" s="224" t="s">
        <v>245</v>
      </c>
      <c r="R2000" s="224" t="s">
        <v>490</v>
      </c>
      <c r="S2000" s="224" t="s">
        <v>233</v>
      </c>
      <c r="T2000" s="224">
        <f ca="1">OFFSET('Calculations 2'!$C$45,W2000,X2000)*OFFSET($N$6,W2000,0)</f>
        <v>658.07741876379316</v>
      </c>
      <c r="V2000">
        <f t="shared" si="95"/>
        <v>905</v>
      </c>
      <c r="W2000">
        <f t="shared" si="96"/>
        <v>14</v>
      </c>
      <c r="X2000">
        <f t="shared" si="97"/>
        <v>27</v>
      </c>
      <c r="AC2000" s="224" t="s">
        <v>245</v>
      </c>
      <c r="AD2000" s="224" t="s">
        <v>490</v>
      </c>
      <c r="AE2000" s="224" t="s">
        <v>233</v>
      </c>
      <c r="AF2000">
        <f ca="1">OFFSET('Calculations 2'!$CE$45,W2000,0)*OFFSET($AA$6,X2000,0)*OFFSET($N$6,W2000,)</f>
        <v>239.07381693912859</v>
      </c>
      <c r="AY2000" s="224" t="s">
        <v>245</v>
      </c>
      <c r="AZ2000" s="224" t="s">
        <v>490</v>
      </c>
      <c r="BA2000" s="224" t="s">
        <v>233</v>
      </c>
      <c r="BB2000">
        <v>0</v>
      </c>
      <c r="BE2000" s="224" t="s">
        <v>245</v>
      </c>
      <c r="BF2000" s="224" t="s">
        <v>490</v>
      </c>
      <c r="BG2000" s="224" t="s">
        <v>233</v>
      </c>
      <c r="BH2000">
        <v>0</v>
      </c>
    </row>
    <row r="2001" spans="17:60">
      <c r="Q2001" s="224" t="s">
        <v>470</v>
      </c>
      <c r="R2001" s="224" t="s">
        <v>490</v>
      </c>
      <c r="S2001" s="224" t="s">
        <v>233</v>
      </c>
      <c r="T2001" s="224">
        <f ca="1">OFFSET('Calculations 2'!$C$45,W2001,X2001)*OFFSET($N$6,W2001,0)</f>
        <v>377.1353510449087</v>
      </c>
      <c r="V2001">
        <f t="shared" si="95"/>
        <v>906</v>
      </c>
      <c r="W2001">
        <f t="shared" si="96"/>
        <v>15</v>
      </c>
      <c r="X2001">
        <f t="shared" si="97"/>
        <v>27</v>
      </c>
      <c r="AC2001" s="224" t="s">
        <v>470</v>
      </c>
      <c r="AD2001" s="224" t="s">
        <v>490</v>
      </c>
      <c r="AE2001" s="224" t="s">
        <v>233</v>
      </c>
      <c r="AF2001">
        <f ca="1">OFFSET('Calculations 2'!$CE$45,W2001,0)*OFFSET($AA$6,X2001,0)*OFFSET($N$6,W2001,)</f>
        <v>90.712894484956763</v>
      </c>
      <c r="AY2001" s="224" t="s">
        <v>470</v>
      </c>
      <c r="AZ2001" s="224" t="s">
        <v>490</v>
      </c>
      <c r="BA2001" s="224" t="s">
        <v>233</v>
      </c>
      <c r="BB2001">
        <v>0</v>
      </c>
      <c r="BE2001" s="224" t="s">
        <v>470</v>
      </c>
      <c r="BF2001" s="224" t="s">
        <v>490</v>
      </c>
      <c r="BG2001" s="224" t="s">
        <v>233</v>
      </c>
      <c r="BH2001">
        <v>0</v>
      </c>
    </row>
    <row r="2002" spans="17:60">
      <c r="Q2002" s="224" t="s">
        <v>471</v>
      </c>
      <c r="R2002" s="224" t="s">
        <v>490</v>
      </c>
      <c r="S2002" s="224" t="s">
        <v>233</v>
      </c>
      <c r="T2002" s="224">
        <f ca="1">OFFSET('Calculations 2'!$C$45,W2002,X2002)*OFFSET($N$6,W2002,0)</f>
        <v>6.9461115763860786</v>
      </c>
      <c r="V2002">
        <f t="shared" si="95"/>
        <v>907</v>
      </c>
      <c r="W2002">
        <f t="shared" si="96"/>
        <v>16</v>
      </c>
      <c r="X2002">
        <f t="shared" si="97"/>
        <v>27</v>
      </c>
      <c r="AC2002" s="224" t="s">
        <v>471</v>
      </c>
      <c r="AD2002" s="224" t="s">
        <v>490</v>
      </c>
      <c r="AE2002" s="224" t="s">
        <v>233</v>
      </c>
      <c r="AF2002">
        <f ca="1">OFFSET('Calculations 2'!$CE$45,W2002,0)*OFFSET($AA$6,X2002,0)*OFFSET($N$6,W2002,)</f>
        <v>0</v>
      </c>
      <c r="AY2002" s="224" t="s">
        <v>471</v>
      </c>
      <c r="AZ2002" s="224" t="s">
        <v>490</v>
      </c>
      <c r="BA2002" s="224" t="s">
        <v>233</v>
      </c>
      <c r="BB2002">
        <v>0</v>
      </c>
      <c r="BE2002" s="224" t="s">
        <v>471</v>
      </c>
      <c r="BF2002" s="224" t="s">
        <v>490</v>
      </c>
      <c r="BG2002" s="224" t="s">
        <v>233</v>
      </c>
      <c r="BH2002">
        <v>0</v>
      </c>
    </row>
    <row r="2003" spans="17:60">
      <c r="Q2003" s="224" t="s">
        <v>221</v>
      </c>
      <c r="R2003" s="224" t="s">
        <v>490</v>
      </c>
      <c r="S2003" s="224" t="s">
        <v>233</v>
      </c>
      <c r="T2003" s="224">
        <f ca="1">OFFSET('Calculations 2'!$C$45,W2003,X2003)*OFFSET($N$6,W2003,0)</f>
        <v>47.115513976163925</v>
      </c>
      <c r="V2003">
        <f t="shared" si="95"/>
        <v>908</v>
      </c>
      <c r="W2003">
        <f t="shared" si="96"/>
        <v>17</v>
      </c>
      <c r="X2003">
        <f t="shared" si="97"/>
        <v>27</v>
      </c>
      <c r="AC2003" s="224" t="s">
        <v>221</v>
      </c>
      <c r="AD2003" s="224" t="s">
        <v>490</v>
      </c>
      <c r="AE2003" s="224" t="s">
        <v>233</v>
      </c>
      <c r="AF2003">
        <f ca="1">OFFSET('Calculations 2'!$CE$45,W2003,0)*OFFSET($AA$6,X2003,0)*OFFSET($N$6,W2003,)</f>
        <v>17.757571403588081</v>
      </c>
      <c r="AY2003" s="224" t="s">
        <v>221</v>
      </c>
      <c r="AZ2003" s="224" t="s">
        <v>490</v>
      </c>
      <c r="BA2003" s="224" t="s">
        <v>233</v>
      </c>
      <c r="BB2003">
        <v>0</v>
      </c>
      <c r="BE2003" s="224" t="s">
        <v>221</v>
      </c>
      <c r="BF2003" s="224" t="s">
        <v>490</v>
      </c>
      <c r="BG2003" s="224" t="s">
        <v>233</v>
      </c>
      <c r="BH2003">
        <v>0</v>
      </c>
    </row>
    <row r="2004" spans="17:60">
      <c r="Q2004" s="224" t="s">
        <v>244</v>
      </c>
      <c r="R2004" s="224" t="s">
        <v>490</v>
      </c>
      <c r="S2004" s="224" t="s">
        <v>233</v>
      </c>
      <c r="T2004" s="224">
        <f ca="1">OFFSET('Calculations 2'!$C$45,W2004,X2004)*OFFSET($N$6,W2004,0)</f>
        <v>65.011309626506247</v>
      </c>
      <c r="V2004">
        <f t="shared" si="95"/>
        <v>909</v>
      </c>
      <c r="W2004">
        <f t="shared" si="96"/>
        <v>18</v>
      </c>
      <c r="X2004">
        <f t="shared" si="97"/>
        <v>27</v>
      </c>
      <c r="AC2004" s="224" t="s">
        <v>244</v>
      </c>
      <c r="AD2004" s="224" t="s">
        <v>490</v>
      </c>
      <c r="AE2004" s="224" t="s">
        <v>233</v>
      </c>
      <c r="AF2004">
        <f ca="1">OFFSET('Calculations 2'!$CE$45,W2004,0)*OFFSET($AA$6,X2004,0)*OFFSET($N$6,W2004,)</f>
        <v>1.5536669757186838</v>
      </c>
      <c r="AY2004" s="224" t="s">
        <v>244</v>
      </c>
      <c r="AZ2004" s="224" t="s">
        <v>490</v>
      </c>
      <c r="BA2004" s="224" t="s">
        <v>233</v>
      </c>
      <c r="BB2004">
        <v>0</v>
      </c>
      <c r="BE2004" s="224" t="s">
        <v>244</v>
      </c>
      <c r="BF2004" s="224" t="s">
        <v>490</v>
      </c>
      <c r="BG2004" s="224" t="s">
        <v>233</v>
      </c>
      <c r="BH2004">
        <v>0</v>
      </c>
    </row>
    <row r="2005" spans="17:60">
      <c r="Q2005" s="224" t="s">
        <v>472</v>
      </c>
      <c r="R2005" s="224" t="s">
        <v>490</v>
      </c>
      <c r="S2005" s="224" t="s">
        <v>233</v>
      </c>
      <c r="T2005" s="224">
        <f ca="1">OFFSET('Calculations 2'!$C$45,W2005,X2005)*OFFSET($N$6,W2005,0)</f>
        <v>0</v>
      </c>
      <c r="V2005">
        <f t="shared" si="95"/>
        <v>910</v>
      </c>
      <c r="W2005">
        <f t="shared" si="96"/>
        <v>19</v>
      </c>
      <c r="X2005">
        <f t="shared" si="97"/>
        <v>27</v>
      </c>
      <c r="AC2005" s="224" t="s">
        <v>472</v>
      </c>
      <c r="AD2005" s="224" t="s">
        <v>490</v>
      </c>
      <c r="AE2005" s="224" t="s">
        <v>233</v>
      </c>
      <c r="AF2005">
        <f ca="1">OFFSET('Calculations 2'!$CE$45,W2005,0)*OFFSET($AA$6,X2005,0)*OFFSET($N$6,W2005,)</f>
        <v>0</v>
      </c>
      <c r="AY2005" s="224" t="s">
        <v>472</v>
      </c>
      <c r="AZ2005" s="224" t="s">
        <v>490</v>
      </c>
      <c r="BA2005" s="224" t="s">
        <v>233</v>
      </c>
      <c r="BB2005">
        <v>0</v>
      </c>
      <c r="BE2005" s="224" t="s">
        <v>472</v>
      </c>
      <c r="BF2005" s="224" t="s">
        <v>490</v>
      </c>
      <c r="BG2005" s="224" t="s">
        <v>233</v>
      </c>
      <c r="BH2005">
        <v>0</v>
      </c>
    </row>
    <row r="2006" spans="17:60">
      <c r="Q2006" s="224" t="s">
        <v>238</v>
      </c>
      <c r="R2006" s="224" t="s">
        <v>490</v>
      </c>
      <c r="S2006" s="224" t="s">
        <v>233</v>
      </c>
      <c r="T2006" s="224">
        <f ca="1">OFFSET('Calculations 2'!$C$45,W2006,X2006)*OFFSET($N$6,W2006,0)</f>
        <v>3.253831427942393</v>
      </c>
      <c r="V2006">
        <f t="shared" si="95"/>
        <v>911</v>
      </c>
      <c r="W2006">
        <f t="shared" si="96"/>
        <v>20</v>
      </c>
      <c r="X2006">
        <f t="shared" si="97"/>
        <v>27</v>
      </c>
      <c r="AC2006" s="224" t="s">
        <v>238</v>
      </c>
      <c r="AD2006" s="224" t="s">
        <v>490</v>
      </c>
      <c r="AE2006" s="224" t="s">
        <v>233</v>
      </c>
      <c r="AF2006">
        <f ca="1">OFFSET('Calculations 2'!$CE$45,W2006,0)*OFFSET($AA$6,X2006,0)*OFFSET($N$6,W2006,)</f>
        <v>0</v>
      </c>
      <c r="AY2006" s="224" t="s">
        <v>238</v>
      </c>
      <c r="AZ2006" s="224" t="s">
        <v>490</v>
      </c>
      <c r="BA2006" s="224" t="s">
        <v>233</v>
      </c>
      <c r="BB2006">
        <v>0</v>
      </c>
      <c r="BE2006" s="224" t="s">
        <v>238</v>
      </c>
      <c r="BF2006" s="224" t="s">
        <v>490</v>
      </c>
      <c r="BG2006" s="224" t="s">
        <v>233</v>
      </c>
      <c r="BH2006">
        <v>0</v>
      </c>
    </row>
    <row r="2007" spans="17:60">
      <c r="Q2007" s="224" t="s">
        <v>247</v>
      </c>
      <c r="R2007" s="224" t="s">
        <v>490</v>
      </c>
      <c r="S2007" s="224" t="s">
        <v>233</v>
      </c>
      <c r="T2007" s="224">
        <f ca="1">OFFSET('Calculations 2'!$C$45,W2007,X2007)*OFFSET($N$6,W2007,0)</f>
        <v>0</v>
      </c>
      <c r="V2007">
        <f t="shared" si="95"/>
        <v>912</v>
      </c>
      <c r="W2007">
        <f t="shared" si="96"/>
        <v>21</v>
      </c>
      <c r="X2007">
        <f t="shared" si="97"/>
        <v>27</v>
      </c>
      <c r="AC2007" s="224" t="s">
        <v>247</v>
      </c>
      <c r="AD2007" s="224" t="s">
        <v>490</v>
      </c>
      <c r="AE2007" s="224" t="s">
        <v>233</v>
      </c>
      <c r="AF2007">
        <f ca="1">OFFSET('Calculations 2'!$CE$45,W2007,0)*OFFSET($AA$6,X2007,0)*OFFSET($N$6,W2007,)</f>
        <v>0</v>
      </c>
      <c r="AY2007" s="224" t="s">
        <v>247</v>
      </c>
      <c r="AZ2007" s="224" t="s">
        <v>490</v>
      </c>
      <c r="BA2007" s="224" t="s">
        <v>233</v>
      </c>
      <c r="BB2007">
        <v>0</v>
      </c>
      <c r="BE2007" s="224" t="s">
        <v>247</v>
      </c>
      <c r="BF2007" s="224" t="s">
        <v>490</v>
      </c>
      <c r="BG2007" s="224" t="s">
        <v>233</v>
      </c>
      <c r="BH2007">
        <v>0</v>
      </c>
    </row>
    <row r="2008" spans="17:60">
      <c r="Q2008" s="224" t="s">
        <v>218</v>
      </c>
      <c r="R2008" s="224" t="s">
        <v>490</v>
      </c>
      <c r="S2008" s="224" t="s">
        <v>233</v>
      </c>
      <c r="T2008" s="224">
        <f ca="1">OFFSET('Calculations 2'!$C$45,W2008,X2008)*OFFSET($N$6,W2008,0)</f>
        <v>5.9266380529289036</v>
      </c>
      <c r="V2008">
        <f t="shared" si="95"/>
        <v>913</v>
      </c>
      <c r="W2008">
        <f t="shared" si="96"/>
        <v>22</v>
      </c>
      <c r="X2008">
        <f t="shared" si="97"/>
        <v>27</v>
      </c>
      <c r="AC2008" s="224" t="s">
        <v>218</v>
      </c>
      <c r="AD2008" s="224" t="s">
        <v>490</v>
      </c>
      <c r="AE2008" s="224" t="s">
        <v>233</v>
      </c>
      <c r="AF2008">
        <f ca="1">OFFSET('Calculations 2'!$CE$45,W2008,0)*OFFSET($AA$6,X2008,0)*OFFSET($N$6,W2008,)</f>
        <v>0</v>
      </c>
      <c r="AY2008" s="224" t="s">
        <v>218</v>
      </c>
      <c r="AZ2008" s="224" t="s">
        <v>490</v>
      </c>
      <c r="BA2008" s="224" t="s">
        <v>233</v>
      </c>
      <c r="BB2008">
        <v>0</v>
      </c>
      <c r="BE2008" s="224" t="s">
        <v>218</v>
      </c>
      <c r="BF2008" s="224" t="s">
        <v>490</v>
      </c>
      <c r="BG2008" s="224" t="s">
        <v>233</v>
      </c>
      <c r="BH2008">
        <v>0</v>
      </c>
    </row>
    <row r="2009" spans="17:60">
      <c r="Q2009" s="224" t="s">
        <v>257</v>
      </c>
      <c r="R2009" s="224" t="s">
        <v>490</v>
      </c>
      <c r="S2009" s="224" t="s">
        <v>233</v>
      </c>
      <c r="T2009" s="224">
        <f ca="1">OFFSET('Calculations 2'!$C$45,W2009,X2009)*OFFSET($N$6,W2009,0)</f>
        <v>3.2611070355713596</v>
      </c>
      <c r="V2009">
        <f t="shared" si="95"/>
        <v>914</v>
      </c>
      <c r="W2009">
        <f t="shared" si="96"/>
        <v>23</v>
      </c>
      <c r="X2009">
        <f t="shared" si="97"/>
        <v>27</v>
      </c>
      <c r="AC2009" s="224" t="s">
        <v>257</v>
      </c>
      <c r="AD2009" s="224" t="s">
        <v>490</v>
      </c>
      <c r="AE2009" s="224" t="s">
        <v>233</v>
      </c>
      <c r="AF2009">
        <f ca="1">OFFSET('Calculations 2'!$CE$45,W2009,0)*OFFSET($AA$6,X2009,0)*OFFSET($N$6,W2009,)</f>
        <v>0</v>
      </c>
      <c r="AY2009" s="224" t="s">
        <v>257</v>
      </c>
      <c r="AZ2009" s="224" t="s">
        <v>490</v>
      </c>
      <c r="BA2009" s="224" t="s">
        <v>233</v>
      </c>
      <c r="BB2009">
        <v>0</v>
      </c>
      <c r="BE2009" s="224" t="s">
        <v>257</v>
      </c>
      <c r="BF2009" s="224" t="s">
        <v>490</v>
      </c>
      <c r="BG2009" s="224" t="s">
        <v>233</v>
      </c>
      <c r="BH2009">
        <v>0</v>
      </c>
    </row>
    <row r="2010" spans="17:60">
      <c r="Q2010" s="224" t="s">
        <v>220</v>
      </c>
      <c r="R2010" s="224" t="s">
        <v>490</v>
      </c>
      <c r="S2010" s="224" t="s">
        <v>233</v>
      </c>
      <c r="T2010" s="224">
        <f ca="1">OFFSET('Calculations 2'!$C$45,W2010,X2010)*OFFSET($N$6,W2010,0)</f>
        <v>133.03385787820994</v>
      </c>
      <c r="V2010">
        <f t="shared" si="95"/>
        <v>915</v>
      </c>
      <c r="W2010">
        <f t="shared" si="96"/>
        <v>24</v>
      </c>
      <c r="X2010">
        <f t="shared" si="97"/>
        <v>27</v>
      </c>
      <c r="AC2010" s="224" t="s">
        <v>220</v>
      </c>
      <c r="AD2010" s="224" t="s">
        <v>490</v>
      </c>
      <c r="AE2010" s="224" t="s">
        <v>233</v>
      </c>
      <c r="AF2010">
        <f ca="1">OFFSET('Calculations 2'!$CE$45,W2010,0)*OFFSET($AA$6,X2010,0)*OFFSET($N$6,W2010,)</f>
        <v>0</v>
      </c>
      <c r="AY2010" s="224" t="s">
        <v>220</v>
      </c>
      <c r="AZ2010" s="224" t="s">
        <v>490</v>
      </c>
      <c r="BA2010" s="224" t="s">
        <v>233</v>
      </c>
      <c r="BB2010">
        <v>0</v>
      </c>
      <c r="BE2010" s="224" t="s">
        <v>220</v>
      </c>
      <c r="BF2010" s="224" t="s">
        <v>490</v>
      </c>
      <c r="BG2010" s="224" t="s">
        <v>233</v>
      </c>
      <c r="BH2010">
        <v>0</v>
      </c>
    </row>
    <row r="2011" spans="17:60">
      <c r="Q2011" s="224" t="s">
        <v>235</v>
      </c>
      <c r="R2011" s="224" t="s">
        <v>490</v>
      </c>
      <c r="S2011" s="224" t="s">
        <v>233</v>
      </c>
      <c r="T2011" s="224">
        <f ca="1">OFFSET('Calculations 2'!$C$45,W2011,X2011)*OFFSET($N$6,W2011,0)</f>
        <v>60.800607186051174</v>
      </c>
      <c r="V2011">
        <f t="shared" si="95"/>
        <v>916</v>
      </c>
      <c r="W2011">
        <f t="shared" si="96"/>
        <v>25</v>
      </c>
      <c r="X2011">
        <f t="shared" si="97"/>
        <v>27</v>
      </c>
      <c r="AC2011" s="224" t="s">
        <v>235</v>
      </c>
      <c r="AD2011" s="224" t="s">
        <v>490</v>
      </c>
      <c r="AE2011" s="224" t="s">
        <v>233</v>
      </c>
      <c r="AF2011">
        <f ca="1">OFFSET('Calculations 2'!$CE$45,W2011,0)*OFFSET($AA$6,X2011,0)*OFFSET($N$6,W2011,)</f>
        <v>0</v>
      </c>
      <c r="AY2011" s="224" t="s">
        <v>235</v>
      </c>
      <c r="AZ2011" s="224" t="s">
        <v>490</v>
      </c>
      <c r="BA2011" s="224" t="s">
        <v>233</v>
      </c>
      <c r="BB2011">
        <v>0</v>
      </c>
      <c r="BE2011" s="224" t="s">
        <v>235</v>
      </c>
      <c r="BF2011" s="224" t="s">
        <v>490</v>
      </c>
      <c r="BG2011" s="224" t="s">
        <v>233</v>
      </c>
      <c r="BH2011">
        <v>0</v>
      </c>
    </row>
    <row r="2012" spans="17:60">
      <c r="Q2012" s="224" t="s">
        <v>473</v>
      </c>
      <c r="R2012" s="224" t="s">
        <v>490</v>
      </c>
      <c r="S2012" s="224" t="s">
        <v>233</v>
      </c>
      <c r="T2012" s="224">
        <f ca="1">OFFSET('Calculations 2'!$C$45,W2012,X2012)*OFFSET($N$6,W2012,0)</f>
        <v>40.686485294141917</v>
      </c>
      <c r="V2012">
        <f t="shared" si="95"/>
        <v>917</v>
      </c>
      <c r="W2012">
        <f t="shared" si="96"/>
        <v>26</v>
      </c>
      <c r="X2012">
        <f t="shared" si="97"/>
        <v>27</v>
      </c>
      <c r="AC2012" s="224" t="s">
        <v>473</v>
      </c>
      <c r="AD2012" s="224" t="s">
        <v>490</v>
      </c>
      <c r="AE2012" s="224" t="s">
        <v>233</v>
      </c>
      <c r="AF2012">
        <f ca="1">OFFSET('Calculations 2'!$CE$45,W2012,0)*OFFSET($AA$6,X2012,0)*OFFSET($N$6,W2012,)</f>
        <v>0</v>
      </c>
      <c r="AY2012" s="224" t="s">
        <v>473</v>
      </c>
      <c r="AZ2012" s="224" t="s">
        <v>490</v>
      </c>
      <c r="BA2012" s="224" t="s">
        <v>233</v>
      </c>
      <c r="BB2012">
        <v>0</v>
      </c>
      <c r="BE2012" s="224" t="s">
        <v>473</v>
      </c>
      <c r="BF2012" s="224" t="s">
        <v>490</v>
      </c>
      <c r="BG2012" s="224" t="s">
        <v>233</v>
      </c>
      <c r="BH2012">
        <v>0</v>
      </c>
    </row>
    <row r="2013" spans="17:60">
      <c r="Q2013" s="224" t="s">
        <v>233</v>
      </c>
      <c r="R2013" s="224" t="s">
        <v>490</v>
      </c>
      <c r="S2013" s="224" t="s">
        <v>233</v>
      </c>
      <c r="T2013" s="224">
        <f ca="1">OFFSET('Calculations 2'!$C$45,W2013,X2013)*OFFSET($N$6,W2013,0)</f>
        <v>89.033978226982299</v>
      </c>
      <c r="V2013">
        <f t="shared" si="95"/>
        <v>918</v>
      </c>
      <c r="W2013">
        <f t="shared" si="96"/>
        <v>27</v>
      </c>
      <c r="X2013">
        <f t="shared" si="97"/>
        <v>27</v>
      </c>
      <c r="AC2013" s="224" t="s">
        <v>233</v>
      </c>
      <c r="AD2013" s="224" t="s">
        <v>490</v>
      </c>
      <c r="AE2013" s="224" t="s">
        <v>233</v>
      </c>
      <c r="AF2013">
        <f ca="1">OFFSET('Calculations 2'!$CE$45,W2013,0)*OFFSET($AA$6,X2013,0)*OFFSET($N$6,W2013,)</f>
        <v>0</v>
      </c>
      <c r="AY2013" s="224" t="s">
        <v>233</v>
      </c>
      <c r="AZ2013" s="224" t="s">
        <v>490</v>
      </c>
      <c r="BA2013" s="224" t="s">
        <v>233</v>
      </c>
      <c r="BB2013">
        <v>0</v>
      </c>
      <c r="BE2013" s="224" t="s">
        <v>233</v>
      </c>
      <c r="BF2013" s="224" t="s">
        <v>490</v>
      </c>
      <c r="BG2013" s="224" t="s">
        <v>233</v>
      </c>
      <c r="BH2013">
        <v>0</v>
      </c>
    </row>
    <row r="2014" spans="17:60">
      <c r="Q2014" s="224" t="s">
        <v>474</v>
      </c>
      <c r="R2014" s="224" t="s">
        <v>490</v>
      </c>
      <c r="S2014" s="224" t="s">
        <v>233</v>
      </c>
      <c r="T2014" s="224">
        <f ca="1">OFFSET('Calculations 2'!$C$45,W2014,X2014)*OFFSET($N$6,W2014,0)</f>
        <v>42.586420960484183</v>
      </c>
      <c r="V2014">
        <f t="shared" si="95"/>
        <v>919</v>
      </c>
      <c r="W2014">
        <f t="shared" si="96"/>
        <v>28</v>
      </c>
      <c r="X2014">
        <f t="shared" si="97"/>
        <v>27</v>
      </c>
      <c r="AC2014" s="224" t="s">
        <v>474</v>
      </c>
      <c r="AD2014" s="224" t="s">
        <v>490</v>
      </c>
      <c r="AE2014" s="224" t="s">
        <v>233</v>
      </c>
      <c r="AF2014">
        <f ca="1">OFFSET('Calculations 2'!$CE$45,W2014,0)*OFFSET($AA$6,X2014,0)*OFFSET($N$6,W2014,)</f>
        <v>0</v>
      </c>
      <c r="AY2014" s="224" t="s">
        <v>474</v>
      </c>
      <c r="AZ2014" s="224" t="s">
        <v>490</v>
      </c>
      <c r="BA2014" s="224" t="s">
        <v>233</v>
      </c>
      <c r="BB2014">
        <v>0</v>
      </c>
      <c r="BE2014" s="224" t="s">
        <v>474</v>
      </c>
      <c r="BF2014" s="224" t="s">
        <v>490</v>
      </c>
      <c r="BG2014" s="224" t="s">
        <v>233</v>
      </c>
      <c r="BH2014">
        <v>0</v>
      </c>
    </row>
    <row r="2015" spans="17:60">
      <c r="Q2015" s="224" t="s">
        <v>223</v>
      </c>
      <c r="R2015" s="224" t="s">
        <v>490</v>
      </c>
      <c r="S2015" s="224" t="s">
        <v>233</v>
      </c>
      <c r="T2015" s="224">
        <f ca="1">OFFSET('Calculations 2'!$C$45,W2015,X2015)*OFFSET($N$6,W2015,0)</f>
        <v>163.7261735464017</v>
      </c>
      <c r="V2015">
        <f t="shared" si="95"/>
        <v>920</v>
      </c>
      <c r="W2015">
        <f t="shared" si="96"/>
        <v>29</v>
      </c>
      <c r="X2015">
        <f t="shared" si="97"/>
        <v>27</v>
      </c>
      <c r="AC2015" s="224" t="s">
        <v>223</v>
      </c>
      <c r="AD2015" s="224" t="s">
        <v>490</v>
      </c>
      <c r="AE2015" s="224" t="s">
        <v>233</v>
      </c>
      <c r="AF2015">
        <f ca="1">OFFSET('Calculations 2'!$CE$45,W2015,0)*OFFSET($AA$6,X2015,0)*OFFSET($N$6,W2015,)</f>
        <v>0</v>
      </c>
      <c r="AY2015" s="224" t="s">
        <v>223</v>
      </c>
      <c r="AZ2015" s="224" t="s">
        <v>490</v>
      </c>
      <c r="BA2015" s="224" t="s">
        <v>233</v>
      </c>
      <c r="BB2015">
        <v>0</v>
      </c>
      <c r="BE2015" s="224" t="s">
        <v>223</v>
      </c>
      <c r="BF2015" s="224" t="s">
        <v>490</v>
      </c>
      <c r="BG2015" s="224" t="s">
        <v>233</v>
      </c>
      <c r="BH2015">
        <v>0</v>
      </c>
    </row>
    <row r="2016" spans="17:60">
      <c r="Q2016" s="224" t="s">
        <v>475</v>
      </c>
      <c r="R2016" s="224" t="s">
        <v>490</v>
      </c>
      <c r="S2016" s="224" t="s">
        <v>233</v>
      </c>
      <c r="T2016" s="224">
        <f ca="1">OFFSET('Calculations 2'!$C$45,W2016,X2016)*OFFSET($N$6,W2016,0)</f>
        <v>1.2147531687892692</v>
      </c>
      <c r="V2016">
        <f t="shared" si="95"/>
        <v>921</v>
      </c>
      <c r="W2016">
        <f t="shared" si="96"/>
        <v>30</v>
      </c>
      <c r="X2016">
        <f t="shared" si="97"/>
        <v>27</v>
      </c>
      <c r="AC2016" s="224" t="s">
        <v>475</v>
      </c>
      <c r="AD2016" s="224" t="s">
        <v>490</v>
      </c>
      <c r="AE2016" s="224" t="s">
        <v>233</v>
      </c>
      <c r="AF2016">
        <f ca="1">OFFSET('Calculations 2'!$CE$45,W2016,0)*OFFSET($AA$6,X2016,0)*OFFSET($N$6,W2016,)</f>
        <v>0</v>
      </c>
      <c r="AY2016" s="224" t="s">
        <v>475</v>
      </c>
      <c r="AZ2016" s="224" t="s">
        <v>490</v>
      </c>
      <c r="BA2016" s="224" t="s">
        <v>233</v>
      </c>
      <c r="BB2016">
        <v>0</v>
      </c>
      <c r="BE2016" s="224" t="s">
        <v>475</v>
      </c>
      <c r="BF2016" s="224" t="s">
        <v>490</v>
      </c>
      <c r="BG2016" s="224" t="s">
        <v>233</v>
      </c>
      <c r="BH2016">
        <v>0</v>
      </c>
    </row>
    <row r="2017" spans="17:60">
      <c r="Q2017" s="224" t="s">
        <v>476</v>
      </c>
      <c r="R2017" s="224" t="s">
        <v>490</v>
      </c>
      <c r="S2017" s="224" t="s">
        <v>233</v>
      </c>
      <c r="T2017" s="224">
        <f ca="1">OFFSET('Calculations 2'!$C$45,W2017,X2017)*OFFSET($N$6,W2017,0)</f>
        <v>74.663201403199778</v>
      </c>
      <c r="V2017">
        <f t="shared" si="95"/>
        <v>922</v>
      </c>
      <c r="W2017">
        <f t="shared" si="96"/>
        <v>31</v>
      </c>
      <c r="X2017">
        <f t="shared" si="97"/>
        <v>27</v>
      </c>
      <c r="AC2017" s="224" t="s">
        <v>476</v>
      </c>
      <c r="AD2017" s="224" t="s">
        <v>490</v>
      </c>
      <c r="AE2017" s="224" t="s">
        <v>233</v>
      </c>
      <c r="AF2017">
        <f ca="1">OFFSET('Calculations 2'!$CE$45,W2017,0)*OFFSET($AA$6,X2017,0)*OFFSET($N$6,W2017,)</f>
        <v>0</v>
      </c>
      <c r="AY2017" s="224" t="s">
        <v>476</v>
      </c>
      <c r="AZ2017" s="224" t="s">
        <v>490</v>
      </c>
      <c r="BA2017" s="224" t="s">
        <v>233</v>
      </c>
      <c r="BB2017">
        <v>0</v>
      </c>
      <c r="BE2017" s="224" t="s">
        <v>476</v>
      </c>
      <c r="BF2017" s="224" t="s">
        <v>490</v>
      </c>
      <c r="BG2017" s="224" t="s">
        <v>233</v>
      </c>
      <c r="BH2017">
        <v>0</v>
      </c>
    </row>
    <row r="2018" spans="17:60">
      <c r="Q2018" s="224" t="s">
        <v>222</v>
      </c>
      <c r="R2018" s="224" t="s">
        <v>490</v>
      </c>
      <c r="S2018" s="224" t="s">
        <v>233</v>
      </c>
      <c r="T2018" s="224">
        <f ca="1">OFFSET('Calculations 2'!$C$45,W2018,X2018)*OFFSET($N$6,W2018,0)</f>
        <v>0</v>
      </c>
      <c r="V2018">
        <f t="shared" si="95"/>
        <v>923</v>
      </c>
      <c r="W2018">
        <f t="shared" si="96"/>
        <v>32</v>
      </c>
      <c r="X2018">
        <f t="shared" si="97"/>
        <v>27</v>
      </c>
      <c r="AC2018" s="224" t="s">
        <v>222</v>
      </c>
      <c r="AD2018" s="224" t="s">
        <v>490</v>
      </c>
      <c r="AE2018" s="224" t="s">
        <v>233</v>
      </c>
      <c r="AF2018">
        <f ca="1">OFFSET('Calculations 2'!$CE$45,W2018,0)*OFFSET($AA$6,X2018,0)*OFFSET($N$6,W2018,)</f>
        <v>0</v>
      </c>
      <c r="AY2018" s="224" t="s">
        <v>222</v>
      </c>
      <c r="AZ2018" s="224" t="s">
        <v>490</v>
      </c>
      <c r="BA2018" s="224" t="s">
        <v>233</v>
      </c>
      <c r="BB2018">
        <v>0</v>
      </c>
      <c r="BE2018" s="224" t="s">
        <v>222</v>
      </c>
      <c r="BF2018" s="224" t="s">
        <v>490</v>
      </c>
      <c r="BG2018" s="224" t="s">
        <v>233</v>
      </c>
      <c r="BH2018">
        <v>0</v>
      </c>
    </row>
    <row r="2019" spans="17:60">
      <c r="Q2019" s="224" t="s">
        <v>217</v>
      </c>
      <c r="R2019" s="224" t="s">
        <v>490</v>
      </c>
      <c r="S2019" s="224" t="s">
        <v>474</v>
      </c>
      <c r="T2019" s="224">
        <f ca="1">OFFSET('Calculations 2'!$C$45,W2019,X2019)*OFFSET($N$6,W2019,0)</f>
        <v>0</v>
      </c>
      <c r="V2019">
        <f t="shared" si="95"/>
        <v>924</v>
      </c>
      <c r="W2019">
        <f t="shared" si="96"/>
        <v>0</v>
      </c>
      <c r="X2019">
        <f t="shared" si="97"/>
        <v>28</v>
      </c>
      <c r="AC2019" s="224" t="s">
        <v>217</v>
      </c>
      <c r="AD2019" s="224" t="s">
        <v>490</v>
      </c>
      <c r="AE2019" s="224" t="s">
        <v>474</v>
      </c>
      <c r="AF2019">
        <f ca="1">OFFSET('Calculations 2'!$CE$45,W2019,0)*OFFSET($AA$6,X2019,0)*OFFSET($N$6,W2019,)</f>
        <v>9.1810239041884998</v>
      </c>
      <c r="AY2019" s="224" t="s">
        <v>217</v>
      </c>
      <c r="AZ2019" s="224" t="s">
        <v>490</v>
      </c>
      <c r="BA2019" s="224" t="s">
        <v>474</v>
      </c>
      <c r="BB2019">
        <v>0</v>
      </c>
      <c r="BE2019" s="224" t="s">
        <v>217</v>
      </c>
      <c r="BF2019" s="224" t="s">
        <v>490</v>
      </c>
      <c r="BG2019" s="224" t="s">
        <v>474</v>
      </c>
      <c r="BH2019">
        <v>0</v>
      </c>
    </row>
    <row r="2020" spans="17:60">
      <c r="Q2020" s="224" t="s">
        <v>232</v>
      </c>
      <c r="R2020" s="224" t="s">
        <v>490</v>
      </c>
      <c r="S2020" s="224" t="s">
        <v>474</v>
      </c>
      <c r="T2020" s="224">
        <f ca="1">OFFSET('Calculations 2'!$C$45,W2020,X2020)*OFFSET($N$6,W2020,0)</f>
        <v>0</v>
      </c>
      <c r="V2020">
        <f t="shared" si="95"/>
        <v>925</v>
      </c>
      <c r="W2020">
        <f t="shared" si="96"/>
        <v>1</v>
      </c>
      <c r="X2020">
        <f t="shared" si="97"/>
        <v>28</v>
      </c>
      <c r="AC2020" s="224" t="s">
        <v>232</v>
      </c>
      <c r="AD2020" s="224" t="s">
        <v>490</v>
      </c>
      <c r="AE2020" s="224" t="s">
        <v>474</v>
      </c>
      <c r="AF2020">
        <f ca="1">OFFSET('Calculations 2'!$CE$45,W2020,0)*OFFSET($AA$6,X2020,0)*OFFSET($N$6,W2020,)</f>
        <v>14.484274832848198</v>
      </c>
      <c r="AY2020" s="224" t="s">
        <v>232</v>
      </c>
      <c r="AZ2020" s="224" t="s">
        <v>490</v>
      </c>
      <c r="BA2020" s="224" t="s">
        <v>474</v>
      </c>
      <c r="BB2020">
        <v>0</v>
      </c>
      <c r="BE2020" s="224" t="s">
        <v>232</v>
      </c>
      <c r="BF2020" s="224" t="s">
        <v>490</v>
      </c>
      <c r="BG2020" s="224" t="s">
        <v>474</v>
      </c>
      <c r="BH2020">
        <v>0</v>
      </c>
    </row>
    <row r="2021" spans="17:60">
      <c r="Q2021" s="224" t="s">
        <v>226</v>
      </c>
      <c r="R2021" s="224" t="s">
        <v>490</v>
      </c>
      <c r="S2021" s="224" t="s">
        <v>474</v>
      </c>
      <c r="T2021" s="224">
        <f ca="1">OFFSET('Calculations 2'!$C$45,W2021,X2021)*OFFSET($N$6,W2021,0)</f>
        <v>59.157795473678675</v>
      </c>
      <c r="V2021">
        <f t="shared" si="95"/>
        <v>926</v>
      </c>
      <c r="W2021">
        <f t="shared" si="96"/>
        <v>2</v>
      </c>
      <c r="X2021">
        <f t="shared" si="97"/>
        <v>28</v>
      </c>
      <c r="AC2021" s="224" t="s">
        <v>226</v>
      </c>
      <c r="AD2021" s="224" t="s">
        <v>490</v>
      </c>
      <c r="AE2021" s="224" t="s">
        <v>474</v>
      </c>
      <c r="AF2021">
        <f ca="1">OFFSET('Calculations 2'!$CE$45,W2021,0)*OFFSET($AA$6,X2021,0)*OFFSET($N$6,W2021,)</f>
        <v>3.6244090990265501</v>
      </c>
      <c r="AY2021" s="224" t="s">
        <v>226</v>
      </c>
      <c r="AZ2021" s="224" t="s">
        <v>490</v>
      </c>
      <c r="BA2021" s="224" t="s">
        <v>474</v>
      </c>
      <c r="BB2021">
        <v>0</v>
      </c>
      <c r="BE2021" s="224" t="s">
        <v>226</v>
      </c>
      <c r="BF2021" s="224" t="s">
        <v>490</v>
      </c>
      <c r="BG2021" s="224" t="s">
        <v>474</v>
      </c>
      <c r="BH2021">
        <v>0</v>
      </c>
    </row>
    <row r="2022" spans="17:60">
      <c r="Q2022" s="224" t="s">
        <v>243</v>
      </c>
      <c r="R2022" s="224" t="s">
        <v>490</v>
      </c>
      <c r="S2022" s="224" t="s">
        <v>474</v>
      </c>
      <c r="T2022" s="224">
        <f ca="1">OFFSET('Calculations 2'!$C$45,W2022,X2022)*OFFSET($N$6,W2022,0)</f>
        <v>340.76160511057986</v>
      </c>
      <c r="V2022">
        <f t="shared" si="95"/>
        <v>927</v>
      </c>
      <c r="W2022">
        <f t="shared" si="96"/>
        <v>3</v>
      </c>
      <c r="X2022">
        <f t="shared" si="97"/>
        <v>28</v>
      </c>
      <c r="AC2022" s="224" t="s">
        <v>243</v>
      </c>
      <c r="AD2022" s="224" t="s">
        <v>490</v>
      </c>
      <c r="AE2022" s="224" t="s">
        <v>474</v>
      </c>
      <c r="AF2022">
        <f ca="1">OFFSET('Calculations 2'!$CE$45,W2022,0)*OFFSET($AA$6,X2022,0)*OFFSET($N$6,W2022,)</f>
        <v>71.125480342386965</v>
      </c>
      <c r="AY2022" s="224" t="s">
        <v>243</v>
      </c>
      <c r="AZ2022" s="224" t="s">
        <v>490</v>
      </c>
      <c r="BA2022" s="224" t="s">
        <v>474</v>
      </c>
      <c r="BB2022">
        <v>0</v>
      </c>
      <c r="BE2022" s="224" t="s">
        <v>243</v>
      </c>
      <c r="BF2022" s="224" t="s">
        <v>490</v>
      </c>
      <c r="BG2022" s="224" t="s">
        <v>474</v>
      </c>
      <c r="BH2022">
        <v>0</v>
      </c>
    </row>
    <row r="2023" spans="17:60">
      <c r="Q2023" s="224" t="s">
        <v>228</v>
      </c>
      <c r="R2023" s="224" t="s">
        <v>490</v>
      </c>
      <c r="S2023" s="224" t="s">
        <v>474</v>
      </c>
      <c r="T2023" s="224">
        <f ca="1">OFFSET('Calculations 2'!$C$45,W2023,X2023)*OFFSET($N$6,W2023,0)</f>
        <v>188.67923713855316</v>
      </c>
      <c r="V2023">
        <f t="shared" si="95"/>
        <v>928</v>
      </c>
      <c r="W2023">
        <f t="shared" si="96"/>
        <v>4</v>
      </c>
      <c r="X2023">
        <f t="shared" si="97"/>
        <v>28</v>
      </c>
      <c r="AC2023" s="224" t="s">
        <v>228</v>
      </c>
      <c r="AD2023" s="224" t="s">
        <v>490</v>
      </c>
      <c r="AE2023" s="224" t="s">
        <v>474</v>
      </c>
      <c r="AF2023">
        <f ca="1">OFFSET('Calculations 2'!$CE$45,W2023,0)*OFFSET($AA$6,X2023,0)*OFFSET($N$6,W2023,)</f>
        <v>37.068428988672771</v>
      </c>
      <c r="AY2023" s="224" t="s">
        <v>228</v>
      </c>
      <c r="AZ2023" s="224" t="s">
        <v>490</v>
      </c>
      <c r="BA2023" s="224" t="s">
        <v>474</v>
      </c>
      <c r="BB2023">
        <v>0</v>
      </c>
      <c r="BE2023" s="224" t="s">
        <v>228</v>
      </c>
      <c r="BF2023" s="224" t="s">
        <v>490</v>
      </c>
      <c r="BG2023" s="224" t="s">
        <v>474</v>
      </c>
      <c r="BH2023">
        <v>0</v>
      </c>
    </row>
    <row r="2024" spans="17:60">
      <c r="Q2024" s="224" t="s">
        <v>246</v>
      </c>
      <c r="R2024" s="224" t="s">
        <v>490</v>
      </c>
      <c r="S2024" s="224" t="s">
        <v>474</v>
      </c>
      <c r="T2024" s="224">
        <f ca="1">OFFSET('Calculations 2'!$C$45,W2024,X2024)*OFFSET($N$6,W2024,0)</f>
        <v>0</v>
      </c>
      <c r="V2024">
        <f t="shared" si="95"/>
        <v>929</v>
      </c>
      <c r="W2024">
        <f t="shared" si="96"/>
        <v>5</v>
      </c>
      <c r="X2024">
        <f t="shared" si="97"/>
        <v>28</v>
      </c>
      <c r="AC2024" s="224" t="s">
        <v>246</v>
      </c>
      <c r="AD2024" s="224" t="s">
        <v>490</v>
      </c>
      <c r="AE2024" s="224" t="s">
        <v>474</v>
      </c>
      <c r="AF2024">
        <f ca="1">OFFSET('Calculations 2'!$CE$45,W2024,0)*OFFSET($AA$6,X2024,0)*OFFSET($N$6,W2024,)</f>
        <v>0.66349677975064081</v>
      </c>
      <c r="AY2024" s="224" t="s">
        <v>246</v>
      </c>
      <c r="AZ2024" s="224" t="s">
        <v>490</v>
      </c>
      <c r="BA2024" s="224" t="s">
        <v>474</v>
      </c>
      <c r="BB2024">
        <v>0</v>
      </c>
      <c r="BE2024" s="224" t="s">
        <v>246</v>
      </c>
      <c r="BF2024" s="224" t="s">
        <v>490</v>
      </c>
      <c r="BG2024" s="224" t="s">
        <v>474</v>
      </c>
      <c r="BH2024">
        <v>0</v>
      </c>
    </row>
    <row r="2025" spans="17:60">
      <c r="Q2025" s="224" t="s">
        <v>239</v>
      </c>
      <c r="R2025" s="224" t="s">
        <v>490</v>
      </c>
      <c r="S2025" s="224" t="s">
        <v>474</v>
      </c>
      <c r="T2025" s="224">
        <f ca="1">OFFSET('Calculations 2'!$C$45,W2025,X2025)*OFFSET($N$6,W2025,0)</f>
        <v>341.08768771978407</v>
      </c>
      <c r="V2025">
        <f t="shared" si="95"/>
        <v>930</v>
      </c>
      <c r="W2025">
        <f t="shared" si="96"/>
        <v>6</v>
      </c>
      <c r="X2025">
        <f t="shared" si="97"/>
        <v>28</v>
      </c>
      <c r="AC2025" s="224" t="s">
        <v>239</v>
      </c>
      <c r="AD2025" s="224" t="s">
        <v>490</v>
      </c>
      <c r="AE2025" s="224" t="s">
        <v>474</v>
      </c>
      <c r="AF2025">
        <f ca="1">OFFSET('Calculations 2'!$CE$45,W2025,0)*OFFSET($AA$6,X2025,0)*OFFSET($N$6,W2025,)</f>
        <v>9.5542999766372798</v>
      </c>
      <c r="AY2025" s="224" t="s">
        <v>239</v>
      </c>
      <c r="AZ2025" s="224" t="s">
        <v>490</v>
      </c>
      <c r="BA2025" s="224" t="s">
        <v>474</v>
      </c>
      <c r="BB2025">
        <v>0</v>
      </c>
      <c r="BE2025" s="224" t="s">
        <v>239</v>
      </c>
      <c r="BF2025" s="224" t="s">
        <v>490</v>
      </c>
      <c r="BG2025" s="224" t="s">
        <v>474</v>
      </c>
      <c r="BH2025">
        <v>0</v>
      </c>
    </row>
    <row r="2026" spans="17:60">
      <c r="Q2026" s="224" t="s">
        <v>466</v>
      </c>
      <c r="R2026" s="224" t="s">
        <v>490</v>
      </c>
      <c r="S2026" s="224" t="s">
        <v>474</v>
      </c>
      <c r="T2026" s="224">
        <f ca="1">OFFSET('Calculations 2'!$C$45,W2026,X2026)*OFFSET($N$6,W2026,0)</f>
        <v>525.29113889877499</v>
      </c>
      <c r="V2026">
        <f t="shared" si="95"/>
        <v>931</v>
      </c>
      <c r="W2026">
        <f t="shared" si="96"/>
        <v>7</v>
      </c>
      <c r="X2026">
        <f t="shared" si="97"/>
        <v>28</v>
      </c>
      <c r="AC2026" s="224" t="s">
        <v>466</v>
      </c>
      <c r="AD2026" s="224" t="s">
        <v>490</v>
      </c>
      <c r="AE2026" s="224" t="s">
        <v>474</v>
      </c>
      <c r="AF2026">
        <f ca="1">OFFSET('Calculations 2'!$CE$45,W2026,0)*OFFSET($AA$6,X2026,0)*OFFSET($N$6,W2026,)</f>
        <v>2.4058843397441305</v>
      </c>
      <c r="AY2026" s="224" t="s">
        <v>466</v>
      </c>
      <c r="AZ2026" s="224" t="s">
        <v>490</v>
      </c>
      <c r="BA2026" s="224" t="s">
        <v>474</v>
      </c>
      <c r="BB2026">
        <v>0</v>
      </c>
      <c r="BE2026" s="224" t="s">
        <v>466</v>
      </c>
      <c r="BF2026" s="224" t="s">
        <v>490</v>
      </c>
      <c r="BG2026" s="224" t="s">
        <v>474</v>
      </c>
      <c r="BH2026">
        <v>0</v>
      </c>
    </row>
    <row r="2027" spans="17:60">
      <c r="Q2027" s="224" t="s">
        <v>219</v>
      </c>
      <c r="R2027" s="224" t="s">
        <v>490</v>
      </c>
      <c r="S2027" s="224" t="s">
        <v>474</v>
      </c>
      <c r="T2027" s="224">
        <f ca="1">OFFSET('Calculations 2'!$C$45,W2027,X2027)*OFFSET($N$6,W2027,0)</f>
        <v>19.602280438530677</v>
      </c>
      <c r="V2027">
        <f t="shared" si="95"/>
        <v>932</v>
      </c>
      <c r="W2027">
        <f t="shared" si="96"/>
        <v>8</v>
      </c>
      <c r="X2027">
        <f t="shared" si="97"/>
        <v>28</v>
      </c>
      <c r="AC2027" s="224" t="s">
        <v>219</v>
      </c>
      <c r="AD2027" s="224" t="s">
        <v>490</v>
      </c>
      <c r="AE2027" s="224" t="s">
        <v>474</v>
      </c>
      <c r="AF2027">
        <f ca="1">OFFSET('Calculations 2'!$CE$45,W2027,0)*OFFSET($AA$6,X2027,0)*OFFSET($N$6,W2027,)</f>
        <v>32.980669790801805</v>
      </c>
      <c r="AY2027" s="224" t="s">
        <v>219</v>
      </c>
      <c r="AZ2027" s="224" t="s">
        <v>490</v>
      </c>
      <c r="BA2027" s="224" t="s">
        <v>474</v>
      </c>
      <c r="BB2027">
        <v>0</v>
      </c>
      <c r="BE2027" s="224" t="s">
        <v>219</v>
      </c>
      <c r="BF2027" s="224" t="s">
        <v>490</v>
      </c>
      <c r="BG2027" s="224" t="s">
        <v>474</v>
      </c>
      <c r="BH2027">
        <v>0</v>
      </c>
    </row>
    <row r="2028" spans="17:60">
      <c r="Q2028" s="224" t="s">
        <v>242</v>
      </c>
      <c r="R2028" s="224" t="s">
        <v>490</v>
      </c>
      <c r="S2028" s="224" t="s">
        <v>474</v>
      </c>
      <c r="T2028" s="224">
        <f ca="1">OFFSET('Calculations 2'!$C$45,W2028,X2028)*OFFSET($N$6,W2028,0)</f>
        <v>0</v>
      </c>
      <c r="V2028">
        <f t="shared" si="95"/>
        <v>933</v>
      </c>
      <c r="W2028">
        <f t="shared" si="96"/>
        <v>9</v>
      </c>
      <c r="X2028">
        <f t="shared" si="97"/>
        <v>28</v>
      </c>
      <c r="AC2028" s="224" t="s">
        <v>242</v>
      </c>
      <c r="AD2028" s="224" t="s">
        <v>490</v>
      </c>
      <c r="AE2028" s="224" t="s">
        <v>474</v>
      </c>
      <c r="AF2028">
        <f ca="1">OFFSET('Calculations 2'!$CE$45,W2028,0)*OFFSET($AA$6,X2028,0)*OFFSET($N$6,W2028,)</f>
        <v>25.258809240745414</v>
      </c>
      <c r="AY2028" s="224" t="s">
        <v>242</v>
      </c>
      <c r="AZ2028" s="224" t="s">
        <v>490</v>
      </c>
      <c r="BA2028" s="224" t="s">
        <v>474</v>
      </c>
      <c r="BB2028">
        <v>0</v>
      </c>
      <c r="BE2028" s="224" t="s">
        <v>242</v>
      </c>
      <c r="BF2028" s="224" t="s">
        <v>490</v>
      </c>
      <c r="BG2028" s="224" t="s">
        <v>474</v>
      </c>
      <c r="BH2028">
        <v>0</v>
      </c>
    </row>
    <row r="2029" spans="17:60">
      <c r="Q2029" s="224" t="s">
        <v>467</v>
      </c>
      <c r="R2029" s="224" t="s">
        <v>490</v>
      </c>
      <c r="S2029" s="224" t="s">
        <v>474</v>
      </c>
      <c r="T2029" s="224">
        <f ca="1">OFFSET('Calculations 2'!$C$45,W2029,X2029)*OFFSET($N$6,W2029,0)</f>
        <v>0</v>
      </c>
      <c r="V2029">
        <f t="shared" si="95"/>
        <v>934</v>
      </c>
      <c r="W2029">
        <f t="shared" si="96"/>
        <v>10</v>
      </c>
      <c r="X2029">
        <f t="shared" si="97"/>
        <v>28</v>
      </c>
      <c r="AC2029" s="224" t="s">
        <v>467</v>
      </c>
      <c r="AD2029" s="224" t="s">
        <v>490</v>
      </c>
      <c r="AE2029" s="224" t="s">
        <v>474</v>
      </c>
      <c r="AF2029">
        <f ca="1">OFFSET('Calculations 2'!$CE$45,W2029,0)*OFFSET($AA$6,X2029,0)*OFFSET($N$6,W2029,)</f>
        <v>9.5348810138657338</v>
      </c>
      <c r="AY2029" s="224" t="s">
        <v>467</v>
      </c>
      <c r="AZ2029" s="224" t="s">
        <v>490</v>
      </c>
      <c r="BA2029" s="224" t="s">
        <v>474</v>
      </c>
      <c r="BB2029">
        <v>0</v>
      </c>
      <c r="BE2029" s="224" t="s">
        <v>467</v>
      </c>
      <c r="BF2029" s="224" t="s">
        <v>490</v>
      </c>
      <c r="BG2029" s="224" t="s">
        <v>474</v>
      </c>
      <c r="BH2029">
        <v>0</v>
      </c>
    </row>
    <row r="2030" spans="17:60">
      <c r="Q2030" s="224" t="s">
        <v>231</v>
      </c>
      <c r="R2030" s="224" t="s">
        <v>490</v>
      </c>
      <c r="S2030" s="224" t="s">
        <v>474</v>
      </c>
      <c r="T2030" s="224">
        <f ca="1">OFFSET('Calculations 2'!$C$45,W2030,X2030)*OFFSET($N$6,W2030,0)</f>
        <v>123.28796953401179</v>
      </c>
      <c r="V2030">
        <f t="shared" si="95"/>
        <v>935</v>
      </c>
      <c r="W2030">
        <f t="shared" si="96"/>
        <v>11</v>
      </c>
      <c r="X2030">
        <f t="shared" si="97"/>
        <v>28</v>
      </c>
      <c r="AC2030" s="224" t="s">
        <v>231</v>
      </c>
      <c r="AD2030" s="224" t="s">
        <v>490</v>
      </c>
      <c r="AE2030" s="224" t="s">
        <v>474</v>
      </c>
      <c r="AF2030">
        <f ca="1">OFFSET('Calculations 2'!$CE$45,W2030,0)*OFFSET($AA$6,X2030,0)*OFFSET($N$6,W2030,)</f>
        <v>119.34943042645799</v>
      </c>
      <c r="AY2030" s="224" t="s">
        <v>231</v>
      </c>
      <c r="AZ2030" s="224" t="s">
        <v>490</v>
      </c>
      <c r="BA2030" s="224" t="s">
        <v>474</v>
      </c>
      <c r="BB2030">
        <v>0</v>
      </c>
      <c r="BE2030" s="224" t="s">
        <v>231</v>
      </c>
      <c r="BF2030" s="224" t="s">
        <v>490</v>
      </c>
      <c r="BG2030" s="224" t="s">
        <v>474</v>
      </c>
      <c r="BH2030">
        <v>0</v>
      </c>
    </row>
    <row r="2031" spans="17:60">
      <c r="Q2031" s="224" t="s">
        <v>468</v>
      </c>
      <c r="R2031" s="224" t="s">
        <v>490</v>
      </c>
      <c r="S2031" s="224" t="s">
        <v>474</v>
      </c>
      <c r="T2031" s="224">
        <f ca="1">OFFSET('Calculations 2'!$C$45,W2031,X2031)*OFFSET($N$6,W2031,0)</f>
        <v>54.028790972681811</v>
      </c>
      <c r="V2031">
        <f t="shared" si="95"/>
        <v>936</v>
      </c>
      <c r="W2031">
        <f t="shared" si="96"/>
        <v>12</v>
      </c>
      <c r="X2031">
        <f t="shared" si="97"/>
        <v>28</v>
      </c>
      <c r="AC2031" s="224" t="s">
        <v>468</v>
      </c>
      <c r="AD2031" s="224" t="s">
        <v>490</v>
      </c>
      <c r="AE2031" s="224" t="s">
        <v>474</v>
      </c>
      <c r="AF2031">
        <f ca="1">OFFSET('Calculations 2'!$CE$45,W2031,0)*OFFSET($AA$6,X2031,0)*OFFSET($N$6,W2031,)</f>
        <v>457.20044432592852</v>
      </c>
      <c r="AY2031" s="224" t="s">
        <v>468</v>
      </c>
      <c r="AZ2031" s="224" t="s">
        <v>490</v>
      </c>
      <c r="BA2031" s="224" t="s">
        <v>474</v>
      </c>
      <c r="BB2031">
        <v>0</v>
      </c>
      <c r="BE2031" s="224" t="s">
        <v>468</v>
      </c>
      <c r="BF2031" s="224" t="s">
        <v>490</v>
      </c>
      <c r="BG2031" s="224" t="s">
        <v>474</v>
      </c>
      <c r="BH2031">
        <v>0</v>
      </c>
    </row>
    <row r="2032" spans="17:60">
      <c r="Q2032" s="224" t="s">
        <v>469</v>
      </c>
      <c r="R2032" s="224" t="s">
        <v>490</v>
      </c>
      <c r="S2032" s="224" t="s">
        <v>474</v>
      </c>
      <c r="T2032" s="224">
        <f ca="1">OFFSET('Calculations 2'!$C$45,W2032,X2032)*OFFSET($N$6,W2032,0)</f>
        <v>4.1272583399960734</v>
      </c>
      <c r="V2032">
        <f t="shared" si="95"/>
        <v>937</v>
      </c>
      <c r="W2032">
        <f t="shared" si="96"/>
        <v>13</v>
      </c>
      <c r="X2032">
        <f t="shared" si="97"/>
        <v>28</v>
      </c>
      <c r="AC2032" s="224" t="s">
        <v>469</v>
      </c>
      <c r="AD2032" s="224" t="s">
        <v>490</v>
      </c>
      <c r="AE2032" s="224" t="s">
        <v>474</v>
      </c>
      <c r="AF2032">
        <f ca="1">OFFSET('Calculations 2'!$CE$45,W2032,0)*OFFSET($AA$6,X2032,0)*OFFSET($N$6,W2032,)</f>
        <v>245.13693133572548</v>
      </c>
      <c r="AY2032" s="224" t="s">
        <v>469</v>
      </c>
      <c r="AZ2032" s="224" t="s">
        <v>490</v>
      </c>
      <c r="BA2032" s="224" t="s">
        <v>474</v>
      </c>
      <c r="BB2032">
        <v>0</v>
      </c>
      <c r="BE2032" s="224" t="s">
        <v>469</v>
      </c>
      <c r="BF2032" s="224" t="s">
        <v>490</v>
      </c>
      <c r="BG2032" s="224" t="s">
        <v>474</v>
      </c>
      <c r="BH2032">
        <v>0</v>
      </c>
    </row>
    <row r="2033" spans="17:60">
      <c r="Q2033" s="224" t="s">
        <v>245</v>
      </c>
      <c r="R2033" s="224" t="s">
        <v>490</v>
      </c>
      <c r="S2033" s="224" t="s">
        <v>474</v>
      </c>
      <c r="T2033" s="224">
        <f ca="1">OFFSET('Calculations 2'!$C$45,W2033,X2033)*OFFSET($N$6,W2033,0)</f>
        <v>3.4123128355852894</v>
      </c>
      <c r="V2033">
        <f t="shared" si="95"/>
        <v>938</v>
      </c>
      <c r="W2033">
        <f t="shared" si="96"/>
        <v>14</v>
      </c>
      <c r="X2033">
        <f t="shared" si="97"/>
        <v>28</v>
      </c>
      <c r="AC2033" s="224" t="s">
        <v>245</v>
      </c>
      <c r="AD2033" s="224" t="s">
        <v>490</v>
      </c>
      <c r="AE2033" s="224" t="s">
        <v>474</v>
      </c>
      <c r="AF2033">
        <f ca="1">OFFSET('Calculations 2'!$CE$45,W2033,0)*OFFSET($AA$6,X2033,0)*OFFSET($N$6,W2033,)</f>
        <v>391.21097019571914</v>
      </c>
      <c r="AY2033" s="224" t="s">
        <v>245</v>
      </c>
      <c r="AZ2033" s="224" t="s">
        <v>490</v>
      </c>
      <c r="BA2033" s="224" t="s">
        <v>474</v>
      </c>
      <c r="BB2033">
        <v>0</v>
      </c>
      <c r="BE2033" s="224" t="s">
        <v>245</v>
      </c>
      <c r="BF2033" s="224" t="s">
        <v>490</v>
      </c>
      <c r="BG2033" s="224" t="s">
        <v>474</v>
      </c>
      <c r="BH2033">
        <v>0</v>
      </c>
    </row>
    <row r="2034" spans="17:60">
      <c r="Q2034" s="224" t="s">
        <v>470</v>
      </c>
      <c r="R2034" s="224" t="s">
        <v>490</v>
      </c>
      <c r="S2034" s="224" t="s">
        <v>474</v>
      </c>
      <c r="T2034" s="224">
        <f ca="1">OFFSET('Calculations 2'!$C$45,W2034,X2034)*OFFSET($N$6,W2034,0)</f>
        <v>216.5541917279001</v>
      </c>
      <c r="V2034">
        <f t="shared" si="95"/>
        <v>939</v>
      </c>
      <c r="W2034">
        <f t="shared" si="96"/>
        <v>15</v>
      </c>
      <c r="X2034">
        <f t="shared" si="97"/>
        <v>28</v>
      </c>
      <c r="AC2034" s="224" t="s">
        <v>470</v>
      </c>
      <c r="AD2034" s="224" t="s">
        <v>490</v>
      </c>
      <c r="AE2034" s="224" t="s">
        <v>474</v>
      </c>
      <c r="AF2034">
        <f ca="1">OFFSET('Calculations 2'!$CE$45,W2034,0)*OFFSET($AA$6,X2034,0)*OFFSET($N$6,W2034,)</f>
        <v>148.43900480225957</v>
      </c>
      <c r="AY2034" s="224" t="s">
        <v>470</v>
      </c>
      <c r="AZ2034" s="224" t="s">
        <v>490</v>
      </c>
      <c r="BA2034" s="224" t="s">
        <v>474</v>
      </c>
      <c r="BB2034">
        <v>0</v>
      </c>
      <c r="BE2034" s="224" t="s">
        <v>470</v>
      </c>
      <c r="BF2034" s="224" t="s">
        <v>490</v>
      </c>
      <c r="BG2034" s="224" t="s">
        <v>474</v>
      </c>
      <c r="BH2034">
        <v>0</v>
      </c>
    </row>
    <row r="2035" spans="17:60">
      <c r="Q2035" s="224" t="s">
        <v>471</v>
      </c>
      <c r="R2035" s="224" t="s">
        <v>490</v>
      </c>
      <c r="S2035" s="224" t="s">
        <v>474</v>
      </c>
      <c r="T2035" s="224">
        <f ca="1">OFFSET('Calculations 2'!$C$45,W2035,X2035)*OFFSET($N$6,W2035,0)</f>
        <v>18.757015851958261</v>
      </c>
      <c r="V2035">
        <f t="shared" si="95"/>
        <v>940</v>
      </c>
      <c r="W2035">
        <f t="shared" si="96"/>
        <v>16</v>
      </c>
      <c r="X2035">
        <f t="shared" si="97"/>
        <v>28</v>
      </c>
      <c r="AC2035" s="224" t="s">
        <v>471</v>
      </c>
      <c r="AD2035" s="224" t="s">
        <v>490</v>
      </c>
      <c r="AE2035" s="224" t="s">
        <v>474</v>
      </c>
      <c r="AF2035">
        <f ca="1">OFFSET('Calculations 2'!$CE$45,W2035,0)*OFFSET($AA$6,X2035,0)*OFFSET($N$6,W2035,)</f>
        <v>0</v>
      </c>
      <c r="AY2035" s="224" t="s">
        <v>471</v>
      </c>
      <c r="AZ2035" s="224" t="s">
        <v>490</v>
      </c>
      <c r="BA2035" s="224" t="s">
        <v>474</v>
      </c>
      <c r="BB2035">
        <v>0</v>
      </c>
      <c r="BE2035" s="224" t="s">
        <v>471</v>
      </c>
      <c r="BF2035" s="224" t="s">
        <v>490</v>
      </c>
      <c r="BG2035" s="224" t="s">
        <v>474</v>
      </c>
      <c r="BH2035">
        <v>0</v>
      </c>
    </row>
    <row r="2036" spans="17:60">
      <c r="Q2036" s="224" t="s">
        <v>221</v>
      </c>
      <c r="R2036" s="224" t="s">
        <v>490</v>
      </c>
      <c r="S2036" s="224" t="s">
        <v>474</v>
      </c>
      <c r="T2036" s="224">
        <f ca="1">OFFSET('Calculations 2'!$C$45,W2036,X2036)*OFFSET($N$6,W2036,0)</f>
        <v>30.193866680767162</v>
      </c>
      <c r="V2036">
        <f t="shared" si="95"/>
        <v>941</v>
      </c>
      <c r="W2036">
        <f t="shared" si="96"/>
        <v>17</v>
      </c>
      <c r="X2036">
        <f t="shared" si="97"/>
        <v>28</v>
      </c>
      <c r="AC2036" s="224" t="s">
        <v>221</v>
      </c>
      <c r="AD2036" s="224" t="s">
        <v>490</v>
      </c>
      <c r="AE2036" s="224" t="s">
        <v>474</v>
      </c>
      <c r="AF2036">
        <f ca="1">OFFSET('Calculations 2'!$CE$45,W2036,0)*OFFSET($AA$6,X2036,0)*OFFSET($N$6,W2036,)</f>
        <v>29.057789874523316</v>
      </c>
      <c r="AY2036" s="224" t="s">
        <v>221</v>
      </c>
      <c r="AZ2036" s="224" t="s">
        <v>490</v>
      </c>
      <c r="BA2036" s="224" t="s">
        <v>474</v>
      </c>
      <c r="BB2036">
        <v>0</v>
      </c>
      <c r="BE2036" s="224" t="s">
        <v>221</v>
      </c>
      <c r="BF2036" s="224" t="s">
        <v>490</v>
      </c>
      <c r="BG2036" s="224" t="s">
        <v>474</v>
      </c>
      <c r="BH2036">
        <v>0</v>
      </c>
    </row>
    <row r="2037" spans="17:60">
      <c r="Q2037" s="224" t="s">
        <v>244</v>
      </c>
      <c r="R2037" s="224" t="s">
        <v>490</v>
      </c>
      <c r="S2037" s="224" t="s">
        <v>474</v>
      </c>
      <c r="T2037" s="224">
        <f ca="1">OFFSET('Calculations 2'!$C$45,W2037,X2037)*OFFSET($N$6,W2037,0)</f>
        <v>4.7873878411632012</v>
      </c>
      <c r="V2037">
        <f t="shared" si="95"/>
        <v>942</v>
      </c>
      <c r="W2037">
        <f t="shared" si="96"/>
        <v>18</v>
      </c>
      <c r="X2037">
        <f t="shared" si="97"/>
        <v>28</v>
      </c>
      <c r="AC2037" s="224" t="s">
        <v>244</v>
      </c>
      <c r="AD2037" s="224" t="s">
        <v>490</v>
      </c>
      <c r="AE2037" s="224" t="s">
        <v>474</v>
      </c>
      <c r="AF2037">
        <f ca="1">OFFSET('Calculations 2'!$CE$45,W2037,0)*OFFSET($AA$6,X2037,0)*OFFSET($N$6,W2037,)</f>
        <v>2.5423593964148403</v>
      </c>
      <c r="AY2037" s="224" t="s">
        <v>244</v>
      </c>
      <c r="AZ2037" s="224" t="s">
        <v>490</v>
      </c>
      <c r="BA2037" s="224" t="s">
        <v>474</v>
      </c>
      <c r="BB2037">
        <v>0</v>
      </c>
      <c r="BE2037" s="224" t="s">
        <v>244</v>
      </c>
      <c r="BF2037" s="224" t="s">
        <v>490</v>
      </c>
      <c r="BG2037" s="224" t="s">
        <v>474</v>
      </c>
      <c r="BH2037">
        <v>0</v>
      </c>
    </row>
    <row r="2038" spans="17:60">
      <c r="Q2038" s="224" t="s">
        <v>472</v>
      </c>
      <c r="R2038" s="224" t="s">
        <v>490</v>
      </c>
      <c r="S2038" s="224" t="s">
        <v>474</v>
      </c>
      <c r="T2038" s="224">
        <f ca="1">OFFSET('Calculations 2'!$C$45,W2038,X2038)*OFFSET($N$6,W2038,0)</f>
        <v>54.076918576091458</v>
      </c>
      <c r="V2038">
        <f t="shared" si="95"/>
        <v>943</v>
      </c>
      <c r="W2038">
        <f t="shared" si="96"/>
        <v>19</v>
      </c>
      <c r="X2038">
        <f t="shared" si="97"/>
        <v>28</v>
      </c>
      <c r="AC2038" s="224" t="s">
        <v>472</v>
      </c>
      <c r="AD2038" s="224" t="s">
        <v>490</v>
      </c>
      <c r="AE2038" s="224" t="s">
        <v>474</v>
      </c>
      <c r="AF2038">
        <f ca="1">OFFSET('Calculations 2'!$CE$45,W2038,0)*OFFSET($AA$6,X2038,0)*OFFSET($N$6,W2038,)</f>
        <v>0</v>
      </c>
      <c r="AY2038" s="224" t="s">
        <v>472</v>
      </c>
      <c r="AZ2038" s="224" t="s">
        <v>490</v>
      </c>
      <c r="BA2038" s="224" t="s">
        <v>474</v>
      </c>
      <c r="BB2038">
        <v>0</v>
      </c>
      <c r="BE2038" s="224" t="s">
        <v>472</v>
      </c>
      <c r="BF2038" s="224" t="s">
        <v>490</v>
      </c>
      <c r="BG2038" s="224" t="s">
        <v>474</v>
      </c>
      <c r="BH2038">
        <v>0</v>
      </c>
    </row>
    <row r="2039" spans="17:60">
      <c r="Q2039" s="224" t="s">
        <v>238</v>
      </c>
      <c r="R2039" s="224" t="s">
        <v>490</v>
      </c>
      <c r="S2039" s="224" t="s">
        <v>474</v>
      </c>
      <c r="T2039" s="224">
        <f ca="1">OFFSET('Calculations 2'!$C$45,W2039,X2039)*OFFSET($N$6,W2039,0)</f>
        <v>10.751783819899218</v>
      </c>
      <c r="V2039">
        <f t="shared" si="95"/>
        <v>944</v>
      </c>
      <c r="W2039">
        <f t="shared" si="96"/>
        <v>20</v>
      </c>
      <c r="X2039">
        <f t="shared" si="97"/>
        <v>28</v>
      </c>
      <c r="AC2039" s="224" t="s">
        <v>238</v>
      </c>
      <c r="AD2039" s="224" t="s">
        <v>490</v>
      </c>
      <c r="AE2039" s="224" t="s">
        <v>474</v>
      </c>
      <c r="AF2039">
        <f ca="1">OFFSET('Calculations 2'!$CE$45,W2039,0)*OFFSET($AA$6,X2039,0)*OFFSET($N$6,W2039,)</f>
        <v>0</v>
      </c>
      <c r="AY2039" s="224" t="s">
        <v>238</v>
      </c>
      <c r="AZ2039" s="224" t="s">
        <v>490</v>
      </c>
      <c r="BA2039" s="224" t="s">
        <v>474</v>
      </c>
      <c r="BB2039">
        <v>0</v>
      </c>
      <c r="BE2039" s="224" t="s">
        <v>238</v>
      </c>
      <c r="BF2039" s="224" t="s">
        <v>490</v>
      </c>
      <c r="BG2039" s="224" t="s">
        <v>474</v>
      </c>
      <c r="BH2039">
        <v>0</v>
      </c>
    </row>
    <row r="2040" spans="17:60">
      <c r="Q2040" s="224" t="s">
        <v>247</v>
      </c>
      <c r="R2040" s="224" t="s">
        <v>490</v>
      </c>
      <c r="S2040" s="224" t="s">
        <v>474</v>
      </c>
      <c r="T2040" s="224">
        <f ca="1">OFFSET('Calculations 2'!$C$45,W2040,X2040)*OFFSET($N$6,W2040,0)</f>
        <v>0</v>
      </c>
      <c r="V2040">
        <f t="shared" si="95"/>
        <v>945</v>
      </c>
      <c r="W2040">
        <f t="shared" si="96"/>
        <v>21</v>
      </c>
      <c r="X2040">
        <f t="shared" si="97"/>
        <v>28</v>
      </c>
      <c r="AC2040" s="224" t="s">
        <v>247</v>
      </c>
      <c r="AD2040" s="224" t="s">
        <v>490</v>
      </c>
      <c r="AE2040" s="224" t="s">
        <v>474</v>
      </c>
      <c r="AF2040">
        <f ca="1">OFFSET('Calculations 2'!$CE$45,W2040,0)*OFFSET($AA$6,X2040,0)*OFFSET($N$6,W2040,)</f>
        <v>0</v>
      </c>
      <c r="AY2040" s="224" t="s">
        <v>247</v>
      </c>
      <c r="AZ2040" s="224" t="s">
        <v>490</v>
      </c>
      <c r="BA2040" s="224" t="s">
        <v>474</v>
      </c>
      <c r="BB2040">
        <v>0</v>
      </c>
      <c r="BE2040" s="224" t="s">
        <v>247</v>
      </c>
      <c r="BF2040" s="224" t="s">
        <v>490</v>
      </c>
      <c r="BG2040" s="224" t="s">
        <v>474</v>
      </c>
      <c r="BH2040">
        <v>0</v>
      </c>
    </row>
    <row r="2041" spans="17:60">
      <c r="Q2041" s="224" t="s">
        <v>218</v>
      </c>
      <c r="R2041" s="224" t="s">
        <v>490</v>
      </c>
      <c r="S2041" s="224" t="s">
        <v>474</v>
      </c>
      <c r="T2041" s="224">
        <f ca="1">OFFSET('Calculations 2'!$C$45,W2041,X2041)*OFFSET($N$6,W2041,0)</f>
        <v>4.9375287237785841</v>
      </c>
      <c r="V2041">
        <f t="shared" si="95"/>
        <v>946</v>
      </c>
      <c r="W2041">
        <f t="shared" si="96"/>
        <v>22</v>
      </c>
      <c r="X2041">
        <f t="shared" si="97"/>
        <v>28</v>
      </c>
      <c r="AC2041" s="224" t="s">
        <v>218</v>
      </c>
      <c r="AD2041" s="224" t="s">
        <v>490</v>
      </c>
      <c r="AE2041" s="224" t="s">
        <v>474</v>
      </c>
      <c r="AF2041">
        <f ca="1">OFFSET('Calculations 2'!$CE$45,W2041,0)*OFFSET($AA$6,X2041,0)*OFFSET($N$6,W2041,)</f>
        <v>0</v>
      </c>
      <c r="AY2041" s="224" t="s">
        <v>218</v>
      </c>
      <c r="AZ2041" s="224" t="s">
        <v>490</v>
      </c>
      <c r="BA2041" s="224" t="s">
        <v>474</v>
      </c>
      <c r="BB2041">
        <v>0</v>
      </c>
      <c r="BE2041" s="224" t="s">
        <v>218</v>
      </c>
      <c r="BF2041" s="224" t="s">
        <v>490</v>
      </c>
      <c r="BG2041" s="224" t="s">
        <v>474</v>
      </c>
      <c r="BH2041">
        <v>0</v>
      </c>
    </row>
    <row r="2042" spans="17:60">
      <c r="Q2042" s="224" t="s">
        <v>257</v>
      </c>
      <c r="R2042" s="224" t="s">
        <v>490</v>
      </c>
      <c r="S2042" s="224" t="s">
        <v>474</v>
      </c>
      <c r="T2042" s="224">
        <f ca="1">OFFSET('Calculations 2'!$C$45,W2042,X2042)*OFFSET($N$6,W2042,0)</f>
        <v>0</v>
      </c>
      <c r="V2042">
        <f t="shared" si="95"/>
        <v>947</v>
      </c>
      <c r="W2042">
        <f t="shared" si="96"/>
        <v>23</v>
      </c>
      <c r="X2042">
        <f t="shared" si="97"/>
        <v>28</v>
      </c>
      <c r="AC2042" s="224" t="s">
        <v>257</v>
      </c>
      <c r="AD2042" s="224" t="s">
        <v>490</v>
      </c>
      <c r="AE2042" s="224" t="s">
        <v>474</v>
      </c>
      <c r="AF2042">
        <f ca="1">OFFSET('Calculations 2'!$CE$45,W2042,0)*OFFSET($AA$6,X2042,0)*OFFSET($N$6,W2042,)</f>
        <v>0</v>
      </c>
      <c r="AY2042" s="224" t="s">
        <v>257</v>
      </c>
      <c r="AZ2042" s="224" t="s">
        <v>490</v>
      </c>
      <c r="BA2042" s="224" t="s">
        <v>474</v>
      </c>
      <c r="BB2042">
        <v>0</v>
      </c>
      <c r="BE2042" s="224" t="s">
        <v>257</v>
      </c>
      <c r="BF2042" s="224" t="s">
        <v>490</v>
      </c>
      <c r="BG2042" s="224" t="s">
        <v>474</v>
      </c>
      <c r="BH2042">
        <v>0</v>
      </c>
    </row>
    <row r="2043" spans="17:60">
      <c r="Q2043" s="224" t="s">
        <v>220</v>
      </c>
      <c r="R2043" s="224" t="s">
        <v>490</v>
      </c>
      <c r="S2043" s="224" t="s">
        <v>474</v>
      </c>
      <c r="T2043" s="224">
        <f ca="1">OFFSET('Calculations 2'!$C$45,W2043,X2043)*OFFSET($N$6,W2043,0)</f>
        <v>27.860670025284513</v>
      </c>
      <c r="V2043">
        <f t="shared" si="95"/>
        <v>948</v>
      </c>
      <c r="W2043">
        <f t="shared" si="96"/>
        <v>24</v>
      </c>
      <c r="X2043">
        <f t="shared" si="97"/>
        <v>28</v>
      </c>
      <c r="AC2043" s="224" t="s">
        <v>220</v>
      </c>
      <c r="AD2043" s="224" t="s">
        <v>490</v>
      </c>
      <c r="AE2043" s="224" t="s">
        <v>474</v>
      </c>
      <c r="AF2043">
        <f ca="1">OFFSET('Calculations 2'!$CE$45,W2043,0)*OFFSET($AA$6,X2043,0)*OFFSET($N$6,W2043,)</f>
        <v>0</v>
      </c>
      <c r="AY2043" s="224" t="s">
        <v>220</v>
      </c>
      <c r="AZ2043" s="224" t="s">
        <v>490</v>
      </c>
      <c r="BA2043" s="224" t="s">
        <v>474</v>
      </c>
      <c r="BB2043">
        <v>0</v>
      </c>
      <c r="BE2043" s="224" t="s">
        <v>220</v>
      </c>
      <c r="BF2043" s="224" t="s">
        <v>490</v>
      </c>
      <c r="BG2043" s="224" t="s">
        <v>474</v>
      </c>
      <c r="BH2043">
        <v>0</v>
      </c>
    </row>
    <row r="2044" spans="17:60">
      <c r="Q2044" s="224" t="s">
        <v>235</v>
      </c>
      <c r="R2044" s="224" t="s">
        <v>490</v>
      </c>
      <c r="S2044" s="224" t="s">
        <v>474</v>
      </c>
      <c r="T2044" s="224">
        <f ca="1">OFFSET('Calculations 2'!$C$45,W2044,X2044)*OFFSET($N$6,W2044,0)</f>
        <v>35.186651463288612</v>
      </c>
      <c r="V2044">
        <f t="shared" si="95"/>
        <v>949</v>
      </c>
      <c r="W2044">
        <f t="shared" si="96"/>
        <v>25</v>
      </c>
      <c r="X2044">
        <f t="shared" si="97"/>
        <v>28</v>
      </c>
      <c r="AC2044" s="224" t="s">
        <v>235</v>
      </c>
      <c r="AD2044" s="224" t="s">
        <v>490</v>
      </c>
      <c r="AE2044" s="224" t="s">
        <v>474</v>
      </c>
      <c r="AF2044">
        <f ca="1">OFFSET('Calculations 2'!$CE$45,W2044,0)*OFFSET($AA$6,X2044,0)*OFFSET($N$6,W2044,)</f>
        <v>0</v>
      </c>
      <c r="AY2044" s="224" t="s">
        <v>235</v>
      </c>
      <c r="AZ2044" s="224" t="s">
        <v>490</v>
      </c>
      <c r="BA2044" s="224" t="s">
        <v>474</v>
      </c>
      <c r="BB2044">
        <v>0</v>
      </c>
      <c r="BE2044" s="224" t="s">
        <v>235</v>
      </c>
      <c r="BF2044" s="224" t="s">
        <v>490</v>
      </c>
      <c r="BG2044" s="224" t="s">
        <v>474</v>
      </c>
      <c r="BH2044">
        <v>0</v>
      </c>
    </row>
    <row r="2045" spans="17:60">
      <c r="Q2045" s="224" t="s">
        <v>473</v>
      </c>
      <c r="R2045" s="224" t="s">
        <v>490</v>
      </c>
      <c r="S2045" s="224" t="s">
        <v>474</v>
      </c>
      <c r="T2045" s="224">
        <f ca="1">OFFSET('Calculations 2'!$C$45,W2045,X2045)*OFFSET($N$6,W2045,0)</f>
        <v>7.0243608196172698</v>
      </c>
      <c r="V2045">
        <f t="shared" si="95"/>
        <v>950</v>
      </c>
      <c r="W2045">
        <f t="shared" si="96"/>
        <v>26</v>
      </c>
      <c r="X2045">
        <f t="shared" si="97"/>
        <v>28</v>
      </c>
      <c r="AC2045" s="224" t="s">
        <v>473</v>
      </c>
      <c r="AD2045" s="224" t="s">
        <v>490</v>
      </c>
      <c r="AE2045" s="224" t="s">
        <v>474</v>
      </c>
      <c r="AF2045">
        <f ca="1">OFFSET('Calculations 2'!$CE$45,W2045,0)*OFFSET($AA$6,X2045,0)*OFFSET($N$6,W2045,)</f>
        <v>0</v>
      </c>
      <c r="AY2045" s="224" t="s">
        <v>473</v>
      </c>
      <c r="AZ2045" s="224" t="s">
        <v>490</v>
      </c>
      <c r="BA2045" s="224" t="s">
        <v>474</v>
      </c>
      <c r="BB2045">
        <v>0</v>
      </c>
      <c r="BE2045" s="224" t="s">
        <v>473</v>
      </c>
      <c r="BF2045" s="224" t="s">
        <v>490</v>
      </c>
      <c r="BG2045" s="224" t="s">
        <v>474</v>
      </c>
      <c r="BH2045">
        <v>0</v>
      </c>
    </row>
    <row r="2046" spans="17:60">
      <c r="Q2046" s="224" t="s">
        <v>233</v>
      </c>
      <c r="R2046" s="224" t="s">
        <v>490</v>
      </c>
      <c r="S2046" s="224" t="s">
        <v>474</v>
      </c>
      <c r="T2046" s="224">
        <f ca="1">OFFSET('Calculations 2'!$C$45,W2046,X2046)*OFFSET($N$6,W2046,0)</f>
        <v>4.5223104344069451</v>
      </c>
      <c r="V2046">
        <f t="shared" si="95"/>
        <v>951</v>
      </c>
      <c r="W2046">
        <f t="shared" si="96"/>
        <v>27</v>
      </c>
      <c r="X2046">
        <f t="shared" si="97"/>
        <v>28</v>
      </c>
      <c r="AC2046" s="224" t="s">
        <v>233</v>
      </c>
      <c r="AD2046" s="224" t="s">
        <v>490</v>
      </c>
      <c r="AE2046" s="224" t="s">
        <v>474</v>
      </c>
      <c r="AF2046">
        <f ca="1">OFFSET('Calculations 2'!$CE$45,W2046,0)*OFFSET($AA$6,X2046,0)*OFFSET($N$6,W2046,)</f>
        <v>0</v>
      </c>
      <c r="AY2046" s="224" t="s">
        <v>233</v>
      </c>
      <c r="AZ2046" s="224" t="s">
        <v>490</v>
      </c>
      <c r="BA2046" s="224" t="s">
        <v>474</v>
      </c>
      <c r="BB2046">
        <v>0</v>
      </c>
      <c r="BE2046" s="224" t="s">
        <v>233</v>
      </c>
      <c r="BF2046" s="224" t="s">
        <v>490</v>
      </c>
      <c r="BG2046" s="224" t="s">
        <v>474</v>
      </c>
      <c r="BH2046">
        <v>0</v>
      </c>
    </row>
    <row r="2047" spans="17:60">
      <c r="Q2047" s="224" t="s">
        <v>474</v>
      </c>
      <c r="R2047" s="224" t="s">
        <v>490</v>
      </c>
      <c r="S2047" s="224" t="s">
        <v>474</v>
      </c>
      <c r="T2047" s="224">
        <f ca="1">OFFSET('Calculations 2'!$C$45,W2047,X2047)*OFFSET($N$6,W2047,0)</f>
        <v>11.21248127567447</v>
      </c>
      <c r="V2047">
        <f t="shared" si="95"/>
        <v>952</v>
      </c>
      <c r="W2047">
        <f t="shared" si="96"/>
        <v>28</v>
      </c>
      <c r="X2047">
        <f t="shared" si="97"/>
        <v>28</v>
      </c>
      <c r="AC2047" s="224" t="s">
        <v>474</v>
      </c>
      <c r="AD2047" s="224" t="s">
        <v>490</v>
      </c>
      <c r="AE2047" s="224" t="s">
        <v>474</v>
      </c>
      <c r="AF2047">
        <f ca="1">OFFSET('Calculations 2'!$CE$45,W2047,0)*OFFSET($AA$6,X2047,0)*OFFSET($N$6,W2047,)</f>
        <v>0</v>
      </c>
      <c r="AY2047" s="224" t="s">
        <v>474</v>
      </c>
      <c r="AZ2047" s="224" t="s">
        <v>490</v>
      </c>
      <c r="BA2047" s="224" t="s">
        <v>474</v>
      </c>
      <c r="BB2047">
        <v>0</v>
      </c>
      <c r="BE2047" s="224" t="s">
        <v>474</v>
      </c>
      <c r="BF2047" s="224" t="s">
        <v>490</v>
      </c>
      <c r="BG2047" s="224" t="s">
        <v>474</v>
      </c>
      <c r="BH2047">
        <v>0</v>
      </c>
    </row>
    <row r="2048" spans="17:60">
      <c r="Q2048" s="224" t="s">
        <v>223</v>
      </c>
      <c r="R2048" s="224" t="s">
        <v>490</v>
      </c>
      <c r="S2048" s="224" t="s">
        <v>474</v>
      </c>
      <c r="T2048" s="224">
        <f ca="1">OFFSET('Calculations 2'!$C$45,W2048,X2048)*OFFSET($N$6,W2048,0)</f>
        <v>72.094883549256878</v>
      </c>
      <c r="V2048">
        <f t="shared" si="95"/>
        <v>953</v>
      </c>
      <c r="W2048">
        <f t="shared" si="96"/>
        <v>29</v>
      </c>
      <c r="X2048">
        <f t="shared" si="97"/>
        <v>28</v>
      </c>
      <c r="AC2048" s="224" t="s">
        <v>223</v>
      </c>
      <c r="AD2048" s="224" t="s">
        <v>490</v>
      </c>
      <c r="AE2048" s="224" t="s">
        <v>474</v>
      </c>
      <c r="AF2048">
        <f ca="1">OFFSET('Calculations 2'!$CE$45,W2048,0)*OFFSET($AA$6,X2048,0)*OFFSET($N$6,W2048,)</f>
        <v>0</v>
      </c>
      <c r="AY2048" s="224" t="s">
        <v>223</v>
      </c>
      <c r="AZ2048" s="224" t="s">
        <v>490</v>
      </c>
      <c r="BA2048" s="224" t="s">
        <v>474</v>
      </c>
      <c r="BB2048">
        <v>0</v>
      </c>
      <c r="BE2048" s="224" t="s">
        <v>223</v>
      </c>
      <c r="BF2048" s="224" t="s">
        <v>490</v>
      </c>
      <c r="BG2048" s="224" t="s">
        <v>474</v>
      </c>
      <c r="BH2048">
        <v>0</v>
      </c>
    </row>
    <row r="2049" spans="17:60">
      <c r="Q2049" s="224" t="s">
        <v>475</v>
      </c>
      <c r="R2049" s="224" t="s">
        <v>490</v>
      </c>
      <c r="S2049" s="224" t="s">
        <v>474</v>
      </c>
      <c r="T2049" s="224">
        <f ca="1">OFFSET('Calculations 2'!$C$45,W2049,X2049)*OFFSET($N$6,W2049,0)</f>
        <v>0</v>
      </c>
      <c r="V2049">
        <f t="shared" si="95"/>
        <v>954</v>
      </c>
      <c r="W2049">
        <f t="shared" si="96"/>
        <v>30</v>
      </c>
      <c r="X2049">
        <f t="shared" si="97"/>
        <v>28</v>
      </c>
      <c r="AC2049" s="224" t="s">
        <v>475</v>
      </c>
      <c r="AD2049" s="224" t="s">
        <v>490</v>
      </c>
      <c r="AE2049" s="224" t="s">
        <v>474</v>
      </c>
      <c r="AF2049">
        <f ca="1">OFFSET('Calculations 2'!$CE$45,W2049,0)*OFFSET($AA$6,X2049,0)*OFFSET($N$6,W2049,)</f>
        <v>0</v>
      </c>
      <c r="AY2049" s="224" t="s">
        <v>475</v>
      </c>
      <c r="AZ2049" s="224" t="s">
        <v>490</v>
      </c>
      <c r="BA2049" s="224" t="s">
        <v>474</v>
      </c>
      <c r="BB2049">
        <v>0</v>
      </c>
      <c r="BE2049" s="224" t="s">
        <v>475</v>
      </c>
      <c r="BF2049" s="224" t="s">
        <v>490</v>
      </c>
      <c r="BG2049" s="224" t="s">
        <v>474</v>
      </c>
      <c r="BH2049">
        <v>0</v>
      </c>
    </row>
    <row r="2050" spans="17:60">
      <c r="Q2050" s="224" t="s">
        <v>476</v>
      </c>
      <c r="R2050" s="224" t="s">
        <v>490</v>
      </c>
      <c r="S2050" s="224" t="s">
        <v>474</v>
      </c>
      <c r="T2050" s="224">
        <f ca="1">OFFSET('Calculations 2'!$C$45,W2050,X2050)*OFFSET($N$6,W2050,0)</f>
        <v>2.3340566174955533</v>
      </c>
      <c r="V2050">
        <f t="shared" si="95"/>
        <v>955</v>
      </c>
      <c r="W2050">
        <f t="shared" si="96"/>
        <v>31</v>
      </c>
      <c r="X2050">
        <f t="shared" si="97"/>
        <v>28</v>
      </c>
      <c r="AC2050" s="224" t="s">
        <v>476</v>
      </c>
      <c r="AD2050" s="224" t="s">
        <v>490</v>
      </c>
      <c r="AE2050" s="224" t="s">
        <v>474</v>
      </c>
      <c r="AF2050">
        <f ca="1">OFFSET('Calculations 2'!$CE$45,W2050,0)*OFFSET($AA$6,X2050,0)*OFFSET($N$6,W2050,)</f>
        <v>0</v>
      </c>
      <c r="AY2050" s="224" t="s">
        <v>476</v>
      </c>
      <c r="AZ2050" s="224" t="s">
        <v>490</v>
      </c>
      <c r="BA2050" s="224" t="s">
        <v>474</v>
      </c>
      <c r="BB2050">
        <v>0</v>
      </c>
      <c r="BE2050" s="224" t="s">
        <v>476</v>
      </c>
      <c r="BF2050" s="224" t="s">
        <v>490</v>
      </c>
      <c r="BG2050" s="224" t="s">
        <v>474</v>
      </c>
      <c r="BH2050">
        <v>0</v>
      </c>
    </row>
    <row r="2051" spans="17:60">
      <c r="Q2051" s="224" t="s">
        <v>222</v>
      </c>
      <c r="R2051" s="224" t="s">
        <v>490</v>
      </c>
      <c r="S2051" s="224" t="s">
        <v>474</v>
      </c>
      <c r="T2051" s="224">
        <f ca="1">OFFSET('Calculations 2'!$C$45,W2051,X2051)*OFFSET($N$6,W2051,0)</f>
        <v>0</v>
      </c>
      <c r="V2051">
        <f t="shared" si="95"/>
        <v>956</v>
      </c>
      <c r="W2051">
        <f t="shared" si="96"/>
        <v>32</v>
      </c>
      <c r="X2051">
        <f t="shared" si="97"/>
        <v>28</v>
      </c>
      <c r="AC2051" s="224" t="s">
        <v>222</v>
      </c>
      <c r="AD2051" s="224" t="s">
        <v>490</v>
      </c>
      <c r="AE2051" s="224" t="s">
        <v>474</v>
      </c>
      <c r="AF2051">
        <f ca="1">OFFSET('Calculations 2'!$CE$45,W2051,0)*OFFSET($AA$6,X2051,0)*OFFSET($N$6,W2051,)</f>
        <v>0</v>
      </c>
      <c r="AY2051" s="224" t="s">
        <v>222</v>
      </c>
      <c r="AZ2051" s="224" t="s">
        <v>490</v>
      </c>
      <c r="BA2051" s="224" t="s">
        <v>474</v>
      </c>
      <c r="BB2051">
        <v>0</v>
      </c>
      <c r="BE2051" s="224" t="s">
        <v>222</v>
      </c>
      <c r="BF2051" s="224" t="s">
        <v>490</v>
      </c>
      <c r="BG2051" s="224" t="s">
        <v>474</v>
      </c>
      <c r="BH2051">
        <v>0</v>
      </c>
    </row>
    <row r="2052" spans="17:60">
      <c r="Q2052" s="224" t="s">
        <v>217</v>
      </c>
      <c r="R2052" s="224" t="s">
        <v>490</v>
      </c>
      <c r="S2052" s="224" t="s">
        <v>223</v>
      </c>
      <c r="T2052" s="224">
        <f ca="1">OFFSET('Calculations 2'!$C$45,W2052,X2052)*OFFSET($N$6,W2052,0)</f>
        <v>0</v>
      </c>
      <c r="V2052">
        <f t="shared" si="95"/>
        <v>957</v>
      </c>
      <c r="W2052">
        <f t="shared" si="96"/>
        <v>0</v>
      </c>
      <c r="X2052">
        <f t="shared" si="97"/>
        <v>29</v>
      </c>
      <c r="AC2052" s="224" t="s">
        <v>217</v>
      </c>
      <c r="AD2052" s="224" t="s">
        <v>490</v>
      </c>
      <c r="AE2052" s="224" t="s">
        <v>223</v>
      </c>
      <c r="AF2052">
        <f ca="1">OFFSET('Calculations 2'!$CE$45,W2052,0)*OFFSET($AA$6,X2052,0)*OFFSET($N$6,W2052,)</f>
        <v>2.1741419597669491</v>
      </c>
      <c r="AY2052" s="224" t="s">
        <v>217</v>
      </c>
      <c r="AZ2052" s="224" t="s">
        <v>490</v>
      </c>
      <c r="BA2052" s="224" t="s">
        <v>223</v>
      </c>
      <c r="BB2052">
        <v>0</v>
      </c>
      <c r="BE2052" s="224" t="s">
        <v>217</v>
      </c>
      <c r="BF2052" s="224" t="s">
        <v>490</v>
      </c>
      <c r="BG2052" s="224" t="s">
        <v>223</v>
      </c>
      <c r="BH2052">
        <v>0</v>
      </c>
    </row>
    <row r="2053" spans="17:60">
      <c r="Q2053" s="224" t="s">
        <v>232</v>
      </c>
      <c r="R2053" s="224" t="s">
        <v>490</v>
      </c>
      <c r="S2053" s="224" t="s">
        <v>223</v>
      </c>
      <c r="T2053" s="224">
        <f ca="1">OFFSET('Calculations 2'!$C$45,W2053,X2053)*OFFSET($N$6,W2053,0)</f>
        <v>0</v>
      </c>
      <c r="V2053">
        <f t="shared" si="95"/>
        <v>958</v>
      </c>
      <c r="W2053">
        <f t="shared" si="96"/>
        <v>1</v>
      </c>
      <c r="X2053">
        <f t="shared" si="97"/>
        <v>29</v>
      </c>
      <c r="AC2053" s="224" t="s">
        <v>232</v>
      </c>
      <c r="AD2053" s="224" t="s">
        <v>490</v>
      </c>
      <c r="AE2053" s="224" t="s">
        <v>223</v>
      </c>
      <c r="AF2053">
        <f ca="1">OFFSET('Calculations 2'!$CE$45,W2053,0)*OFFSET($AA$6,X2053,0)*OFFSET($N$6,W2053,)</f>
        <v>3.429995390440618</v>
      </c>
      <c r="AY2053" s="224" t="s">
        <v>232</v>
      </c>
      <c r="AZ2053" s="224" t="s">
        <v>490</v>
      </c>
      <c r="BA2053" s="224" t="s">
        <v>223</v>
      </c>
      <c r="BB2053">
        <v>0</v>
      </c>
      <c r="BE2053" s="224" t="s">
        <v>232</v>
      </c>
      <c r="BF2053" s="224" t="s">
        <v>490</v>
      </c>
      <c r="BG2053" s="224" t="s">
        <v>223</v>
      </c>
      <c r="BH2053">
        <v>0</v>
      </c>
    </row>
    <row r="2054" spans="17:60">
      <c r="Q2054" s="224" t="s">
        <v>226</v>
      </c>
      <c r="R2054" s="224" t="s">
        <v>490</v>
      </c>
      <c r="S2054" s="224" t="s">
        <v>223</v>
      </c>
      <c r="T2054" s="224">
        <f ca="1">OFFSET('Calculations 2'!$C$45,W2054,X2054)*OFFSET($N$6,W2054,0)</f>
        <v>3.6516195675314473</v>
      </c>
      <c r="V2054">
        <f t="shared" si="95"/>
        <v>959</v>
      </c>
      <c r="W2054">
        <f t="shared" si="96"/>
        <v>2</v>
      </c>
      <c r="X2054">
        <f t="shared" si="97"/>
        <v>29</v>
      </c>
      <c r="AC2054" s="224" t="s">
        <v>226</v>
      </c>
      <c r="AD2054" s="224" t="s">
        <v>490</v>
      </c>
      <c r="AE2054" s="224" t="s">
        <v>223</v>
      </c>
      <c r="AF2054">
        <f ca="1">OFFSET('Calculations 2'!$CE$45,W2054,0)*OFFSET($AA$6,X2054,0)*OFFSET($N$6,W2054,)</f>
        <v>0.85828987962440639</v>
      </c>
      <c r="AY2054" s="224" t="s">
        <v>226</v>
      </c>
      <c r="AZ2054" s="224" t="s">
        <v>490</v>
      </c>
      <c r="BA2054" s="224" t="s">
        <v>223</v>
      </c>
      <c r="BB2054">
        <v>0</v>
      </c>
      <c r="BE2054" s="224" t="s">
        <v>226</v>
      </c>
      <c r="BF2054" s="224" t="s">
        <v>490</v>
      </c>
      <c r="BG2054" s="224" t="s">
        <v>223</v>
      </c>
      <c r="BH2054">
        <v>0</v>
      </c>
    </row>
    <row r="2055" spans="17:60">
      <c r="Q2055" s="224" t="s">
        <v>243</v>
      </c>
      <c r="R2055" s="224" t="s">
        <v>490</v>
      </c>
      <c r="S2055" s="224" t="s">
        <v>223</v>
      </c>
      <c r="T2055" s="224">
        <f ca="1">OFFSET('Calculations 2'!$C$45,W2055,X2055)*OFFSET($N$6,W2055,0)</f>
        <v>12.750796737350024</v>
      </c>
      <c r="V2055">
        <f t="shared" si="95"/>
        <v>960</v>
      </c>
      <c r="W2055">
        <f t="shared" si="96"/>
        <v>3</v>
      </c>
      <c r="X2055">
        <f t="shared" si="97"/>
        <v>29</v>
      </c>
      <c r="AC2055" s="224" t="s">
        <v>243</v>
      </c>
      <c r="AD2055" s="224" t="s">
        <v>490</v>
      </c>
      <c r="AE2055" s="224" t="s">
        <v>223</v>
      </c>
      <c r="AF2055">
        <f ca="1">OFFSET('Calculations 2'!$CE$45,W2055,0)*OFFSET($AA$6,X2055,0)*OFFSET($N$6,W2055,)</f>
        <v>16.843098638531536</v>
      </c>
      <c r="AY2055" s="224" t="s">
        <v>243</v>
      </c>
      <c r="AZ2055" s="224" t="s">
        <v>490</v>
      </c>
      <c r="BA2055" s="224" t="s">
        <v>223</v>
      </c>
      <c r="BB2055">
        <v>0</v>
      </c>
      <c r="BE2055" s="224" t="s">
        <v>243</v>
      </c>
      <c r="BF2055" s="224" t="s">
        <v>490</v>
      </c>
      <c r="BG2055" s="224" t="s">
        <v>223</v>
      </c>
      <c r="BH2055">
        <v>0</v>
      </c>
    </row>
    <row r="2056" spans="17:60">
      <c r="Q2056" s="224" t="s">
        <v>228</v>
      </c>
      <c r="R2056" s="224" t="s">
        <v>490</v>
      </c>
      <c r="S2056" s="224" t="s">
        <v>223</v>
      </c>
      <c r="T2056" s="224">
        <f ca="1">OFFSET('Calculations 2'!$C$45,W2056,X2056)*OFFSET($N$6,W2056,0)</f>
        <v>0</v>
      </c>
      <c r="V2056">
        <f t="shared" si="95"/>
        <v>961</v>
      </c>
      <c r="W2056">
        <f t="shared" si="96"/>
        <v>4</v>
      </c>
      <c r="X2056">
        <f t="shared" si="97"/>
        <v>29</v>
      </c>
      <c r="AC2056" s="224" t="s">
        <v>228</v>
      </c>
      <c r="AD2056" s="224" t="s">
        <v>490</v>
      </c>
      <c r="AE2056" s="224" t="s">
        <v>223</v>
      </c>
      <c r="AF2056">
        <f ca="1">OFFSET('Calculations 2'!$CE$45,W2056,0)*OFFSET($AA$6,X2056,0)*OFFSET($N$6,W2056,)</f>
        <v>8.7781088131300802</v>
      </c>
      <c r="AY2056" s="224" t="s">
        <v>228</v>
      </c>
      <c r="AZ2056" s="224" t="s">
        <v>490</v>
      </c>
      <c r="BA2056" s="224" t="s">
        <v>223</v>
      </c>
      <c r="BB2056">
        <v>0</v>
      </c>
      <c r="BE2056" s="224" t="s">
        <v>228</v>
      </c>
      <c r="BF2056" s="224" t="s">
        <v>490</v>
      </c>
      <c r="BG2056" s="224" t="s">
        <v>223</v>
      </c>
      <c r="BH2056">
        <v>0</v>
      </c>
    </row>
    <row r="2057" spans="17:60">
      <c r="Q2057" s="224" t="s">
        <v>246</v>
      </c>
      <c r="R2057" s="224" t="s">
        <v>490</v>
      </c>
      <c r="S2057" s="224" t="s">
        <v>223</v>
      </c>
      <c r="T2057" s="224">
        <f ca="1">OFFSET('Calculations 2'!$C$45,W2057,X2057)*OFFSET($N$6,W2057,0)</f>
        <v>0</v>
      </c>
      <c r="V2057">
        <f t="shared" ref="V2057:V2120" si="98">V2056+1</f>
        <v>962</v>
      </c>
      <c r="W2057">
        <f t="shared" ref="W2057:W2120" si="99">MOD(V2057,$V$3)</f>
        <v>5</v>
      </c>
      <c r="X2057">
        <f t="shared" ref="X2057:X2120" si="100">FLOOR(V2057/$V$3,1)</f>
        <v>29</v>
      </c>
      <c r="AC2057" s="224" t="s">
        <v>246</v>
      </c>
      <c r="AD2057" s="224" t="s">
        <v>490</v>
      </c>
      <c r="AE2057" s="224" t="s">
        <v>223</v>
      </c>
      <c r="AF2057">
        <f ca="1">OFFSET('Calculations 2'!$CE$45,W2057,0)*OFFSET($AA$6,X2057,0)*OFFSET($N$6,W2057,)</f>
        <v>0.1571214936460425</v>
      </c>
      <c r="AY2057" s="224" t="s">
        <v>246</v>
      </c>
      <c r="AZ2057" s="224" t="s">
        <v>490</v>
      </c>
      <c r="BA2057" s="224" t="s">
        <v>223</v>
      </c>
      <c r="BB2057">
        <v>0</v>
      </c>
      <c r="BE2057" s="224" t="s">
        <v>246</v>
      </c>
      <c r="BF2057" s="224" t="s">
        <v>490</v>
      </c>
      <c r="BG2057" s="224" t="s">
        <v>223</v>
      </c>
      <c r="BH2057">
        <v>0</v>
      </c>
    </row>
    <row r="2058" spans="17:60">
      <c r="Q2058" s="224" t="s">
        <v>239</v>
      </c>
      <c r="R2058" s="224" t="s">
        <v>490</v>
      </c>
      <c r="S2058" s="224" t="s">
        <v>223</v>
      </c>
      <c r="T2058" s="224">
        <f ca="1">OFFSET('Calculations 2'!$C$45,W2058,X2058)*OFFSET($N$6,W2058,0)</f>
        <v>400.12345953783318</v>
      </c>
      <c r="V2058">
        <f t="shared" si="98"/>
        <v>963</v>
      </c>
      <c r="W2058">
        <f t="shared" si="99"/>
        <v>6</v>
      </c>
      <c r="X2058">
        <f t="shared" si="100"/>
        <v>29</v>
      </c>
      <c r="AC2058" s="224" t="s">
        <v>239</v>
      </c>
      <c r="AD2058" s="224" t="s">
        <v>490</v>
      </c>
      <c r="AE2058" s="224" t="s">
        <v>223</v>
      </c>
      <c r="AF2058">
        <f ca="1">OFFSET('Calculations 2'!$CE$45,W2058,0)*OFFSET($AA$6,X2058,0)*OFFSET($N$6,W2058,)</f>
        <v>2.2625368033222149</v>
      </c>
      <c r="AY2058" s="224" t="s">
        <v>239</v>
      </c>
      <c r="AZ2058" s="224" t="s">
        <v>490</v>
      </c>
      <c r="BA2058" s="224" t="s">
        <v>223</v>
      </c>
      <c r="BB2058">
        <v>0</v>
      </c>
      <c r="BE2058" s="224" t="s">
        <v>239</v>
      </c>
      <c r="BF2058" s="224" t="s">
        <v>490</v>
      </c>
      <c r="BG2058" s="224" t="s">
        <v>223</v>
      </c>
      <c r="BH2058">
        <v>0</v>
      </c>
    </row>
    <row r="2059" spans="17:60">
      <c r="Q2059" s="224" t="s">
        <v>466</v>
      </c>
      <c r="R2059" s="224" t="s">
        <v>490</v>
      </c>
      <c r="S2059" s="224" t="s">
        <v>223</v>
      </c>
      <c r="T2059" s="224">
        <f ca="1">OFFSET('Calculations 2'!$C$45,W2059,X2059)*OFFSET($N$6,W2059,0)</f>
        <v>38.528727790386725</v>
      </c>
      <c r="V2059">
        <f t="shared" si="98"/>
        <v>964</v>
      </c>
      <c r="W2059">
        <f t="shared" si="99"/>
        <v>7</v>
      </c>
      <c r="X2059">
        <f t="shared" si="100"/>
        <v>29</v>
      </c>
      <c r="AC2059" s="224" t="s">
        <v>466</v>
      </c>
      <c r="AD2059" s="224" t="s">
        <v>490</v>
      </c>
      <c r="AE2059" s="224" t="s">
        <v>223</v>
      </c>
      <c r="AF2059">
        <f ca="1">OFFSET('Calculations 2'!$CE$45,W2059,0)*OFFSET($AA$6,X2059,0)*OFFSET($N$6,W2059,)</f>
        <v>0.569733196206753</v>
      </c>
      <c r="AY2059" s="224" t="s">
        <v>466</v>
      </c>
      <c r="AZ2059" s="224" t="s">
        <v>490</v>
      </c>
      <c r="BA2059" s="224" t="s">
        <v>223</v>
      </c>
      <c r="BB2059">
        <v>0</v>
      </c>
      <c r="BE2059" s="224" t="s">
        <v>466</v>
      </c>
      <c r="BF2059" s="224" t="s">
        <v>490</v>
      </c>
      <c r="BG2059" s="224" t="s">
        <v>223</v>
      </c>
      <c r="BH2059">
        <v>0</v>
      </c>
    </row>
    <row r="2060" spans="17:60">
      <c r="Q2060" s="224" t="s">
        <v>219</v>
      </c>
      <c r="R2060" s="224" t="s">
        <v>490</v>
      </c>
      <c r="S2060" s="224" t="s">
        <v>223</v>
      </c>
      <c r="T2060" s="224">
        <f ca="1">OFFSET('Calculations 2'!$C$45,W2060,X2060)*OFFSET($N$6,W2060,0)</f>
        <v>2.8008429804219572</v>
      </c>
      <c r="V2060">
        <f t="shared" si="98"/>
        <v>965</v>
      </c>
      <c r="W2060">
        <f t="shared" si="99"/>
        <v>8</v>
      </c>
      <c r="X2060">
        <f t="shared" si="100"/>
        <v>29</v>
      </c>
      <c r="AC2060" s="224" t="s">
        <v>219</v>
      </c>
      <c r="AD2060" s="224" t="s">
        <v>490</v>
      </c>
      <c r="AE2060" s="224" t="s">
        <v>223</v>
      </c>
      <c r="AF2060">
        <f ca="1">OFFSET('Calculations 2'!$CE$45,W2060,0)*OFFSET($AA$6,X2060,0)*OFFSET($N$6,W2060,)</f>
        <v>7.810093819784945</v>
      </c>
      <c r="AY2060" s="224" t="s">
        <v>219</v>
      </c>
      <c r="AZ2060" s="224" t="s">
        <v>490</v>
      </c>
      <c r="BA2060" s="224" t="s">
        <v>223</v>
      </c>
      <c r="BB2060">
        <v>0</v>
      </c>
      <c r="BE2060" s="224" t="s">
        <v>219</v>
      </c>
      <c r="BF2060" s="224" t="s">
        <v>490</v>
      </c>
      <c r="BG2060" s="224" t="s">
        <v>223</v>
      </c>
      <c r="BH2060">
        <v>0</v>
      </c>
    </row>
    <row r="2061" spans="17:60">
      <c r="Q2061" s="224" t="s">
        <v>242</v>
      </c>
      <c r="R2061" s="224" t="s">
        <v>490</v>
      </c>
      <c r="S2061" s="224" t="s">
        <v>223</v>
      </c>
      <c r="T2061" s="224">
        <f ca="1">OFFSET('Calculations 2'!$C$45,W2061,X2061)*OFFSET($N$6,W2061,0)</f>
        <v>0</v>
      </c>
      <c r="V2061">
        <f t="shared" si="98"/>
        <v>966</v>
      </c>
      <c r="W2061">
        <f t="shared" si="99"/>
        <v>9</v>
      </c>
      <c r="X2061">
        <f t="shared" si="100"/>
        <v>29</v>
      </c>
      <c r="AC2061" s="224" t="s">
        <v>242</v>
      </c>
      <c r="AD2061" s="224" t="s">
        <v>490</v>
      </c>
      <c r="AE2061" s="224" t="s">
        <v>223</v>
      </c>
      <c r="AF2061">
        <f ca="1">OFFSET('Calculations 2'!$CE$45,W2061,0)*OFFSET($AA$6,X2061,0)*OFFSET($N$6,W2061,)</f>
        <v>5.9814937415640834</v>
      </c>
      <c r="AY2061" s="224" t="s">
        <v>242</v>
      </c>
      <c r="AZ2061" s="224" t="s">
        <v>490</v>
      </c>
      <c r="BA2061" s="224" t="s">
        <v>223</v>
      </c>
      <c r="BB2061">
        <v>0</v>
      </c>
      <c r="BE2061" s="224" t="s">
        <v>242</v>
      </c>
      <c r="BF2061" s="224" t="s">
        <v>490</v>
      </c>
      <c r="BG2061" s="224" t="s">
        <v>223</v>
      </c>
      <c r="BH2061">
        <v>0</v>
      </c>
    </row>
    <row r="2062" spans="17:60">
      <c r="Q2062" s="224" t="s">
        <v>467</v>
      </c>
      <c r="R2062" s="224" t="s">
        <v>490</v>
      </c>
      <c r="S2062" s="224" t="s">
        <v>223</v>
      </c>
      <c r="T2062" s="224">
        <f ca="1">OFFSET('Calculations 2'!$C$45,W2062,X2062)*OFFSET($N$6,W2062,0)</f>
        <v>5.4952549171472874E-2</v>
      </c>
      <c r="V2062">
        <f t="shared" si="98"/>
        <v>967</v>
      </c>
      <c r="W2062">
        <f t="shared" si="99"/>
        <v>10</v>
      </c>
      <c r="X2062">
        <f t="shared" si="100"/>
        <v>29</v>
      </c>
      <c r="AC2062" s="224" t="s">
        <v>467</v>
      </c>
      <c r="AD2062" s="224" t="s">
        <v>490</v>
      </c>
      <c r="AE2062" s="224" t="s">
        <v>223</v>
      </c>
      <c r="AF2062">
        <f ca="1">OFFSET('Calculations 2'!$CE$45,W2062,0)*OFFSET($AA$6,X2062,0)*OFFSET($N$6,W2062,)</f>
        <v>2.2579382332479656</v>
      </c>
      <c r="AY2062" s="224" t="s">
        <v>467</v>
      </c>
      <c r="AZ2062" s="224" t="s">
        <v>490</v>
      </c>
      <c r="BA2062" s="224" t="s">
        <v>223</v>
      </c>
      <c r="BB2062">
        <v>0</v>
      </c>
      <c r="BE2062" s="224" t="s">
        <v>467</v>
      </c>
      <c r="BF2062" s="224" t="s">
        <v>490</v>
      </c>
      <c r="BG2062" s="224" t="s">
        <v>223</v>
      </c>
      <c r="BH2062">
        <v>0</v>
      </c>
    </row>
    <row r="2063" spans="17:60">
      <c r="Q2063" s="224" t="s">
        <v>231</v>
      </c>
      <c r="R2063" s="224" t="s">
        <v>490</v>
      </c>
      <c r="S2063" s="224" t="s">
        <v>223</v>
      </c>
      <c r="T2063" s="224">
        <f ca="1">OFFSET('Calculations 2'!$C$45,W2063,X2063)*OFFSET($N$6,W2063,0)</f>
        <v>0</v>
      </c>
      <c r="V2063">
        <f t="shared" si="98"/>
        <v>968</v>
      </c>
      <c r="W2063">
        <f t="shared" si="99"/>
        <v>11</v>
      </c>
      <c r="X2063">
        <f t="shared" si="100"/>
        <v>29</v>
      </c>
      <c r="AC2063" s="224" t="s">
        <v>231</v>
      </c>
      <c r="AD2063" s="224" t="s">
        <v>490</v>
      </c>
      <c r="AE2063" s="224" t="s">
        <v>223</v>
      </c>
      <c r="AF2063">
        <f ca="1">OFFSET('Calculations 2'!$CE$45,W2063,0)*OFFSET($AA$6,X2063,0)*OFFSET($N$6,W2063,)</f>
        <v>28.262926583392211</v>
      </c>
      <c r="AY2063" s="224" t="s">
        <v>231</v>
      </c>
      <c r="AZ2063" s="224" t="s">
        <v>490</v>
      </c>
      <c r="BA2063" s="224" t="s">
        <v>223</v>
      </c>
      <c r="BB2063">
        <v>0</v>
      </c>
      <c r="BE2063" s="224" t="s">
        <v>231</v>
      </c>
      <c r="BF2063" s="224" t="s">
        <v>490</v>
      </c>
      <c r="BG2063" s="224" t="s">
        <v>223</v>
      </c>
      <c r="BH2063">
        <v>0</v>
      </c>
    </row>
    <row r="2064" spans="17:60">
      <c r="Q2064" s="224" t="s">
        <v>468</v>
      </c>
      <c r="R2064" s="224" t="s">
        <v>490</v>
      </c>
      <c r="S2064" s="224" t="s">
        <v>223</v>
      </c>
      <c r="T2064" s="224">
        <f ca="1">OFFSET('Calculations 2'!$C$45,W2064,X2064)*OFFSET($N$6,W2064,0)</f>
        <v>7.5520342248953174</v>
      </c>
      <c r="V2064">
        <f t="shared" si="98"/>
        <v>969</v>
      </c>
      <c r="W2064">
        <f t="shared" si="99"/>
        <v>12</v>
      </c>
      <c r="X2064">
        <f t="shared" si="100"/>
        <v>29</v>
      </c>
      <c r="AC2064" s="224" t="s">
        <v>468</v>
      </c>
      <c r="AD2064" s="224" t="s">
        <v>490</v>
      </c>
      <c r="AE2064" s="224" t="s">
        <v>223</v>
      </c>
      <c r="AF2064">
        <f ca="1">OFFSET('Calculations 2'!$CE$45,W2064,0)*OFFSET($AA$6,X2064,0)*OFFSET($N$6,W2064,)</f>
        <v>108.26882495966601</v>
      </c>
      <c r="AY2064" s="224" t="s">
        <v>468</v>
      </c>
      <c r="AZ2064" s="224" t="s">
        <v>490</v>
      </c>
      <c r="BA2064" s="224" t="s">
        <v>223</v>
      </c>
      <c r="BB2064">
        <v>0</v>
      </c>
      <c r="BE2064" s="224" t="s">
        <v>468</v>
      </c>
      <c r="BF2064" s="224" t="s">
        <v>490</v>
      </c>
      <c r="BG2064" s="224" t="s">
        <v>223</v>
      </c>
      <c r="BH2064">
        <v>0</v>
      </c>
    </row>
    <row r="2065" spans="17:60">
      <c r="Q2065" s="224" t="s">
        <v>469</v>
      </c>
      <c r="R2065" s="224" t="s">
        <v>490</v>
      </c>
      <c r="S2065" s="224" t="s">
        <v>223</v>
      </c>
      <c r="T2065" s="224">
        <f ca="1">OFFSET('Calculations 2'!$C$45,W2065,X2065)*OFFSET($N$6,W2065,0)</f>
        <v>0.137221866021319</v>
      </c>
      <c r="V2065">
        <f t="shared" si="98"/>
        <v>970</v>
      </c>
      <c r="W2065">
        <f t="shared" si="99"/>
        <v>13</v>
      </c>
      <c r="X2065">
        <f t="shared" si="100"/>
        <v>29</v>
      </c>
      <c r="AC2065" s="224" t="s">
        <v>469</v>
      </c>
      <c r="AD2065" s="224" t="s">
        <v>490</v>
      </c>
      <c r="AE2065" s="224" t="s">
        <v>223</v>
      </c>
      <c r="AF2065">
        <f ca="1">OFFSET('Calculations 2'!$CE$45,W2065,0)*OFFSET($AA$6,X2065,0)*OFFSET($N$6,W2065,)</f>
        <v>58.050441199958755</v>
      </c>
      <c r="AY2065" s="224" t="s">
        <v>469</v>
      </c>
      <c r="AZ2065" s="224" t="s">
        <v>490</v>
      </c>
      <c r="BA2065" s="224" t="s">
        <v>223</v>
      </c>
      <c r="BB2065">
        <v>0</v>
      </c>
      <c r="BE2065" s="224" t="s">
        <v>469</v>
      </c>
      <c r="BF2065" s="224" t="s">
        <v>490</v>
      </c>
      <c r="BG2065" s="224" t="s">
        <v>223</v>
      </c>
      <c r="BH2065">
        <v>0</v>
      </c>
    </row>
    <row r="2066" spans="17:60">
      <c r="Q2066" s="224" t="s">
        <v>245</v>
      </c>
      <c r="R2066" s="224" t="s">
        <v>490</v>
      </c>
      <c r="S2066" s="224" t="s">
        <v>223</v>
      </c>
      <c r="T2066" s="224">
        <f ca="1">OFFSET('Calculations 2'!$C$45,W2066,X2066)*OFFSET($N$6,W2066,0)</f>
        <v>0.95465383894256961</v>
      </c>
      <c r="V2066">
        <f t="shared" si="98"/>
        <v>971</v>
      </c>
      <c r="W2066">
        <f t="shared" si="99"/>
        <v>14</v>
      </c>
      <c r="X2066">
        <f t="shared" si="100"/>
        <v>29</v>
      </c>
      <c r="AC2066" s="224" t="s">
        <v>245</v>
      </c>
      <c r="AD2066" s="224" t="s">
        <v>490</v>
      </c>
      <c r="AE2066" s="224" t="s">
        <v>223</v>
      </c>
      <c r="AF2066">
        <f ca="1">OFFSET('Calculations 2'!$CE$45,W2066,0)*OFFSET($AA$6,X2066,0)*OFFSET($N$6,W2066,)</f>
        <v>92.641974827624551</v>
      </c>
      <c r="AY2066" s="224" t="s">
        <v>245</v>
      </c>
      <c r="AZ2066" s="224" t="s">
        <v>490</v>
      </c>
      <c r="BA2066" s="224" t="s">
        <v>223</v>
      </c>
      <c r="BB2066">
        <v>0</v>
      </c>
      <c r="BE2066" s="224" t="s">
        <v>245</v>
      </c>
      <c r="BF2066" s="224" t="s">
        <v>490</v>
      </c>
      <c r="BG2066" s="224" t="s">
        <v>223</v>
      </c>
      <c r="BH2066">
        <v>0</v>
      </c>
    </row>
    <row r="2067" spans="17:60">
      <c r="Q2067" s="224" t="s">
        <v>470</v>
      </c>
      <c r="R2067" s="224" t="s">
        <v>490</v>
      </c>
      <c r="S2067" s="224" t="s">
        <v>223</v>
      </c>
      <c r="T2067" s="224">
        <f ca="1">OFFSET('Calculations 2'!$C$45,W2067,X2067)*OFFSET($N$6,W2067,0)</f>
        <v>18.581609670229916</v>
      </c>
      <c r="V2067">
        <f t="shared" si="98"/>
        <v>972</v>
      </c>
      <c r="W2067">
        <f t="shared" si="99"/>
        <v>15</v>
      </c>
      <c r="X2067">
        <f t="shared" si="100"/>
        <v>29</v>
      </c>
      <c r="AC2067" s="224" t="s">
        <v>470</v>
      </c>
      <c r="AD2067" s="224" t="s">
        <v>490</v>
      </c>
      <c r="AE2067" s="224" t="s">
        <v>223</v>
      </c>
      <c r="AF2067">
        <f ca="1">OFFSET('Calculations 2'!$CE$45,W2067,0)*OFFSET($AA$6,X2067,0)*OFFSET($N$6,W2067,)</f>
        <v>35.15157701086126</v>
      </c>
      <c r="AY2067" s="224" t="s">
        <v>470</v>
      </c>
      <c r="AZ2067" s="224" t="s">
        <v>490</v>
      </c>
      <c r="BA2067" s="224" t="s">
        <v>223</v>
      </c>
      <c r="BB2067">
        <v>0</v>
      </c>
      <c r="BE2067" s="224" t="s">
        <v>470</v>
      </c>
      <c r="BF2067" s="224" t="s">
        <v>490</v>
      </c>
      <c r="BG2067" s="224" t="s">
        <v>223</v>
      </c>
      <c r="BH2067">
        <v>0</v>
      </c>
    </row>
    <row r="2068" spans="17:60">
      <c r="Q2068" s="224" t="s">
        <v>471</v>
      </c>
      <c r="R2068" s="224" t="s">
        <v>490</v>
      </c>
      <c r="S2068" s="224" t="s">
        <v>223</v>
      </c>
      <c r="T2068" s="224">
        <f ca="1">OFFSET('Calculations 2'!$C$45,W2068,X2068)*OFFSET($N$6,W2068,0)</f>
        <v>1.3765848726619303</v>
      </c>
      <c r="V2068">
        <f t="shared" si="98"/>
        <v>973</v>
      </c>
      <c r="W2068">
        <f t="shared" si="99"/>
        <v>16</v>
      </c>
      <c r="X2068">
        <f t="shared" si="100"/>
        <v>29</v>
      </c>
      <c r="AC2068" s="224" t="s">
        <v>471</v>
      </c>
      <c r="AD2068" s="224" t="s">
        <v>490</v>
      </c>
      <c r="AE2068" s="224" t="s">
        <v>223</v>
      </c>
      <c r="AF2068">
        <f ca="1">OFFSET('Calculations 2'!$CE$45,W2068,0)*OFFSET($AA$6,X2068,0)*OFFSET($N$6,W2068,)</f>
        <v>0</v>
      </c>
      <c r="AY2068" s="224" t="s">
        <v>471</v>
      </c>
      <c r="AZ2068" s="224" t="s">
        <v>490</v>
      </c>
      <c r="BA2068" s="224" t="s">
        <v>223</v>
      </c>
      <c r="BB2068">
        <v>0</v>
      </c>
      <c r="BE2068" s="224" t="s">
        <v>471</v>
      </c>
      <c r="BF2068" s="224" t="s">
        <v>490</v>
      </c>
      <c r="BG2068" s="224" t="s">
        <v>223</v>
      </c>
      <c r="BH2068">
        <v>0</v>
      </c>
    </row>
    <row r="2069" spans="17:60">
      <c r="Q2069" s="224" t="s">
        <v>221</v>
      </c>
      <c r="R2069" s="224" t="s">
        <v>490</v>
      </c>
      <c r="S2069" s="224" t="s">
        <v>223</v>
      </c>
      <c r="T2069" s="224">
        <f ca="1">OFFSET('Calculations 2'!$C$45,W2069,X2069)*OFFSET($N$6,W2069,0)</f>
        <v>5.7389770205339969</v>
      </c>
      <c r="V2069">
        <f t="shared" si="98"/>
        <v>974</v>
      </c>
      <c r="W2069">
        <f t="shared" si="99"/>
        <v>17</v>
      </c>
      <c r="X2069">
        <f t="shared" si="100"/>
        <v>29</v>
      </c>
      <c r="AC2069" s="224" t="s">
        <v>221</v>
      </c>
      <c r="AD2069" s="224" t="s">
        <v>490</v>
      </c>
      <c r="AE2069" s="224" t="s">
        <v>223</v>
      </c>
      <c r="AF2069">
        <f ca="1">OFFSET('Calculations 2'!$CE$45,W2069,0)*OFFSET($AA$6,X2069,0)*OFFSET($N$6,W2069,)</f>
        <v>6.8811235961896076</v>
      </c>
      <c r="AY2069" s="224" t="s">
        <v>221</v>
      </c>
      <c r="AZ2069" s="224" t="s">
        <v>490</v>
      </c>
      <c r="BA2069" s="224" t="s">
        <v>223</v>
      </c>
      <c r="BB2069">
        <v>0</v>
      </c>
      <c r="BE2069" s="224" t="s">
        <v>221</v>
      </c>
      <c r="BF2069" s="224" t="s">
        <v>490</v>
      </c>
      <c r="BG2069" s="224" t="s">
        <v>223</v>
      </c>
      <c r="BH2069">
        <v>0</v>
      </c>
    </row>
    <row r="2070" spans="17:60">
      <c r="Q2070" s="224" t="s">
        <v>244</v>
      </c>
      <c r="R2070" s="224" t="s">
        <v>490</v>
      </c>
      <c r="S2070" s="224" t="s">
        <v>223</v>
      </c>
      <c r="T2070" s="224">
        <f ca="1">OFFSET('Calculations 2'!$C$45,W2070,X2070)*OFFSET($N$6,W2070,0)</f>
        <v>2.6540233110677551</v>
      </c>
      <c r="V2070">
        <f t="shared" si="98"/>
        <v>975</v>
      </c>
      <c r="W2070">
        <f t="shared" si="99"/>
        <v>18</v>
      </c>
      <c r="X2070">
        <f t="shared" si="100"/>
        <v>29</v>
      </c>
      <c r="AC2070" s="224" t="s">
        <v>244</v>
      </c>
      <c r="AD2070" s="224" t="s">
        <v>490</v>
      </c>
      <c r="AE2070" s="224" t="s">
        <v>223</v>
      </c>
      <c r="AF2070">
        <f ca="1">OFFSET('Calculations 2'!$CE$45,W2070,0)*OFFSET($AA$6,X2070,0)*OFFSET($N$6,W2070,)</f>
        <v>0.60205161191570211</v>
      </c>
      <c r="AY2070" s="224" t="s">
        <v>244</v>
      </c>
      <c r="AZ2070" s="224" t="s">
        <v>490</v>
      </c>
      <c r="BA2070" s="224" t="s">
        <v>223</v>
      </c>
      <c r="BB2070">
        <v>0</v>
      </c>
      <c r="BE2070" s="224" t="s">
        <v>244</v>
      </c>
      <c r="BF2070" s="224" t="s">
        <v>490</v>
      </c>
      <c r="BG2070" s="224" t="s">
        <v>223</v>
      </c>
      <c r="BH2070">
        <v>0</v>
      </c>
    </row>
    <row r="2071" spans="17:60">
      <c r="Q2071" s="224" t="s">
        <v>472</v>
      </c>
      <c r="R2071" s="224" t="s">
        <v>490</v>
      </c>
      <c r="S2071" s="224" t="s">
        <v>223</v>
      </c>
      <c r="T2071" s="224">
        <f ca="1">OFFSET('Calculations 2'!$C$45,W2071,X2071)*OFFSET($N$6,W2071,0)</f>
        <v>0.31511810887697328</v>
      </c>
      <c r="V2071">
        <f t="shared" si="98"/>
        <v>976</v>
      </c>
      <c r="W2071">
        <f t="shared" si="99"/>
        <v>19</v>
      </c>
      <c r="X2071">
        <f t="shared" si="100"/>
        <v>29</v>
      </c>
      <c r="AC2071" s="224" t="s">
        <v>472</v>
      </c>
      <c r="AD2071" s="224" t="s">
        <v>490</v>
      </c>
      <c r="AE2071" s="224" t="s">
        <v>223</v>
      </c>
      <c r="AF2071">
        <f ca="1">OFFSET('Calculations 2'!$CE$45,W2071,0)*OFFSET($AA$6,X2071,0)*OFFSET($N$6,W2071,)</f>
        <v>0</v>
      </c>
      <c r="AY2071" s="224" t="s">
        <v>472</v>
      </c>
      <c r="AZ2071" s="224" t="s">
        <v>490</v>
      </c>
      <c r="BA2071" s="224" t="s">
        <v>223</v>
      </c>
      <c r="BB2071">
        <v>0</v>
      </c>
      <c r="BE2071" s="224" t="s">
        <v>472</v>
      </c>
      <c r="BF2071" s="224" t="s">
        <v>490</v>
      </c>
      <c r="BG2071" s="224" t="s">
        <v>223</v>
      </c>
      <c r="BH2071">
        <v>0</v>
      </c>
    </row>
    <row r="2072" spans="17:60">
      <c r="Q2072" s="224" t="s">
        <v>238</v>
      </c>
      <c r="R2072" s="224" t="s">
        <v>490</v>
      </c>
      <c r="S2072" s="224" t="s">
        <v>223</v>
      </c>
      <c r="T2072" s="224">
        <f ca="1">OFFSET('Calculations 2'!$C$45,W2072,X2072)*OFFSET($N$6,W2072,0)</f>
        <v>10.09499631818967</v>
      </c>
      <c r="V2072">
        <f t="shared" si="98"/>
        <v>977</v>
      </c>
      <c r="W2072">
        <f t="shared" si="99"/>
        <v>20</v>
      </c>
      <c r="X2072">
        <f t="shared" si="100"/>
        <v>29</v>
      </c>
      <c r="AC2072" s="224" t="s">
        <v>238</v>
      </c>
      <c r="AD2072" s="224" t="s">
        <v>490</v>
      </c>
      <c r="AE2072" s="224" t="s">
        <v>223</v>
      </c>
      <c r="AF2072">
        <f ca="1">OFFSET('Calculations 2'!$CE$45,W2072,0)*OFFSET($AA$6,X2072,0)*OFFSET($N$6,W2072,)</f>
        <v>0</v>
      </c>
      <c r="AY2072" s="224" t="s">
        <v>238</v>
      </c>
      <c r="AZ2072" s="224" t="s">
        <v>490</v>
      </c>
      <c r="BA2072" s="224" t="s">
        <v>223</v>
      </c>
      <c r="BB2072">
        <v>0</v>
      </c>
      <c r="BE2072" s="224" t="s">
        <v>238</v>
      </c>
      <c r="BF2072" s="224" t="s">
        <v>490</v>
      </c>
      <c r="BG2072" s="224" t="s">
        <v>223</v>
      </c>
      <c r="BH2072">
        <v>0</v>
      </c>
    </row>
    <row r="2073" spans="17:60">
      <c r="Q2073" s="224" t="s">
        <v>247</v>
      </c>
      <c r="R2073" s="224" t="s">
        <v>490</v>
      </c>
      <c r="S2073" s="224" t="s">
        <v>223</v>
      </c>
      <c r="T2073" s="224">
        <f ca="1">OFFSET('Calculations 2'!$C$45,W2073,X2073)*OFFSET($N$6,W2073,0)</f>
        <v>0</v>
      </c>
      <c r="V2073">
        <f t="shared" si="98"/>
        <v>978</v>
      </c>
      <c r="W2073">
        <f t="shared" si="99"/>
        <v>21</v>
      </c>
      <c r="X2073">
        <f t="shared" si="100"/>
        <v>29</v>
      </c>
      <c r="AC2073" s="224" t="s">
        <v>247</v>
      </c>
      <c r="AD2073" s="224" t="s">
        <v>490</v>
      </c>
      <c r="AE2073" s="224" t="s">
        <v>223</v>
      </c>
      <c r="AF2073">
        <f ca="1">OFFSET('Calculations 2'!$CE$45,W2073,0)*OFFSET($AA$6,X2073,0)*OFFSET($N$6,W2073,)</f>
        <v>0</v>
      </c>
      <c r="AY2073" s="224" t="s">
        <v>247</v>
      </c>
      <c r="AZ2073" s="224" t="s">
        <v>490</v>
      </c>
      <c r="BA2073" s="224" t="s">
        <v>223</v>
      </c>
      <c r="BB2073">
        <v>0</v>
      </c>
      <c r="BE2073" s="224" t="s">
        <v>247</v>
      </c>
      <c r="BF2073" s="224" t="s">
        <v>490</v>
      </c>
      <c r="BG2073" s="224" t="s">
        <v>223</v>
      </c>
      <c r="BH2073">
        <v>0</v>
      </c>
    </row>
    <row r="2074" spans="17:60">
      <c r="Q2074" s="224" t="s">
        <v>218</v>
      </c>
      <c r="R2074" s="224" t="s">
        <v>490</v>
      </c>
      <c r="S2074" s="224" t="s">
        <v>223</v>
      </c>
      <c r="T2074" s="224">
        <f ca="1">OFFSET('Calculations 2'!$C$45,W2074,X2074)*OFFSET($N$6,W2074,0)</f>
        <v>0.45274491595663902</v>
      </c>
      <c r="V2074">
        <f t="shared" si="98"/>
        <v>979</v>
      </c>
      <c r="W2074">
        <f t="shared" si="99"/>
        <v>22</v>
      </c>
      <c r="X2074">
        <f t="shared" si="100"/>
        <v>29</v>
      </c>
      <c r="AC2074" s="224" t="s">
        <v>218</v>
      </c>
      <c r="AD2074" s="224" t="s">
        <v>490</v>
      </c>
      <c r="AE2074" s="224" t="s">
        <v>223</v>
      </c>
      <c r="AF2074">
        <f ca="1">OFFSET('Calculations 2'!$CE$45,W2074,0)*OFFSET($AA$6,X2074,0)*OFFSET($N$6,W2074,)</f>
        <v>0</v>
      </c>
      <c r="AY2074" s="224" t="s">
        <v>218</v>
      </c>
      <c r="AZ2074" s="224" t="s">
        <v>490</v>
      </c>
      <c r="BA2074" s="224" t="s">
        <v>223</v>
      </c>
      <c r="BB2074">
        <v>0</v>
      </c>
      <c r="BE2074" s="224" t="s">
        <v>218</v>
      </c>
      <c r="BF2074" s="224" t="s">
        <v>490</v>
      </c>
      <c r="BG2074" s="224" t="s">
        <v>223</v>
      </c>
      <c r="BH2074">
        <v>0</v>
      </c>
    </row>
    <row r="2075" spans="17:60">
      <c r="Q2075" s="224" t="s">
        <v>257</v>
      </c>
      <c r="R2075" s="224" t="s">
        <v>490</v>
      </c>
      <c r="S2075" s="224" t="s">
        <v>223</v>
      </c>
      <c r="T2075" s="224">
        <f ca="1">OFFSET('Calculations 2'!$C$45,W2075,X2075)*OFFSET($N$6,W2075,0)</f>
        <v>2.3893669372531942E-2</v>
      </c>
      <c r="V2075">
        <f t="shared" si="98"/>
        <v>980</v>
      </c>
      <c r="W2075">
        <f t="shared" si="99"/>
        <v>23</v>
      </c>
      <c r="X2075">
        <f t="shared" si="100"/>
        <v>29</v>
      </c>
      <c r="AC2075" s="224" t="s">
        <v>257</v>
      </c>
      <c r="AD2075" s="224" t="s">
        <v>490</v>
      </c>
      <c r="AE2075" s="224" t="s">
        <v>223</v>
      </c>
      <c r="AF2075">
        <f ca="1">OFFSET('Calculations 2'!$CE$45,W2075,0)*OFFSET($AA$6,X2075,0)*OFFSET($N$6,W2075,)</f>
        <v>0</v>
      </c>
      <c r="AY2075" s="224" t="s">
        <v>257</v>
      </c>
      <c r="AZ2075" s="224" t="s">
        <v>490</v>
      </c>
      <c r="BA2075" s="224" t="s">
        <v>223</v>
      </c>
      <c r="BB2075">
        <v>0</v>
      </c>
      <c r="BE2075" s="224" t="s">
        <v>257</v>
      </c>
      <c r="BF2075" s="224" t="s">
        <v>490</v>
      </c>
      <c r="BG2075" s="224" t="s">
        <v>223</v>
      </c>
      <c r="BH2075">
        <v>0</v>
      </c>
    </row>
    <row r="2076" spans="17:60">
      <c r="Q2076" s="224" t="s">
        <v>220</v>
      </c>
      <c r="R2076" s="224" t="s">
        <v>490</v>
      </c>
      <c r="S2076" s="224" t="s">
        <v>223</v>
      </c>
      <c r="T2076" s="224">
        <f ca="1">OFFSET('Calculations 2'!$C$45,W2076,X2076)*OFFSET($N$6,W2076,0)</f>
        <v>2.3865018228112844</v>
      </c>
      <c r="V2076">
        <f t="shared" si="98"/>
        <v>981</v>
      </c>
      <c r="W2076">
        <f t="shared" si="99"/>
        <v>24</v>
      </c>
      <c r="X2076">
        <f t="shared" si="100"/>
        <v>29</v>
      </c>
      <c r="AC2076" s="224" t="s">
        <v>220</v>
      </c>
      <c r="AD2076" s="224" t="s">
        <v>490</v>
      </c>
      <c r="AE2076" s="224" t="s">
        <v>223</v>
      </c>
      <c r="AF2076">
        <f ca="1">OFFSET('Calculations 2'!$CE$45,W2076,0)*OFFSET($AA$6,X2076,0)*OFFSET($N$6,W2076,)</f>
        <v>0</v>
      </c>
      <c r="AY2076" s="224" t="s">
        <v>220</v>
      </c>
      <c r="AZ2076" s="224" t="s">
        <v>490</v>
      </c>
      <c r="BA2076" s="224" t="s">
        <v>223</v>
      </c>
      <c r="BB2076">
        <v>0</v>
      </c>
      <c r="BE2076" s="224" t="s">
        <v>220</v>
      </c>
      <c r="BF2076" s="224" t="s">
        <v>490</v>
      </c>
      <c r="BG2076" s="224" t="s">
        <v>223</v>
      </c>
      <c r="BH2076">
        <v>0</v>
      </c>
    </row>
    <row r="2077" spans="17:60">
      <c r="Q2077" s="224" t="s">
        <v>235</v>
      </c>
      <c r="R2077" s="224" t="s">
        <v>490</v>
      </c>
      <c r="S2077" s="224" t="s">
        <v>223</v>
      </c>
      <c r="T2077" s="224">
        <f ca="1">OFFSET('Calculations 2'!$C$45,W2077,X2077)*OFFSET($N$6,W2077,0)</f>
        <v>7.2778890935290708</v>
      </c>
      <c r="V2077">
        <f t="shared" si="98"/>
        <v>982</v>
      </c>
      <c r="W2077">
        <f t="shared" si="99"/>
        <v>25</v>
      </c>
      <c r="X2077">
        <f t="shared" si="100"/>
        <v>29</v>
      </c>
      <c r="AC2077" s="224" t="s">
        <v>235</v>
      </c>
      <c r="AD2077" s="224" t="s">
        <v>490</v>
      </c>
      <c r="AE2077" s="224" t="s">
        <v>223</v>
      </c>
      <c r="AF2077">
        <f ca="1">OFFSET('Calculations 2'!$CE$45,W2077,0)*OFFSET($AA$6,X2077,0)*OFFSET($N$6,W2077,)</f>
        <v>0</v>
      </c>
      <c r="AY2077" s="224" t="s">
        <v>235</v>
      </c>
      <c r="AZ2077" s="224" t="s">
        <v>490</v>
      </c>
      <c r="BA2077" s="224" t="s">
        <v>223</v>
      </c>
      <c r="BB2077">
        <v>0</v>
      </c>
      <c r="BE2077" s="224" t="s">
        <v>235</v>
      </c>
      <c r="BF2077" s="224" t="s">
        <v>490</v>
      </c>
      <c r="BG2077" s="224" t="s">
        <v>223</v>
      </c>
      <c r="BH2077">
        <v>0</v>
      </c>
    </row>
    <row r="2078" spans="17:60">
      <c r="Q2078" s="224" t="s">
        <v>473</v>
      </c>
      <c r="R2078" s="224" t="s">
        <v>490</v>
      </c>
      <c r="S2078" s="224" t="s">
        <v>223</v>
      </c>
      <c r="T2078" s="224">
        <f ca="1">OFFSET('Calculations 2'!$C$45,W2078,X2078)*OFFSET($N$6,W2078,0)</f>
        <v>5.482179407747017</v>
      </c>
      <c r="V2078">
        <f t="shared" si="98"/>
        <v>983</v>
      </c>
      <c r="W2078">
        <f t="shared" si="99"/>
        <v>26</v>
      </c>
      <c r="X2078">
        <f t="shared" si="100"/>
        <v>29</v>
      </c>
      <c r="AC2078" s="224" t="s">
        <v>473</v>
      </c>
      <c r="AD2078" s="224" t="s">
        <v>490</v>
      </c>
      <c r="AE2078" s="224" t="s">
        <v>223</v>
      </c>
      <c r="AF2078">
        <f ca="1">OFFSET('Calculations 2'!$CE$45,W2078,0)*OFFSET($AA$6,X2078,0)*OFFSET($N$6,W2078,)</f>
        <v>0</v>
      </c>
      <c r="AY2078" s="224" t="s">
        <v>473</v>
      </c>
      <c r="AZ2078" s="224" t="s">
        <v>490</v>
      </c>
      <c r="BA2078" s="224" t="s">
        <v>223</v>
      </c>
      <c r="BB2078">
        <v>0</v>
      </c>
      <c r="BE2078" s="224" t="s">
        <v>473</v>
      </c>
      <c r="BF2078" s="224" t="s">
        <v>490</v>
      </c>
      <c r="BG2078" s="224" t="s">
        <v>223</v>
      </c>
      <c r="BH2078">
        <v>0</v>
      </c>
    </row>
    <row r="2079" spans="17:60">
      <c r="Q2079" s="224" t="s">
        <v>233</v>
      </c>
      <c r="R2079" s="224" t="s">
        <v>490</v>
      </c>
      <c r="S2079" s="224" t="s">
        <v>223</v>
      </c>
      <c r="T2079" s="224">
        <f ca="1">OFFSET('Calculations 2'!$C$45,W2079,X2079)*OFFSET($N$6,W2079,0)</f>
        <v>3.1346176320488337</v>
      </c>
      <c r="V2079">
        <f t="shared" si="98"/>
        <v>984</v>
      </c>
      <c r="W2079">
        <f t="shared" si="99"/>
        <v>27</v>
      </c>
      <c r="X2079">
        <f t="shared" si="100"/>
        <v>29</v>
      </c>
      <c r="AC2079" s="224" t="s">
        <v>233</v>
      </c>
      <c r="AD2079" s="224" t="s">
        <v>490</v>
      </c>
      <c r="AE2079" s="224" t="s">
        <v>223</v>
      </c>
      <c r="AF2079">
        <f ca="1">OFFSET('Calculations 2'!$CE$45,W2079,0)*OFFSET($AA$6,X2079,0)*OFFSET($N$6,W2079,)</f>
        <v>0</v>
      </c>
      <c r="AY2079" s="224" t="s">
        <v>233</v>
      </c>
      <c r="AZ2079" s="224" t="s">
        <v>490</v>
      </c>
      <c r="BA2079" s="224" t="s">
        <v>223</v>
      </c>
      <c r="BB2079">
        <v>0</v>
      </c>
      <c r="BE2079" s="224" t="s">
        <v>233</v>
      </c>
      <c r="BF2079" s="224" t="s">
        <v>490</v>
      </c>
      <c r="BG2079" s="224" t="s">
        <v>223</v>
      </c>
      <c r="BH2079">
        <v>0</v>
      </c>
    </row>
    <row r="2080" spans="17:60">
      <c r="Q2080" s="224" t="s">
        <v>474</v>
      </c>
      <c r="R2080" s="224" t="s">
        <v>490</v>
      </c>
      <c r="S2080" s="224" t="s">
        <v>223</v>
      </c>
      <c r="T2080" s="224">
        <f ca="1">OFFSET('Calculations 2'!$C$45,W2080,X2080)*OFFSET($N$6,W2080,0)</f>
        <v>5.4550728988919399</v>
      </c>
      <c r="V2080">
        <f t="shared" si="98"/>
        <v>985</v>
      </c>
      <c r="W2080">
        <f t="shared" si="99"/>
        <v>28</v>
      </c>
      <c r="X2080">
        <f t="shared" si="100"/>
        <v>29</v>
      </c>
      <c r="AC2080" s="224" t="s">
        <v>474</v>
      </c>
      <c r="AD2080" s="224" t="s">
        <v>490</v>
      </c>
      <c r="AE2080" s="224" t="s">
        <v>223</v>
      </c>
      <c r="AF2080">
        <f ca="1">OFFSET('Calculations 2'!$CE$45,W2080,0)*OFFSET($AA$6,X2080,0)*OFFSET($N$6,W2080,)</f>
        <v>0</v>
      </c>
      <c r="AY2080" s="224" t="s">
        <v>474</v>
      </c>
      <c r="AZ2080" s="224" t="s">
        <v>490</v>
      </c>
      <c r="BA2080" s="224" t="s">
        <v>223</v>
      </c>
      <c r="BB2080">
        <v>0</v>
      </c>
      <c r="BE2080" s="224" t="s">
        <v>474</v>
      </c>
      <c r="BF2080" s="224" t="s">
        <v>490</v>
      </c>
      <c r="BG2080" s="224" t="s">
        <v>223</v>
      </c>
      <c r="BH2080">
        <v>0</v>
      </c>
    </row>
    <row r="2081" spans="17:60">
      <c r="Q2081" s="224" t="s">
        <v>223</v>
      </c>
      <c r="R2081" s="224" t="s">
        <v>490</v>
      </c>
      <c r="S2081" s="224" t="s">
        <v>223</v>
      </c>
      <c r="T2081" s="224">
        <f ca="1">OFFSET('Calculations 2'!$C$45,W2081,X2081)*OFFSET($N$6,W2081,0)</f>
        <v>12.279296919900187</v>
      </c>
      <c r="V2081">
        <f t="shared" si="98"/>
        <v>986</v>
      </c>
      <c r="W2081">
        <f t="shared" si="99"/>
        <v>29</v>
      </c>
      <c r="X2081">
        <f t="shared" si="100"/>
        <v>29</v>
      </c>
      <c r="AC2081" s="224" t="s">
        <v>223</v>
      </c>
      <c r="AD2081" s="224" t="s">
        <v>490</v>
      </c>
      <c r="AE2081" s="224" t="s">
        <v>223</v>
      </c>
      <c r="AF2081">
        <f ca="1">OFFSET('Calculations 2'!$CE$45,W2081,0)*OFFSET($AA$6,X2081,0)*OFFSET($N$6,W2081,)</f>
        <v>0</v>
      </c>
      <c r="AY2081" s="224" t="s">
        <v>223</v>
      </c>
      <c r="AZ2081" s="224" t="s">
        <v>490</v>
      </c>
      <c r="BA2081" s="224" t="s">
        <v>223</v>
      </c>
      <c r="BB2081">
        <v>0</v>
      </c>
      <c r="BE2081" s="224" t="s">
        <v>223</v>
      </c>
      <c r="BF2081" s="224" t="s">
        <v>490</v>
      </c>
      <c r="BG2081" s="224" t="s">
        <v>223</v>
      </c>
      <c r="BH2081">
        <v>0</v>
      </c>
    </row>
    <row r="2082" spans="17:60">
      <c r="Q2082" s="224" t="s">
        <v>475</v>
      </c>
      <c r="R2082" s="224" t="s">
        <v>490</v>
      </c>
      <c r="S2082" s="224" t="s">
        <v>223</v>
      </c>
      <c r="T2082" s="224">
        <f ca="1">OFFSET('Calculations 2'!$C$45,W2082,X2082)*OFFSET($N$6,W2082,0)</f>
        <v>4.3886781005292551E-2</v>
      </c>
      <c r="V2082">
        <f t="shared" si="98"/>
        <v>987</v>
      </c>
      <c r="W2082">
        <f t="shared" si="99"/>
        <v>30</v>
      </c>
      <c r="X2082">
        <f t="shared" si="100"/>
        <v>29</v>
      </c>
      <c r="AC2082" s="224" t="s">
        <v>475</v>
      </c>
      <c r="AD2082" s="224" t="s">
        <v>490</v>
      </c>
      <c r="AE2082" s="224" t="s">
        <v>223</v>
      </c>
      <c r="AF2082">
        <f ca="1">OFFSET('Calculations 2'!$CE$45,W2082,0)*OFFSET($AA$6,X2082,0)*OFFSET($N$6,W2082,)</f>
        <v>0</v>
      </c>
      <c r="AY2082" s="224" t="s">
        <v>475</v>
      </c>
      <c r="AZ2082" s="224" t="s">
        <v>490</v>
      </c>
      <c r="BA2082" s="224" t="s">
        <v>223</v>
      </c>
      <c r="BB2082">
        <v>0</v>
      </c>
      <c r="BE2082" s="224" t="s">
        <v>475</v>
      </c>
      <c r="BF2082" s="224" t="s">
        <v>490</v>
      </c>
      <c r="BG2082" s="224" t="s">
        <v>223</v>
      </c>
      <c r="BH2082">
        <v>0</v>
      </c>
    </row>
    <row r="2083" spans="17:60">
      <c r="Q2083" s="224" t="s">
        <v>476</v>
      </c>
      <c r="R2083" s="224" t="s">
        <v>490</v>
      </c>
      <c r="S2083" s="224" t="s">
        <v>223</v>
      </c>
      <c r="T2083" s="224">
        <f ca="1">OFFSET('Calculations 2'!$C$45,W2083,X2083)*OFFSET($N$6,W2083,0)</f>
        <v>0.74474927663288115</v>
      </c>
      <c r="V2083">
        <f t="shared" si="98"/>
        <v>988</v>
      </c>
      <c r="W2083">
        <f t="shared" si="99"/>
        <v>31</v>
      </c>
      <c r="X2083">
        <f t="shared" si="100"/>
        <v>29</v>
      </c>
      <c r="AC2083" s="224" t="s">
        <v>476</v>
      </c>
      <c r="AD2083" s="224" t="s">
        <v>490</v>
      </c>
      <c r="AE2083" s="224" t="s">
        <v>223</v>
      </c>
      <c r="AF2083">
        <f ca="1">OFFSET('Calculations 2'!$CE$45,W2083,0)*OFFSET($AA$6,X2083,0)*OFFSET($N$6,W2083,)</f>
        <v>0</v>
      </c>
      <c r="AY2083" s="224" t="s">
        <v>476</v>
      </c>
      <c r="AZ2083" s="224" t="s">
        <v>490</v>
      </c>
      <c r="BA2083" s="224" t="s">
        <v>223</v>
      </c>
      <c r="BB2083">
        <v>0</v>
      </c>
      <c r="BE2083" s="224" t="s">
        <v>476</v>
      </c>
      <c r="BF2083" s="224" t="s">
        <v>490</v>
      </c>
      <c r="BG2083" s="224" t="s">
        <v>223</v>
      </c>
      <c r="BH2083">
        <v>0</v>
      </c>
    </row>
    <row r="2084" spans="17:60">
      <c r="Q2084" s="224" t="s">
        <v>222</v>
      </c>
      <c r="R2084" s="224" t="s">
        <v>490</v>
      </c>
      <c r="S2084" s="224" t="s">
        <v>223</v>
      </c>
      <c r="T2084" s="224">
        <f ca="1">OFFSET('Calculations 2'!$C$45,W2084,X2084)*OFFSET($N$6,W2084,0)</f>
        <v>0</v>
      </c>
      <c r="V2084">
        <f t="shared" si="98"/>
        <v>989</v>
      </c>
      <c r="W2084">
        <f t="shared" si="99"/>
        <v>32</v>
      </c>
      <c r="X2084">
        <f t="shared" si="100"/>
        <v>29</v>
      </c>
      <c r="AC2084" s="224" t="s">
        <v>222</v>
      </c>
      <c r="AD2084" s="224" t="s">
        <v>490</v>
      </c>
      <c r="AE2084" s="224" t="s">
        <v>223</v>
      </c>
      <c r="AF2084">
        <f ca="1">OFFSET('Calculations 2'!$CE$45,W2084,0)*OFFSET($AA$6,X2084,0)*OFFSET($N$6,W2084,)</f>
        <v>0</v>
      </c>
      <c r="AY2084" s="224" t="s">
        <v>222</v>
      </c>
      <c r="AZ2084" s="224" t="s">
        <v>490</v>
      </c>
      <c r="BA2084" s="224" t="s">
        <v>223</v>
      </c>
      <c r="BB2084">
        <v>0</v>
      </c>
      <c r="BE2084" s="224" t="s">
        <v>222</v>
      </c>
      <c r="BF2084" s="224" t="s">
        <v>490</v>
      </c>
      <c r="BG2084" s="224" t="s">
        <v>223</v>
      </c>
      <c r="BH2084">
        <v>0</v>
      </c>
    </row>
    <row r="2085" spans="17:60">
      <c r="Q2085" s="224" t="s">
        <v>217</v>
      </c>
      <c r="R2085" s="224" t="s">
        <v>490</v>
      </c>
      <c r="S2085" s="224" t="s">
        <v>475</v>
      </c>
      <c r="T2085" s="224">
        <f ca="1">OFFSET('Calculations 2'!$C$45,W2085,X2085)*OFFSET($N$6,W2085,0)</f>
        <v>34.032760578539339</v>
      </c>
      <c r="V2085">
        <f t="shared" si="98"/>
        <v>990</v>
      </c>
      <c r="W2085">
        <f t="shared" si="99"/>
        <v>0</v>
      </c>
      <c r="X2085">
        <f t="shared" si="100"/>
        <v>30</v>
      </c>
      <c r="AC2085" s="224" t="s">
        <v>217</v>
      </c>
      <c r="AD2085" s="224" t="s">
        <v>490</v>
      </c>
      <c r="AE2085" s="224" t="s">
        <v>475</v>
      </c>
      <c r="AF2085">
        <f ca="1">OFFSET('Calculations 2'!$CE$45,W2085,0)*OFFSET($AA$6,X2085,0)*OFFSET($N$6,W2085,)</f>
        <v>1.4249434356014474</v>
      </c>
      <c r="AY2085" s="224" t="s">
        <v>217</v>
      </c>
      <c r="AZ2085" s="224" t="s">
        <v>490</v>
      </c>
      <c r="BA2085" s="224" t="s">
        <v>475</v>
      </c>
      <c r="BB2085">
        <v>0</v>
      </c>
      <c r="BE2085" s="224" t="s">
        <v>217</v>
      </c>
      <c r="BF2085" s="224" t="s">
        <v>490</v>
      </c>
      <c r="BG2085" s="224" t="s">
        <v>475</v>
      </c>
      <c r="BH2085">
        <v>0</v>
      </c>
    </row>
    <row r="2086" spans="17:60">
      <c r="Q2086" s="224" t="s">
        <v>232</v>
      </c>
      <c r="R2086" s="224" t="s">
        <v>490</v>
      </c>
      <c r="S2086" s="224" t="s">
        <v>475</v>
      </c>
      <c r="T2086" s="224">
        <f ca="1">OFFSET('Calculations 2'!$C$45,W2086,X2086)*OFFSET($N$6,W2086,0)</f>
        <v>0</v>
      </c>
      <c r="V2086">
        <f t="shared" si="98"/>
        <v>991</v>
      </c>
      <c r="W2086">
        <f t="shared" si="99"/>
        <v>1</v>
      </c>
      <c r="X2086">
        <f t="shared" si="100"/>
        <v>30</v>
      </c>
      <c r="AC2086" s="224" t="s">
        <v>232</v>
      </c>
      <c r="AD2086" s="224" t="s">
        <v>490</v>
      </c>
      <c r="AE2086" s="224" t="s">
        <v>475</v>
      </c>
      <c r="AF2086">
        <f ca="1">OFFSET('Calculations 2'!$CE$45,W2086,0)*OFFSET($AA$6,X2086,0)*OFFSET($N$6,W2086,)</f>
        <v>2.2480360096980458</v>
      </c>
      <c r="AY2086" s="224" t="s">
        <v>232</v>
      </c>
      <c r="AZ2086" s="224" t="s">
        <v>490</v>
      </c>
      <c r="BA2086" s="224" t="s">
        <v>475</v>
      </c>
      <c r="BB2086">
        <v>0</v>
      </c>
      <c r="BE2086" s="224" t="s">
        <v>232</v>
      </c>
      <c r="BF2086" s="224" t="s">
        <v>490</v>
      </c>
      <c r="BG2086" s="224" t="s">
        <v>475</v>
      </c>
      <c r="BH2086">
        <v>0</v>
      </c>
    </row>
    <row r="2087" spans="17:60">
      <c r="Q2087" s="224" t="s">
        <v>226</v>
      </c>
      <c r="R2087" s="224" t="s">
        <v>490</v>
      </c>
      <c r="S2087" s="224" t="s">
        <v>475</v>
      </c>
      <c r="T2087" s="224">
        <f ca="1">OFFSET('Calculations 2'!$C$45,W2087,X2087)*OFFSET($N$6,W2087,0)</f>
        <v>166.36426640499766</v>
      </c>
      <c r="V2087">
        <f t="shared" si="98"/>
        <v>992</v>
      </c>
      <c r="W2087">
        <f t="shared" si="99"/>
        <v>2</v>
      </c>
      <c r="X2087">
        <f t="shared" si="100"/>
        <v>30</v>
      </c>
      <c r="AC2087" s="224" t="s">
        <v>226</v>
      </c>
      <c r="AD2087" s="224" t="s">
        <v>490</v>
      </c>
      <c r="AE2087" s="224" t="s">
        <v>475</v>
      </c>
      <c r="AF2087">
        <f ca="1">OFFSET('Calculations 2'!$CE$45,W2087,0)*OFFSET($AA$6,X2087,0)*OFFSET($N$6,W2087,)</f>
        <v>0.56252744873432825</v>
      </c>
      <c r="AY2087" s="224" t="s">
        <v>226</v>
      </c>
      <c r="AZ2087" s="224" t="s">
        <v>490</v>
      </c>
      <c r="BA2087" s="224" t="s">
        <v>475</v>
      </c>
      <c r="BB2087">
        <v>0</v>
      </c>
      <c r="BE2087" s="224" t="s">
        <v>226</v>
      </c>
      <c r="BF2087" s="224" t="s">
        <v>490</v>
      </c>
      <c r="BG2087" s="224" t="s">
        <v>475</v>
      </c>
      <c r="BH2087">
        <v>0</v>
      </c>
    </row>
    <row r="2088" spans="17:60">
      <c r="Q2088" s="224" t="s">
        <v>243</v>
      </c>
      <c r="R2088" s="224" t="s">
        <v>490</v>
      </c>
      <c r="S2088" s="224" t="s">
        <v>475</v>
      </c>
      <c r="T2088" s="224">
        <f ca="1">OFFSET('Calculations 2'!$C$45,W2088,X2088)*OFFSET($N$6,W2088,0)</f>
        <v>17.401032481480993</v>
      </c>
      <c r="V2088">
        <f t="shared" si="98"/>
        <v>993</v>
      </c>
      <c r="W2088">
        <f t="shared" si="99"/>
        <v>3</v>
      </c>
      <c r="X2088">
        <f t="shared" si="100"/>
        <v>30</v>
      </c>
      <c r="AC2088" s="224" t="s">
        <v>243</v>
      </c>
      <c r="AD2088" s="224" t="s">
        <v>490</v>
      </c>
      <c r="AE2088" s="224" t="s">
        <v>475</v>
      </c>
      <c r="AF2088">
        <f ca="1">OFFSET('Calculations 2'!$CE$45,W2088,0)*OFFSET($AA$6,X2088,0)*OFFSET($N$6,W2088,)</f>
        <v>11.039050477980677</v>
      </c>
      <c r="AY2088" s="224" t="s">
        <v>243</v>
      </c>
      <c r="AZ2088" s="224" t="s">
        <v>490</v>
      </c>
      <c r="BA2088" s="224" t="s">
        <v>475</v>
      </c>
      <c r="BB2088">
        <v>0</v>
      </c>
      <c r="BE2088" s="224" t="s">
        <v>243</v>
      </c>
      <c r="BF2088" s="224" t="s">
        <v>490</v>
      </c>
      <c r="BG2088" s="224" t="s">
        <v>475</v>
      </c>
      <c r="BH2088">
        <v>0</v>
      </c>
    </row>
    <row r="2089" spans="17:60">
      <c r="Q2089" s="224" t="s">
        <v>228</v>
      </c>
      <c r="R2089" s="224" t="s">
        <v>490</v>
      </c>
      <c r="S2089" s="224" t="s">
        <v>475</v>
      </c>
      <c r="T2089" s="224">
        <f ca="1">OFFSET('Calculations 2'!$C$45,W2089,X2089)*OFFSET($N$6,W2089,0)</f>
        <v>0</v>
      </c>
      <c r="V2089">
        <f t="shared" si="98"/>
        <v>994</v>
      </c>
      <c r="W2089">
        <f t="shared" si="99"/>
        <v>4</v>
      </c>
      <c r="X2089">
        <f t="shared" si="100"/>
        <v>30</v>
      </c>
      <c r="AC2089" s="224" t="s">
        <v>228</v>
      </c>
      <c r="AD2089" s="224" t="s">
        <v>490</v>
      </c>
      <c r="AE2089" s="224" t="s">
        <v>475</v>
      </c>
      <c r="AF2089">
        <f ca="1">OFFSET('Calculations 2'!$CE$45,W2089,0)*OFFSET($AA$6,X2089,0)*OFFSET($N$6,W2089,)</f>
        <v>5.7532161016779746</v>
      </c>
      <c r="AY2089" s="224" t="s">
        <v>228</v>
      </c>
      <c r="AZ2089" s="224" t="s">
        <v>490</v>
      </c>
      <c r="BA2089" s="224" t="s">
        <v>475</v>
      </c>
      <c r="BB2089">
        <v>0</v>
      </c>
      <c r="BE2089" s="224" t="s">
        <v>228</v>
      </c>
      <c r="BF2089" s="224" t="s">
        <v>490</v>
      </c>
      <c r="BG2089" s="224" t="s">
        <v>475</v>
      </c>
      <c r="BH2089">
        <v>0</v>
      </c>
    </row>
    <row r="2090" spans="17:60">
      <c r="Q2090" s="224" t="s">
        <v>246</v>
      </c>
      <c r="R2090" s="224" t="s">
        <v>490</v>
      </c>
      <c r="S2090" s="224" t="s">
        <v>475</v>
      </c>
      <c r="T2090" s="224">
        <f ca="1">OFFSET('Calculations 2'!$C$45,W2090,X2090)*OFFSET($N$6,W2090,0)</f>
        <v>0</v>
      </c>
      <c r="V2090">
        <f t="shared" si="98"/>
        <v>995</v>
      </c>
      <c r="W2090">
        <f t="shared" si="99"/>
        <v>5</v>
      </c>
      <c r="X2090">
        <f t="shared" si="100"/>
        <v>30</v>
      </c>
      <c r="AC2090" s="224" t="s">
        <v>246</v>
      </c>
      <c r="AD2090" s="224" t="s">
        <v>490</v>
      </c>
      <c r="AE2090" s="224" t="s">
        <v>475</v>
      </c>
      <c r="AF2090">
        <f ca="1">OFFSET('Calculations 2'!$CE$45,W2090,0)*OFFSET($AA$6,X2090,0)*OFFSET($N$6,W2090,)</f>
        <v>0.10297820708396703</v>
      </c>
      <c r="AY2090" s="224" t="s">
        <v>246</v>
      </c>
      <c r="AZ2090" s="224" t="s">
        <v>490</v>
      </c>
      <c r="BA2090" s="224" t="s">
        <v>475</v>
      </c>
      <c r="BB2090">
        <v>0</v>
      </c>
      <c r="BE2090" s="224" t="s">
        <v>246</v>
      </c>
      <c r="BF2090" s="224" t="s">
        <v>490</v>
      </c>
      <c r="BG2090" s="224" t="s">
        <v>475</v>
      </c>
      <c r="BH2090">
        <v>0</v>
      </c>
    </row>
    <row r="2091" spans="17:60">
      <c r="Q2091" s="224" t="s">
        <v>239</v>
      </c>
      <c r="R2091" s="224" t="s">
        <v>490</v>
      </c>
      <c r="S2091" s="224" t="s">
        <v>475</v>
      </c>
      <c r="T2091" s="224">
        <f ca="1">OFFSET('Calculations 2'!$C$45,W2091,X2091)*OFFSET($N$6,W2091,0)</f>
        <v>46.966383152395913</v>
      </c>
      <c r="V2091">
        <f t="shared" si="98"/>
        <v>996</v>
      </c>
      <c r="W2091">
        <f t="shared" si="99"/>
        <v>6</v>
      </c>
      <c r="X2091">
        <f t="shared" si="100"/>
        <v>30</v>
      </c>
      <c r="AC2091" s="224" t="s">
        <v>239</v>
      </c>
      <c r="AD2091" s="224" t="s">
        <v>490</v>
      </c>
      <c r="AE2091" s="224" t="s">
        <v>475</v>
      </c>
      <c r="AF2091">
        <f ca="1">OFFSET('Calculations 2'!$CE$45,W2091,0)*OFFSET($AA$6,X2091,0)*OFFSET($N$6,W2091,)</f>
        <v>1.4828778549705461</v>
      </c>
      <c r="AY2091" s="224" t="s">
        <v>239</v>
      </c>
      <c r="AZ2091" s="224" t="s">
        <v>490</v>
      </c>
      <c r="BA2091" s="224" t="s">
        <v>475</v>
      </c>
      <c r="BB2091">
        <v>0</v>
      </c>
      <c r="BE2091" s="224" t="s">
        <v>239</v>
      </c>
      <c r="BF2091" s="224" t="s">
        <v>490</v>
      </c>
      <c r="BG2091" s="224" t="s">
        <v>475</v>
      </c>
      <c r="BH2091">
        <v>0</v>
      </c>
    </row>
    <row r="2092" spans="17:60">
      <c r="Q2092" s="224" t="s">
        <v>466</v>
      </c>
      <c r="R2092" s="224" t="s">
        <v>490</v>
      </c>
      <c r="S2092" s="224" t="s">
        <v>475</v>
      </c>
      <c r="T2092" s="224">
        <f ca="1">OFFSET('Calculations 2'!$C$45,W2092,X2092)*OFFSET($N$6,W2092,0)</f>
        <v>38.450085569549017</v>
      </c>
      <c r="V2092">
        <f t="shared" si="98"/>
        <v>997</v>
      </c>
      <c r="W2092">
        <f t="shared" si="99"/>
        <v>7</v>
      </c>
      <c r="X2092">
        <f t="shared" si="100"/>
        <v>30</v>
      </c>
      <c r="AC2092" s="224" t="s">
        <v>466</v>
      </c>
      <c r="AD2092" s="224" t="s">
        <v>490</v>
      </c>
      <c r="AE2092" s="224" t="s">
        <v>475</v>
      </c>
      <c r="AF2092">
        <f ca="1">OFFSET('Calculations 2'!$CE$45,W2092,0)*OFFSET($AA$6,X2092,0)*OFFSET($N$6,W2092,)</f>
        <v>0.37340596566475664</v>
      </c>
      <c r="AY2092" s="224" t="s">
        <v>466</v>
      </c>
      <c r="AZ2092" s="224" t="s">
        <v>490</v>
      </c>
      <c r="BA2092" s="224" t="s">
        <v>475</v>
      </c>
      <c r="BB2092">
        <v>0</v>
      </c>
      <c r="BE2092" s="224" t="s">
        <v>466</v>
      </c>
      <c r="BF2092" s="224" t="s">
        <v>490</v>
      </c>
      <c r="BG2092" s="224" t="s">
        <v>475</v>
      </c>
      <c r="BH2092">
        <v>0</v>
      </c>
    </row>
    <row r="2093" spans="17:60">
      <c r="Q2093" s="224" t="s">
        <v>219</v>
      </c>
      <c r="R2093" s="224" t="s">
        <v>490</v>
      </c>
      <c r="S2093" s="224" t="s">
        <v>475</v>
      </c>
      <c r="T2093" s="224">
        <f ca="1">OFFSET('Calculations 2'!$C$45,W2093,X2093)*OFFSET($N$6,W2093,0)</f>
        <v>726.03849565870337</v>
      </c>
      <c r="V2093">
        <f t="shared" si="98"/>
        <v>998</v>
      </c>
      <c r="W2093">
        <f t="shared" si="99"/>
        <v>8</v>
      </c>
      <c r="X2093">
        <f t="shared" si="100"/>
        <v>30</v>
      </c>
      <c r="AC2093" s="224" t="s">
        <v>219</v>
      </c>
      <c r="AD2093" s="224" t="s">
        <v>490</v>
      </c>
      <c r="AE2093" s="224" t="s">
        <v>475</v>
      </c>
      <c r="AF2093">
        <f ca="1">OFFSET('Calculations 2'!$CE$45,W2093,0)*OFFSET($AA$6,X2093,0)*OFFSET($N$6,W2093,)</f>
        <v>5.1187742685978632</v>
      </c>
      <c r="AY2093" s="224" t="s">
        <v>219</v>
      </c>
      <c r="AZ2093" s="224" t="s">
        <v>490</v>
      </c>
      <c r="BA2093" s="224" t="s">
        <v>475</v>
      </c>
      <c r="BB2093">
        <v>0</v>
      </c>
      <c r="BE2093" s="224" t="s">
        <v>219</v>
      </c>
      <c r="BF2093" s="224" t="s">
        <v>490</v>
      </c>
      <c r="BG2093" s="224" t="s">
        <v>475</v>
      </c>
      <c r="BH2093">
        <v>0</v>
      </c>
    </row>
    <row r="2094" spans="17:60">
      <c r="Q2094" s="224" t="s">
        <v>242</v>
      </c>
      <c r="R2094" s="224" t="s">
        <v>490</v>
      </c>
      <c r="S2094" s="224" t="s">
        <v>475</v>
      </c>
      <c r="T2094" s="224">
        <f ca="1">OFFSET('Calculations 2'!$C$45,W2094,X2094)*OFFSET($N$6,W2094,0)</f>
        <v>2.3984050303663942</v>
      </c>
      <c r="V2094">
        <f t="shared" si="98"/>
        <v>999</v>
      </c>
      <c r="W2094">
        <f t="shared" si="99"/>
        <v>9</v>
      </c>
      <c r="X2094">
        <f t="shared" si="100"/>
        <v>30</v>
      </c>
      <c r="AC2094" s="224" t="s">
        <v>242</v>
      </c>
      <c r="AD2094" s="224" t="s">
        <v>490</v>
      </c>
      <c r="AE2094" s="224" t="s">
        <v>475</v>
      </c>
      <c r="AF2094">
        <f ca="1">OFFSET('Calculations 2'!$CE$45,W2094,0)*OFFSET($AA$6,X2094,0)*OFFSET($N$6,W2094,)</f>
        <v>3.9203006978654278</v>
      </c>
      <c r="AY2094" s="224" t="s">
        <v>242</v>
      </c>
      <c r="AZ2094" s="224" t="s">
        <v>490</v>
      </c>
      <c r="BA2094" s="224" t="s">
        <v>475</v>
      </c>
      <c r="BB2094">
        <v>0</v>
      </c>
      <c r="BE2094" s="224" t="s">
        <v>242</v>
      </c>
      <c r="BF2094" s="224" t="s">
        <v>490</v>
      </c>
      <c r="BG2094" s="224" t="s">
        <v>475</v>
      </c>
      <c r="BH2094">
        <v>0</v>
      </c>
    </row>
    <row r="2095" spans="17:60">
      <c r="Q2095" s="224" t="s">
        <v>467</v>
      </c>
      <c r="R2095" s="224" t="s">
        <v>490</v>
      </c>
      <c r="S2095" s="224" t="s">
        <v>475</v>
      </c>
      <c r="T2095" s="224">
        <f ca="1">OFFSET('Calculations 2'!$C$45,W2095,X2095)*OFFSET($N$6,W2095,0)</f>
        <v>20.361633229189692</v>
      </c>
      <c r="V2095">
        <f t="shared" si="98"/>
        <v>1000</v>
      </c>
      <c r="W2095">
        <f t="shared" si="99"/>
        <v>10</v>
      </c>
      <c r="X2095">
        <f t="shared" si="100"/>
        <v>30</v>
      </c>
      <c r="AC2095" s="224" t="s">
        <v>467</v>
      </c>
      <c r="AD2095" s="224" t="s">
        <v>490</v>
      </c>
      <c r="AE2095" s="224" t="s">
        <v>475</v>
      </c>
      <c r="AF2095">
        <f ca="1">OFFSET('Calculations 2'!$CE$45,W2095,0)*OFFSET($AA$6,X2095,0)*OFFSET($N$6,W2095,)</f>
        <v>1.479863929310808</v>
      </c>
      <c r="AY2095" s="224" t="s">
        <v>467</v>
      </c>
      <c r="AZ2095" s="224" t="s">
        <v>490</v>
      </c>
      <c r="BA2095" s="224" t="s">
        <v>475</v>
      </c>
      <c r="BB2095">
        <v>0</v>
      </c>
      <c r="BE2095" s="224" t="s">
        <v>467</v>
      </c>
      <c r="BF2095" s="224" t="s">
        <v>490</v>
      </c>
      <c r="BG2095" s="224" t="s">
        <v>475</v>
      </c>
      <c r="BH2095">
        <v>0</v>
      </c>
    </row>
    <row r="2096" spans="17:60">
      <c r="Q2096" s="224" t="s">
        <v>231</v>
      </c>
      <c r="R2096" s="224" t="s">
        <v>490</v>
      </c>
      <c r="S2096" s="224" t="s">
        <v>475</v>
      </c>
      <c r="T2096" s="224">
        <f ca="1">OFFSET('Calculations 2'!$C$45,W2096,X2096)*OFFSET($N$6,W2096,0)</f>
        <v>0</v>
      </c>
      <c r="V2096">
        <f t="shared" si="98"/>
        <v>1001</v>
      </c>
      <c r="W2096">
        <f t="shared" si="99"/>
        <v>11</v>
      </c>
      <c r="X2096">
        <f t="shared" si="100"/>
        <v>30</v>
      </c>
      <c r="AC2096" s="224" t="s">
        <v>231</v>
      </c>
      <c r="AD2096" s="224" t="s">
        <v>490</v>
      </c>
      <c r="AE2096" s="224" t="s">
        <v>475</v>
      </c>
      <c r="AF2096">
        <f ca="1">OFFSET('Calculations 2'!$CE$45,W2096,0)*OFFSET($AA$6,X2096,0)*OFFSET($N$6,W2096,)</f>
        <v>18.52366241540517</v>
      </c>
      <c r="AY2096" s="224" t="s">
        <v>231</v>
      </c>
      <c r="AZ2096" s="224" t="s">
        <v>490</v>
      </c>
      <c r="BA2096" s="224" t="s">
        <v>475</v>
      </c>
      <c r="BB2096">
        <v>0</v>
      </c>
      <c r="BE2096" s="224" t="s">
        <v>231</v>
      </c>
      <c r="BF2096" s="224" t="s">
        <v>490</v>
      </c>
      <c r="BG2096" s="224" t="s">
        <v>475</v>
      </c>
      <c r="BH2096">
        <v>0</v>
      </c>
    </row>
    <row r="2097" spans="17:60">
      <c r="Q2097" s="224" t="s">
        <v>468</v>
      </c>
      <c r="R2097" s="224" t="s">
        <v>490</v>
      </c>
      <c r="S2097" s="224" t="s">
        <v>475</v>
      </c>
      <c r="T2097" s="224">
        <f ca="1">OFFSET('Calculations 2'!$C$45,W2097,X2097)*OFFSET($N$6,W2097,0)</f>
        <v>35.917237000102794</v>
      </c>
      <c r="V2097">
        <f t="shared" si="98"/>
        <v>1002</v>
      </c>
      <c r="W2097">
        <f t="shared" si="99"/>
        <v>12</v>
      </c>
      <c r="X2097">
        <f t="shared" si="100"/>
        <v>30</v>
      </c>
      <c r="AC2097" s="224" t="s">
        <v>468</v>
      </c>
      <c r="AD2097" s="224" t="s">
        <v>490</v>
      </c>
      <c r="AE2097" s="224" t="s">
        <v>475</v>
      </c>
      <c r="AF2097">
        <f ca="1">OFFSET('Calculations 2'!$CE$45,W2097,0)*OFFSET($AA$6,X2097,0)*OFFSET($N$6,W2097,)</f>
        <v>70.959925460937001</v>
      </c>
      <c r="AY2097" s="224" t="s">
        <v>468</v>
      </c>
      <c r="AZ2097" s="224" t="s">
        <v>490</v>
      </c>
      <c r="BA2097" s="224" t="s">
        <v>475</v>
      </c>
      <c r="BB2097">
        <v>0</v>
      </c>
      <c r="BE2097" s="224" t="s">
        <v>468</v>
      </c>
      <c r="BF2097" s="224" t="s">
        <v>490</v>
      </c>
      <c r="BG2097" s="224" t="s">
        <v>475</v>
      </c>
      <c r="BH2097">
        <v>0</v>
      </c>
    </row>
    <row r="2098" spans="17:60">
      <c r="Q2098" s="224" t="s">
        <v>469</v>
      </c>
      <c r="R2098" s="224" t="s">
        <v>490</v>
      </c>
      <c r="S2098" s="224" t="s">
        <v>475</v>
      </c>
      <c r="T2098" s="224">
        <f ca="1">OFFSET('Calculations 2'!$C$45,W2098,X2098)*OFFSET($N$6,W2098,0)</f>
        <v>2.9989981180957983</v>
      </c>
      <c r="V2098">
        <f t="shared" si="98"/>
        <v>1003</v>
      </c>
      <c r="W2098">
        <f t="shared" si="99"/>
        <v>13</v>
      </c>
      <c r="X2098">
        <f t="shared" si="100"/>
        <v>30</v>
      </c>
      <c r="AC2098" s="224" t="s">
        <v>469</v>
      </c>
      <c r="AD2098" s="224" t="s">
        <v>490</v>
      </c>
      <c r="AE2098" s="224" t="s">
        <v>475</v>
      </c>
      <c r="AF2098">
        <f ca="1">OFFSET('Calculations 2'!$CE$45,W2098,0)*OFFSET($AA$6,X2098,0)*OFFSET($N$6,W2098,)</f>
        <v>38.046547397721817</v>
      </c>
      <c r="AY2098" s="224" t="s">
        <v>469</v>
      </c>
      <c r="AZ2098" s="224" t="s">
        <v>490</v>
      </c>
      <c r="BA2098" s="224" t="s">
        <v>475</v>
      </c>
      <c r="BB2098">
        <v>0</v>
      </c>
      <c r="BE2098" s="224" t="s">
        <v>469</v>
      </c>
      <c r="BF2098" s="224" t="s">
        <v>490</v>
      </c>
      <c r="BG2098" s="224" t="s">
        <v>475</v>
      </c>
      <c r="BH2098">
        <v>0</v>
      </c>
    </row>
    <row r="2099" spans="17:60">
      <c r="Q2099" s="224" t="s">
        <v>245</v>
      </c>
      <c r="R2099" s="224" t="s">
        <v>490</v>
      </c>
      <c r="S2099" s="224" t="s">
        <v>475</v>
      </c>
      <c r="T2099" s="224">
        <f ca="1">OFFSET('Calculations 2'!$C$45,W2099,X2099)*OFFSET($N$6,W2099,0)</f>
        <v>21.496493396111553</v>
      </c>
      <c r="V2099">
        <f t="shared" si="98"/>
        <v>1004</v>
      </c>
      <c r="W2099">
        <f t="shared" si="99"/>
        <v>14</v>
      </c>
      <c r="X2099">
        <f t="shared" si="100"/>
        <v>30</v>
      </c>
      <c r="AC2099" s="224" t="s">
        <v>245</v>
      </c>
      <c r="AD2099" s="224" t="s">
        <v>490</v>
      </c>
      <c r="AE2099" s="224" t="s">
        <v>475</v>
      </c>
      <c r="AF2099">
        <f ca="1">OFFSET('Calculations 2'!$CE$45,W2099,0)*OFFSET($AA$6,X2099,0)*OFFSET($N$6,W2099,)</f>
        <v>60.71801029309443</v>
      </c>
      <c r="AY2099" s="224" t="s">
        <v>245</v>
      </c>
      <c r="AZ2099" s="224" t="s">
        <v>490</v>
      </c>
      <c r="BA2099" s="224" t="s">
        <v>475</v>
      </c>
      <c r="BB2099">
        <v>0</v>
      </c>
      <c r="BE2099" s="224" t="s">
        <v>245</v>
      </c>
      <c r="BF2099" s="224" t="s">
        <v>490</v>
      </c>
      <c r="BG2099" s="224" t="s">
        <v>475</v>
      </c>
      <c r="BH2099">
        <v>0</v>
      </c>
    </row>
    <row r="2100" spans="17:60">
      <c r="Q2100" s="224" t="s">
        <v>470</v>
      </c>
      <c r="R2100" s="224" t="s">
        <v>490</v>
      </c>
      <c r="S2100" s="224" t="s">
        <v>475</v>
      </c>
      <c r="T2100" s="224">
        <f ca="1">OFFSET('Calculations 2'!$C$45,W2100,X2100)*OFFSET($N$6,W2100,0)</f>
        <v>144.69026344684286</v>
      </c>
      <c r="V2100">
        <f t="shared" si="98"/>
        <v>1005</v>
      </c>
      <c r="W2100">
        <f t="shared" si="99"/>
        <v>15</v>
      </c>
      <c r="X2100">
        <f t="shared" si="100"/>
        <v>30</v>
      </c>
      <c r="AC2100" s="224" t="s">
        <v>470</v>
      </c>
      <c r="AD2100" s="224" t="s">
        <v>490</v>
      </c>
      <c r="AE2100" s="224" t="s">
        <v>475</v>
      </c>
      <c r="AF2100">
        <f ca="1">OFFSET('Calculations 2'!$CE$45,W2100,0)*OFFSET($AA$6,X2100,0)*OFFSET($N$6,W2100,)</f>
        <v>23.03851810947738</v>
      </c>
      <c r="AY2100" s="224" t="s">
        <v>470</v>
      </c>
      <c r="AZ2100" s="224" t="s">
        <v>490</v>
      </c>
      <c r="BA2100" s="224" t="s">
        <v>475</v>
      </c>
      <c r="BB2100">
        <v>0</v>
      </c>
      <c r="BE2100" s="224" t="s">
        <v>470</v>
      </c>
      <c r="BF2100" s="224" t="s">
        <v>490</v>
      </c>
      <c r="BG2100" s="224" t="s">
        <v>475</v>
      </c>
      <c r="BH2100">
        <v>0</v>
      </c>
    </row>
    <row r="2101" spans="17:60">
      <c r="Q2101" s="224" t="s">
        <v>471</v>
      </c>
      <c r="R2101" s="224" t="s">
        <v>490</v>
      </c>
      <c r="S2101" s="224" t="s">
        <v>475</v>
      </c>
      <c r="T2101" s="224">
        <f ca="1">OFFSET('Calculations 2'!$C$45,W2101,X2101)*OFFSET($N$6,W2101,0)</f>
        <v>1.9909270241101678</v>
      </c>
      <c r="V2101">
        <f t="shared" si="98"/>
        <v>1006</v>
      </c>
      <c r="W2101">
        <f t="shared" si="99"/>
        <v>16</v>
      </c>
      <c r="X2101">
        <f t="shared" si="100"/>
        <v>30</v>
      </c>
      <c r="AC2101" s="224" t="s">
        <v>471</v>
      </c>
      <c r="AD2101" s="224" t="s">
        <v>490</v>
      </c>
      <c r="AE2101" s="224" t="s">
        <v>475</v>
      </c>
      <c r="AF2101">
        <f ca="1">OFFSET('Calculations 2'!$CE$45,W2101,0)*OFFSET($AA$6,X2101,0)*OFFSET($N$6,W2101,)</f>
        <v>0</v>
      </c>
      <c r="AY2101" s="224" t="s">
        <v>471</v>
      </c>
      <c r="AZ2101" s="224" t="s">
        <v>490</v>
      </c>
      <c r="BA2101" s="224" t="s">
        <v>475</v>
      </c>
      <c r="BB2101">
        <v>0</v>
      </c>
      <c r="BE2101" s="224" t="s">
        <v>471</v>
      </c>
      <c r="BF2101" s="224" t="s">
        <v>490</v>
      </c>
      <c r="BG2101" s="224" t="s">
        <v>475</v>
      </c>
      <c r="BH2101">
        <v>0</v>
      </c>
    </row>
    <row r="2102" spans="17:60">
      <c r="Q2102" s="224" t="s">
        <v>221</v>
      </c>
      <c r="R2102" s="224" t="s">
        <v>490</v>
      </c>
      <c r="S2102" s="224" t="s">
        <v>475</v>
      </c>
      <c r="T2102" s="224">
        <f ca="1">OFFSET('Calculations 2'!$C$45,W2102,X2102)*OFFSET($N$6,W2102,0)</f>
        <v>5.7995097243723963</v>
      </c>
      <c r="V2102">
        <f t="shared" si="98"/>
        <v>1007</v>
      </c>
      <c r="W2102">
        <f t="shared" si="99"/>
        <v>17</v>
      </c>
      <c r="X2102">
        <f t="shared" si="100"/>
        <v>30</v>
      </c>
      <c r="AC2102" s="224" t="s">
        <v>221</v>
      </c>
      <c r="AD2102" s="224" t="s">
        <v>490</v>
      </c>
      <c r="AE2102" s="224" t="s">
        <v>475</v>
      </c>
      <c r="AF2102">
        <f ca="1">OFFSET('Calculations 2'!$CE$45,W2102,0)*OFFSET($AA$6,X2102,0)*OFFSET($N$6,W2102,)</f>
        <v>4.5099225714790245</v>
      </c>
      <c r="AY2102" s="224" t="s">
        <v>221</v>
      </c>
      <c r="AZ2102" s="224" t="s">
        <v>490</v>
      </c>
      <c r="BA2102" s="224" t="s">
        <v>475</v>
      </c>
      <c r="BB2102">
        <v>0</v>
      </c>
      <c r="BE2102" s="224" t="s">
        <v>221</v>
      </c>
      <c r="BF2102" s="224" t="s">
        <v>490</v>
      </c>
      <c r="BG2102" s="224" t="s">
        <v>475</v>
      </c>
      <c r="BH2102">
        <v>0</v>
      </c>
    </row>
    <row r="2103" spans="17:60">
      <c r="Q2103" s="224" t="s">
        <v>244</v>
      </c>
      <c r="R2103" s="224" t="s">
        <v>490</v>
      </c>
      <c r="S2103" s="224" t="s">
        <v>475</v>
      </c>
      <c r="T2103" s="224">
        <f ca="1">OFFSET('Calculations 2'!$C$45,W2103,X2103)*OFFSET($N$6,W2103,0)</f>
        <v>3.114226875780048</v>
      </c>
      <c r="V2103">
        <f t="shared" si="98"/>
        <v>1008</v>
      </c>
      <c r="W2103">
        <f t="shared" si="99"/>
        <v>18</v>
      </c>
      <c r="X2103">
        <f t="shared" si="100"/>
        <v>30</v>
      </c>
      <c r="AC2103" s="224" t="s">
        <v>244</v>
      </c>
      <c r="AD2103" s="224" t="s">
        <v>490</v>
      </c>
      <c r="AE2103" s="224" t="s">
        <v>475</v>
      </c>
      <c r="AF2103">
        <f ca="1">OFFSET('Calculations 2'!$CE$45,W2103,0)*OFFSET($AA$6,X2103,0)*OFFSET($N$6,W2103,)</f>
        <v>0.39458761578959123</v>
      </c>
      <c r="AY2103" s="224" t="s">
        <v>244</v>
      </c>
      <c r="AZ2103" s="224" t="s">
        <v>490</v>
      </c>
      <c r="BA2103" s="224" t="s">
        <v>475</v>
      </c>
      <c r="BB2103">
        <v>0</v>
      </c>
      <c r="BE2103" s="224" t="s">
        <v>244</v>
      </c>
      <c r="BF2103" s="224" t="s">
        <v>490</v>
      </c>
      <c r="BG2103" s="224" t="s">
        <v>475</v>
      </c>
      <c r="BH2103">
        <v>0</v>
      </c>
    </row>
    <row r="2104" spans="17:60">
      <c r="Q2104" s="224" t="s">
        <v>472</v>
      </c>
      <c r="R2104" s="224" t="s">
        <v>490</v>
      </c>
      <c r="S2104" s="224" t="s">
        <v>475</v>
      </c>
      <c r="T2104" s="224">
        <f ca="1">OFFSET('Calculations 2'!$C$45,W2104,X2104)*OFFSET($N$6,W2104,0)</f>
        <v>0.58222456685935109</v>
      </c>
      <c r="V2104">
        <f t="shared" si="98"/>
        <v>1009</v>
      </c>
      <c r="W2104">
        <f t="shared" si="99"/>
        <v>19</v>
      </c>
      <c r="X2104">
        <f t="shared" si="100"/>
        <v>30</v>
      </c>
      <c r="AC2104" s="224" t="s">
        <v>472</v>
      </c>
      <c r="AD2104" s="224" t="s">
        <v>490</v>
      </c>
      <c r="AE2104" s="224" t="s">
        <v>475</v>
      </c>
      <c r="AF2104">
        <f ca="1">OFFSET('Calculations 2'!$CE$45,W2104,0)*OFFSET($AA$6,X2104,0)*OFFSET($N$6,W2104,)</f>
        <v>0</v>
      </c>
      <c r="AY2104" s="224" t="s">
        <v>472</v>
      </c>
      <c r="AZ2104" s="224" t="s">
        <v>490</v>
      </c>
      <c r="BA2104" s="224" t="s">
        <v>475</v>
      </c>
      <c r="BB2104">
        <v>0</v>
      </c>
      <c r="BE2104" s="224" t="s">
        <v>472</v>
      </c>
      <c r="BF2104" s="224" t="s">
        <v>490</v>
      </c>
      <c r="BG2104" s="224" t="s">
        <v>475</v>
      </c>
      <c r="BH2104">
        <v>0</v>
      </c>
    </row>
    <row r="2105" spans="17:60">
      <c r="Q2105" s="224" t="s">
        <v>238</v>
      </c>
      <c r="R2105" s="224" t="s">
        <v>490</v>
      </c>
      <c r="S2105" s="224" t="s">
        <v>475</v>
      </c>
      <c r="T2105" s="224">
        <f ca="1">OFFSET('Calculations 2'!$C$45,W2105,X2105)*OFFSET($N$6,W2105,0)</f>
        <v>2.5529887388036445</v>
      </c>
      <c r="V2105">
        <f t="shared" si="98"/>
        <v>1010</v>
      </c>
      <c r="W2105">
        <f t="shared" si="99"/>
        <v>20</v>
      </c>
      <c r="X2105">
        <f t="shared" si="100"/>
        <v>30</v>
      </c>
      <c r="AC2105" s="224" t="s">
        <v>238</v>
      </c>
      <c r="AD2105" s="224" t="s">
        <v>490</v>
      </c>
      <c r="AE2105" s="224" t="s">
        <v>475</v>
      </c>
      <c r="AF2105">
        <f ca="1">OFFSET('Calculations 2'!$CE$45,W2105,0)*OFFSET($AA$6,X2105,0)*OFFSET($N$6,W2105,)</f>
        <v>0</v>
      </c>
      <c r="AY2105" s="224" t="s">
        <v>238</v>
      </c>
      <c r="AZ2105" s="224" t="s">
        <v>490</v>
      </c>
      <c r="BA2105" s="224" t="s">
        <v>475</v>
      </c>
      <c r="BB2105">
        <v>0</v>
      </c>
      <c r="BE2105" s="224" t="s">
        <v>238</v>
      </c>
      <c r="BF2105" s="224" t="s">
        <v>490</v>
      </c>
      <c r="BG2105" s="224" t="s">
        <v>475</v>
      </c>
      <c r="BH2105">
        <v>0</v>
      </c>
    </row>
    <row r="2106" spans="17:60">
      <c r="Q2106" s="224" t="s">
        <v>247</v>
      </c>
      <c r="R2106" s="224" t="s">
        <v>490</v>
      </c>
      <c r="S2106" s="224" t="s">
        <v>475</v>
      </c>
      <c r="T2106" s="224">
        <f ca="1">OFFSET('Calculations 2'!$C$45,W2106,X2106)*OFFSET($N$6,W2106,0)</f>
        <v>0</v>
      </c>
      <c r="V2106">
        <f t="shared" si="98"/>
        <v>1011</v>
      </c>
      <c r="W2106">
        <f t="shared" si="99"/>
        <v>21</v>
      </c>
      <c r="X2106">
        <f t="shared" si="100"/>
        <v>30</v>
      </c>
      <c r="AC2106" s="224" t="s">
        <v>247</v>
      </c>
      <c r="AD2106" s="224" t="s">
        <v>490</v>
      </c>
      <c r="AE2106" s="224" t="s">
        <v>475</v>
      </c>
      <c r="AF2106">
        <f ca="1">OFFSET('Calculations 2'!$CE$45,W2106,0)*OFFSET($AA$6,X2106,0)*OFFSET($N$6,W2106,)</f>
        <v>0</v>
      </c>
      <c r="AY2106" s="224" t="s">
        <v>247</v>
      </c>
      <c r="AZ2106" s="224" t="s">
        <v>490</v>
      </c>
      <c r="BA2106" s="224" t="s">
        <v>475</v>
      </c>
      <c r="BB2106">
        <v>0</v>
      </c>
      <c r="BE2106" s="224" t="s">
        <v>247</v>
      </c>
      <c r="BF2106" s="224" t="s">
        <v>490</v>
      </c>
      <c r="BG2106" s="224" t="s">
        <v>475</v>
      </c>
      <c r="BH2106">
        <v>0</v>
      </c>
    </row>
    <row r="2107" spans="17:60">
      <c r="Q2107" s="224" t="s">
        <v>218</v>
      </c>
      <c r="R2107" s="224" t="s">
        <v>490</v>
      </c>
      <c r="S2107" s="224" t="s">
        <v>475</v>
      </c>
      <c r="T2107" s="224">
        <f ca="1">OFFSET('Calculations 2'!$C$45,W2107,X2107)*OFFSET($N$6,W2107,0)</f>
        <v>0.79576005587486509</v>
      </c>
      <c r="V2107">
        <f t="shared" si="98"/>
        <v>1012</v>
      </c>
      <c r="W2107">
        <f t="shared" si="99"/>
        <v>22</v>
      </c>
      <c r="X2107">
        <f t="shared" si="100"/>
        <v>30</v>
      </c>
      <c r="AC2107" s="224" t="s">
        <v>218</v>
      </c>
      <c r="AD2107" s="224" t="s">
        <v>490</v>
      </c>
      <c r="AE2107" s="224" t="s">
        <v>475</v>
      </c>
      <c r="AF2107">
        <f ca="1">OFFSET('Calculations 2'!$CE$45,W2107,0)*OFFSET($AA$6,X2107,0)*OFFSET($N$6,W2107,)</f>
        <v>0</v>
      </c>
      <c r="AY2107" s="224" t="s">
        <v>218</v>
      </c>
      <c r="AZ2107" s="224" t="s">
        <v>490</v>
      </c>
      <c r="BA2107" s="224" t="s">
        <v>475</v>
      </c>
      <c r="BB2107">
        <v>0</v>
      </c>
      <c r="BE2107" s="224" t="s">
        <v>218</v>
      </c>
      <c r="BF2107" s="224" t="s">
        <v>490</v>
      </c>
      <c r="BG2107" s="224" t="s">
        <v>475</v>
      </c>
      <c r="BH2107">
        <v>0</v>
      </c>
    </row>
    <row r="2108" spans="17:60">
      <c r="Q2108" s="224" t="s">
        <v>257</v>
      </c>
      <c r="R2108" s="224" t="s">
        <v>490</v>
      </c>
      <c r="S2108" s="224" t="s">
        <v>475</v>
      </c>
      <c r="T2108" s="224">
        <f ca="1">OFFSET('Calculations 2'!$C$45,W2108,X2108)*OFFSET($N$6,W2108,0)</f>
        <v>6.0366434498271566E-2</v>
      </c>
      <c r="V2108">
        <f t="shared" si="98"/>
        <v>1013</v>
      </c>
      <c r="W2108">
        <f t="shared" si="99"/>
        <v>23</v>
      </c>
      <c r="X2108">
        <f t="shared" si="100"/>
        <v>30</v>
      </c>
      <c r="AC2108" s="224" t="s">
        <v>257</v>
      </c>
      <c r="AD2108" s="224" t="s">
        <v>490</v>
      </c>
      <c r="AE2108" s="224" t="s">
        <v>475</v>
      </c>
      <c r="AF2108">
        <f ca="1">OFFSET('Calculations 2'!$CE$45,W2108,0)*OFFSET($AA$6,X2108,0)*OFFSET($N$6,W2108,)</f>
        <v>0</v>
      </c>
      <c r="AY2108" s="224" t="s">
        <v>257</v>
      </c>
      <c r="AZ2108" s="224" t="s">
        <v>490</v>
      </c>
      <c r="BA2108" s="224" t="s">
        <v>475</v>
      </c>
      <c r="BB2108">
        <v>0</v>
      </c>
      <c r="BE2108" s="224" t="s">
        <v>257</v>
      </c>
      <c r="BF2108" s="224" t="s">
        <v>490</v>
      </c>
      <c r="BG2108" s="224" t="s">
        <v>475</v>
      </c>
      <c r="BH2108">
        <v>0</v>
      </c>
    </row>
    <row r="2109" spans="17:60">
      <c r="Q2109" s="224" t="s">
        <v>220</v>
      </c>
      <c r="R2109" s="224" t="s">
        <v>490</v>
      </c>
      <c r="S2109" s="224" t="s">
        <v>475</v>
      </c>
      <c r="T2109" s="224">
        <f ca="1">OFFSET('Calculations 2'!$C$45,W2109,X2109)*OFFSET($N$6,W2109,0)</f>
        <v>7.1650628684091471</v>
      </c>
      <c r="V2109">
        <f t="shared" si="98"/>
        <v>1014</v>
      </c>
      <c r="W2109">
        <f t="shared" si="99"/>
        <v>24</v>
      </c>
      <c r="X2109">
        <f t="shared" si="100"/>
        <v>30</v>
      </c>
      <c r="AC2109" s="224" t="s">
        <v>220</v>
      </c>
      <c r="AD2109" s="224" t="s">
        <v>490</v>
      </c>
      <c r="AE2109" s="224" t="s">
        <v>475</v>
      </c>
      <c r="AF2109">
        <f ca="1">OFFSET('Calculations 2'!$CE$45,W2109,0)*OFFSET($AA$6,X2109,0)*OFFSET($N$6,W2109,)</f>
        <v>0</v>
      </c>
      <c r="AY2109" s="224" t="s">
        <v>220</v>
      </c>
      <c r="AZ2109" s="224" t="s">
        <v>490</v>
      </c>
      <c r="BA2109" s="224" t="s">
        <v>475</v>
      </c>
      <c r="BB2109">
        <v>0</v>
      </c>
      <c r="BE2109" s="224" t="s">
        <v>220</v>
      </c>
      <c r="BF2109" s="224" t="s">
        <v>490</v>
      </c>
      <c r="BG2109" s="224" t="s">
        <v>475</v>
      </c>
      <c r="BH2109">
        <v>0</v>
      </c>
    </row>
    <row r="2110" spans="17:60">
      <c r="Q2110" s="224" t="s">
        <v>235</v>
      </c>
      <c r="R2110" s="224" t="s">
        <v>490</v>
      </c>
      <c r="S2110" s="224" t="s">
        <v>475</v>
      </c>
      <c r="T2110" s="224">
        <f ca="1">OFFSET('Calculations 2'!$C$45,W2110,X2110)*OFFSET($N$6,W2110,0)</f>
        <v>7.047831732917313</v>
      </c>
      <c r="V2110">
        <f t="shared" si="98"/>
        <v>1015</v>
      </c>
      <c r="W2110">
        <f t="shared" si="99"/>
        <v>25</v>
      </c>
      <c r="X2110">
        <f t="shared" si="100"/>
        <v>30</v>
      </c>
      <c r="AC2110" s="224" t="s">
        <v>235</v>
      </c>
      <c r="AD2110" s="224" t="s">
        <v>490</v>
      </c>
      <c r="AE2110" s="224" t="s">
        <v>475</v>
      </c>
      <c r="AF2110">
        <f ca="1">OFFSET('Calculations 2'!$CE$45,W2110,0)*OFFSET($AA$6,X2110,0)*OFFSET($N$6,W2110,)</f>
        <v>0</v>
      </c>
      <c r="AY2110" s="224" t="s">
        <v>235</v>
      </c>
      <c r="AZ2110" s="224" t="s">
        <v>490</v>
      </c>
      <c r="BA2110" s="224" t="s">
        <v>475</v>
      </c>
      <c r="BB2110">
        <v>0</v>
      </c>
      <c r="BE2110" s="224" t="s">
        <v>235</v>
      </c>
      <c r="BF2110" s="224" t="s">
        <v>490</v>
      </c>
      <c r="BG2110" s="224" t="s">
        <v>475</v>
      </c>
      <c r="BH2110">
        <v>0</v>
      </c>
    </row>
    <row r="2111" spans="17:60">
      <c r="Q2111" s="224" t="s">
        <v>473</v>
      </c>
      <c r="R2111" s="224" t="s">
        <v>490</v>
      </c>
      <c r="S2111" s="224" t="s">
        <v>475</v>
      </c>
      <c r="T2111" s="224">
        <f ca="1">OFFSET('Calculations 2'!$C$45,W2111,X2111)*OFFSET($N$6,W2111,0)</f>
        <v>6.4125959553361254</v>
      </c>
      <c r="V2111">
        <f t="shared" si="98"/>
        <v>1016</v>
      </c>
      <c r="W2111">
        <f t="shared" si="99"/>
        <v>26</v>
      </c>
      <c r="X2111">
        <f t="shared" si="100"/>
        <v>30</v>
      </c>
      <c r="AC2111" s="224" t="s">
        <v>473</v>
      </c>
      <c r="AD2111" s="224" t="s">
        <v>490</v>
      </c>
      <c r="AE2111" s="224" t="s">
        <v>475</v>
      </c>
      <c r="AF2111">
        <f ca="1">OFFSET('Calculations 2'!$CE$45,W2111,0)*OFFSET($AA$6,X2111,0)*OFFSET($N$6,W2111,)</f>
        <v>0</v>
      </c>
      <c r="AY2111" s="224" t="s">
        <v>473</v>
      </c>
      <c r="AZ2111" s="224" t="s">
        <v>490</v>
      </c>
      <c r="BA2111" s="224" t="s">
        <v>475</v>
      </c>
      <c r="BB2111">
        <v>0</v>
      </c>
      <c r="BE2111" s="224" t="s">
        <v>473</v>
      </c>
      <c r="BF2111" s="224" t="s">
        <v>490</v>
      </c>
      <c r="BG2111" s="224" t="s">
        <v>475</v>
      </c>
      <c r="BH2111">
        <v>0</v>
      </c>
    </row>
    <row r="2112" spans="17:60">
      <c r="Q2112" s="224" t="s">
        <v>233</v>
      </c>
      <c r="R2112" s="224" t="s">
        <v>490</v>
      </c>
      <c r="S2112" s="224" t="s">
        <v>475</v>
      </c>
      <c r="T2112" s="224">
        <f ca="1">OFFSET('Calculations 2'!$C$45,W2112,X2112)*OFFSET($N$6,W2112,0)</f>
        <v>4.9262893229227416</v>
      </c>
      <c r="V2112">
        <f t="shared" si="98"/>
        <v>1017</v>
      </c>
      <c r="W2112">
        <f t="shared" si="99"/>
        <v>27</v>
      </c>
      <c r="X2112">
        <f t="shared" si="100"/>
        <v>30</v>
      </c>
      <c r="AC2112" s="224" t="s">
        <v>233</v>
      </c>
      <c r="AD2112" s="224" t="s">
        <v>490</v>
      </c>
      <c r="AE2112" s="224" t="s">
        <v>475</v>
      </c>
      <c r="AF2112">
        <f ca="1">OFFSET('Calculations 2'!$CE$45,W2112,0)*OFFSET($AA$6,X2112,0)*OFFSET($N$6,W2112,)</f>
        <v>0</v>
      </c>
      <c r="AY2112" s="224" t="s">
        <v>233</v>
      </c>
      <c r="AZ2112" s="224" t="s">
        <v>490</v>
      </c>
      <c r="BA2112" s="224" t="s">
        <v>475</v>
      </c>
      <c r="BB2112">
        <v>0</v>
      </c>
      <c r="BE2112" s="224" t="s">
        <v>233</v>
      </c>
      <c r="BF2112" s="224" t="s">
        <v>490</v>
      </c>
      <c r="BG2112" s="224" t="s">
        <v>475</v>
      </c>
      <c r="BH2112">
        <v>0</v>
      </c>
    </row>
    <row r="2113" spans="17:60">
      <c r="Q2113" s="224" t="s">
        <v>474</v>
      </c>
      <c r="R2113" s="224" t="s">
        <v>490</v>
      </c>
      <c r="S2113" s="224" t="s">
        <v>475</v>
      </c>
      <c r="T2113" s="224">
        <f ca="1">OFFSET('Calculations 2'!$C$45,W2113,X2113)*OFFSET($N$6,W2113,0)</f>
        <v>4.2926744175778753</v>
      </c>
      <c r="V2113">
        <f t="shared" si="98"/>
        <v>1018</v>
      </c>
      <c r="W2113">
        <f t="shared" si="99"/>
        <v>28</v>
      </c>
      <c r="X2113">
        <f t="shared" si="100"/>
        <v>30</v>
      </c>
      <c r="AC2113" s="224" t="s">
        <v>474</v>
      </c>
      <c r="AD2113" s="224" t="s">
        <v>490</v>
      </c>
      <c r="AE2113" s="224" t="s">
        <v>475</v>
      </c>
      <c r="AF2113">
        <f ca="1">OFFSET('Calculations 2'!$CE$45,W2113,0)*OFFSET($AA$6,X2113,0)*OFFSET($N$6,W2113,)</f>
        <v>0</v>
      </c>
      <c r="AY2113" s="224" t="s">
        <v>474</v>
      </c>
      <c r="AZ2113" s="224" t="s">
        <v>490</v>
      </c>
      <c r="BA2113" s="224" t="s">
        <v>475</v>
      </c>
      <c r="BB2113">
        <v>0</v>
      </c>
      <c r="BE2113" s="224" t="s">
        <v>474</v>
      </c>
      <c r="BF2113" s="224" t="s">
        <v>490</v>
      </c>
      <c r="BG2113" s="224" t="s">
        <v>475</v>
      </c>
      <c r="BH2113">
        <v>0</v>
      </c>
    </row>
    <row r="2114" spans="17:60">
      <c r="Q2114" s="224" t="s">
        <v>223</v>
      </c>
      <c r="R2114" s="224" t="s">
        <v>490</v>
      </c>
      <c r="S2114" s="224" t="s">
        <v>475</v>
      </c>
      <c r="T2114" s="224">
        <f ca="1">OFFSET('Calculations 2'!$C$45,W2114,X2114)*OFFSET($N$6,W2114,0)</f>
        <v>3.636886255006682E-2</v>
      </c>
      <c r="V2114">
        <f t="shared" si="98"/>
        <v>1019</v>
      </c>
      <c r="W2114">
        <f t="shared" si="99"/>
        <v>29</v>
      </c>
      <c r="X2114">
        <f t="shared" si="100"/>
        <v>30</v>
      </c>
      <c r="AC2114" s="224" t="s">
        <v>223</v>
      </c>
      <c r="AD2114" s="224" t="s">
        <v>490</v>
      </c>
      <c r="AE2114" s="224" t="s">
        <v>475</v>
      </c>
      <c r="AF2114">
        <f ca="1">OFFSET('Calculations 2'!$CE$45,W2114,0)*OFFSET($AA$6,X2114,0)*OFFSET($N$6,W2114,)</f>
        <v>0</v>
      </c>
      <c r="AY2114" s="224" t="s">
        <v>223</v>
      </c>
      <c r="AZ2114" s="224" t="s">
        <v>490</v>
      </c>
      <c r="BA2114" s="224" t="s">
        <v>475</v>
      </c>
      <c r="BB2114">
        <v>0</v>
      </c>
      <c r="BE2114" s="224" t="s">
        <v>223</v>
      </c>
      <c r="BF2114" s="224" t="s">
        <v>490</v>
      </c>
      <c r="BG2114" s="224" t="s">
        <v>475</v>
      </c>
      <c r="BH2114">
        <v>0</v>
      </c>
    </row>
    <row r="2115" spans="17:60">
      <c r="Q2115" s="224" t="s">
        <v>475</v>
      </c>
      <c r="R2115" s="224" t="s">
        <v>490</v>
      </c>
      <c r="S2115" s="224" t="s">
        <v>475</v>
      </c>
      <c r="T2115" s="224">
        <f ca="1">OFFSET('Calculations 2'!$C$45,W2115,X2115)*OFFSET($N$6,W2115,0)</f>
        <v>0.15253580996124305</v>
      </c>
      <c r="V2115">
        <f t="shared" si="98"/>
        <v>1020</v>
      </c>
      <c r="W2115">
        <f t="shared" si="99"/>
        <v>30</v>
      </c>
      <c r="X2115">
        <f t="shared" si="100"/>
        <v>30</v>
      </c>
      <c r="AC2115" s="224" t="s">
        <v>475</v>
      </c>
      <c r="AD2115" s="224" t="s">
        <v>490</v>
      </c>
      <c r="AE2115" s="224" t="s">
        <v>475</v>
      </c>
      <c r="AF2115">
        <f ca="1">OFFSET('Calculations 2'!$CE$45,W2115,0)*OFFSET($AA$6,X2115,0)*OFFSET($N$6,W2115,)</f>
        <v>0</v>
      </c>
      <c r="AY2115" s="224" t="s">
        <v>475</v>
      </c>
      <c r="AZ2115" s="224" t="s">
        <v>490</v>
      </c>
      <c r="BA2115" s="224" t="s">
        <v>475</v>
      </c>
      <c r="BB2115">
        <v>0</v>
      </c>
      <c r="BE2115" s="224" t="s">
        <v>475</v>
      </c>
      <c r="BF2115" s="224" t="s">
        <v>490</v>
      </c>
      <c r="BG2115" s="224" t="s">
        <v>475</v>
      </c>
      <c r="BH2115">
        <v>0</v>
      </c>
    </row>
    <row r="2116" spans="17:60">
      <c r="Q2116" s="224" t="s">
        <v>476</v>
      </c>
      <c r="R2116" s="224" t="s">
        <v>490</v>
      </c>
      <c r="S2116" s="224" t="s">
        <v>475</v>
      </c>
      <c r="T2116" s="224">
        <f ca="1">OFFSET('Calculations 2'!$C$45,W2116,X2116)*OFFSET($N$6,W2116,0)</f>
        <v>9.1698811073975488</v>
      </c>
      <c r="V2116">
        <f t="shared" si="98"/>
        <v>1021</v>
      </c>
      <c r="W2116">
        <f t="shared" si="99"/>
        <v>31</v>
      </c>
      <c r="X2116">
        <f t="shared" si="100"/>
        <v>30</v>
      </c>
      <c r="AC2116" s="224" t="s">
        <v>476</v>
      </c>
      <c r="AD2116" s="224" t="s">
        <v>490</v>
      </c>
      <c r="AE2116" s="224" t="s">
        <v>475</v>
      </c>
      <c r="AF2116">
        <f ca="1">OFFSET('Calculations 2'!$CE$45,W2116,0)*OFFSET($AA$6,X2116,0)*OFFSET($N$6,W2116,)</f>
        <v>0</v>
      </c>
      <c r="AY2116" s="224" t="s">
        <v>476</v>
      </c>
      <c r="AZ2116" s="224" t="s">
        <v>490</v>
      </c>
      <c r="BA2116" s="224" t="s">
        <v>475</v>
      </c>
      <c r="BB2116">
        <v>0</v>
      </c>
      <c r="BE2116" s="224" t="s">
        <v>476</v>
      </c>
      <c r="BF2116" s="224" t="s">
        <v>490</v>
      </c>
      <c r="BG2116" s="224" t="s">
        <v>475</v>
      </c>
      <c r="BH2116">
        <v>0</v>
      </c>
    </row>
    <row r="2117" spans="17:60">
      <c r="Q2117" s="224" t="s">
        <v>222</v>
      </c>
      <c r="R2117" s="224" t="s">
        <v>490</v>
      </c>
      <c r="S2117" s="224" t="s">
        <v>475</v>
      </c>
      <c r="T2117" s="224">
        <f ca="1">OFFSET('Calculations 2'!$C$45,W2117,X2117)*OFFSET($N$6,W2117,0)</f>
        <v>0</v>
      </c>
      <c r="V2117">
        <f t="shared" si="98"/>
        <v>1022</v>
      </c>
      <c r="W2117">
        <f t="shared" si="99"/>
        <v>32</v>
      </c>
      <c r="X2117">
        <f t="shared" si="100"/>
        <v>30</v>
      </c>
      <c r="AC2117" s="224" t="s">
        <v>222</v>
      </c>
      <c r="AD2117" s="224" t="s">
        <v>490</v>
      </c>
      <c r="AE2117" s="224" t="s">
        <v>475</v>
      </c>
      <c r="AF2117">
        <f ca="1">OFFSET('Calculations 2'!$CE$45,W2117,0)*OFFSET($AA$6,X2117,0)*OFFSET($N$6,W2117,)</f>
        <v>0</v>
      </c>
      <c r="AY2117" s="224" t="s">
        <v>222</v>
      </c>
      <c r="AZ2117" s="224" t="s">
        <v>490</v>
      </c>
      <c r="BA2117" s="224" t="s">
        <v>475</v>
      </c>
      <c r="BB2117">
        <v>0</v>
      </c>
      <c r="BE2117" s="224" t="s">
        <v>222</v>
      </c>
      <c r="BF2117" s="224" t="s">
        <v>490</v>
      </c>
      <c r="BG2117" s="224" t="s">
        <v>475</v>
      </c>
      <c r="BH2117">
        <v>0</v>
      </c>
    </row>
    <row r="2118" spans="17:60">
      <c r="Q2118" s="224" t="s">
        <v>217</v>
      </c>
      <c r="R2118" s="224" t="s">
        <v>490</v>
      </c>
      <c r="S2118" s="224" t="s">
        <v>476</v>
      </c>
      <c r="T2118" s="224">
        <f ca="1">OFFSET('Calculations 2'!$C$45,W2118,X2118)*OFFSET($N$6,W2118,0)</f>
        <v>0</v>
      </c>
      <c r="V2118">
        <f t="shared" si="98"/>
        <v>1023</v>
      </c>
      <c r="W2118">
        <f t="shared" si="99"/>
        <v>0</v>
      </c>
      <c r="X2118">
        <f t="shared" si="100"/>
        <v>31</v>
      </c>
      <c r="AC2118" s="224" t="s">
        <v>217</v>
      </c>
      <c r="AD2118" s="224" t="s">
        <v>490</v>
      </c>
      <c r="AE2118" s="224" t="s">
        <v>476</v>
      </c>
      <c r="AF2118">
        <f ca="1">OFFSET('Calculations 2'!$CE$45,W2118,0)*OFFSET($AA$6,X2118,0)*OFFSET($N$6,W2118,)</f>
        <v>0.36686575560600287</v>
      </c>
      <c r="AY2118" s="224" t="s">
        <v>217</v>
      </c>
      <c r="AZ2118" s="224" t="s">
        <v>490</v>
      </c>
      <c r="BA2118" s="224" t="s">
        <v>476</v>
      </c>
      <c r="BB2118">
        <v>0</v>
      </c>
      <c r="BE2118" s="224" t="s">
        <v>217</v>
      </c>
      <c r="BF2118" s="224" t="s">
        <v>490</v>
      </c>
      <c r="BG2118" s="224" t="s">
        <v>476</v>
      </c>
      <c r="BH2118">
        <v>0</v>
      </c>
    </row>
    <row r="2119" spans="17:60">
      <c r="Q2119" s="224" t="s">
        <v>232</v>
      </c>
      <c r="R2119" s="224" t="s">
        <v>490</v>
      </c>
      <c r="S2119" s="224" t="s">
        <v>476</v>
      </c>
      <c r="T2119" s="224">
        <f ca="1">OFFSET('Calculations 2'!$C$45,W2119,X2119)*OFFSET($N$6,W2119,0)</f>
        <v>0</v>
      </c>
      <c r="V2119">
        <f t="shared" si="98"/>
        <v>1024</v>
      </c>
      <c r="W2119">
        <f t="shared" si="99"/>
        <v>1</v>
      </c>
      <c r="X2119">
        <f t="shared" si="100"/>
        <v>31</v>
      </c>
      <c r="AC2119" s="224" t="s">
        <v>232</v>
      </c>
      <c r="AD2119" s="224" t="s">
        <v>490</v>
      </c>
      <c r="AE2119" s="224" t="s">
        <v>476</v>
      </c>
      <c r="AF2119">
        <f ca="1">OFFSET('Calculations 2'!$CE$45,W2119,0)*OFFSET($AA$6,X2119,0)*OFFSET($N$6,W2119,)</f>
        <v>0.57877906499444465</v>
      </c>
      <c r="AY2119" s="224" t="s">
        <v>232</v>
      </c>
      <c r="AZ2119" s="224" t="s">
        <v>490</v>
      </c>
      <c r="BA2119" s="224" t="s">
        <v>476</v>
      </c>
      <c r="BB2119">
        <v>0</v>
      </c>
      <c r="BE2119" s="224" t="s">
        <v>232</v>
      </c>
      <c r="BF2119" s="224" t="s">
        <v>490</v>
      </c>
      <c r="BG2119" s="224" t="s">
        <v>476</v>
      </c>
      <c r="BH2119">
        <v>0</v>
      </c>
    </row>
    <row r="2120" spans="17:60">
      <c r="Q2120" s="224" t="s">
        <v>226</v>
      </c>
      <c r="R2120" s="224" t="s">
        <v>490</v>
      </c>
      <c r="S2120" s="224" t="s">
        <v>476</v>
      </c>
      <c r="T2120" s="224">
        <f ca="1">OFFSET('Calculations 2'!$C$45,W2120,X2120)*OFFSET($N$6,W2120,0)</f>
        <v>248.76088558944494</v>
      </c>
      <c r="V2120">
        <f t="shared" si="98"/>
        <v>1025</v>
      </c>
      <c r="W2120">
        <f t="shared" si="99"/>
        <v>2</v>
      </c>
      <c r="X2120">
        <f t="shared" si="100"/>
        <v>31</v>
      </c>
      <c r="AC2120" s="224" t="s">
        <v>226</v>
      </c>
      <c r="AD2120" s="224" t="s">
        <v>490</v>
      </c>
      <c r="AE2120" s="224" t="s">
        <v>476</v>
      </c>
      <c r="AF2120">
        <f ca="1">OFFSET('Calculations 2'!$CE$45,W2120,0)*OFFSET($AA$6,X2120,0)*OFFSET($N$6,W2120,)</f>
        <v>0.14482824536956432</v>
      </c>
      <c r="AY2120" s="224" t="s">
        <v>226</v>
      </c>
      <c r="AZ2120" s="224" t="s">
        <v>490</v>
      </c>
      <c r="BA2120" s="224" t="s">
        <v>476</v>
      </c>
      <c r="BB2120">
        <v>0</v>
      </c>
      <c r="BE2120" s="224" t="s">
        <v>226</v>
      </c>
      <c r="BF2120" s="224" t="s">
        <v>490</v>
      </c>
      <c r="BG2120" s="224" t="s">
        <v>476</v>
      </c>
      <c r="BH2120">
        <v>0</v>
      </c>
    </row>
    <row r="2121" spans="17:60">
      <c r="Q2121" s="224" t="s">
        <v>243</v>
      </c>
      <c r="R2121" s="224" t="s">
        <v>490</v>
      </c>
      <c r="S2121" s="224" t="s">
        <v>476</v>
      </c>
      <c r="T2121" s="224">
        <f ca="1">OFFSET('Calculations 2'!$C$45,W2121,X2121)*OFFSET($N$6,W2121,0)</f>
        <v>48.364697280557216</v>
      </c>
      <c r="V2121">
        <f t="shared" ref="V2121:V2183" si="101">V2120+1</f>
        <v>1026</v>
      </c>
      <c r="W2121">
        <f t="shared" ref="W2121:W2183" si="102">MOD(V2121,$V$3)</f>
        <v>3</v>
      </c>
      <c r="X2121">
        <f t="shared" ref="X2121:X2183" si="103">FLOOR(V2121/$V$3,1)</f>
        <v>31</v>
      </c>
      <c r="AC2121" s="224" t="s">
        <v>243</v>
      </c>
      <c r="AD2121" s="224" t="s">
        <v>490</v>
      </c>
      <c r="AE2121" s="224" t="s">
        <v>476</v>
      </c>
      <c r="AF2121">
        <f ca="1">OFFSET('Calculations 2'!$CE$45,W2121,0)*OFFSET($AA$6,X2121,0)*OFFSET($N$6,W2121,)</f>
        <v>2.8421125313425564</v>
      </c>
      <c r="AY2121" s="224" t="s">
        <v>243</v>
      </c>
      <c r="AZ2121" s="224" t="s">
        <v>490</v>
      </c>
      <c r="BA2121" s="224" t="s">
        <v>476</v>
      </c>
      <c r="BB2121">
        <v>0</v>
      </c>
      <c r="BE2121" s="224" t="s">
        <v>243</v>
      </c>
      <c r="BF2121" s="224" t="s">
        <v>490</v>
      </c>
      <c r="BG2121" s="224" t="s">
        <v>476</v>
      </c>
      <c r="BH2121">
        <v>0</v>
      </c>
    </row>
    <row r="2122" spans="17:60">
      <c r="Q2122" s="224" t="s">
        <v>228</v>
      </c>
      <c r="R2122" s="224" t="s">
        <v>490</v>
      </c>
      <c r="S2122" s="224" t="s">
        <v>476</v>
      </c>
      <c r="T2122" s="224">
        <f ca="1">OFFSET('Calculations 2'!$C$45,W2122,X2122)*OFFSET($N$6,W2122,0)</f>
        <v>1.5783010688467047</v>
      </c>
      <c r="V2122">
        <f t="shared" si="101"/>
        <v>1027</v>
      </c>
      <c r="W2122">
        <f t="shared" si="102"/>
        <v>4</v>
      </c>
      <c r="X2122">
        <f t="shared" si="103"/>
        <v>31</v>
      </c>
      <c r="AC2122" s="224" t="s">
        <v>228</v>
      </c>
      <c r="AD2122" s="224" t="s">
        <v>490</v>
      </c>
      <c r="AE2122" s="224" t="s">
        <v>476</v>
      </c>
      <c r="AF2122">
        <f ca="1">OFFSET('Calculations 2'!$CE$45,W2122,0)*OFFSET($AA$6,X2122,0)*OFFSET($N$6,W2122,)</f>
        <v>1.4812222854416921</v>
      </c>
      <c r="AY2122" s="224" t="s">
        <v>228</v>
      </c>
      <c r="AZ2122" s="224" t="s">
        <v>490</v>
      </c>
      <c r="BA2122" s="224" t="s">
        <v>476</v>
      </c>
      <c r="BB2122">
        <v>0</v>
      </c>
      <c r="BE2122" s="224" t="s">
        <v>228</v>
      </c>
      <c r="BF2122" s="224" t="s">
        <v>490</v>
      </c>
      <c r="BG2122" s="224" t="s">
        <v>476</v>
      </c>
      <c r="BH2122">
        <v>0</v>
      </c>
    </row>
    <row r="2123" spans="17:60">
      <c r="Q2123" s="224" t="s">
        <v>246</v>
      </c>
      <c r="R2123" s="224" t="s">
        <v>490</v>
      </c>
      <c r="S2123" s="224" t="s">
        <v>476</v>
      </c>
      <c r="T2123" s="224">
        <f ca="1">OFFSET('Calculations 2'!$C$45,W2123,X2123)*OFFSET($N$6,W2123,0)</f>
        <v>1.1943796302589695</v>
      </c>
      <c r="V2123">
        <f t="shared" si="101"/>
        <v>1028</v>
      </c>
      <c r="W2123">
        <f t="shared" si="102"/>
        <v>5</v>
      </c>
      <c r="X2123">
        <f t="shared" si="103"/>
        <v>31</v>
      </c>
      <c r="AC2123" s="224" t="s">
        <v>246</v>
      </c>
      <c r="AD2123" s="224" t="s">
        <v>490</v>
      </c>
      <c r="AE2123" s="224" t="s">
        <v>476</v>
      </c>
      <c r="AF2123">
        <f ca="1">OFFSET('Calculations 2'!$CE$45,W2123,0)*OFFSET($AA$6,X2123,0)*OFFSET($N$6,W2123,)</f>
        <v>2.651275609186899E-2</v>
      </c>
      <c r="AY2123" s="224" t="s">
        <v>246</v>
      </c>
      <c r="AZ2123" s="224" t="s">
        <v>490</v>
      </c>
      <c r="BA2123" s="224" t="s">
        <v>476</v>
      </c>
      <c r="BB2123">
        <v>0</v>
      </c>
      <c r="BE2123" s="224" t="s">
        <v>246</v>
      </c>
      <c r="BF2123" s="224" t="s">
        <v>490</v>
      </c>
      <c r="BG2123" s="224" t="s">
        <v>476</v>
      </c>
      <c r="BH2123">
        <v>0</v>
      </c>
    </row>
    <row r="2124" spans="17:60">
      <c r="Q2124" s="224" t="s">
        <v>239</v>
      </c>
      <c r="R2124" s="224" t="s">
        <v>490</v>
      </c>
      <c r="S2124" s="224" t="s">
        <v>476</v>
      </c>
      <c r="T2124" s="224">
        <f ca="1">OFFSET('Calculations 2'!$C$45,W2124,X2124)*OFFSET($N$6,W2124,0)</f>
        <v>20.663972618574483</v>
      </c>
      <c r="V2124">
        <f t="shared" si="101"/>
        <v>1029</v>
      </c>
      <c r="W2124">
        <f t="shared" si="102"/>
        <v>6</v>
      </c>
      <c r="X2124">
        <f t="shared" si="103"/>
        <v>31</v>
      </c>
      <c r="AC2124" s="224" t="s">
        <v>239</v>
      </c>
      <c r="AD2124" s="224" t="s">
        <v>490</v>
      </c>
      <c r="AE2124" s="224" t="s">
        <v>476</v>
      </c>
      <c r="AF2124">
        <f ca="1">OFFSET('Calculations 2'!$CE$45,W2124,0)*OFFSET($AA$6,X2124,0)*OFFSET($N$6,W2124,)</f>
        <v>0.38178154384462054</v>
      </c>
      <c r="AY2124" s="224" t="s">
        <v>239</v>
      </c>
      <c r="AZ2124" s="224" t="s">
        <v>490</v>
      </c>
      <c r="BA2124" s="224" t="s">
        <v>476</v>
      </c>
      <c r="BB2124">
        <v>0</v>
      </c>
      <c r="BE2124" s="224" t="s">
        <v>239</v>
      </c>
      <c r="BF2124" s="224" t="s">
        <v>490</v>
      </c>
      <c r="BG2124" s="224" t="s">
        <v>476</v>
      </c>
      <c r="BH2124">
        <v>0</v>
      </c>
    </row>
    <row r="2125" spans="17:60">
      <c r="Q2125" s="224" t="s">
        <v>466</v>
      </c>
      <c r="R2125" s="224" t="s">
        <v>490</v>
      </c>
      <c r="S2125" s="224" t="s">
        <v>476</v>
      </c>
      <c r="T2125" s="224">
        <f ca="1">OFFSET('Calculations 2'!$C$45,W2125,X2125)*OFFSET($N$6,W2125,0)</f>
        <v>174.11448658148208</v>
      </c>
      <c r="V2125">
        <f t="shared" si="101"/>
        <v>1030</v>
      </c>
      <c r="W2125">
        <f t="shared" si="102"/>
        <v>7</v>
      </c>
      <c r="X2125">
        <f t="shared" si="103"/>
        <v>31</v>
      </c>
      <c r="AC2125" s="224" t="s">
        <v>466</v>
      </c>
      <c r="AD2125" s="224" t="s">
        <v>490</v>
      </c>
      <c r="AE2125" s="224" t="s">
        <v>476</v>
      </c>
      <c r="AF2125">
        <f ca="1">OFFSET('Calculations 2'!$CE$45,W2125,0)*OFFSET($AA$6,X2125,0)*OFFSET($N$6,W2125,)</f>
        <v>9.6137052404167006E-2</v>
      </c>
      <c r="AY2125" s="224" t="s">
        <v>466</v>
      </c>
      <c r="AZ2125" s="224" t="s">
        <v>490</v>
      </c>
      <c r="BA2125" s="224" t="s">
        <v>476</v>
      </c>
      <c r="BB2125">
        <v>0</v>
      </c>
      <c r="BE2125" s="224" t="s">
        <v>466</v>
      </c>
      <c r="BF2125" s="224" t="s">
        <v>490</v>
      </c>
      <c r="BG2125" s="224" t="s">
        <v>476</v>
      </c>
      <c r="BH2125">
        <v>0</v>
      </c>
    </row>
    <row r="2126" spans="17:60">
      <c r="Q2126" s="224" t="s">
        <v>219</v>
      </c>
      <c r="R2126" s="224" t="s">
        <v>490</v>
      </c>
      <c r="S2126" s="224" t="s">
        <v>476</v>
      </c>
      <c r="T2126" s="224">
        <f ca="1">OFFSET('Calculations 2'!$C$45,W2126,X2126)*OFFSET($N$6,W2126,0)</f>
        <v>179.50176487265458</v>
      </c>
      <c r="V2126">
        <f t="shared" si="101"/>
        <v>1031</v>
      </c>
      <c r="W2126">
        <f t="shared" si="102"/>
        <v>8</v>
      </c>
      <c r="X2126">
        <f t="shared" si="103"/>
        <v>31</v>
      </c>
      <c r="AC2126" s="224" t="s">
        <v>219</v>
      </c>
      <c r="AD2126" s="224" t="s">
        <v>490</v>
      </c>
      <c r="AE2126" s="224" t="s">
        <v>476</v>
      </c>
      <c r="AF2126">
        <f ca="1">OFFSET('Calculations 2'!$CE$45,W2126,0)*OFFSET($AA$6,X2126,0)*OFFSET($N$6,W2126,)</f>
        <v>1.3178789718295625</v>
      </c>
      <c r="AY2126" s="224" t="s">
        <v>219</v>
      </c>
      <c r="AZ2126" s="224" t="s">
        <v>490</v>
      </c>
      <c r="BA2126" s="224" t="s">
        <v>476</v>
      </c>
      <c r="BB2126">
        <v>0</v>
      </c>
      <c r="BE2126" s="224" t="s">
        <v>219</v>
      </c>
      <c r="BF2126" s="224" t="s">
        <v>490</v>
      </c>
      <c r="BG2126" s="224" t="s">
        <v>476</v>
      </c>
      <c r="BH2126">
        <v>0</v>
      </c>
    </row>
    <row r="2127" spans="17:60">
      <c r="Q2127" s="224" t="s">
        <v>242</v>
      </c>
      <c r="R2127" s="224" t="s">
        <v>490</v>
      </c>
      <c r="S2127" s="224" t="s">
        <v>476</v>
      </c>
      <c r="T2127" s="224">
        <f ca="1">OFFSET('Calculations 2'!$C$45,W2127,X2127)*OFFSET($N$6,W2127,0)</f>
        <v>12.013365184767787</v>
      </c>
      <c r="V2127">
        <f t="shared" si="101"/>
        <v>1032</v>
      </c>
      <c r="W2127">
        <f t="shared" si="102"/>
        <v>9</v>
      </c>
      <c r="X2127">
        <f t="shared" si="103"/>
        <v>31</v>
      </c>
      <c r="AC2127" s="224" t="s">
        <v>242</v>
      </c>
      <c r="AD2127" s="224" t="s">
        <v>490</v>
      </c>
      <c r="AE2127" s="224" t="s">
        <v>476</v>
      </c>
      <c r="AF2127">
        <f ca="1">OFFSET('Calculations 2'!$CE$45,W2127,0)*OFFSET($AA$6,X2127,0)*OFFSET($N$6,W2127,)</f>
        <v>1.009320118814462</v>
      </c>
      <c r="AY2127" s="224" t="s">
        <v>242</v>
      </c>
      <c r="AZ2127" s="224" t="s">
        <v>490</v>
      </c>
      <c r="BA2127" s="224" t="s">
        <v>476</v>
      </c>
      <c r="BB2127">
        <v>0</v>
      </c>
      <c r="BE2127" s="224" t="s">
        <v>242</v>
      </c>
      <c r="BF2127" s="224" t="s">
        <v>490</v>
      </c>
      <c r="BG2127" s="224" t="s">
        <v>476</v>
      </c>
      <c r="BH2127">
        <v>0</v>
      </c>
    </row>
    <row r="2128" spans="17:60">
      <c r="Q2128" s="224" t="s">
        <v>467</v>
      </c>
      <c r="R2128" s="224" t="s">
        <v>490</v>
      </c>
      <c r="S2128" s="224" t="s">
        <v>476</v>
      </c>
      <c r="T2128" s="224">
        <f ca="1">OFFSET('Calculations 2'!$C$45,W2128,X2128)*OFFSET($N$6,W2128,0)</f>
        <v>0</v>
      </c>
      <c r="V2128">
        <f t="shared" si="101"/>
        <v>1033</v>
      </c>
      <c r="W2128">
        <f t="shared" si="102"/>
        <v>10</v>
      </c>
      <c r="X2128">
        <f t="shared" si="103"/>
        <v>31</v>
      </c>
      <c r="AC2128" s="224" t="s">
        <v>467</v>
      </c>
      <c r="AD2128" s="224" t="s">
        <v>490</v>
      </c>
      <c r="AE2128" s="224" t="s">
        <v>476</v>
      </c>
      <c r="AF2128">
        <f ca="1">OFFSET('Calculations 2'!$CE$45,W2128,0)*OFFSET($AA$6,X2128,0)*OFFSET($N$6,W2128,)</f>
        <v>0.38100557892778619</v>
      </c>
      <c r="AY2128" s="224" t="s">
        <v>467</v>
      </c>
      <c r="AZ2128" s="224" t="s">
        <v>490</v>
      </c>
      <c r="BA2128" s="224" t="s">
        <v>476</v>
      </c>
      <c r="BB2128">
        <v>0</v>
      </c>
      <c r="BE2128" s="224" t="s">
        <v>467</v>
      </c>
      <c r="BF2128" s="224" t="s">
        <v>490</v>
      </c>
      <c r="BG2128" s="224" t="s">
        <v>476</v>
      </c>
      <c r="BH2128">
        <v>0</v>
      </c>
    </row>
    <row r="2129" spans="17:60">
      <c r="Q2129" s="224" t="s">
        <v>231</v>
      </c>
      <c r="R2129" s="224" t="s">
        <v>490</v>
      </c>
      <c r="S2129" s="224" t="s">
        <v>476</v>
      </c>
      <c r="T2129" s="224">
        <f ca="1">OFFSET('Calculations 2'!$C$45,W2129,X2129)*OFFSET($N$6,W2129,0)</f>
        <v>0.46290199596115483</v>
      </c>
      <c r="V2129">
        <f t="shared" si="101"/>
        <v>1034</v>
      </c>
      <c r="W2129">
        <f t="shared" si="102"/>
        <v>11</v>
      </c>
      <c r="X2129">
        <f t="shared" si="103"/>
        <v>31</v>
      </c>
      <c r="AC2129" s="224" t="s">
        <v>231</v>
      </c>
      <c r="AD2129" s="224" t="s">
        <v>490</v>
      </c>
      <c r="AE2129" s="224" t="s">
        <v>476</v>
      </c>
      <c r="AF2129">
        <f ca="1">OFFSET('Calculations 2'!$CE$45,W2129,0)*OFFSET($AA$6,X2129,0)*OFFSET($N$6,W2129,)</f>
        <v>4.7690997683355558</v>
      </c>
      <c r="AY2129" s="224" t="s">
        <v>231</v>
      </c>
      <c r="AZ2129" s="224" t="s">
        <v>490</v>
      </c>
      <c r="BA2129" s="224" t="s">
        <v>476</v>
      </c>
      <c r="BB2129">
        <v>0</v>
      </c>
      <c r="BE2129" s="224" t="s">
        <v>231</v>
      </c>
      <c r="BF2129" s="224" t="s">
        <v>490</v>
      </c>
      <c r="BG2129" s="224" t="s">
        <v>476</v>
      </c>
      <c r="BH2129">
        <v>0</v>
      </c>
    </row>
    <row r="2130" spans="17:60">
      <c r="Q2130" s="224" t="s">
        <v>468</v>
      </c>
      <c r="R2130" s="224" t="s">
        <v>490</v>
      </c>
      <c r="S2130" s="224" t="s">
        <v>476</v>
      </c>
      <c r="T2130" s="224">
        <f ca="1">OFFSET('Calculations 2'!$C$45,W2130,X2130)*OFFSET($N$6,W2130,0)</f>
        <v>45.461630853889119</v>
      </c>
      <c r="V2130">
        <f t="shared" si="101"/>
        <v>1035</v>
      </c>
      <c r="W2130">
        <f t="shared" si="102"/>
        <v>12</v>
      </c>
      <c r="X2130">
        <f t="shared" si="103"/>
        <v>31</v>
      </c>
      <c r="AC2130" s="224" t="s">
        <v>468</v>
      </c>
      <c r="AD2130" s="224" t="s">
        <v>490</v>
      </c>
      <c r="AE2130" s="224" t="s">
        <v>476</v>
      </c>
      <c r="AF2130">
        <f ca="1">OFFSET('Calculations 2'!$CE$45,W2130,0)*OFFSET($AA$6,X2130,0)*OFFSET($N$6,W2130,)</f>
        <v>18.269333379527627</v>
      </c>
      <c r="AY2130" s="224" t="s">
        <v>468</v>
      </c>
      <c r="AZ2130" s="224" t="s">
        <v>490</v>
      </c>
      <c r="BA2130" s="224" t="s">
        <v>476</v>
      </c>
      <c r="BB2130">
        <v>0</v>
      </c>
      <c r="BE2130" s="224" t="s">
        <v>468</v>
      </c>
      <c r="BF2130" s="224" t="s">
        <v>490</v>
      </c>
      <c r="BG2130" s="224" t="s">
        <v>476</v>
      </c>
      <c r="BH2130">
        <v>0</v>
      </c>
    </row>
    <row r="2131" spans="17:60">
      <c r="Q2131" s="224" t="s">
        <v>469</v>
      </c>
      <c r="R2131" s="224" t="s">
        <v>490</v>
      </c>
      <c r="S2131" s="224" t="s">
        <v>476</v>
      </c>
      <c r="T2131" s="224">
        <f ca="1">OFFSET('Calculations 2'!$C$45,W2131,X2131)*OFFSET($N$6,W2131,0)</f>
        <v>0.66620064264076662</v>
      </c>
      <c r="V2131">
        <f t="shared" si="101"/>
        <v>1036</v>
      </c>
      <c r="W2131">
        <f t="shared" si="102"/>
        <v>13</v>
      </c>
      <c r="X2131">
        <f t="shared" si="103"/>
        <v>31</v>
      </c>
      <c r="AC2131" s="224" t="s">
        <v>469</v>
      </c>
      <c r="AD2131" s="224" t="s">
        <v>490</v>
      </c>
      <c r="AE2131" s="224" t="s">
        <v>476</v>
      </c>
      <c r="AF2131">
        <f ca="1">OFFSET('Calculations 2'!$CE$45,W2131,0)*OFFSET($AA$6,X2131,0)*OFFSET($N$6,W2131,)</f>
        <v>9.7954592515971441</v>
      </c>
      <c r="AY2131" s="224" t="s">
        <v>469</v>
      </c>
      <c r="AZ2131" s="224" t="s">
        <v>490</v>
      </c>
      <c r="BA2131" s="224" t="s">
        <v>476</v>
      </c>
      <c r="BB2131">
        <v>0</v>
      </c>
      <c r="BE2131" s="224" t="s">
        <v>469</v>
      </c>
      <c r="BF2131" s="224" t="s">
        <v>490</v>
      </c>
      <c r="BG2131" s="224" t="s">
        <v>476</v>
      </c>
      <c r="BH2131">
        <v>0</v>
      </c>
    </row>
    <row r="2132" spans="17:60">
      <c r="Q2132" s="224" t="s">
        <v>245</v>
      </c>
      <c r="R2132" s="224" t="s">
        <v>490</v>
      </c>
      <c r="S2132" s="224" t="s">
        <v>476</v>
      </c>
      <c r="T2132" s="224">
        <f ca="1">OFFSET('Calculations 2'!$C$45,W2132,X2132)*OFFSET($N$6,W2132,0)</f>
        <v>141.75204127686209</v>
      </c>
      <c r="V2132">
        <f t="shared" si="101"/>
        <v>1037</v>
      </c>
      <c r="W2132">
        <f t="shared" si="102"/>
        <v>14</v>
      </c>
      <c r="X2132">
        <f t="shared" si="103"/>
        <v>31</v>
      </c>
      <c r="AC2132" s="224" t="s">
        <v>245</v>
      </c>
      <c r="AD2132" s="224" t="s">
        <v>490</v>
      </c>
      <c r="AE2132" s="224" t="s">
        <v>476</v>
      </c>
      <c r="AF2132">
        <f ca="1">OFFSET('Calculations 2'!$CE$45,W2132,0)*OFFSET($AA$6,X2132,0)*OFFSET($N$6,W2132,)</f>
        <v>15.632451203697817</v>
      </c>
      <c r="AY2132" s="224" t="s">
        <v>245</v>
      </c>
      <c r="AZ2132" s="224" t="s">
        <v>490</v>
      </c>
      <c r="BA2132" s="224" t="s">
        <v>476</v>
      </c>
      <c r="BB2132">
        <v>0</v>
      </c>
      <c r="BE2132" s="224" t="s">
        <v>245</v>
      </c>
      <c r="BF2132" s="224" t="s">
        <v>490</v>
      </c>
      <c r="BG2132" s="224" t="s">
        <v>476</v>
      </c>
      <c r="BH2132">
        <v>0</v>
      </c>
    </row>
    <row r="2133" spans="17:60">
      <c r="Q2133" s="224" t="s">
        <v>470</v>
      </c>
      <c r="R2133" s="224" t="s">
        <v>490</v>
      </c>
      <c r="S2133" s="224" t="s">
        <v>476</v>
      </c>
      <c r="T2133" s="224">
        <f ca="1">OFFSET('Calculations 2'!$C$45,W2133,X2133)*OFFSET($N$6,W2133,0)</f>
        <v>32.051406022591266</v>
      </c>
      <c r="V2133">
        <f t="shared" si="101"/>
        <v>1038</v>
      </c>
      <c r="W2133">
        <f t="shared" si="102"/>
        <v>15</v>
      </c>
      <c r="X2133">
        <f t="shared" si="103"/>
        <v>31</v>
      </c>
      <c r="AC2133" s="224" t="s">
        <v>470</v>
      </c>
      <c r="AD2133" s="224" t="s">
        <v>490</v>
      </c>
      <c r="AE2133" s="224" t="s">
        <v>476</v>
      </c>
      <c r="AF2133">
        <f ca="1">OFFSET('Calculations 2'!$CE$45,W2133,0)*OFFSET($AA$6,X2133,0)*OFFSET($N$6,W2133,)</f>
        <v>5.9314939408163374</v>
      </c>
      <c r="AY2133" s="224" t="s">
        <v>470</v>
      </c>
      <c r="AZ2133" s="224" t="s">
        <v>490</v>
      </c>
      <c r="BA2133" s="224" t="s">
        <v>476</v>
      </c>
      <c r="BB2133">
        <v>0</v>
      </c>
      <c r="BE2133" s="224" t="s">
        <v>470</v>
      </c>
      <c r="BF2133" s="224" t="s">
        <v>490</v>
      </c>
      <c r="BG2133" s="224" t="s">
        <v>476</v>
      </c>
      <c r="BH2133">
        <v>0</v>
      </c>
    </row>
    <row r="2134" spans="17:60">
      <c r="Q2134" s="224" t="s">
        <v>471</v>
      </c>
      <c r="R2134" s="224" t="s">
        <v>490</v>
      </c>
      <c r="S2134" s="224" t="s">
        <v>476</v>
      </c>
      <c r="T2134" s="224">
        <f ca="1">OFFSET('Calculations 2'!$C$45,W2134,X2134)*OFFSET($N$6,W2134,0)</f>
        <v>3.0870300668633095</v>
      </c>
      <c r="V2134">
        <f t="shared" si="101"/>
        <v>1039</v>
      </c>
      <c r="W2134">
        <f t="shared" si="102"/>
        <v>16</v>
      </c>
      <c r="X2134">
        <f t="shared" si="103"/>
        <v>31</v>
      </c>
      <c r="AC2134" s="224" t="s">
        <v>471</v>
      </c>
      <c r="AD2134" s="224" t="s">
        <v>490</v>
      </c>
      <c r="AE2134" s="224" t="s">
        <v>476</v>
      </c>
      <c r="AF2134">
        <f ca="1">OFFSET('Calculations 2'!$CE$45,W2134,0)*OFFSET($AA$6,X2134,0)*OFFSET($N$6,W2134,)</f>
        <v>0</v>
      </c>
      <c r="AY2134" s="224" t="s">
        <v>471</v>
      </c>
      <c r="AZ2134" s="224" t="s">
        <v>490</v>
      </c>
      <c r="BA2134" s="224" t="s">
        <v>476</v>
      </c>
      <c r="BB2134">
        <v>0</v>
      </c>
      <c r="BE2134" s="224" t="s">
        <v>471</v>
      </c>
      <c r="BF2134" s="224" t="s">
        <v>490</v>
      </c>
      <c r="BG2134" s="224" t="s">
        <v>476</v>
      </c>
      <c r="BH2134">
        <v>0</v>
      </c>
    </row>
    <row r="2135" spans="17:60">
      <c r="Q2135" s="224" t="s">
        <v>221</v>
      </c>
      <c r="R2135" s="224" t="s">
        <v>490</v>
      </c>
      <c r="S2135" s="224" t="s">
        <v>476</v>
      </c>
      <c r="T2135" s="224">
        <f ca="1">OFFSET('Calculations 2'!$C$45,W2135,X2135)*OFFSET($N$6,W2135,0)</f>
        <v>10.521416981471114</v>
      </c>
      <c r="V2135">
        <f t="shared" si="101"/>
        <v>1040</v>
      </c>
      <c r="W2135">
        <f t="shared" si="102"/>
        <v>17</v>
      </c>
      <c r="X2135">
        <f t="shared" si="103"/>
        <v>31</v>
      </c>
      <c r="AC2135" s="224" t="s">
        <v>221</v>
      </c>
      <c r="AD2135" s="224" t="s">
        <v>490</v>
      </c>
      <c r="AE2135" s="224" t="s">
        <v>476</v>
      </c>
      <c r="AF2135">
        <f ca="1">OFFSET('Calculations 2'!$CE$45,W2135,0)*OFFSET($AA$6,X2135,0)*OFFSET($N$6,W2135,)</f>
        <v>1.1611240913656793</v>
      </c>
      <c r="AY2135" s="224" t="s">
        <v>221</v>
      </c>
      <c r="AZ2135" s="224" t="s">
        <v>490</v>
      </c>
      <c r="BA2135" s="224" t="s">
        <v>476</v>
      </c>
      <c r="BB2135">
        <v>0</v>
      </c>
      <c r="BE2135" s="224" t="s">
        <v>221</v>
      </c>
      <c r="BF2135" s="224" t="s">
        <v>490</v>
      </c>
      <c r="BG2135" s="224" t="s">
        <v>476</v>
      </c>
      <c r="BH2135">
        <v>0</v>
      </c>
    </row>
    <row r="2136" spans="17:60">
      <c r="Q2136" s="224" t="s">
        <v>244</v>
      </c>
      <c r="R2136" s="224" t="s">
        <v>490</v>
      </c>
      <c r="S2136" s="224" t="s">
        <v>476</v>
      </c>
      <c r="T2136" s="224">
        <f ca="1">OFFSET('Calculations 2'!$C$45,W2136,X2136)*OFFSET($N$6,W2136,0)</f>
        <v>4.6577343174910801</v>
      </c>
      <c r="V2136">
        <f t="shared" si="101"/>
        <v>1041</v>
      </c>
      <c r="W2136">
        <f t="shared" si="102"/>
        <v>18</v>
      </c>
      <c r="X2136">
        <f t="shared" si="103"/>
        <v>31</v>
      </c>
      <c r="AC2136" s="224" t="s">
        <v>244</v>
      </c>
      <c r="AD2136" s="224" t="s">
        <v>490</v>
      </c>
      <c r="AE2136" s="224" t="s">
        <v>476</v>
      </c>
      <c r="AF2136">
        <f ca="1">OFFSET('Calculations 2'!$CE$45,W2136,0)*OFFSET($AA$6,X2136,0)*OFFSET($N$6,W2136,)</f>
        <v>0.1015904773499435</v>
      </c>
      <c r="AY2136" s="224" t="s">
        <v>244</v>
      </c>
      <c r="AZ2136" s="224" t="s">
        <v>490</v>
      </c>
      <c r="BA2136" s="224" t="s">
        <v>476</v>
      </c>
      <c r="BB2136">
        <v>0</v>
      </c>
      <c r="BE2136" s="224" t="s">
        <v>244</v>
      </c>
      <c r="BF2136" s="224" t="s">
        <v>490</v>
      </c>
      <c r="BG2136" s="224" t="s">
        <v>476</v>
      </c>
      <c r="BH2136">
        <v>0</v>
      </c>
    </row>
    <row r="2137" spans="17:60">
      <c r="Q2137" s="224" t="s">
        <v>472</v>
      </c>
      <c r="R2137" s="224" t="s">
        <v>490</v>
      </c>
      <c r="S2137" s="224" t="s">
        <v>476</v>
      </c>
      <c r="T2137" s="224">
        <f ca="1">OFFSET('Calculations 2'!$C$45,W2137,X2137)*OFFSET($N$6,W2137,0)</f>
        <v>8.7609127352372335E-2</v>
      </c>
      <c r="V2137">
        <f t="shared" si="101"/>
        <v>1042</v>
      </c>
      <c r="W2137">
        <f t="shared" si="102"/>
        <v>19</v>
      </c>
      <c r="X2137">
        <f t="shared" si="103"/>
        <v>31</v>
      </c>
      <c r="AC2137" s="224" t="s">
        <v>472</v>
      </c>
      <c r="AD2137" s="224" t="s">
        <v>490</v>
      </c>
      <c r="AE2137" s="224" t="s">
        <v>476</v>
      </c>
      <c r="AF2137">
        <f ca="1">OFFSET('Calculations 2'!$CE$45,W2137,0)*OFFSET($AA$6,X2137,0)*OFFSET($N$6,W2137,)</f>
        <v>0</v>
      </c>
      <c r="AY2137" s="224" t="s">
        <v>472</v>
      </c>
      <c r="AZ2137" s="224" t="s">
        <v>490</v>
      </c>
      <c r="BA2137" s="224" t="s">
        <v>476</v>
      </c>
      <c r="BB2137">
        <v>0</v>
      </c>
      <c r="BE2137" s="224" t="s">
        <v>472</v>
      </c>
      <c r="BF2137" s="224" t="s">
        <v>490</v>
      </c>
      <c r="BG2137" s="224" t="s">
        <v>476</v>
      </c>
      <c r="BH2137">
        <v>0</v>
      </c>
    </row>
    <row r="2138" spans="17:60">
      <c r="Q2138" s="224" t="s">
        <v>238</v>
      </c>
      <c r="R2138" s="224" t="s">
        <v>490</v>
      </c>
      <c r="S2138" s="224" t="s">
        <v>476</v>
      </c>
      <c r="T2138" s="224">
        <f ca="1">OFFSET('Calculations 2'!$C$45,W2138,X2138)*OFFSET($N$6,W2138,0)</f>
        <v>0.52098795876907911</v>
      </c>
      <c r="V2138">
        <f t="shared" si="101"/>
        <v>1043</v>
      </c>
      <c r="W2138">
        <f t="shared" si="102"/>
        <v>20</v>
      </c>
      <c r="X2138">
        <f t="shared" si="103"/>
        <v>31</v>
      </c>
      <c r="AC2138" s="224" t="s">
        <v>238</v>
      </c>
      <c r="AD2138" s="224" t="s">
        <v>490</v>
      </c>
      <c r="AE2138" s="224" t="s">
        <v>476</v>
      </c>
      <c r="AF2138">
        <f ca="1">OFFSET('Calculations 2'!$CE$45,W2138,0)*OFFSET($AA$6,X2138,0)*OFFSET($N$6,W2138,)</f>
        <v>0</v>
      </c>
      <c r="AY2138" s="224" t="s">
        <v>238</v>
      </c>
      <c r="AZ2138" s="224" t="s">
        <v>490</v>
      </c>
      <c r="BA2138" s="224" t="s">
        <v>476</v>
      </c>
      <c r="BB2138">
        <v>0</v>
      </c>
      <c r="BE2138" s="224" t="s">
        <v>238</v>
      </c>
      <c r="BF2138" s="224" t="s">
        <v>490</v>
      </c>
      <c r="BG2138" s="224" t="s">
        <v>476</v>
      </c>
      <c r="BH2138">
        <v>0</v>
      </c>
    </row>
    <row r="2139" spans="17:60">
      <c r="Q2139" s="224" t="s">
        <v>247</v>
      </c>
      <c r="R2139" s="224" t="s">
        <v>490</v>
      </c>
      <c r="S2139" s="224" t="s">
        <v>476</v>
      </c>
      <c r="T2139" s="224">
        <f ca="1">OFFSET('Calculations 2'!$C$45,W2139,X2139)*OFFSET($N$6,W2139,0)</f>
        <v>0</v>
      </c>
      <c r="V2139">
        <f t="shared" si="101"/>
        <v>1044</v>
      </c>
      <c r="W2139">
        <f t="shared" si="102"/>
        <v>21</v>
      </c>
      <c r="X2139">
        <f t="shared" si="103"/>
        <v>31</v>
      </c>
      <c r="AC2139" s="224" t="s">
        <v>247</v>
      </c>
      <c r="AD2139" s="224" t="s">
        <v>490</v>
      </c>
      <c r="AE2139" s="224" t="s">
        <v>476</v>
      </c>
      <c r="AF2139">
        <f ca="1">OFFSET('Calculations 2'!$CE$45,W2139,0)*OFFSET($AA$6,X2139,0)*OFFSET($N$6,W2139,)</f>
        <v>0</v>
      </c>
      <c r="AY2139" s="224" t="s">
        <v>247</v>
      </c>
      <c r="AZ2139" s="224" t="s">
        <v>490</v>
      </c>
      <c r="BA2139" s="224" t="s">
        <v>476</v>
      </c>
      <c r="BB2139">
        <v>0</v>
      </c>
      <c r="BE2139" s="224" t="s">
        <v>247</v>
      </c>
      <c r="BF2139" s="224" t="s">
        <v>490</v>
      </c>
      <c r="BG2139" s="224" t="s">
        <v>476</v>
      </c>
      <c r="BH2139">
        <v>0</v>
      </c>
    </row>
    <row r="2140" spans="17:60">
      <c r="Q2140" s="224" t="s">
        <v>218</v>
      </c>
      <c r="R2140" s="224" t="s">
        <v>490</v>
      </c>
      <c r="S2140" s="224" t="s">
        <v>476</v>
      </c>
      <c r="T2140" s="224">
        <f ca="1">OFFSET('Calculations 2'!$C$45,W2140,X2140)*OFFSET($N$6,W2140,0)</f>
        <v>0.36251716491804625</v>
      </c>
      <c r="V2140">
        <f t="shared" si="101"/>
        <v>1045</v>
      </c>
      <c r="W2140">
        <f t="shared" si="102"/>
        <v>22</v>
      </c>
      <c r="X2140">
        <f t="shared" si="103"/>
        <v>31</v>
      </c>
      <c r="AC2140" s="224" t="s">
        <v>218</v>
      </c>
      <c r="AD2140" s="224" t="s">
        <v>490</v>
      </c>
      <c r="AE2140" s="224" t="s">
        <v>476</v>
      </c>
      <c r="AF2140">
        <f ca="1">OFFSET('Calculations 2'!$CE$45,W2140,0)*OFFSET($AA$6,X2140,0)*OFFSET($N$6,W2140,)</f>
        <v>0</v>
      </c>
      <c r="AY2140" s="224" t="s">
        <v>218</v>
      </c>
      <c r="AZ2140" s="224" t="s">
        <v>490</v>
      </c>
      <c r="BA2140" s="224" t="s">
        <v>476</v>
      </c>
      <c r="BB2140">
        <v>0</v>
      </c>
      <c r="BE2140" s="224" t="s">
        <v>218</v>
      </c>
      <c r="BF2140" s="224" t="s">
        <v>490</v>
      </c>
      <c r="BG2140" s="224" t="s">
        <v>476</v>
      </c>
      <c r="BH2140">
        <v>0</v>
      </c>
    </row>
    <row r="2141" spans="17:60">
      <c r="Q2141" s="224" t="s">
        <v>257</v>
      </c>
      <c r="R2141" s="224" t="s">
        <v>490</v>
      </c>
      <c r="S2141" s="224" t="s">
        <v>476</v>
      </c>
      <c r="T2141" s="224">
        <f ca="1">OFFSET('Calculations 2'!$C$45,W2141,X2141)*OFFSET($N$6,W2141,0)</f>
        <v>6.0341274646606271E-3</v>
      </c>
      <c r="V2141">
        <f t="shared" si="101"/>
        <v>1046</v>
      </c>
      <c r="W2141">
        <f t="shared" si="102"/>
        <v>23</v>
      </c>
      <c r="X2141">
        <f t="shared" si="103"/>
        <v>31</v>
      </c>
      <c r="AC2141" s="224" t="s">
        <v>257</v>
      </c>
      <c r="AD2141" s="224" t="s">
        <v>490</v>
      </c>
      <c r="AE2141" s="224" t="s">
        <v>476</v>
      </c>
      <c r="AF2141">
        <f ca="1">OFFSET('Calculations 2'!$CE$45,W2141,0)*OFFSET($AA$6,X2141,0)*OFFSET($N$6,W2141,)</f>
        <v>0</v>
      </c>
      <c r="AY2141" s="224" t="s">
        <v>257</v>
      </c>
      <c r="AZ2141" s="224" t="s">
        <v>490</v>
      </c>
      <c r="BA2141" s="224" t="s">
        <v>476</v>
      </c>
      <c r="BB2141">
        <v>0</v>
      </c>
      <c r="BE2141" s="224" t="s">
        <v>257</v>
      </c>
      <c r="BF2141" s="224" t="s">
        <v>490</v>
      </c>
      <c r="BG2141" s="224" t="s">
        <v>476</v>
      </c>
      <c r="BH2141">
        <v>0</v>
      </c>
    </row>
    <row r="2142" spans="17:60">
      <c r="Q2142" s="224" t="s">
        <v>220</v>
      </c>
      <c r="R2142" s="224" t="s">
        <v>490</v>
      </c>
      <c r="S2142" s="224" t="s">
        <v>476</v>
      </c>
      <c r="T2142" s="224">
        <f ca="1">OFFSET('Calculations 2'!$C$45,W2142,X2142)*OFFSET($N$6,W2142,0)</f>
        <v>6.4384805031803181</v>
      </c>
      <c r="V2142">
        <f t="shared" si="101"/>
        <v>1047</v>
      </c>
      <c r="W2142">
        <f t="shared" si="102"/>
        <v>24</v>
      </c>
      <c r="X2142">
        <f t="shared" si="103"/>
        <v>31</v>
      </c>
      <c r="AC2142" s="224" t="s">
        <v>220</v>
      </c>
      <c r="AD2142" s="224" t="s">
        <v>490</v>
      </c>
      <c r="AE2142" s="224" t="s">
        <v>476</v>
      </c>
      <c r="AF2142">
        <f ca="1">OFFSET('Calculations 2'!$CE$45,W2142,0)*OFFSET($AA$6,X2142,0)*OFFSET($N$6,W2142,)</f>
        <v>0</v>
      </c>
      <c r="AY2142" s="224" t="s">
        <v>220</v>
      </c>
      <c r="AZ2142" s="224" t="s">
        <v>490</v>
      </c>
      <c r="BA2142" s="224" t="s">
        <v>476</v>
      </c>
      <c r="BB2142">
        <v>0</v>
      </c>
      <c r="BE2142" s="224" t="s">
        <v>220</v>
      </c>
      <c r="BF2142" s="224" t="s">
        <v>490</v>
      </c>
      <c r="BG2142" s="224" t="s">
        <v>476</v>
      </c>
      <c r="BH2142">
        <v>0</v>
      </c>
    </row>
    <row r="2143" spans="17:60">
      <c r="Q2143" s="224" t="s">
        <v>235</v>
      </c>
      <c r="R2143" s="224" t="s">
        <v>490</v>
      </c>
      <c r="S2143" s="224" t="s">
        <v>476</v>
      </c>
      <c r="T2143" s="224">
        <f ca="1">OFFSET('Calculations 2'!$C$45,W2143,X2143)*OFFSET($N$6,W2143,0)</f>
        <v>9.7048014886398182</v>
      </c>
      <c r="V2143">
        <f t="shared" si="101"/>
        <v>1048</v>
      </c>
      <c r="W2143">
        <f t="shared" si="102"/>
        <v>25</v>
      </c>
      <c r="X2143">
        <f t="shared" si="103"/>
        <v>31</v>
      </c>
      <c r="AC2143" s="224" t="s">
        <v>235</v>
      </c>
      <c r="AD2143" s="224" t="s">
        <v>490</v>
      </c>
      <c r="AE2143" s="224" t="s">
        <v>476</v>
      </c>
      <c r="AF2143">
        <f ca="1">OFFSET('Calculations 2'!$CE$45,W2143,0)*OFFSET($AA$6,X2143,0)*OFFSET($N$6,W2143,)</f>
        <v>0</v>
      </c>
      <c r="AY2143" s="224" t="s">
        <v>235</v>
      </c>
      <c r="AZ2143" s="224" t="s">
        <v>490</v>
      </c>
      <c r="BA2143" s="224" t="s">
        <v>476</v>
      </c>
      <c r="BB2143">
        <v>0</v>
      </c>
      <c r="BE2143" s="224" t="s">
        <v>235</v>
      </c>
      <c r="BF2143" s="224" t="s">
        <v>490</v>
      </c>
      <c r="BG2143" s="224" t="s">
        <v>476</v>
      </c>
      <c r="BH2143">
        <v>0</v>
      </c>
    </row>
    <row r="2144" spans="17:60">
      <c r="Q2144" s="224" t="s">
        <v>473</v>
      </c>
      <c r="R2144" s="224" t="s">
        <v>490</v>
      </c>
      <c r="S2144" s="224" t="s">
        <v>476</v>
      </c>
      <c r="T2144" s="224">
        <f ca="1">OFFSET('Calculations 2'!$C$45,W2144,X2144)*OFFSET($N$6,W2144,0)</f>
        <v>4.651991946064916</v>
      </c>
      <c r="V2144">
        <f t="shared" si="101"/>
        <v>1049</v>
      </c>
      <c r="W2144">
        <f t="shared" si="102"/>
        <v>26</v>
      </c>
      <c r="X2144">
        <f t="shared" si="103"/>
        <v>31</v>
      </c>
      <c r="AC2144" s="224" t="s">
        <v>473</v>
      </c>
      <c r="AD2144" s="224" t="s">
        <v>490</v>
      </c>
      <c r="AE2144" s="224" t="s">
        <v>476</v>
      </c>
      <c r="AF2144">
        <f ca="1">OFFSET('Calculations 2'!$CE$45,W2144,0)*OFFSET($AA$6,X2144,0)*OFFSET($N$6,W2144,)</f>
        <v>0</v>
      </c>
      <c r="AY2144" s="224" t="s">
        <v>473</v>
      </c>
      <c r="AZ2144" s="224" t="s">
        <v>490</v>
      </c>
      <c r="BA2144" s="224" t="s">
        <v>476</v>
      </c>
      <c r="BB2144">
        <v>0</v>
      </c>
      <c r="BE2144" s="224" t="s">
        <v>473</v>
      </c>
      <c r="BF2144" s="224" t="s">
        <v>490</v>
      </c>
      <c r="BG2144" s="224" t="s">
        <v>476</v>
      </c>
      <c r="BH2144">
        <v>0</v>
      </c>
    </row>
    <row r="2145" spans="17:60">
      <c r="Q2145" s="224" t="s">
        <v>233</v>
      </c>
      <c r="R2145" s="224" t="s">
        <v>490</v>
      </c>
      <c r="S2145" s="224" t="s">
        <v>476</v>
      </c>
      <c r="T2145" s="224">
        <f ca="1">OFFSET('Calculations 2'!$C$45,W2145,X2145)*OFFSET($N$6,W2145,0)</f>
        <v>3.4744543196207949</v>
      </c>
      <c r="V2145">
        <f t="shared" si="101"/>
        <v>1050</v>
      </c>
      <c r="W2145">
        <f t="shared" si="102"/>
        <v>27</v>
      </c>
      <c r="X2145">
        <f t="shared" si="103"/>
        <v>31</v>
      </c>
      <c r="AC2145" s="224" t="s">
        <v>233</v>
      </c>
      <c r="AD2145" s="224" t="s">
        <v>490</v>
      </c>
      <c r="AE2145" s="224" t="s">
        <v>476</v>
      </c>
      <c r="AF2145">
        <f ca="1">OFFSET('Calculations 2'!$CE$45,W2145,0)*OFFSET($AA$6,X2145,0)*OFFSET($N$6,W2145,)</f>
        <v>0</v>
      </c>
      <c r="AY2145" s="224" t="s">
        <v>233</v>
      </c>
      <c r="AZ2145" s="224" t="s">
        <v>490</v>
      </c>
      <c r="BA2145" s="224" t="s">
        <v>476</v>
      </c>
      <c r="BB2145">
        <v>0</v>
      </c>
      <c r="BE2145" s="224" t="s">
        <v>233</v>
      </c>
      <c r="BF2145" s="224" t="s">
        <v>490</v>
      </c>
      <c r="BG2145" s="224" t="s">
        <v>476</v>
      </c>
      <c r="BH2145">
        <v>0</v>
      </c>
    </row>
    <row r="2146" spans="17:60">
      <c r="Q2146" s="224" t="s">
        <v>474</v>
      </c>
      <c r="R2146" s="224" t="s">
        <v>490</v>
      </c>
      <c r="S2146" s="224" t="s">
        <v>476</v>
      </c>
      <c r="T2146" s="224">
        <f ca="1">OFFSET('Calculations 2'!$C$45,W2146,X2146)*OFFSET($N$6,W2146,0)</f>
        <v>0.44183512538554748</v>
      </c>
      <c r="V2146">
        <f t="shared" si="101"/>
        <v>1051</v>
      </c>
      <c r="W2146">
        <f t="shared" si="102"/>
        <v>28</v>
      </c>
      <c r="X2146">
        <f t="shared" si="103"/>
        <v>31</v>
      </c>
      <c r="AC2146" s="224" t="s">
        <v>474</v>
      </c>
      <c r="AD2146" s="224" t="s">
        <v>490</v>
      </c>
      <c r="AE2146" s="224" t="s">
        <v>476</v>
      </c>
      <c r="AF2146">
        <f ca="1">OFFSET('Calculations 2'!$CE$45,W2146,0)*OFFSET($AA$6,X2146,0)*OFFSET($N$6,W2146,)</f>
        <v>0</v>
      </c>
      <c r="AY2146" s="224" t="s">
        <v>474</v>
      </c>
      <c r="AZ2146" s="224" t="s">
        <v>490</v>
      </c>
      <c r="BA2146" s="224" t="s">
        <v>476</v>
      </c>
      <c r="BB2146">
        <v>0</v>
      </c>
      <c r="BE2146" s="224" t="s">
        <v>474</v>
      </c>
      <c r="BF2146" s="224" t="s">
        <v>490</v>
      </c>
      <c r="BG2146" s="224" t="s">
        <v>476</v>
      </c>
      <c r="BH2146">
        <v>0</v>
      </c>
    </row>
    <row r="2147" spans="17:60">
      <c r="Q2147" s="224" t="s">
        <v>223</v>
      </c>
      <c r="R2147" s="224" t="s">
        <v>490</v>
      </c>
      <c r="S2147" s="224" t="s">
        <v>476</v>
      </c>
      <c r="T2147" s="224">
        <f ca="1">OFFSET('Calculations 2'!$C$45,W2147,X2147)*OFFSET($N$6,W2147,0)</f>
        <v>2.8352781579844129</v>
      </c>
      <c r="V2147">
        <f t="shared" si="101"/>
        <v>1052</v>
      </c>
      <c r="W2147">
        <f t="shared" si="102"/>
        <v>29</v>
      </c>
      <c r="X2147">
        <f t="shared" si="103"/>
        <v>31</v>
      </c>
      <c r="AC2147" s="224" t="s">
        <v>223</v>
      </c>
      <c r="AD2147" s="224" t="s">
        <v>490</v>
      </c>
      <c r="AE2147" s="224" t="s">
        <v>476</v>
      </c>
      <c r="AF2147">
        <f ca="1">OFFSET('Calculations 2'!$CE$45,W2147,0)*OFFSET($AA$6,X2147,0)*OFFSET($N$6,W2147,)</f>
        <v>0</v>
      </c>
      <c r="AY2147" s="224" t="s">
        <v>223</v>
      </c>
      <c r="AZ2147" s="224" t="s">
        <v>490</v>
      </c>
      <c r="BA2147" s="224" t="s">
        <v>476</v>
      </c>
      <c r="BB2147">
        <v>0</v>
      </c>
      <c r="BE2147" s="224" t="s">
        <v>223</v>
      </c>
      <c r="BF2147" s="224" t="s">
        <v>490</v>
      </c>
      <c r="BG2147" s="224" t="s">
        <v>476</v>
      </c>
      <c r="BH2147">
        <v>0</v>
      </c>
    </row>
    <row r="2148" spans="17:60">
      <c r="Q2148" s="224" t="s">
        <v>475</v>
      </c>
      <c r="R2148" s="224" t="s">
        <v>490</v>
      </c>
      <c r="S2148" s="224" t="s">
        <v>476</v>
      </c>
      <c r="T2148" s="224">
        <f ca="1">OFFSET('Calculations 2'!$C$45,W2148,X2148)*OFFSET($N$6,W2148,0)</f>
        <v>0.26378409324479535</v>
      </c>
      <c r="V2148">
        <f t="shared" si="101"/>
        <v>1053</v>
      </c>
      <c r="W2148">
        <f t="shared" si="102"/>
        <v>30</v>
      </c>
      <c r="X2148">
        <f t="shared" si="103"/>
        <v>31</v>
      </c>
      <c r="AC2148" s="224" t="s">
        <v>475</v>
      </c>
      <c r="AD2148" s="224" t="s">
        <v>490</v>
      </c>
      <c r="AE2148" s="224" t="s">
        <v>476</v>
      </c>
      <c r="AF2148">
        <f ca="1">OFFSET('Calculations 2'!$CE$45,W2148,0)*OFFSET($AA$6,X2148,0)*OFFSET($N$6,W2148,)</f>
        <v>0</v>
      </c>
      <c r="AY2148" s="224" t="s">
        <v>475</v>
      </c>
      <c r="AZ2148" s="224" t="s">
        <v>490</v>
      </c>
      <c r="BA2148" s="224" t="s">
        <v>476</v>
      </c>
      <c r="BB2148">
        <v>0</v>
      </c>
      <c r="BE2148" s="224" t="s">
        <v>475</v>
      </c>
      <c r="BF2148" s="224" t="s">
        <v>490</v>
      </c>
      <c r="BG2148" s="224" t="s">
        <v>476</v>
      </c>
      <c r="BH2148">
        <v>0</v>
      </c>
    </row>
    <row r="2149" spans="17:60">
      <c r="Q2149" s="224" t="s">
        <v>476</v>
      </c>
      <c r="R2149" s="224" t="s">
        <v>490</v>
      </c>
      <c r="S2149" s="224" t="s">
        <v>476</v>
      </c>
      <c r="T2149" s="224">
        <f ca="1">OFFSET('Calculations 2'!$C$45,W2149,X2149)*OFFSET($N$6,W2149,0)</f>
        <v>7.8201324759858295</v>
      </c>
      <c r="V2149">
        <f t="shared" si="101"/>
        <v>1054</v>
      </c>
      <c r="W2149">
        <f t="shared" si="102"/>
        <v>31</v>
      </c>
      <c r="X2149">
        <f t="shared" si="103"/>
        <v>31</v>
      </c>
      <c r="AC2149" s="224" t="s">
        <v>476</v>
      </c>
      <c r="AD2149" s="224" t="s">
        <v>490</v>
      </c>
      <c r="AE2149" s="224" t="s">
        <v>476</v>
      </c>
      <c r="AF2149">
        <f ca="1">OFFSET('Calculations 2'!$CE$45,W2149,0)*OFFSET($AA$6,X2149,0)*OFFSET($N$6,W2149,)</f>
        <v>0</v>
      </c>
      <c r="AY2149" s="224" t="s">
        <v>476</v>
      </c>
      <c r="AZ2149" s="224" t="s">
        <v>490</v>
      </c>
      <c r="BA2149" s="224" t="s">
        <v>476</v>
      </c>
      <c r="BB2149">
        <v>0</v>
      </c>
      <c r="BE2149" s="224" t="s">
        <v>476</v>
      </c>
      <c r="BF2149" s="224" t="s">
        <v>490</v>
      </c>
      <c r="BG2149" s="224" t="s">
        <v>476</v>
      </c>
      <c r="BH2149">
        <v>0</v>
      </c>
    </row>
    <row r="2150" spans="17:60">
      <c r="Q2150" s="224" t="s">
        <v>222</v>
      </c>
      <c r="R2150" s="224" t="s">
        <v>490</v>
      </c>
      <c r="S2150" s="224" t="s">
        <v>476</v>
      </c>
      <c r="T2150" s="224">
        <f ca="1">OFFSET('Calculations 2'!$C$45,W2150,X2150)*OFFSET($N$6,W2150,0)</f>
        <v>0</v>
      </c>
      <c r="V2150">
        <f t="shared" si="101"/>
        <v>1055</v>
      </c>
      <c r="W2150">
        <f t="shared" si="102"/>
        <v>32</v>
      </c>
      <c r="X2150">
        <f t="shared" si="103"/>
        <v>31</v>
      </c>
      <c r="AC2150" s="224" t="s">
        <v>222</v>
      </c>
      <c r="AD2150" s="224" t="s">
        <v>490</v>
      </c>
      <c r="AE2150" s="224" t="s">
        <v>476</v>
      </c>
      <c r="AF2150">
        <f ca="1">OFFSET('Calculations 2'!$CE$45,W2150,0)*OFFSET($AA$6,X2150,0)*OFFSET($N$6,W2150,)</f>
        <v>0</v>
      </c>
      <c r="AY2150" s="224" t="s">
        <v>222</v>
      </c>
      <c r="AZ2150" s="224" t="s">
        <v>490</v>
      </c>
      <c r="BA2150" s="224" t="s">
        <v>476</v>
      </c>
      <c r="BB2150">
        <v>0</v>
      </c>
      <c r="BE2150" s="224" t="s">
        <v>222</v>
      </c>
      <c r="BF2150" s="224" t="s">
        <v>490</v>
      </c>
      <c r="BG2150" s="224" t="s">
        <v>476</v>
      </c>
      <c r="BH2150">
        <v>0</v>
      </c>
    </row>
    <row r="2151" spans="17:60">
      <c r="Q2151" s="224" t="s">
        <v>217</v>
      </c>
      <c r="R2151" s="224" t="s">
        <v>490</v>
      </c>
      <c r="S2151" s="224" t="s">
        <v>222</v>
      </c>
      <c r="T2151" s="224">
        <f ca="1">OFFSET('Calculations 2'!$C$45,W2151,X2151)*OFFSET($N$6,W2151,0)</f>
        <v>0</v>
      </c>
      <c r="V2151">
        <f t="shared" si="101"/>
        <v>1056</v>
      </c>
      <c r="W2151">
        <f t="shared" si="102"/>
        <v>0</v>
      </c>
      <c r="X2151">
        <f t="shared" si="103"/>
        <v>32</v>
      </c>
      <c r="AC2151" s="224" t="s">
        <v>217</v>
      </c>
      <c r="AD2151" s="224" t="s">
        <v>490</v>
      </c>
      <c r="AE2151" s="224" t="s">
        <v>222</v>
      </c>
      <c r="AF2151">
        <f ca="1">OFFSET('Calculations 2'!$CE$45,W2151,0)*OFFSET($AA$6,X2151,0)*OFFSET($N$6,W2151,)</f>
        <v>4.2433065489995799E-4</v>
      </c>
      <c r="AY2151" s="224" t="s">
        <v>217</v>
      </c>
      <c r="AZ2151" s="224" t="s">
        <v>490</v>
      </c>
      <c r="BA2151" s="224" t="s">
        <v>222</v>
      </c>
      <c r="BB2151">
        <v>0</v>
      </c>
      <c r="BE2151" s="224" t="s">
        <v>217</v>
      </c>
      <c r="BF2151" s="224" t="s">
        <v>490</v>
      </c>
      <c r="BG2151" s="224" t="s">
        <v>222</v>
      </c>
      <c r="BH2151">
        <v>0</v>
      </c>
    </row>
    <row r="2152" spans="17:60">
      <c r="Q2152" s="224" t="s">
        <v>232</v>
      </c>
      <c r="R2152" s="224" t="s">
        <v>490</v>
      </c>
      <c r="S2152" s="224" t="s">
        <v>222</v>
      </c>
      <c r="T2152" s="224">
        <f ca="1">OFFSET('Calculations 2'!$C$45,W2152,X2152)*OFFSET($N$6,W2152,0)</f>
        <v>0</v>
      </c>
      <c r="V2152">
        <f t="shared" si="101"/>
        <v>1057</v>
      </c>
      <c r="W2152">
        <f t="shared" si="102"/>
        <v>1</v>
      </c>
      <c r="X2152">
        <f t="shared" si="103"/>
        <v>32</v>
      </c>
      <c r="AC2152" s="224" t="s">
        <v>232</v>
      </c>
      <c r="AD2152" s="224" t="s">
        <v>490</v>
      </c>
      <c r="AE2152" s="224" t="s">
        <v>222</v>
      </c>
      <c r="AF2152">
        <f ca="1">OFFSET('Calculations 2'!$CE$45,W2152,0)*OFFSET($AA$6,X2152,0)*OFFSET($N$6,W2152,)</f>
        <v>6.6943751478193154E-4</v>
      </c>
      <c r="AY2152" s="224" t="s">
        <v>232</v>
      </c>
      <c r="AZ2152" s="224" t="s">
        <v>490</v>
      </c>
      <c r="BA2152" s="224" t="s">
        <v>222</v>
      </c>
      <c r="BB2152">
        <v>0</v>
      </c>
      <c r="BE2152" s="224" t="s">
        <v>232</v>
      </c>
      <c r="BF2152" s="224" t="s">
        <v>490</v>
      </c>
      <c r="BG2152" s="224" t="s">
        <v>222</v>
      </c>
      <c r="BH2152">
        <v>0</v>
      </c>
    </row>
    <row r="2153" spans="17:60">
      <c r="Q2153" s="224" t="s">
        <v>226</v>
      </c>
      <c r="R2153" s="224" t="s">
        <v>490</v>
      </c>
      <c r="S2153" s="224" t="s">
        <v>222</v>
      </c>
      <c r="T2153" s="224">
        <f ca="1">OFFSET('Calculations 2'!$C$45,W2153,X2153)*OFFSET($N$6,W2153,0)</f>
        <v>0</v>
      </c>
      <c r="V2153">
        <f t="shared" si="101"/>
        <v>1058</v>
      </c>
      <c r="W2153">
        <f t="shared" si="102"/>
        <v>2</v>
      </c>
      <c r="X2153">
        <f t="shared" si="103"/>
        <v>32</v>
      </c>
      <c r="AC2153" s="224" t="s">
        <v>226</v>
      </c>
      <c r="AD2153" s="224" t="s">
        <v>490</v>
      </c>
      <c r="AE2153" s="224" t="s">
        <v>222</v>
      </c>
      <c r="AF2153">
        <f ca="1">OFFSET('Calculations 2'!$CE$45,W2153,0)*OFFSET($AA$6,X2153,0)*OFFSET($N$6,W2153,)</f>
        <v>1.6751376563932822E-4</v>
      </c>
      <c r="AY2153" s="224" t="s">
        <v>226</v>
      </c>
      <c r="AZ2153" s="224" t="s">
        <v>490</v>
      </c>
      <c r="BA2153" s="224" t="s">
        <v>222</v>
      </c>
      <c r="BB2153">
        <v>0</v>
      </c>
      <c r="BE2153" s="224" t="s">
        <v>226</v>
      </c>
      <c r="BF2153" s="224" t="s">
        <v>490</v>
      </c>
      <c r="BG2153" s="224" t="s">
        <v>222</v>
      </c>
      <c r="BH2153">
        <v>0</v>
      </c>
    </row>
    <row r="2154" spans="17:60">
      <c r="Q2154" s="224" t="s">
        <v>243</v>
      </c>
      <c r="R2154" s="224" t="s">
        <v>490</v>
      </c>
      <c r="S2154" s="224" t="s">
        <v>222</v>
      </c>
      <c r="T2154" s="224">
        <f ca="1">OFFSET('Calculations 2'!$C$45,W2154,X2154)*OFFSET($N$6,W2154,0)</f>
        <v>0</v>
      </c>
      <c r="V2154">
        <f t="shared" si="101"/>
        <v>1059</v>
      </c>
      <c r="W2154">
        <f t="shared" si="102"/>
        <v>3</v>
      </c>
      <c r="X2154">
        <f t="shared" si="103"/>
        <v>32</v>
      </c>
      <c r="AC2154" s="224" t="s">
        <v>243</v>
      </c>
      <c r="AD2154" s="224" t="s">
        <v>490</v>
      </c>
      <c r="AE2154" s="224" t="s">
        <v>222</v>
      </c>
      <c r="AF2154">
        <f ca="1">OFFSET('Calculations 2'!$CE$45,W2154,0)*OFFSET($AA$6,X2154,0)*OFFSET($N$6,W2154,)</f>
        <v>3.287293657953588E-3</v>
      </c>
      <c r="AY2154" s="224" t="s">
        <v>243</v>
      </c>
      <c r="AZ2154" s="224" t="s">
        <v>490</v>
      </c>
      <c r="BA2154" s="224" t="s">
        <v>222</v>
      </c>
      <c r="BB2154">
        <v>0</v>
      </c>
      <c r="BE2154" s="224" t="s">
        <v>243</v>
      </c>
      <c r="BF2154" s="224" t="s">
        <v>490</v>
      </c>
      <c r="BG2154" s="224" t="s">
        <v>222</v>
      </c>
      <c r="BH2154">
        <v>0</v>
      </c>
    </row>
    <row r="2155" spans="17:60">
      <c r="Q2155" s="224" t="s">
        <v>228</v>
      </c>
      <c r="R2155" s="224" t="s">
        <v>490</v>
      </c>
      <c r="S2155" s="224" t="s">
        <v>222</v>
      </c>
      <c r="T2155" s="224">
        <f ca="1">OFFSET('Calculations 2'!$C$45,W2155,X2155)*OFFSET($N$6,W2155,0)</f>
        <v>0</v>
      </c>
      <c r="V2155">
        <f t="shared" si="101"/>
        <v>1060</v>
      </c>
      <c r="W2155">
        <f t="shared" si="102"/>
        <v>4</v>
      </c>
      <c r="X2155">
        <f t="shared" si="103"/>
        <v>32</v>
      </c>
      <c r="AC2155" s="224" t="s">
        <v>228</v>
      </c>
      <c r="AD2155" s="224" t="s">
        <v>490</v>
      </c>
      <c r="AE2155" s="224" t="s">
        <v>222</v>
      </c>
      <c r="AF2155">
        <f ca="1">OFFSET('Calculations 2'!$CE$45,W2155,0)*OFFSET($AA$6,X2155,0)*OFFSET($N$6,W2155,)</f>
        <v>1.7132370978470289E-3</v>
      </c>
      <c r="AY2155" s="224" t="s">
        <v>228</v>
      </c>
      <c r="AZ2155" s="224" t="s">
        <v>490</v>
      </c>
      <c r="BA2155" s="224" t="s">
        <v>222</v>
      </c>
      <c r="BB2155">
        <v>0</v>
      </c>
      <c r="BE2155" s="224" t="s">
        <v>228</v>
      </c>
      <c r="BF2155" s="224" t="s">
        <v>490</v>
      </c>
      <c r="BG2155" s="224" t="s">
        <v>222</v>
      </c>
      <c r="BH2155">
        <v>0</v>
      </c>
    </row>
    <row r="2156" spans="17:60">
      <c r="Q2156" s="224" t="s">
        <v>246</v>
      </c>
      <c r="R2156" s="224" t="s">
        <v>490</v>
      </c>
      <c r="S2156" s="224" t="s">
        <v>222</v>
      </c>
      <c r="T2156" s="224">
        <f ca="1">OFFSET('Calculations 2'!$C$45,W2156,X2156)*OFFSET($N$6,W2156,0)</f>
        <v>0</v>
      </c>
      <c r="V2156">
        <f t="shared" si="101"/>
        <v>1061</v>
      </c>
      <c r="W2156">
        <f t="shared" si="102"/>
        <v>5</v>
      </c>
      <c r="X2156">
        <f t="shared" si="103"/>
        <v>32</v>
      </c>
      <c r="AC2156" s="224" t="s">
        <v>246</v>
      </c>
      <c r="AD2156" s="224" t="s">
        <v>490</v>
      </c>
      <c r="AE2156" s="224" t="s">
        <v>222</v>
      </c>
      <c r="AF2156">
        <f ca="1">OFFSET('Calculations 2'!$CE$45,W2156,0)*OFFSET($AA$6,X2156,0)*OFFSET($N$6,W2156,)</f>
        <v>3.066564535870117E-5</v>
      </c>
      <c r="AY2156" s="224" t="s">
        <v>246</v>
      </c>
      <c r="AZ2156" s="224" t="s">
        <v>490</v>
      </c>
      <c r="BA2156" s="224" t="s">
        <v>222</v>
      </c>
      <c r="BB2156">
        <v>0</v>
      </c>
      <c r="BE2156" s="224" t="s">
        <v>246</v>
      </c>
      <c r="BF2156" s="224" t="s">
        <v>490</v>
      </c>
      <c r="BG2156" s="224" t="s">
        <v>222</v>
      </c>
      <c r="BH2156">
        <v>0</v>
      </c>
    </row>
    <row r="2157" spans="17:60">
      <c r="Q2157" s="224" t="s">
        <v>239</v>
      </c>
      <c r="R2157" s="224" t="s">
        <v>490</v>
      </c>
      <c r="S2157" s="224" t="s">
        <v>222</v>
      </c>
      <c r="T2157" s="224">
        <f ca="1">OFFSET('Calculations 2'!$C$45,W2157,X2157)*OFFSET($N$6,W2157,0)</f>
        <v>0</v>
      </c>
      <c r="V2157">
        <f t="shared" si="101"/>
        <v>1062</v>
      </c>
      <c r="W2157">
        <f t="shared" si="102"/>
        <v>6</v>
      </c>
      <c r="X2157">
        <f t="shared" si="103"/>
        <v>32</v>
      </c>
      <c r="AC2157" s="224" t="s">
        <v>239</v>
      </c>
      <c r="AD2157" s="224" t="s">
        <v>490</v>
      </c>
      <c r="AE2157" s="224" t="s">
        <v>222</v>
      </c>
      <c r="AF2157">
        <f ca="1">OFFSET('Calculations 2'!$CE$45,W2157,0)*OFFSET($AA$6,X2157,0)*OFFSET($N$6,W2157,)</f>
        <v>4.4158281347547517E-4</v>
      </c>
      <c r="AY2157" s="224" t="s">
        <v>239</v>
      </c>
      <c r="AZ2157" s="224" t="s">
        <v>490</v>
      </c>
      <c r="BA2157" s="224" t="s">
        <v>222</v>
      </c>
      <c r="BB2157">
        <v>0</v>
      </c>
      <c r="BE2157" s="224" t="s">
        <v>239</v>
      </c>
      <c r="BF2157" s="224" t="s">
        <v>490</v>
      </c>
      <c r="BG2157" s="224" t="s">
        <v>222</v>
      </c>
      <c r="BH2157">
        <v>0</v>
      </c>
    </row>
    <row r="2158" spans="17:60">
      <c r="Q2158" s="224" t="s">
        <v>466</v>
      </c>
      <c r="R2158" s="224" t="s">
        <v>490</v>
      </c>
      <c r="S2158" s="224" t="s">
        <v>222</v>
      </c>
      <c r="T2158" s="224">
        <f ca="1">OFFSET('Calculations 2'!$C$45,W2158,X2158)*OFFSET($N$6,W2158,0)</f>
        <v>0</v>
      </c>
      <c r="V2158">
        <f t="shared" si="101"/>
        <v>1063</v>
      </c>
      <c r="W2158">
        <f t="shared" si="102"/>
        <v>7</v>
      </c>
      <c r="X2158">
        <f t="shared" si="103"/>
        <v>32</v>
      </c>
      <c r="AC2158" s="224" t="s">
        <v>466</v>
      </c>
      <c r="AD2158" s="224" t="s">
        <v>490</v>
      </c>
      <c r="AE2158" s="224" t="s">
        <v>222</v>
      </c>
      <c r="AF2158">
        <f ca="1">OFFSET('Calculations 2'!$CE$45,W2158,0)*OFFSET($AA$6,X2158,0)*OFFSET($N$6,W2158,)</f>
        <v>1.1119571064741884E-4</v>
      </c>
      <c r="AY2158" s="224" t="s">
        <v>466</v>
      </c>
      <c r="AZ2158" s="224" t="s">
        <v>490</v>
      </c>
      <c r="BA2158" s="224" t="s">
        <v>222</v>
      </c>
      <c r="BB2158">
        <v>0</v>
      </c>
      <c r="BE2158" s="224" t="s">
        <v>466</v>
      </c>
      <c r="BF2158" s="224" t="s">
        <v>490</v>
      </c>
      <c r="BG2158" s="224" t="s">
        <v>222</v>
      </c>
      <c r="BH2158">
        <v>0</v>
      </c>
    </row>
    <row r="2159" spans="17:60">
      <c r="Q2159" s="224" t="s">
        <v>219</v>
      </c>
      <c r="R2159" s="224" t="s">
        <v>490</v>
      </c>
      <c r="S2159" s="224" t="s">
        <v>222</v>
      </c>
      <c r="T2159" s="224">
        <f ca="1">OFFSET('Calculations 2'!$C$45,W2159,X2159)*OFFSET($N$6,W2159,0)</f>
        <v>0</v>
      </c>
      <c r="V2159">
        <f t="shared" si="101"/>
        <v>1064</v>
      </c>
      <c r="W2159">
        <f t="shared" si="102"/>
        <v>8</v>
      </c>
      <c r="X2159">
        <f t="shared" si="103"/>
        <v>32</v>
      </c>
      <c r="AC2159" s="224" t="s">
        <v>219</v>
      </c>
      <c r="AD2159" s="224" t="s">
        <v>490</v>
      </c>
      <c r="AE2159" s="224" t="s">
        <v>222</v>
      </c>
      <c r="AF2159">
        <f ca="1">OFFSET('Calculations 2'!$CE$45,W2159,0)*OFFSET($AA$6,X2159,0)*OFFSET($N$6,W2159,)</f>
        <v>1.5243081117549018E-3</v>
      </c>
      <c r="AY2159" s="224" t="s">
        <v>219</v>
      </c>
      <c r="AZ2159" s="224" t="s">
        <v>490</v>
      </c>
      <c r="BA2159" s="224" t="s">
        <v>222</v>
      </c>
      <c r="BB2159">
        <v>0</v>
      </c>
      <c r="BE2159" s="224" t="s">
        <v>219</v>
      </c>
      <c r="BF2159" s="224" t="s">
        <v>490</v>
      </c>
      <c r="BG2159" s="224" t="s">
        <v>222</v>
      </c>
      <c r="BH2159">
        <v>0</v>
      </c>
    </row>
    <row r="2160" spans="17:60">
      <c r="Q2160" s="224" t="s">
        <v>242</v>
      </c>
      <c r="R2160" s="224" t="s">
        <v>490</v>
      </c>
      <c r="S2160" s="224" t="s">
        <v>222</v>
      </c>
      <c r="T2160" s="224">
        <f ca="1">OFFSET('Calculations 2'!$C$45,W2160,X2160)*OFFSET($N$6,W2160,0)</f>
        <v>0</v>
      </c>
      <c r="V2160">
        <f t="shared" si="101"/>
        <v>1065</v>
      </c>
      <c r="W2160">
        <f t="shared" si="102"/>
        <v>9</v>
      </c>
      <c r="X2160">
        <f t="shared" si="103"/>
        <v>32</v>
      </c>
      <c r="AC2160" s="224" t="s">
        <v>242</v>
      </c>
      <c r="AD2160" s="224" t="s">
        <v>490</v>
      </c>
      <c r="AE2160" s="224" t="s">
        <v>222</v>
      </c>
      <c r="AF2160">
        <f ca="1">OFFSET('Calculations 2'!$CE$45,W2160,0)*OFFSET($AA$6,X2160,0)*OFFSET($N$6,W2160,)</f>
        <v>1.167417401258359E-3</v>
      </c>
      <c r="AY2160" s="224" t="s">
        <v>242</v>
      </c>
      <c r="AZ2160" s="224" t="s">
        <v>490</v>
      </c>
      <c r="BA2160" s="224" t="s">
        <v>222</v>
      </c>
      <c r="BB2160">
        <v>0</v>
      </c>
      <c r="BE2160" s="224" t="s">
        <v>242</v>
      </c>
      <c r="BF2160" s="224" t="s">
        <v>490</v>
      </c>
      <c r="BG2160" s="224" t="s">
        <v>222</v>
      </c>
      <c r="BH2160">
        <v>0</v>
      </c>
    </row>
    <row r="2161" spans="17:60">
      <c r="Q2161" s="224" t="s">
        <v>467</v>
      </c>
      <c r="R2161" s="224" t="s">
        <v>490</v>
      </c>
      <c r="S2161" s="224" t="s">
        <v>222</v>
      </c>
      <c r="T2161" s="224">
        <f ca="1">OFFSET('Calculations 2'!$C$45,W2161,X2161)*OFFSET($N$6,W2161,0)</f>
        <v>0</v>
      </c>
      <c r="V2161">
        <f t="shared" si="101"/>
        <v>1066</v>
      </c>
      <c r="W2161">
        <f t="shared" si="102"/>
        <v>10</v>
      </c>
      <c r="X2161">
        <f t="shared" si="103"/>
        <v>32</v>
      </c>
      <c r="AC2161" s="224" t="s">
        <v>467</v>
      </c>
      <c r="AD2161" s="224" t="s">
        <v>490</v>
      </c>
      <c r="AE2161" s="224" t="s">
        <v>222</v>
      </c>
      <c r="AF2161">
        <f ca="1">OFFSET('Calculations 2'!$CE$45,W2161,0)*OFFSET($AA$6,X2161,0)*OFFSET($N$6,W2161,)</f>
        <v>4.406853034290665E-4</v>
      </c>
      <c r="AY2161" s="224" t="s">
        <v>467</v>
      </c>
      <c r="AZ2161" s="224" t="s">
        <v>490</v>
      </c>
      <c r="BA2161" s="224" t="s">
        <v>222</v>
      </c>
      <c r="BB2161">
        <v>0</v>
      </c>
      <c r="BE2161" s="224" t="s">
        <v>467</v>
      </c>
      <c r="BF2161" s="224" t="s">
        <v>490</v>
      </c>
      <c r="BG2161" s="224" t="s">
        <v>222</v>
      </c>
      <c r="BH2161">
        <v>0</v>
      </c>
    </row>
    <row r="2162" spans="17:60">
      <c r="Q2162" s="224" t="s">
        <v>231</v>
      </c>
      <c r="R2162" s="224" t="s">
        <v>490</v>
      </c>
      <c r="S2162" s="224" t="s">
        <v>222</v>
      </c>
      <c r="T2162" s="224">
        <f ca="1">OFFSET('Calculations 2'!$C$45,W2162,X2162)*OFFSET($N$6,W2162,0)</f>
        <v>0</v>
      </c>
      <c r="V2162">
        <f t="shared" si="101"/>
        <v>1067</v>
      </c>
      <c r="W2162">
        <f t="shared" si="102"/>
        <v>11</v>
      </c>
      <c r="X2162">
        <f t="shared" si="103"/>
        <v>32</v>
      </c>
      <c r="AC2162" s="224" t="s">
        <v>231</v>
      </c>
      <c r="AD2162" s="224" t="s">
        <v>490</v>
      </c>
      <c r="AE2162" s="224" t="s">
        <v>222</v>
      </c>
      <c r="AF2162">
        <f ca="1">OFFSET('Calculations 2'!$CE$45,W2162,0)*OFFSET($AA$6,X2162,0)*OFFSET($N$6,W2162,)</f>
        <v>5.5161191718160777E-3</v>
      </c>
      <c r="AY2162" s="224" t="s">
        <v>231</v>
      </c>
      <c r="AZ2162" s="224" t="s">
        <v>490</v>
      </c>
      <c r="BA2162" s="224" t="s">
        <v>222</v>
      </c>
      <c r="BB2162">
        <v>0</v>
      </c>
      <c r="BE2162" s="224" t="s">
        <v>231</v>
      </c>
      <c r="BF2162" s="224" t="s">
        <v>490</v>
      </c>
      <c r="BG2162" s="224" t="s">
        <v>222</v>
      </c>
      <c r="BH2162">
        <v>0</v>
      </c>
    </row>
    <row r="2163" spans="17:60">
      <c r="Q2163" s="224" t="s">
        <v>468</v>
      </c>
      <c r="R2163" s="224" t="s">
        <v>490</v>
      </c>
      <c r="S2163" s="224" t="s">
        <v>222</v>
      </c>
      <c r="T2163" s="224">
        <f ca="1">OFFSET('Calculations 2'!$C$45,W2163,X2163)*OFFSET($N$6,W2163,0)</f>
        <v>0</v>
      </c>
      <c r="V2163">
        <f t="shared" si="101"/>
        <v>1068</v>
      </c>
      <c r="W2163">
        <f t="shared" si="102"/>
        <v>12</v>
      </c>
      <c r="X2163">
        <f t="shared" si="103"/>
        <v>32</v>
      </c>
      <c r="AC2163" s="224" t="s">
        <v>468</v>
      </c>
      <c r="AD2163" s="224" t="s">
        <v>490</v>
      </c>
      <c r="AE2163" s="224" t="s">
        <v>222</v>
      </c>
      <c r="AF2163">
        <f ca="1">OFFSET('Calculations 2'!$CE$45,W2163,0)*OFFSET($AA$6,X2163,0)*OFFSET($N$6,W2163,)</f>
        <v>2.1130994318930577E-2</v>
      </c>
      <c r="AY2163" s="224" t="s">
        <v>468</v>
      </c>
      <c r="AZ2163" s="224" t="s">
        <v>490</v>
      </c>
      <c r="BA2163" s="224" t="s">
        <v>222</v>
      </c>
      <c r="BB2163">
        <v>0</v>
      </c>
      <c r="BE2163" s="224" t="s">
        <v>468</v>
      </c>
      <c r="BF2163" s="224" t="s">
        <v>490</v>
      </c>
      <c r="BG2163" s="224" t="s">
        <v>222</v>
      </c>
      <c r="BH2163">
        <v>0</v>
      </c>
    </row>
    <row r="2164" spans="17:60">
      <c r="Q2164" s="224" t="s">
        <v>469</v>
      </c>
      <c r="R2164" s="224" t="s">
        <v>490</v>
      </c>
      <c r="S2164" s="224" t="s">
        <v>222</v>
      </c>
      <c r="T2164" s="224">
        <f ca="1">OFFSET('Calculations 2'!$C$45,W2164,X2164)*OFFSET($N$6,W2164,0)</f>
        <v>0</v>
      </c>
      <c r="V2164">
        <f t="shared" si="101"/>
        <v>1069</v>
      </c>
      <c r="W2164">
        <f t="shared" si="102"/>
        <v>13</v>
      </c>
      <c r="X2164">
        <f t="shared" si="103"/>
        <v>32</v>
      </c>
      <c r="AC2164" s="224" t="s">
        <v>469</v>
      </c>
      <c r="AD2164" s="224" t="s">
        <v>490</v>
      </c>
      <c r="AE2164" s="224" t="s">
        <v>222</v>
      </c>
      <c r="AF2164">
        <f ca="1">OFFSET('Calculations 2'!$CE$45,W2164,0)*OFFSET($AA$6,X2164,0)*OFFSET($N$6,W2164,)</f>
        <v>1.1329794552261168E-2</v>
      </c>
      <c r="AY2164" s="224" t="s">
        <v>469</v>
      </c>
      <c r="AZ2164" s="224" t="s">
        <v>490</v>
      </c>
      <c r="BA2164" s="224" t="s">
        <v>222</v>
      </c>
      <c r="BB2164">
        <v>0</v>
      </c>
      <c r="BE2164" s="224" t="s">
        <v>469</v>
      </c>
      <c r="BF2164" s="224" t="s">
        <v>490</v>
      </c>
      <c r="BG2164" s="224" t="s">
        <v>222</v>
      </c>
      <c r="BH2164">
        <v>0</v>
      </c>
    </row>
    <row r="2165" spans="17:60">
      <c r="Q2165" s="224" t="s">
        <v>245</v>
      </c>
      <c r="R2165" s="224" t="s">
        <v>490</v>
      </c>
      <c r="S2165" s="224" t="s">
        <v>222</v>
      </c>
      <c r="T2165" s="224">
        <f ca="1">OFFSET('Calculations 2'!$C$45,W2165,X2165)*OFFSET($N$6,W2165,0)</f>
        <v>0</v>
      </c>
      <c r="V2165">
        <f t="shared" si="101"/>
        <v>1070</v>
      </c>
      <c r="W2165">
        <f t="shared" si="102"/>
        <v>14</v>
      </c>
      <c r="X2165">
        <f t="shared" si="103"/>
        <v>32</v>
      </c>
      <c r="AC2165" s="224" t="s">
        <v>245</v>
      </c>
      <c r="AD2165" s="224" t="s">
        <v>490</v>
      </c>
      <c r="AE2165" s="224" t="s">
        <v>222</v>
      </c>
      <c r="AF2165">
        <f ca="1">OFFSET('Calculations 2'!$CE$45,W2165,0)*OFFSET($AA$6,X2165,0)*OFFSET($N$6,W2165,)</f>
        <v>1.808107776644224E-2</v>
      </c>
      <c r="AY2165" s="224" t="s">
        <v>245</v>
      </c>
      <c r="AZ2165" s="224" t="s">
        <v>490</v>
      </c>
      <c r="BA2165" s="224" t="s">
        <v>222</v>
      </c>
      <c r="BB2165">
        <v>0</v>
      </c>
      <c r="BE2165" s="224" t="s">
        <v>245</v>
      </c>
      <c r="BF2165" s="224" t="s">
        <v>490</v>
      </c>
      <c r="BG2165" s="224" t="s">
        <v>222</v>
      </c>
      <c r="BH2165">
        <v>0</v>
      </c>
    </row>
    <row r="2166" spans="17:60">
      <c r="Q2166" s="224" t="s">
        <v>470</v>
      </c>
      <c r="R2166" s="224" t="s">
        <v>490</v>
      </c>
      <c r="S2166" s="224" t="s">
        <v>222</v>
      </c>
      <c r="T2166" s="224">
        <f ca="1">OFFSET('Calculations 2'!$C$45,W2166,X2166)*OFFSET($N$6,W2166,0)</f>
        <v>0</v>
      </c>
      <c r="V2166">
        <f t="shared" si="101"/>
        <v>1071</v>
      </c>
      <c r="W2166">
        <f t="shared" si="102"/>
        <v>15</v>
      </c>
      <c r="X2166">
        <f t="shared" si="103"/>
        <v>32</v>
      </c>
      <c r="AC2166" s="224" t="s">
        <v>470</v>
      </c>
      <c r="AD2166" s="224" t="s">
        <v>490</v>
      </c>
      <c r="AE2166" s="224" t="s">
        <v>222</v>
      </c>
      <c r="AF2166">
        <f ca="1">OFFSET('Calculations 2'!$CE$45,W2166,0)*OFFSET($AA$6,X2166,0)*OFFSET($N$6,W2166,)</f>
        <v>6.8605877490096985E-3</v>
      </c>
      <c r="AY2166" s="224" t="s">
        <v>470</v>
      </c>
      <c r="AZ2166" s="224" t="s">
        <v>490</v>
      </c>
      <c r="BA2166" s="224" t="s">
        <v>222</v>
      </c>
      <c r="BB2166">
        <v>0</v>
      </c>
      <c r="BE2166" s="224" t="s">
        <v>470</v>
      </c>
      <c r="BF2166" s="224" t="s">
        <v>490</v>
      </c>
      <c r="BG2166" s="224" t="s">
        <v>222</v>
      </c>
      <c r="BH2166">
        <v>0</v>
      </c>
    </row>
    <row r="2167" spans="17:60">
      <c r="Q2167" s="224" t="s">
        <v>471</v>
      </c>
      <c r="R2167" s="224" t="s">
        <v>490</v>
      </c>
      <c r="S2167" s="224" t="s">
        <v>222</v>
      </c>
      <c r="T2167" s="224">
        <f ca="1">OFFSET('Calculations 2'!$C$45,W2167,X2167)*OFFSET($N$6,W2167,0)</f>
        <v>0</v>
      </c>
      <c r="V2167">
        <f t="shared" si="101"/>
        <v>1072</v>
      </c>
      <c r="W2167">
        <f t="shared" si="102"/>
        <v>16</v>
      </c>
      <c r="X2167">
        <f t="shared" si="103"/>
        <v>32</v>
      </c>
      <c r="AC2167" s="224" t="s">
        <v>471</v>
      </c>
      <c r="AD2167" s="224" t="s">
        <v>490</v>
      </c>
      <c r="AE2167" s="224" t="s">
        <v>222</v>
      </c>
      <c r="AF2167">
        <f ca="1">OFFSET('Calculations 2'!$CE$45,W2167,0)*OFFSET($AA$6,X2167,0)*OFFSET($N$6,W2167,)</f>
        <v>0</v>
      </c>
      <c r="AY2167" s="224" t="s">
        <v>471</v>
      </c>
      <c r="AZ2167" s="224" t="s">
        <v>490</v>
      </c>
      <c r="BA2167" s="224" t="s">
        <v>222</v>
      </c>
      <c r="BB2167">
        <v>0</v>
      </c>
      <c r="BE2167" s="224" t="s">
        <v>471</v>
      </c>
      <c r="BF2167" s="224" t="s">
        <v>490</v>
      </c>
      <c r="BG2167" s="224" t="s">
        <v>222</v>
      </c>
      <c r="BH2167">
        <v>0</v>
      </c>
    </row>
    <row r="2168" spans="17:60">
      <c r="Q2168" s="224" t="s">
        <v>221</v>
      </c>
      <c r="R2168" s="224" t="s">
        <v>490</v>
      </c>
      <c r="S2168" s="224" t="s">
        <v>222</v>
      </c>
      <c r="T2168" s="224">
        <f ca="1">OFFSET('Calculations 2'!$C$45,W2168,X2168)*OFFSET($N$6,W2168,0)</f>
        <v>0</v>
      </c>
      <c r="V2168">
        <f t="shared" si="101"/>
        <v>1073</v>
      </c>
      <c r="W2168">
        <f t="shared" si="102"/>
        <v>17</v>
      </c>
      <c r="X2168">
        <f t="shared" si="103"/>
        <v>32</v>
      </c>
      <c r="AC2168" s="224" t="s">
        <v>221</v>
      </c>
      <c r="AD2168" s="224" t="s">
        <v>490</v>
      </c>
      <c r="AE2168" s="224" t="s">
        <v>222</v>
      </c>
      <c r="AF2168">
        <f ca="1">OFFSET('Calculations 2'!$CE$45,W2168,0)*OFFSET($AA$6,X2168,0)*OFFSET($N$6,W2168,)</f>
        <v>1.3429995538707499E-3</v>
      </c>
      <c r="AY2168" s="224" t="s">
        <v>221</v>
      </c>
      <c r="AZ2168" s="224" t="s">
        <v>490</v>
      </c>
      <c r="BA2168" s="224" t="s">
        <v>222</v>
      </c>
      <c r="BB2168">
        <v>0</v>
      </c>
      <c r="BE2168" s="224" t="s">
        <v>221</v>
      </c>
      <c r="BF2168" s="224" t="s">
        <v>490</v>
      </c>
      <c r="BG2168" s="224" t="s">
        <v>222</v>
      </c>
      <c r="BH2168">
        <v>0</v>
      </c>
    </row>
    <row r="2169" spans="17:60">
      <c r="Q2169" s="224" t="s">
        <v>244</v>
      </c>
      <c r="R2169" s="224" t="s">
        <v>490</v>
      </c>
      <c r="S2169" s="224" t="s">
        <v>222</v>
      </c>
      <c r="T2169" s="224">
        <f ca="1">OFFSET('Calculations 2'!$C$45,W2169,X2169)*OFFSET($N$6,W2169,0)</f>
        <v>0</v>
      </c>
      <c r="V2169">
        <f t="shared" si="101"/>
        <v>1074</v>
      </c>
      <c r="W2169">
        <f t="shared" si="102"/>
        <v>18</v>
      </c>
      <c r="X2169">
        <f t="shared" si="103"/>
        <v>32</v>
      </c>
      <c r="AC2169" s="224" t="s">
        <v>244</v>
      </c>
      <c r="AD2169" s="224" t="s">
        <v>490</v>
      </c>
      <c r="AE2169" s="224" t="s">
        <v>222</v>
      </c>
      <c r="AF2169">
        <f ca="1">OFFSET('Calculations 2'!$CE$45,W2169,0)*OFFSET($AA$6,X2169,0)*OFFSET($N$6,W2169,)</f>
        <v>1.1750334591543849E-4</v>
      </c>
      <c r="AY2169" s="224" t="s">
        <v>244</v>
      </c>
      <c r="AZ2169" s="224" t="s">
        <v>490</v>
      </c>
      <c r="BA2169" s="224" t="s">
        <v>222</v>
      </c>
      <c r="BB2169">
        <v>0</v>
      </c>
      <c r="BE2169" s="224" t="s">
        <v>244</v>
      </c>
      <c r="BF2169" s="224" t="s">
        <v>490</v>
      </c>
      <c r="BG2169" s="224" t="s">
        <v>222</v>
      </c>
      <c r="BH2169">
        <v>0</v>
      </c>
    </row>
    <row r="2170" spans="17:60">
      <c r="Q2170" s="224" t="s">
        <v>472</v>
      </c>
      <c r="R2170" s="224" t="s">
        <v>490</v>
      </c>
      <c r="S2170" s="224" t="s">
        <v>222</v>
      </c>
      <c r="T2170" s="224">
        <f ca="1">OFFSET('Calculations 2'!$C$45,W2170,X2170)*OFFSET($N$6,W2170,0)</f>
        <v>0</v>
      </c>
      <c r="V2170">
        <f t="shared" si="101"/>
        <v>1075</v>
      </c>
      <c r="W2170">
        <f t="shared" si="102"/>
        <v>19</v>
      </c>
      <c r="X2170">
        <f t="shared" si="103"/>
        <v>32</v>
      </c>
      <c r="AC2170" s="224" t="s">
        <v>472</v>
      </c>
      <c r="AD2170" s="224" t="s">
        <v>490</v>
      </c>
      <c r="AE2170" s="224" t="s">
        <v>222</v>
      </c>
      <c r="AF2170">
        <f ca="1">OFFSET('Calculations 2'!$CE$45,W2170,0)*OFFSET($AA$6,X2170,0)*OFFSET($N$6,W2170,)</f>
        <v>0</v>
      </c>
      <c r="AY2170" s="224" t="s">
        <v>472</v>
      </c>
      <c r="AZ2170" s="224" t="s">
        <v>490</v>
      </c>
      <c r="BA2170" s="224" t="s">
        <v>222</v>
      </c>
      <c r="BB2170">
        <v>0</v>
      </c>
      <c r="BE2170" s="224" t="s">
        <v>472</v>
      </c>
      <c r="BF2170" s="224" t="s">
        <v>490</v>
      </c>
      <c r="BG2170" s="224" t="s">
        <v>222</v>
      </c>
      <c r="BH2170">
        <v>0</v>
      </c>
    </row>
    <row r="2171" spans="17:60">
      <c r="Q2171" s="224" t="s">
        <v>238</v>
      </c>
      <c r="R2171" s="224" t="s">
        <v>490</v>
      </c>
      <c r="S2171" s="224" t="s">
        <v>222</v>
      </c>
      <c r="T2171" s="224">
        <f ca="1">OFFSET('Calculations 2'!$C$45,W2171,X2171)*OFFSET($N$6,W2171,0)</f>
        <v>0</v>
      </c>
      <c r="V2171">
        <f t="shared" si="101"/>
        <v>1076</v>
      </c>
      <c r="W2171">
        <f t="shared" si="102"/>
        <v>20</v>
      </c>
      <c r="X2171">
        <f t="shared" si="103"/>
        <v>32</v>
      </c>
      <c r="AC2171" s="224" t="s">
        <v>238</v>
      </c>
      <c r="AD2171" s="224" t="s">
        <v>490</v>
      </c>
      <c r="AE2171" s="224" t="s">
        <v>222</v>
      </c>
      <c r="AF2171">
        <f ca="1">OFFSET('Calculations 2'!$CE$45,W2171,0)*OFFSET($AA$6,X2171,0)*OFFSET($N$6,W2171,)</f>
        <v>0</v>
      </c>
      <c r="AY2171" s="224" t="s">
        <v>238</v>
      </c>
      <c r="AZ2171" s="224" t="s">
        <v>490</v>
      </c>
      <c r="BA2171" s="224" t="s">
        <v>222</v>
      </c>
      <c r="BB2171">
        <v>0</v>
      </c>
      <c r="BE2171" s="224" t="s">
        <v>238</v>
      </c>
      <c r="BF2171" s="224" t="s">
        <v>490</v>
      </c>
      <c r="BG2171" s="224" t="s">
        <v>222</v>
      </c>
      <c r="BH2171">
        <v>0</v>
      </c>
    </row>
    <row r="2172" spans="17:60">
      <c r="Q2172" s="224" t="s">
        <v>247</v>
      </c>
      <c r="R2172" s="224" t="s">
        <v>490</v>
      </c>
      <c r="S2172" s="224" t="s">
        <v>222</v>
      </c>
      <c r="T2172" s="224">
        <f ca="1">OFFSET('Calculations 2'!$C$45,W2172,X2172)*OFFSET($N$6,W2172,0)</f>
        <v>0</v>
      </c>
      <c r="V2172">
        <f t="shared" si="101"/>
        <v>1077</v>
      </c>
      <c r="W2172">
        <f t="shared" si="102"/>
        <v>21</v>
      </c>
      <c r="X2172">
        <f t="shared" si="103"/>
        <v>32</v>
      </c>
      <c r="AC2172" s="224" t="s">
        <v>247</v>
      </c>
      <c r="AD2172" s="224" t="s">
        <v>490</v>
      </c>
      <c r="AE2172" s="224" t="s">
        <v>222</v>
      </c>
      <c r="AF2172">
        <f ca="1">OFFSET('Calculations 2'!$CE$45,W2172,0)*OFFSET($AA$6,X2172,0)*OFFSET($N$6,W2172,)</f>
        <v>0</v>
      </c>
      <c r="AY2172" s="224" t="s">
        <v>247</v>
      </c>
      <c r="AZ2172" s="224" t="s">
        <v>490</v>
      </c>
      <c r="BA2172" s="224" t="s">
        <v>222</v>
      </c>
      <c r="BB2172">
        <v>0</v>
      </c>
      <c r="BE2172" s="224" t="s">
        <v>247</v>
      </c>
      <c r="BF2172" s="224" t="s">
        <v>490</v>
      </c>
      <c r="BG2172" s="224" t="s">
        <v>222</v>
      </c>
      <c r="BH2172">
        <v>0</v>
      </c>
    </row>
    <row r="2173" spans="17:60">
      <c r="Q2173" s="224" t="s">
        <v>218</v>
      </c>
      <c r="R2173" s="224" t="s">
        <v>490</v>
      </c>
      <c r="S2173" s="224" t="s">
        <v>222</v>
      </c>
      <c r="T2173" s="224">
        <f ca="1">OFFSET('Calculations 2'!$C$45,W2173,X2173)*OFFSET($N$6,W2173,0)</f>
        <v>0</v>
      </c>
      <c r="V2173">
        <f t="shared" si="101"/>
        <v>1078</v>
      </c>
      <c r="W2173">
        <f t="shared" si="102"/>
        <v>22</v>
      </c>
      <c r="X2173">
        <f t="shared" si="103"/>
        <v>32</v>
      </c>
      <c r="AC2173" s="224" t="s">
        <v>218</v>
      </c>
      <c r="AD2173" s="224" t="s">
        <v>490</v>
      </c>
      <c r="AE2173" s="224" t="s">
        <v>222</v>
      </c>
      <c r="AF2173">
        <f ca="1">OFFSET('Calculations 2'!$CE$45,W2173,0)*OFFSET($AA$6,X2173,0)*OFFSET($N$6,W2173,)</f>
        <v>0</v>
      </c>
      <c r="AY2173" s="224" t="s">
        <v>218</v>
      </c>
      <c r="AZ2173" s="224" t="s">
        <v>490</v>
      </c>
      <c r="BA2173" s="224" t="s">
        <v>222</v>
      </c>
      <c r="BB2173">
        <v>0</v>
      </c>
      <c r="BE2173" s="224" t="s">
        <v>218</v>
      </c>
      <c r="BF2173" s="224" t="s">
        <v>490</v>
      </c>
      <c r="BG2173" s="224" t="s">
        <v>222</v>
      </c>
      <c r="BH2173">
        <v>0</v>
      </c>
    </row>
    <row r="2174" spans="17:60">
      <c r="Q2174" s="224" t="s">
        <v>257</v>
      </c>
      <c r="R2174" s="224" t="s">
        <v>490</v>
      </c>
      <c r="S2174" s="224" t="s">
        <v>222</v>
      </c>
      <c r="T2174" s="224">
        <f ca="1">OFFSET('Calculations 2'!$C$45,W2174,X2174)*OFFSET($N$6,W2174,0)</f>
        <v>0</v>
      </c>
      <c r="V2174">
        <f t="shared" si="101"/>
        <v>1079</v>
      </c>
      <c r="W2174">
        <f t="shared" si="102"/>
        <v>23</v>
      </c>
      <c r="X2174">
        <f t="shared" si="103"/>
        <v>32</v>
      </c>
      <c r="AC2174" s="224" t="s">
        <v>257</v>
      </c>
      <c r="AD2174" s="224" t="s">
        <v>490</v>
      </c>
      <c r="AE2174" s="224" t="s">
        <v>222</v>
      </c>
      <c r="AF2174">
        <f ca="1">OFFSET('Calculations 2'!$CE$45,W2174,0)*OFFSET($AA$6,X2174,0)*OFFSET($N$6,W2174,)</f>
        <v>0</v>
      </c>
      <c r="AY2174" s="224" t="s">
        <v>257</v>
      </c>
      <c r="AZ2174" s="224" t="s">
        <v>490</v>
      </c>
      <c r="BA2174" s="224" t="s">
        <v>222</v>
      </c>
      <c r="BB2174">
        <v>0</v>
      </c>
      <c r="BE2174" s="224" t="s">
        <v>257</v>
      </c>
      <c r="BF2174" s="224" t="s">
        <v>490</v>
      </c>
      <c r="BG2174" s="224" t="s">
        <v>222</v>
      </c>
      <c r="BH2174">
        <v>0</v>
      </c>
    </row>
    <row r="2175" spans="17:60">
      <c r="Q2175" s="224" t="s">
        <v>220</v>
      </c>
      <c r="R2175" s="224" t="s">
        <v>490</v>
      </c>
      <c r="S2175" s="224" t="s">
        <v>222</v>
      </c>
      <c r="T2175" s="224">
        <f ca="1">OFFSET('Calculations 2'!$C$45,W2175,X2175)*OFFSET($N$6,W2175,0)</f>
        <v>0</v>
      </c>
      <c r="V2175">
        <f t="shared" si="101"/>
        <v>1080</v>
      </c>
      <c r="W2175">
        <f t="shared" si="102"/>
        <v>24</v>
      </c>
      <c r="X2175">
        <f t="shared" si="103"/>
        <v>32</v>
      </c>
      <c r="AC2175" s="224" t="s">
        <v>220</v>
      </c>
      <c r="AD2175" s="224" t="s">
        <v>490</v>
      </c>
      <c r="AE2175" s="224" t="s">
        <v>222</v>
      </c>
      <c r="AF2175">
        <f ca="1">OFFSET('Calculations 2'!$CE$45,W2175,0)*OFFSET($AA$6,X2175,0)*OFFSET($N$6,W2175,)</f>
        <v>0</v>
      </c>
      <c r="AY2175" s="224" t="s">
        <v>220</v>
      </c>
      <c r="AZ2175" s="224" t="s">
        <v>490</v>
      </c>
      <c r="BA2175" s="224" t="s">
        <v>222</v>
      </c>
      <c r="BB2175">
        <v>0</v>
      </c>
      <c r="BE2175" s="224" t="s">
        <v>220</v>
      </c>
      <c r="BF2175" s="224" t="s">
        <v>490</v>
      </c>
      <c r="BG2175" s="224" t="s">
        <v>222</v>
      </c>
      <c r="BH2175">
        <v>0</v>
      </c>
    </row>
    <row r="2176" spans="17:60">
      <c r="Q2176" s="224" t="s">
        <v>235</v>
      </c>
      <c r="R2176" s="224" t="s">
        <v>490</v>
      </c>
      <c r="S2176" s="224" t="s">
        <v>222</v>
      </c>
      <c r="T2176" s="224">
        <f ca="1">OFFSET('Calculations 2'!$C$45,W2176,X2176)*OFFSET($N$6,W2176,0)</f>
        <v>0</v>
      </c>
      <c r="V2176">
        <f t="shared" si="101"/>
        <v>1081</v>
      </c>
      <c r="W2176">
        <f t="shared" si="102"/>
        <v>25</v>
      </c>
      <c r="X2176">
        <f t="shared" si="103"/>
        <v>32</v>
      </c>
      <c r="AC2176" s="224" t="s">
        <v>235</v>
      </c>
      <c r="AD2176" s="224" t="s">
        <v>490</v>
      </c>
      <c r="AE2176" s="224" t="s">
        <v>222</v>
      </c>
      <c r="AF2176">
        <f ca="1">OFFSET('Calculations 2'!$CE$45,W2176,0)*OFFSET($AA$6,X2176,0)*OFFSET($N$6,W2176,)</f>
        <v>0</v>
      </c>
      <c r="AY2176" s="224" t="s">
        <v>235</v>
      </c>
      <c r="AZ2176" s="224" t="s">
        <v>490</v>
      </c>
      <c r="BA2176" s="224" t="s">
        <v>222</v>
      </c>
      <c r="BB2176">
        <v>0</v>
      </c>
      <c r="BE2176" s="224" t="s">
        <v>235</v>
      </c>
      <c r="BF2176" s="224" t="s">
        <v>490</v>
      </c>
      <c r="BG2176" s="224" t="s">
        <v>222</v>
      </c>
      <c r="BH2176">
        <v>0</v>
      </c>
    </row>
    <row r="2177" spans="17:60">
      <c r="Q2177" s="224" t="s">
        <v>473</v>
      </c>
      <c r="R2177" s="224" t="s">
        <v>490</v>
      </c>
      <c r="S2177" s="224" t="s">
        <v>222</v>
      </c>
      <c r="T2177" s="224">
        <f ca="1">OFFSET('Calculations 2'!$C$45,W2177,X2177)*OFFSET($N$6,W2177,0)</f>
        <v>0</v>
      </c>
      <c r="V2177">
        <f t="shared" si="101"/>
        <v>1082</v>
      </c>
      <c r="W2177">
        <f t="shared" si="102"/>
        <v>26</v>
      </c>
      <c r="X2177">
        <f t="shared" si="103"/>
        <v>32</v>
      </c>
      <c r="AC2177" s="224" t="s">
        <v>473</v>
      </c>
      <c r="AD2177" s="224" t="s">
        <v>490</v>
      </c>
      <c r="AE2177" s="224" t="s">
        <v>222</v>
      </c>
      <c r="AF2177">
        <f ca="1">OFFSET('Calculations 2'!$CE$45,W2177,0)*OFFSET($AA$6,X2177,0)*OFFSET($N$6,W2177,)</f>
        <v>0</v>
      </c>
      <c r="AY2177" s="224" t="s">
        <v>473</v>
      </c>
      <c r="AZ2177" s="224" t="s">
        <v>490</v>
      </c>
      <c r="BA2177" s="224" t="s">
        <v>222</v>
      </c>
      <c r="BB2177">
        <v>0</v>
      </c>
      <c r="BE2177" s="224" t="s">
        <v>473</v>
      </c>
      <c r="BF2177" s="224" t="s">
        <v>490</v>
      </c>
      <c r="BG2177" s="224" t="s">
        <v>222</v>
      </c>
      <c r="BH2177">
        <v>0</v>
      </c>
    </row>
    <row r="2178" spans="17:60">
      <c r="Q2178" s="224" t="s">
        <v>233</v>
      </c>
      <c r="R2178" s="224" t="s">
        <v>490</v>
      </c>
      <c r="S2178" s="224" t="s">
        <v>222</v>
      </c>
      <c r="T2178" s="224">
        <f ca="1">OFFSET('Calculations 2'!$C$45,W2178,X2178)*OFFSET($N$6,W2178,0)</f>
        <v>0</v>
      </c>
      <c r="V2178">
        <f t="shared" si="101"/>
        <v>1083</v>
      </c>
      <c r="W2178">
        <f t="shared" si="102"/>
        <v>27</v>
      </c>
      <c r="X2178">
        <f t="shared" si="103"/>
        <v>32</v>
      </c>
      <c r="AC2178" s="224" t="s">
        <v>233</v>
      </c>
      <c r="AD2178" s="224" t="s">
        <v>490</v>
      </c>
      <c r="AE2178" s="224" t="s">
        <v>222</v>
      </c>
      <c r="AF2178">
        <f ca="1">OFFSET('Calculations 2'!$CE$45,W2178,0)*OFFSET($AA$6,X2178,0)*OFFSET($N$6,W2178,)</f>
        <v>0</v>
      </c>
      <c r="AY2178" s="224" t="s">
        <v>233</v>
      </c>
      <c r="AZ2178" s="224" t="s">
        <v>490</v>
      </c>
      <c r="BA2178" s="224" t="s">
        <v>222</v>
      </c>
      <c r="BB2178">
        <v>0</v>
      </c>
      <c r="BE2178" s="224" t="s">
        <v>233</v>
      </c>
      <c r="BF2178" s="224" t="s">
        <v>490</v>
      </c>
      <c r="BG2178" s="224" t="s">
        <v>222</v>
      </c>
      <c r="BH2178">
        <v>0</v>
      </c>
    </row>
    <row r="2179" spans="17:60">
      <c r="Q2179" s="224" t="s">
        <v>474</v>
      </c>
      <c r="R2179" s="224" t="s">
        <v>490</v>
      </c>
      <c r="S2179" s="224" t="s">
        <v>222</v>
      </c>
      <c r="T2179" s="224">
        <f ca="1">OFFSET('Calculations 2'!$C$45,W2179,X2179)*OFFSET($N$6,W2179,0)</f>
        <v>0</v>
      </c>
      <c r="V2179">
        <f t="shared" si="101"/>
        <v>1084</v>
      </c>
      <c r="W2179">
        <f t="shared" si="102"/>
        <v>28</v>
      </c>
      <c r="X2179">
        <f t="shared" si="103"/>
        <v>32</v>
      </c>
      <c r="AC2179" s="224" t="s">
        <v>474</v>
      </c>
      <c r="AD2179" s="224" t="s">
        <v>490</v>
      </c>
      <c r="AE2179" s="224" t="s">
        <v>222</v>
      </c>
      <c r="AF2179">
        <f ca="1">OFFSET('Calculations 2'!$CE$45,W2179,0)*OFFSET($AA$6,X2179,0)*OFFSET($N$6,W2179,)</f>
        <v>0</v>
      </c>
      <c r="AY2179" s="224" t="s">
        <v>474</v>
      </c>
      <c r="AZ2179" s="224" t="s">
        <v>490</v>
      </c>
      <c r="BA2179" s="224" t="s">
        <v>222</v>
      </c>
      <c r="BB2179">
        <v>0</v>
      </c>
      <c r="BE2179" s="224" t="s">
        <v>474</v>
      </c>
      <c r="BF2179" s="224" t="s">
        <v>490</v>
      </c>
      <c r="BG2179" s="224" t="s">
        <v>222</v>
      </c>
      <c r="BH2179">
        <v>0</v>
      </c>
    </row>
    <row r="2180" spans="17:60">
      <c r="Q2180" s="224" t="s">
        <v>223</v>
      </c>
      <c r="R2180" s="224" t="s">
        <v>490</v>
      </c>
      <c r="S2180" s="224" t="s">
        <v>222</v>
      </c>
      <c r="T2180" s="224">
        <f ca="1">OFFSET('Calculations 2'!$C$45,W2180,X2180)*OFFSET($N$6,W2180,0)</f>
        <v>0</v>
      </c>
      <c r="V2180">
        <f t="shared" si="101"/>
        <v>1085</v>
      </c>
      <c r="W2180">
        <f t="shared" si="102"/>
        <v>29</v>
      </c>
      <c r="X2180">
        <f t="shared" si="103"/>
        <v>32</v>
      </c>
      <c r="AC2180" s="224" t="s">
        <v>223</v>
      </c>
      <c r="AD2180" s="224" t="s">
        <v>490</v>
      </c>
      <c r="AE2180" s="224" t="s">
        <v>222</v>
      </c>
      <c r="AF2180">
        <f ca="1">OFFSET('Calculations 2'!$CE$45,W2180,0)*OFFSET($AA$6,X2180,0)*OFFSET($N$6,W2180,)</f>
        <v>0</v>
      </c>
      <c r="AY2180" s="224" t="s">
        <v>223</v>
      </c>
      <c r="AZ2180" s="224" t="s">
        <v>490</v>
      </c>
      <c r="BA2180" s="224" t="s">
        <v>222</v>
      </c>
      <c r="BB2180">
        <v>0</v>
      </c>
      <c r="BE2180" s="224" t="s">
        <v>223</v>
      </c>
      <c r="BF2180" s="224" t="s">
        <v>490</v>
      </c>
      <c r="BG2180" s="224" t="s">
        <v>222</v>
      </c>
      <c r="BH2180">
        <v>0</v>
      </c>
    </row>
    <row r="2181" spans="17:60">
      <c r="Q2181" s="224" t="s">
        <v>475</v>
      </c>
      <c r="R2181" s="224" t="s">
        <v>490</v>
      </c>
      <c r="S2181" s="224" t="s">
        <v>222</v>
      </c>
      <c r="T2181" s="224">
        <f ca="1">OFFSET('Calculations 2'!$C$45,W2181,X2181)*OFFSET($N$6,W2181,0)</f>
        <v>0</v>
      </c>
      <c r="V2181">
        <f t="shared" si="101"/>
        <v>1086</v>
      </c>
      <c r="W2181">
        <f t="shared" si="102"/>
        <v>30</v>
      </c>
      <c r="X2181">
        <f t="shared" si="103"/>
        <v>32</v>
      </c>
      <c r="AC2181" s="224" t="s">
        <v>475</v>
      </c>
      <c r="AD2181" s="224" t="s">
        <v>490</v>
      </c>
      <c r="AE2181" s="224" t="s">
        <v>222</v>
      </c>
      <c r="AF2181">
        <f ca="1">OFFSET('Calculations 2'!$CE$45,W2181,0)*OFFSET($AA$6,X2181,0)*OFFSET($N$6,W2181,)</f>
        <v>0</v>
      </c>
      <c r="AY2181" s="224" t="s">
        <v>475</v>
      </c>
      <c r="AZ2181" s="224" t="s">
        <v>490</v>
      </c>
      <c r="BA2181" s="224" t="s">
        <v>222</v>
      </c>
      <c r="BB2181">
        <v>0</v>
      </c>
      <c r="BE2181" s="224" t="s">
        <v>475</v>
      </c>
      <c r="BF2181" s="224" t="s">
        <v>490</v>
      </c>
      <c r="BG2181" s="224" t="s">
        <v>222</v>
      </c>
      <c r="BH2181">
        <v>0</v>
      </c>
    </row>
    <row r="2182" spans="17:60">
      <c r="Q2182" s="224" t="s">
        <v>476</v>
      </c>
      <c r="R2182" s="224" t="s">
        <v>490</v>
      </c>
      <c r="S2182" s="224" t="s">
        <v>222</v>
      </c>
      <c r="T2182" s="224">
        <f ca="1">OFFSET('Calculations 2'!$C$45,W2182,X2182)*OFFSET($N$6,W2182,0)</f>
        <v>0</v>
      </c>
      <c r="V2182">
        <f t="shared" si="101"/>
        <v>1087</v>
      </c>
      <c r="W2182">
        <f t="shared" si="102"/>
        <v>31</v>
      </c>
      <c r="X2182">
        <f t="shared" si="103"/>
        <v>32</v>
      </c>
      <c r="AC2182" s="224" t="s">
        <v>476</v>
      </c>
      <c r="AD2182" s="224" t="s">
        <v>490</v>
      </c>
      <c r="AE2182" s="224" t="s">
        <v>222</v>
      </c>
      <c r="AF2182">
        <f ca="1">OFFSET('Calculations 2'!$CE$45,W2182,0)*OFFSET($AA$6,X2182,0)*OFFSET($N$6,W2182,)</f>
        <v>0</v>
      </c>
      <c r="AY2182" s="224" t="s">
        <v>476</v>
      </c>
      <c r="AZ2182" s="224" t="s">
        <v>490</v>
      </c>
      <c r="BA2182" s="224" t="s">
        <v>222</v>
      </c>
      <c r="BB2182">
        <v>0</v>
      </c>
      <c r="BE2182" s="224" t="s">
        <v>476</v>
      </c>
      <c r="BF2182" s="224" t="s">
        <v>490</v>
      </c>
      <c r="BG2182" s="224" t="s">
        <v>222</v>
      </c>
      <c r="BH2182">
        <v>0</v>
      </c>
    </row>
    <row r="2183" spans="17:60">
      <c r="Q2183" s="224" t="s">
        <v>222</v>
      </c>
      <c r="R2183" s="224" t="s">
        <v>490</v>
      </c>
      <c r="S2183" s="224" t="s">
        <v>222</v>
      </c>
      <c r="T2183" s="224">
        <f ca="1">OFFSET('Calculations 2'!$C$45,W2183,X2183)*OFFSET($N$6,W2183,0)</f>
        <v>0</v>
      </c>
      <c r="V2183">
        <f t="shared" si="101"/>
        <v>1088</v>
      </c>
      <c r="W2183">
        <f t="shared" si="102"/>
        <v>32</v>
      </c>
      <c r="X2183">
        <f t="shared" si="103"/>
        <v>32</v>
      </c>
      <c r="AC2183" s="224" t="s">
        <v>222</v>
      </c>
      <c r="AD2183" s="224" t="s">
        <v>490</v>
      </c>
      <c r="AE2183" s="224" t="s">
        <v>222</v>
      </c>
      <c r="AF2183">
        <f ca="1">OFFSET('Calculations 2'!$CE$45,W2183,0)*OFFSET($AA$6,X2183,0)*OFFSET($N$6,W2183,)</f>
        <v>0</v>
      </c>
      <c r="AY2183" s="224" t="s">
        <v>222</v>
      </c>
      <c r="AZ2183" s="224" t="s">
        <v>490</v>
      </c>
      <c r="BA2183" s="224" t="s">
        <v>222</v>
      </c>
      <c r="BB2183">
        <v>0</v>
      </c>
      <c r="BE2183" s="224" t="s">
        <v>222</v>
      </c>
      <c r="BF2183" s="224" t="s">
        <v>490</v>
      </c>
      <c r="BG2183" s="224" t="s">
        <v>222</v>
      </c>
      <c r="BH21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327D-3800-470A-B464-FCE58352E16C}">
  <dimension ref="B2:Z31"/>
  <sheetViews>
    <sheetView workbookViewId="0"/>
  </sheetViews>
  <sheetFormatPr defaultRowHeight="14.5"/>
  <cols>
    <col min="2" max="26" width="20.453125" customWidth="1"/>
  </cols>
  <sheetData>
    <row r="2" spans="2:26">
      <c r="D2" t="s">
        <v>67</v>
      </c>
      <c r="H2" t="s">
        <v>68</v>
      </c>
      <c r="L2" t="s">
        <v>69</v>
      </c>
      <c r="P2" t="s">
        <v>70</v>
      </c>
      <c r="S2" t="s">
        <v>71</v>
      </c>
      <c r="Z2" t="s">
        <v>72</v>
      </c>
    </row>
    <row r="3" spans="2:26">
      <c r="C3" t="s">
        <v>73</v>
      </c>
      <c r="D3" t="s">
        <v>74</v>
      </c>
      <c r="E3" t="s">
        <v>75</v>
      </c>
      <c r="F3" t="s">
        <v>105</v>
      </c>
      <c r="G3" t="s">
        <v>106</v>
      </c>
      <c r="H3" t="s">
        <v>74</v>
      </c>
      <c r="I3" t="s">
        <v>75</v>
      </c>
      <c r="J3" t="s">
        <v>105</v>
      </c>
      <c r="K3" t="s">
        <v>106</v>
      </c>
      <c r="L3" t="s">
        <v>297</v>
      </c>
      <c r="M3" t="s">
        <v>298</v>
      </c>
      <c r="N3" t="s">
        <v>299</v>
      </c>
      <c r="O3" t="s">
        <v>72</v>
      </c>
      <c r="P3" t="s">
        <v>108</v>
      </c>
      <c r="Q3" t="s">
        <v>109</v>
      </c>
      <c r="R3" t="s">
        <v>110</v>
      </c>
      <c r="S3" t="s">
        <v>300</v>
      </c>
      <c r="T3" t="s">
        <v>301</v>
      </c>
      <c r="U3" t="s">
        <v>183</v>
      </c>
      <c r="V3" t="s">
        <v>181</v>
      </c>
      <c r="W3" t="s">
        <v>426</v>
      </c>
      <c r="X3" t="s">
        <v>111</v>
      </c>
      <c r="Y3" t="s">
        <v>112</v>
      </c>
      <c r="Z3" t="s">
        <v>113</v>
      </c>
    </row>
    <row r="4" spans="2:26">
      <c r="B4" t="s">
        <v>67</v>
      </c>
      <c r="C4" t="s">
        <v>74</v>
      </c>
      <c r="D4" s="224">
        <v>0</v>
      </c>
      <c r="E4" s="224">
        <v>0</v>
      </c>
      <c r="F4" s="224">
        <v>0</v>
      </c>
      <c r="G4" s="224">
        <v>0</v>
      </c>
      <c r="H4" s="225">
        <v>1512.2992146246634</v>
      </c>
      <c r="I4" s="225">
        <v>0</v>
      </c>
      <c r="J4" s="226" t="s">
        <v>454</v>
      </c>
      <c r="K4" s="225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2:26">
      <c r="C5" t="s">
        <v>75</v>
      </c>
      <c r="D5" s="224">
        <v>0</v>
      </c>
      <c r="E5" s="224">
        <v>0</v>
      </c>
      <c r="F5" s="224">
        <v>0</v>
      </c>
      <c r="G5" s="224">
        <v>0</v>
      </c>
      <c r="H5" s="225">
        <v>0</v>
      </c>
      <c r="I5" s="225">
        <v>11448.728531581437</v>
      </c>
      <c r="J5" s="225">
        <v>0</v>
      </c>
      <c r="K5" s="22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2:26">
      <c r="C6" t="s">
        <v>105</v>
      </c>
      <c r="D6" s="224">
        <v>0</v>
      </c>
      <c r="E6" s="224">
        <v>0</v>
      </c>
      <c r="F6" s="224">
        <v>0</v>
      </c>
      <c r="G6" s="224">
        <v>0</v>
      </c>
      <c r="H6" s="225">
        <v>0</v>
      </c>
      <c r="I6" s="225">
        <v>0</v>
      </c>
      <c r="J6" s="225">
        <v>7820.8397258647346</v>
      </c>
      <c r="K6" s="225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2:26">
      <c r="C7" t="s">
        <v>106</v>
      </c>
      <c r="D7" s="224">
        <v>0</v>
      </c>
      <c r="E7" s="224">
        <v>0</v>
      </c>
      <c r="F7" s="224">
        <v>0</v>
      </c>
      <c r="G7" s="224">
        <v>0</v>
      </c>
      <c r="H7" s="225">
        <v>0</v>
      </c>
      <c r="I7" s="225">
        <v>0</v>
      </c>
      <c r="J7" s="225">
        <v>0</v>
      </c>
      <c r="K7" s="225">
        <v>1945.3419233888926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2:26">
      <c r="B8" t="s">
        <v>68</v>
      </c>
      <c r="C8" t="s">
        <v>74</v>
      </c>
      <c r="D8" s="225">
        <v>143.07823590530879</v>
      </c>
      <c r="E8" s="225">
        <v>0</v>
      </c>
      <c r="F8" s="226" t="s">
        <v>455</v>
      </c>
      <c r="G8" s="225">
        <v>0</v>
      </c>
      <c r="H8" s="224">
        <v>0</v>
      </c>
      <c r="I8" s="224">
        <v>0</v>
      </c>
      <c r="J8" s="224">
        <v>0</v>
      </c>
      <c r="K8" s="224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s="224">
        <v>650.05757069398555</v>
      </c>
      <c r="T8" s="224">
        <v>1816.2409965453187</v>
      </c>
      <c r="U8" s="224">
        <v>181.61414859905693</v>
      </c>
      <c r="V8" s="224">
        <v>76.877272854349826</v>
      </c>
      <c r="W8" s="224">
        <v>0</v>
      </c>
      <c r="X8" s="225">
        <v>0</v>
      </c>
      <c r="Y8" s="224">
        <v>13478.351902081989</v>
      </c>
      <c r="Z8" s="225">
        <v>327.9915341696771</v>
      </c>
    </row>
    <row r="9" spans="2:26">
      <c r="C9" t="s">
        <v>75</v>
      </c>
      <c r="D9" s="225">
        <v>0</v>
      </c>
      <c r="E9" s="225">
        <v>653.16941081642108</v>
      </c>
      <c r="F9" s="225">
        <v>0</v>
      </c>
      <c r="G9" s="225">
        <v>0</v>
      </c>
      <c r="H9" s="224">
        <v>0</v>
      </c>
      <c r="I9" s="224">
        <v>0</v>
      </c>
      <c r="J9" s="224">
        <v>0</v>
      </c>
      <c r="K9" s="224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224">
        <v>72.153960762089469</v>
      </c>
      <c r="T9" s="226" t="s">
        <v>462</v>
      </c>
      <c r="U9" s="224">
        <v>42.576965408820669</v>
      </c>
      <c r="V9" s="224">
        <v>9.343305415011649</v>
      </c>
      <c r="W9" s="224">
        <v>0</v>
      </c>
      <c r="X9" s="226" t="s">
        <v>464</v>
      </c>
      <c r="Y9" s="226" t="s">
        <v>463</v>
      </c>
      <c r="Z9" s="225">
        <v>521.2328051112944</v>
      </c>
    </row>
    <row r="10" spans="2:26">
      <c r="C10" t="s">
        <v>105</v>
      </c>
      <c r="D10" s="225">
        <v>0</v>
      </c>
      <c r="E10" s="225">
        <v>2.5079417112793649</v>
      </c>
      <c r="F10" s="225">
        <v>101.93045289374001</v>
      </c>
      <c r="G10" s="225">
        <v>0</v>
      </c>
      <c r="H10" s="224">
        <v>0</v>
      </c>
      <c r="I10" s="224">
        <v>0</v>
      </c>
      <c r="J10" s="224">
        <v>0</v>
      </c>
      <c r="K10" s="224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s="224">
        <v>600.69963534327871</v>
      </c>
      <c r="T10" s="224">
        <v>1250.510070040862</v>
      </c>
      <c r="U10" s="224">
        <v>33.165917270641273</v>
      </c>
      <c r="V10" s="224">
        <v>3.978187048564874</v>
      </c>
      <c r="W10" s="224">
        <v>0</v>
      </c>
      <c r="X10" s="225">
        <v>811.98819622969938</v>
      </c>
      <c r="Y10" s="224">
        <v>3516.9781825325385</v>
      </c>
      <c r="Z10" s="226" t="s">
        <v>459</v>
      </c>
    </row>
    <row r="11" spans="2:26">
      <c r="C11" t="s">
        <v>106</v>
      </c>
      <c r="D11" s="225">
        <v>0</v>
      </c>
      <c r="E11" s="225">
        <v>0</v>
      </c>
      <c r="F11" s="225">
        <v>0</v>
      </c>
      <c r="G11" s="225">
        <v>0</v>
      </c>
      <c r="H11" s="224">
        <v>0</v>
      </c>
      <c r="I11" s="224">
        <v>0</v>
      </c>
      <c r="J11" s="224">
        <v>0</v>
      </c>
      <c r="K11" s="224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s="224">
        <v>845.94664250218716</v>
      </c>
      <c r="T11" s="224">
        <v>1026.5238463584706</v>
      </c>
      <c r="U11" s="224">
        <v>47.701428749544938</v>
      </c>
      <c r="V11" s="224">
        <v>25.170005778690101</v>
      </c>
      <c r="W11" s="224">
        <v>0</v>
      </c>
      <c r="X11" s="225">
        <v>0</v>
      </c>
      <c r="Y11" s="224">
        <v>0</v>
      </c>
      <c r="Z11" s="225">
        <v>0</v>
      </c>
    </row>
    <row r="12" spans="2:26">
      <c r="B12" t="s">
        <v>69</v>
      </c>
      <c r="C12" t="s">
        <v>297</v>
      </c>
      <c r="D12" s="224">
        <v>14.240860604754507</v>
      </c>
      <c r="E12" s="224">
        <v>90.36473365562405</v>
      </c>
      <c r="F12" s="226" t="s">
        <v>456</v>
      </c>
      <c r="G12" s="224">
        <v>147.79424060352491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2:26">
      <c r="C13" t="s">
        <v>298</v>
      </c>
      <c r="D13" s="224">
        <v>155.77575607652062</v>
      </c>
      <c r="E13" s="224">
        <v>817.21729116822326</v>
      </c>
      <c r="F13" s="224">
        <v>1850.1451791691188</v>
      </c>
      <c r="G13" s="224">
        <v>1279.7686385538414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2:26">
      <c r="C14" t="s">
        <v>299</v>
      </c>
      <c r="D14" s="224">
        <v>62.983383318724883</v>
      </c>
      <c r="E14" s="224">
        <v>330.41797517615271</v>
      </c>
      <c r="F14" s="224">
        <v>748.05223835766924</v>
      </c>
      <c r="G14" s="224">
        <v>517.43712084263393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2:26">
      <c r="C15" t="s">
        <v>72</v>
      </c>
      <c r="D15" s="225">
        <v>414.32236557237968</v>
      </c>
      <c r="E15" s="225">
        <v>7222.3982615262066</v>
      </c>
      <c r="F15" s="226" t="s">
        <v>457</v>
      </c>
      <c r="G15" s="225">
        <v>0.34192338889261009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2:26">
      <c r="B16" t="s">
        <v>70</v>
      </c>
      <c r="C16" t="s">
        <v>108</v>
      </c>
      <c r="D16">
        <v>0</v>
      </c>
      <c r="E16">
        <v>0</v>
      </c>
      <c r="F16">
        <v>0</v>
      </c>
      <c r="G16">
        <v>0</v>
      </c>
      <c r="H16" s="225">
        <v>144.48319917074988</v>
      </c>
      <c r="I16" s="226" t="s">
        <v>458</v>
      </c>
      <c r="J16" s="225">
        <v>200.26044101909014</v>
      </c>
      <c r="K16" s="225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2:26">
      <c r="C17" t="s">
        <v>109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2:26">
      <c r="C18" t="s">
        <v>110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39520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2:26">
      <c r="B19" t="s">
        <v>71</v>
      </c>
      <c r="C19" t="s">
        <v>300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16934.765366645173</v>
      </c>
      <c r="M19">
        <v>0</v>
      </c>
      <c r="N19">
        <v>0</v>
      </c>
      <c r="O19">
        <v>185847.57567173796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20278.234103838317</v>
      </c>
      <c r="Y19">
        <v>0</v>
      </c>
      <c r="Z19">
        <v>0</v>
      </c>
    </row>
    <row r="20" spans="2:26">
      <c r="C20" t="s">
        <v>301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90773.271557021944</v>
      </c>
      <c r="N20">
        <v>0</v>
      </c>
      <c r="O20">
        <v>20649.730630193109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2:26">
      <c r="C21" t="s">
        <v>183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50235.389629236684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2:26">
      <c r="C22" t="s">
        <v>181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18952.738524115652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2:26">
      <c r="C23" t="s">
        <v>394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64675.726235661758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2:26">
      <c r="C24" t="s">
        <v>111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18030.000000000007</v>
      </c>
      <c r="Q24">
        <v>0</v>
      </c>
      <c r="R24">
        <v>39520</v>
      </c>
      <c r="S24">
        <v>3180.3749104242152</v>
      </c>
      <c r="T24">
        <v>8363.7131258842019</v>
      </c>
      <c r="U24">
        <v>942.81661383097855</v>
      </c>
      <c r="V24">
        <v>1031.9180857528168</v>
      </c>
      <c r="W24">
        <v>0</v>
      </c>
      <c r="X24">
        <v>0</v>
      </c>
      <c r="Y24">
        <v>0</v>
      </c>
      <c r="Z24">
        <v>0</v>
      </c>
    </row>
    <row r="25" spans="2:26">
      <c r="C25" t="s">
        <v>112</v>
      </c>
      <c r="D25">
        <v>0</v>
      </c>
      <c r="E25">
        <v>0</v>
      </c>
      <c r="F25">
        <v>0</v>
      </c>
      <c r="G25">
        <v>0</v>
      </c>
      <c r="H25" s="225">
        <v>20212.322345294069</v>
      </c>
      <c r="I25" s="226" t="s">
        <v>465</v>
      </c>
      <c r="J25" s="225">
        <v>449.6151779165022</v>
      </c>
      <c r="K25" s="2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113534.54076843669</v>
      </c>
      <c r="T25">
        <v>26449.301080955858</v>
      </c>
      <c r="U25">
        <v>42510.857407206626</v>
      </c>
      <c r="V25">
        <v>13191.574507738605</v>
      </c>
      <c r="W25">
        <v>64675.726235661758</v>
      </c>
      <c r="X25">
        <v>0</v>
      </c>
      <c r="Y25">
        <v>0</v>
      </c>
      <c r="Z25">
        <v>0</v>
      </c>
    </row>
    <row r="26" spans="2:26">
      <c r="B26" t="s">
        <v>72</v>
      </c>
      <c r="C26" t="s">
        <v>113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69448.44641840391</v>
      </c>
      <c r="T26">
        <v>7716.4940464893298</v>
      </c>
      <c r="U26">
        <v>0</v>
      </c>
      <c r="V26">
        <v>0</v>
      </c>
      <c r="W26">
        <v>0</v>
      </c>
      <c r="X26">
        <v>2800.0000003500099</v>
      </c>
      <c r="Y26">
        <v>36587.752063971013</v>
      </c>
      <c r="Z26">
        <v>0</v>
      </c>
    </row>
    <row r="30" spans="2:26">
      <c r="C30" t="s">
        <v>460</v>
      </c>
    </row>
    <row r="31" spans="2:26">
      <c r="C31" t="s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82B0-3110-154E-8752-44334756F277}">
  <dimension ref="A1:CO104"/>
  <sheetViews>
    <sheetView workbookViewId="0">
      <pane xSplit="2" ySplit="11" topLeftCell="H98" activePane="bottomRight" state="frozen"/>
      <selection pane="topRight" activeCell="C1" sqref="C1"/>
      <selection pane="bottomLeft" activeCell="A12" sqref="A12"/>
      <selection pane="bottomRight" activeCell="V7" sqref="V7"/>
    </sheetView>
  </sheetViews>
  <sheetFormatPr defaultColWidth="10.90625" defaultRowHeight="14.5"/>
  <cols>
    <col min="3" max="4" width="11" bestFit="1" customWidth="1"/>
    <col min="5" max="5" width="11.36328125" bestFit="1" customWidth="1"/>
    <col min="6" max="8" width="11" bestFit="1" customWidth="1"/>
    <col min="9" max="9" width="11.36328125" bestFit="1" customWidth="1"/>
    <col min="10" max="10" width="11" bestFit="1" customWidth="1"/>
    <col min="11" max="11" width="11.36328125" bestFit="1" customWidth="1"/>
    <col min="12" max="12" width="11" bestFit="1" customWidth="1"/>
    <col min="13" max="15" width="11.36328125" bestFit="1" customWidth="1"/>
    <col min="16" max="17" width="11" bestFit="1" customWidth="1"/>
    <col min="18" max="19" width="11.36328125" bestFit="1" customWidth="1"/>
    <col min="20" max="22" width="12.36328125" bestFit="1" customWidth="1"/>
    <col min="23" max="23" width="11.36328125" bestFit="1" customWidth="1"/>
    <col min="24" max="24" width="11" bestFit="1" customWidth="1"/>
    <col min="25" max="29" width="11.36328125" bestFit="1" customWidth="1"/>
    <col min="30" max="30" width="12.36328125" bestFit="1" customWidth="1"/>
    <col min="31" max="35" width="11.36328125" bestFit="1" customWidth="1"/>
    <col min="91" max="91" width="11.1796875" bestFit="1" customWidth="1"/>
  </cols>
  <sheetData>
    <row r="1" spans="1:86">
      <c r="A1" s="222" t="s">
        <v>449</v>
      </c>
    </row>
    <row r="3" spans="1:86">
      <c r="A3" t="s">
        <v>450</v>
      </c>
      <c r="D3" s="4">
        <v>-1.2836953722228372E-16</v>
      </c>
      <c r="E3" t="s">
        <v>452</v>
      </c>
      <c r="G3" s="34">
        <f ca="1">D3*Calculations!BX356</f>
        <v>-2.6031075275948557E-11</v>
      </c>
    </row>
    <row r="4" spans="1:86">
      <c r="A4" t="s">
        <v>451</v>
      </c>
      <c r="D4" s="4">
        <f>2/3</f>
        <v>0.66666666666666663</v>
      </c>
      <c r="E4" t="s">
        <v>453</v>
      </c>
    </row>
    <row r="5" spans="1:86">
      <c r="A5" t="s">
        <v>300</v>
      </c>
      <c r="D5" s="34">
        <f ca="1">G$3*D$4*Calculations!BX$334/SUM(Calculations!BX$334:CA$334)</f>
        <v>-4.0826325544451844E-12</v>
      </c>
      <c r="F5" s="34">
        <f ca="1">D5</f>
        <v>-4.0826325544451844E-12</v>
      </c>
    </row>
    <row r="6" spans="1:86">
      <c r="A6" t="s">
        <v>301</v>
      </c>
      <c r="D6" s="34">
        <f ca="1">G$3*D$4*Calculations!BY$334/SUM(Calculations!BX$334:CA$334)</f>
        <v>-1.0736459834296947E-11</v>
      </c>
      <c r="F6" s="34">
        <f ca="1">D6</f>
        <v>-1.0736459834296947E-11</v>
      </c>
    </row>
    <row r="7" spans="1:86">
      <c r="A7" t="s">
        <v>183</v>
      </c>
      <c r="D7" s="34">
        <f ca="1">G$3*D$4*Calculations!BZ$334/SUM(Calculations!BX$334:CA$334)</f>
        <v>-1.2102893240296328E-12</v>
      </c>
      <c r="F7" s="34">
        <f ca="1">D7+D8</f>
        <v>-2.5349577952235727E-12</v>
      </c>
    </row>
    <row r="8" spans="1:86">
      <c r="A8" t="s">
        <v>181</v>
      </c>
      <c r="D8" s="34">
        <f ca="1">G$3*D$4*Calculations!CA$334/SUM(Calculations!BX$334:CA$334)</f>
        <v>-1.3246684711939398E-12</v>
      </c>
    </row>
    <row r="9" spans="1:86" ht="15" thickBot="1"/>
    <row r="10" spans="1:86" ht="15" thickBot="1">
      <c r="A10" s="13"/>
      <c r="B10" s="14"/>
      <c r="C10" s="276" t="s">
        <v>67</v>
      </c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8"/>
      <c r="AJ10" s="276" t="s">
        <v>68</v>
      </c>
      <c r="AK10" s="277"/>
      <c r="AL10" s="277"/>
      <c r="AM10" s="277"/>
      <c r="AN10" s="277"/>
      <c r="AO10" s="277"/>
      <c r="AP10" s="277"/>
      <c r="AQ10" s="277"/>
      <c r="AR10" s="277"/>
      <c r="AS10" s="277"/>
      <c r="AT10" s="277"/>
      <c r="AU10" s="277"/>
      <c r="AV10" s="277"/>
      <c r="AW10" s="277"/>
      <c r="AX10" s="277"/>
      <c r="AY10" s="277"/>
      <c r="AZ10" s="277"/>
      <c r="BA10" s="277"/>
      <c r="BB10" s="277"/>
      <c r="BC10" s="277"/>
      <c r="BD10" s="277"/>
      <c r="BE10" s="277"/>
      <c r="BF10" s="277"/>
      <c r="BG10" s="277"/>
      <c r="BH10" s="277"/>
      <c r="BI10" s="277"/>
      <c r="BJ10" s="277"/>
      <c r="BK10" s="277"/>
      <c r="BL10" s="277"/>
      <c r="BM10" s="277"/>
      <c r="BN10" s="277"/>
      <c r="BO10" s="277"/>
      <c r="BP10" s="278"/>
      <c r="BQ10" s="154" t="s">
        <v>69</v>
      </c>
      <c r="BR10" s="156"/>
      <c r="BS10" s="156"/>
      <c r="BT10" s="156"/>
      <c r="BU10" s="155"/>
      <c r="BV10" s="276" t="s">
        <v>70</v>
      </c>
      <c r="BW10" s="277"/>
      <c r="BX10" s="278"/>
      <c r="BY10" s="272" t="s">
        <v>71</v>
      </c>
      <c r="BZ10" s="273"/>
      <c r="CA10" s="273"/>
      <c r="CB10" s="273"/>
      <c r="CC10" s="273"/>
      <c r="CD10" s="274"/>
      <c r="CE10" s="15" t="s">
        <v>72</v>
      </c>
      <c r="CF10" s="16"/>
    </row>
    <row r="11" spans="1:86" ht="113" thickBot="1">
      <c r="A11" s="17"/>
      <c r="B11" s="18" t="s">
        <v>73</v>
      </c>
      <c r="C11" s="19" t="s">
        <v>74</v>
      </c>
      <c r="D11" s="20" t="s">
        <v>75</v>
      </c>
      <c r="E11" s="20" t="s">
        <v>76</v>
      </c>
      <c r="F11" s="20" t="s">
        <v>77</v>
      </c>
      <c r="G11" s="20" t="s">
        <v>78</v>
      </c>
      <c r="H11" s="20" t="s">
        <v>79</v>
      </c>
      <c r="I11" s="20" t="s">
        <v>80</v>
      </c>
      <c r="J11" s="20" t="s">
        <v>81</v>
      </c>
      <c r="K11" s="20" t="s">
        <v>82</v>
      </c>
      <c r="L11" s="20" t="s">
        <v>83</v>
      </c>
      <c r="M11" s="20" t="s">
        <v>84</v>
      </c>
      <c r="N11" s="20" t="s">
        <v>85</v>
      </c>
      <c r="O11" s="20" t="s">
        <v>86</v>
      </c>
      <c r="P11" s="20" t="s">
        <v>87</v>
      </c>
      <c r="Q11" s="20" t="s">
        <v>88</v>
      </c>
      <c r="R11" s="20" t="s">
        <v>89</v>
      </c>
      <c r="S11" s="20" t="s">
        <v>90</v>
      </c>
      <c r="T11" s="20" t="s">
        <v>91</v>
      </c>
      <c r="U11" s="21" t="s">
        <v>92</v>
      </c>
      <c r="V11" s="20" t="s">
        <v>93</v>
      </c>
      <c r="W11" s="20" t="s">
        <v>94</v>
      </c>
      <c r="X11" s="20" t="s">
        <v>95</v>
      </c>
      <c r="Y11" s="20" t="s">
        <v>96</v>
      </c>
      <c r="Z11" s="20" t="s">
        <v>97</v>
      </c>
      <c r="AA11" s="20" t="s">
        <v>98</v>
      </c>
      <c r="AB11" s="20" t="s">
        <v>99</v>
      </c>
      <c r="AC11" s="20" t="s">
        <v>100</v>
      </c>
      <c r="AD11" s="20" t="s">
        <v>101</v>
      </c>
      <c r="AE11" s="20" t="s">
        <v>102</v>
      </c>
      <c r="AF11" s="20" t="s">
        <v>103</v>
      </c>
      <c r="AG11" s="20" t="s">
        <v>104</v>
      </c>
      <c r="AH11" s="20" t="s">
        <v>105</v>
      </c>
      <c r="AI11" s="22" t="s">
        <v>106</v>
      </c>
      <c r="AJ11" s="19" t="s">
        <v>74</v>
      </c>
      <c r="AK11" s="20" t="s">
        <v>75</v>
      </c>
      <c r="AL11" s="20" t="s">
        <v>76</v>
      </c>
      <c r="AM11" s="20" t="s">
        <v>77</v>
      </c>
      <c r="AN11" s="20" t="s">
        <v>78</v>
      </c>
      <c r="AO11" s="20" t="s">
        <v>79</v>
      </c>
      <c r="AP11" s="20" t="s">
        <v>80</v>
      </c>
      <c r="AQ11" s="20" t="s">
        <v>81</v>
      </c>
      <c r="AR11" s="20" t="s">
        <v>82</v>
      </c>
      <c r="AS11" s="20" t="s">
        <v>83</v>
      </c>
      <c r="AT11" s="20" t="s">
        <v>84</v>
      </c>
      <c r="AU11" s="20" t="s">
        <v>85</v>
      </c>
      <c r="AV11" s="20" t="s">
        <v>86</v>
      </c>
      <c r="AW11" s="20" t="s">
        <v>87</v>
      </c>
      <c r="AX11" s="20" t="s">
        <v>88</v>
      </c>
      <c r="AY11" s="20" t="s">
        <v>89</v>
      </c>
      <c r="AZ11" s="20" t="s">
        <v>90</v>
      </c>
      <c r="BA11" s="20" t="s">
        <v>91</v>
      </c>
      <c r="BB11" s="21" t="s">
        <v>92</v>
      </c>
      <c r="BC11" s="20" t="s">
        <v>93</v>
      </c>
      <c r="BD11" s="20" t="s">
        <v>94</v>
      </c>
      <c r="BE11" s="20" t="s">
        <v>95</v>
      </c>
      <c r="BF11" s="20" t="s">
        <v>96</v>
      </c>
      <c r="BG11" s="20" t="s">
        <v>97</v>
      </c>
      <c r="BH11" s="20" t="s">
        <v>98</v>
      </c>
      <c r="BI11" s="20" t="s">
        <v>99</v>
      </c>
      <c r="BJ11" s="20" t="s">
        <v>100</v>
      </c>
      <c r="BK11" s="20" t="s">
        <v>101</v>
      </c>
      <c r="BL11" s="20" t="s">
        <v>102</v>
      </c>
      <c r="BM11" s="20" t="s">
        <v>103</v>
      </c>
      <c r="BN11" s="20" t="s">
        <v>104</v>
      </c>
      <c r="BO11" s="20" t="s">
        <v>105</v>
      </c>
      <c r="BP11" s="22" t="s">
        <v>106</v>
      </c>
      <c r="BQ11" s="19" t="s">
        <v>297</v>
      </c>
      <c r="BR11" s="20" t="s">
        <v>570</v>
      </c>
      <c r="BS11" s="20" t="s">
        <v>572</v>
      </c>
      <c r="BT11" s="20" t="s">
        <v>299</v>
      </c>
      <c r="BU11" s="22" t="s">
        <v>72</v>
      </c>
      <c r="BV11" s="23" t="s">
        <v>108</v>
      </c>
      <c r="BW11" s="24" t="s">
        <v>109</v>
      </c>
      <c r="BX11" s="25" t="s">
        <v>110</v>
      </c>
      <c r="BY11" s="137" t="s">
        <v>300</v>
      </c>
      <c r="BZ11" s="138" t="s">
        <v>301</v>
      </c>
      <c r="CA11" s="138" t="s">
        <v>521</v>
      </c>
      <c r="CB11" s="138" t="s">
        <v>426</v>
      </c>
      <c r="CC11" s="24" t="s">
        <v>111</v>
      </c>
      <c r="CD11" s="25" t="s">
        <v>112</v>
      </c>
      <c r="CE11" s="26" t="s">
        <v>113</v>
      </c>
      <c r="CF11" s="27" t="s">
        <v>114</v>
      </c>
    </row>
    <row r="12" spans="1:86">
      <c r="A12" s="280" t="s">
        <v>67</v>
      </c>
      <c r="B12" s="28" t="s">
        <v>74</v>
      </c>
      <c r="C12" s="105">
        <f>Calculations!C275</f>
        <v>0</v>
      </c>
      <c r="D12" s="106">
        <f>Calculations!D275</f>
        <v>0</v>
      </c>
      <c r="E12" s="106">
        <f>Calculations!E275</f>
        <v>0</v>
      </c>
      <c r="F12" s="106">
        <f>Calculations!F275</f>
        <v>0</v>
      </c>
      <c r="G12" s="106">
        <f>Calculations!G275</f>
        <v>0</v>
      </c>
      <c r="H12" s="106">
        <f>Calculations!H275</f>
        <v>0</v>
      </c>
      <c r="I12" s="106">
        <f>Calculations!I275</f>
        <v>0</v>
      </c>
      <c r="J12" s="106">
        <f>Calculations!J275</f>
        <v>0</v>
      </c>
      <c r="K12" s="106">
        <f>Calculations!K275</f>
        <v>0</v>
      </c>
      <c r="L12" s="106">
        <f>Calculations!L275</f>
        <v>0</v>
      </c>
      <c r="M12" s="106">
        <f>Calculations!M275</f>
        <v>0</v>
      </c>
      <c r="N12" s="106">
        <f>Calculations!N275</f>
        <v>0</v>
      </c>
      <c r="O12" s="106">
        <f>Calculations!O275</f>
        <v>0</v>
      </c>
      <c r="P12" s="106">
        <f>Calculations!P275</f>
        <v>0</v>
      </c>
      <c r="Q12" s="106">
        <f>Calculations!Q275</f>
        <v>0</v>
      </c>
      <c r="R12" s="106">
        <f>Calculations!R275</f>
        <v>0</v>
      </c>
      <c r="S12" s="106">
        <f>Calculations!S275</f>
        <v>0</v>
      </c>
      <c r="T12" s="106">
        <f>Calculations!T275</f>
        <v>0</v>
      </c>
      <c r="U12" s="106">
        <f>Calculations!U275</f>
        <v>0</v>
      </c>
      <c r="V12" s="106">
        <f>Calculations!V275</f>
        <v>0</v>
      </c>
      <c r="W12" s="106">
        <f>Calculations!W275</f>
        <v>0</v>
      </c>
      <c r="X12" s="106">
        <f>Calculations!X275</f>
        <v>0</v>
      </c>
      <c r="Y12" s="106">
        <f>Calculations!Y275</f>
        <v>0</v>
      </c>
      <c r="Z12" s="106">
        <f>Calculations!Z275</f>
        <v>0</v>
      </c>
      <c r="AA12" s="106">
        <f>Calculations!AA275</f>
        <v>0</v>
      </c>
      <c r="AB12" s="106">
        <f>Calculations!AB275</f>
        <v>0</v>
      </c>
      <c r="AC12" s="106">
        <f>Calculations!AC275</f>
        <v>0</v>
      </c>
      <c r="AD12" s="106">
        <f>Calculations!AD275</f>
        <v>0</v>
      </c>
      <c r="AE12" s="106">
        <f>Calculations!AE275</f>
        <v>0</v>
      </c>
      <c r="AF12" s="106">
        <f>Calculations!AF275</f>
        <v>0</v>
      </c>
      <c r="AG12" s="106">
        <f>Calculations!AG275</f>
        <v>0</v>
      </c>
      <c r="AH12" s="106">
        <f>Calculations!AH275</f>
        <v>0</v>
      </c>
      <c r="AI12" s="107">
        <f>Calculations!AI275</f>
        <v>0</v>
      </c>
      <c r="AJ12" s="131">
        <f>Calculations!AJ275</f>
        <v>1512.2992146246634</v>
      </c>
      <c r="AK12" s="106">
        <f>Calculations!AK275</f>
        <v>0</v>
      </c>
      <c r="AL12" s="106">
        <f>Calculations!AL275</f>
        <v>0</v>
      </c>
      <c r="AM12" s="106">
        <f>Calculations!AM275</f>
        <v>0</v>
      </c>
      <c r="AN12" s="106">
        <f>Calculations!AN275</f>
        <v>0</v>
      </c>
      <c r="AO12" s="106">
        <f>Calculations!AO275</f>
        <v>0</v>
      </c>
      <c r="AP12" s="106">
        <f>Calculations!AP275</f>
        <v>0</v>
      </c>
      <c r="AQ12" s="106">
        <f>Calculations!AQ275</f>
        <v>0</v>
      </c>
      <c r="AR12" s="106">
        <f>Calculations!AR275</f>
        <v>0</v>
      </c>
      <c r="AS12" s="106">
        <f>Calculations!AS275</f>
        <v>0</v>
      </c>
      <c r="AT12" s="106">
        <f>Calculations!AT275</f>
        <v>0</v>
      </c>
      <c r="AU12" s="106">
        <f>Calculations!AU275</f>
        <v>0</v>
      </c>
      <c r="AV12" s="106">
        <f>Calculations!AV275</f>
        <v>0</v>
      </c>
      <c r="AW12" s="106">
        <f>Calculations!AW275</f>
        <v>0</v>
      </c>
      <c r="AX12" s="106">
        <f>Calculations!AX275</f>
        <v>0</v>
      </c>
      <c r="AY12" s="106">
        <f>Calculations!AY275</f>
        <v>0</v>
      </c>
      <c r="AZ12" s="106">
        <f>Calculations!AZ275</f>
        <v>0</v>
      </c>
      <c r="BA12" s="106">
        <f>Calculations!BA275</f>
        <v>0</v>
      </c>
      <c r="BB12" s="106">
        <f>Calculations!BB275</f>
        <v>0</v>
      </c>
      <c r="BC12" s="106">
        <f>Calculations!BC275</f>
        <v>0</v>
      </c>
      <c r="BD12" s="106">
        <f>Calculations!BD275</f>
        <v>0</v>
      </c>
      <c r="BE12" s="106">
        <f>Calculations!BE275</f>
        <v>0</v>
      </c>
      <c r="BF12" s="106">
        <f>Calculations!BF275</f>
        <v>0</v>
      </c>
      <c r="BG12" s="106">
        <f>Calculations!BG275</f>
        <v>0</v>
      </c>
      <c r="BH12" s="106">
        <f>Calculations!BH275</f>
        <v>0</v>
      </c>
      <c r="BI12" s="106">
        <f>Calculations!BI275</f>
        <v>0</v>
      </c>
      <c r="BJ12" s="106">
        <f>Calculations!BJ275</f>
        <v>0</v>
      </c>
      <c r="BK12" s="106">
        <f>Calculations!BK275</f>
        <v>0</v>
      </c>
      <c r="BL12" s="106">
        <f>Calculations!BL275</f>
        <v>0</v>
      </c>
      <c r="BM12" s="106">
        <f>Calculations!BM275</f>
        <v>0</v>
      </c>
      <c r="BN12" s="106">
        <f>Calculations!BN275</f>
        <v>0</v>
      </c>
      <c r="BO12" s="106">
        <f>Calculations!BO275</f>
        <v>0</v>
      </c>
      <c r="BP12" s="107">
        <f>Calculations!BP275</f>
        <v>0</v>
      </c>
      <c r="BQ12" s="108">
        <f>Calculations!BQ275</f>
        <v>0</v>
      </c>
      <c r="BR12" s="106">
        <f>Calculations!BR275</f>
        <v>0</v>
      </c>
      <c r="BS12" s="106">
        <v>0</v>
      </c>
      <c r="BT12" s="106">
        <f>Calculations!BS275</f>
        <v>0</v>
      </c>
      <c r="BU12" s="107">
        <f>Calculations!BT275</f>
        <v>0</v>
      </c>
      <c r="BV12" s="108">
        <f>Calculations!BU275</f>
        <v>0</v>
      </c>
      <c r="BW12" s="106">
        <f>Calculations!BV275</f>
        <v>0</v>
      </c>
      <c r="BX12" s="107">
        <f>Calculations!BW275</f>
        <v>0</v>
      </c>
      <c r="BY12" s="108">
        <f>Calculations!BX275</f>
        <v>0</v>
      </c>
      <c r="BZ12" s="106">
        <f>Calculations!BY275</f>
        <v>0</v>
      </c>
      <c r="CA12" s="106">
        <f>Calculations!BZ275+Calculations!CA275</f>
        <v>0</v>
      </c>
      <c r="CB12" s="106">
        <f>Calculations!CB275</f>
        <v>0</v>
      </c>
      <c r="CC12" s="106">
        <f>Calculations!CC275</f>
        <v>0</v>
      </c>
      <c r="CD12" s="107">
        <f>Calculations!CD275</f>
        <v>0</v>
      </c>
      <c r="CE12" s="109">
        <f>Calculations!CE275</f>
        <v>0</v>
      </c>
      <c r="CF12" s="132">
        <f t="shared" ref="CF12:CF43" si="0">SUM(C12:CE12)</f>
        <v>1512.2992146246634</v>
      </c>
      <c r="CH12" s="34" cm="1">
        <f t="array" aca="1" ref="CH12:CH92" ca="1">CF12:CF92-TRANSPOSE(C93:CE93)</f>
        <v>0</v>
      </c>
    </row>
    <row r="13" spans="1:86">
      <c r="A13" s="280"/>
      <c r="B13" s="28" t="s">
        <v>75</v>
      </c>
      <c r="C13" s="110">
        <f>Calculations!C276</f>
        <v>0</v>
      </c>
      <c r="D13" s="111">
        <f>Calculations!D276</f>
        <v>0</v>
      </c>
      <c r="E13" s="111">
        <f>Calculations!E276</f>
        <v>0</v>
      </c>
      <c r="F13" s="111">
        <f>Calculations!F276</f>
        <v>0</v>
      </c>
      <c r="G13" s="111">
        <f>Calculations!G276</f>
        <v>0</v>
      </c>
      <c r="H13" s="111">
        <f>Calculations!H276</f>
        <v>0</v>
      </c>
      <c r="I13" s="111">
        <f>Calculations!I276</f>
        <v>0</v>
      </c>
      <c r="J13" s="111">
        <f>Calculations!J276</f>
        <v>0</v>
      </c>
      <c r="K13" s="111">
        <f>Calculations!K276</f>
        <v>0</v>
      </c>
      <c r="L13" s="111">
        <f>Calculations!L276</f>
        <v>0</v>
      </c>
      <c r="M13" s="111">
        <f>Calculations!M276</f>
        <v>0</v>
      </c>
      <c r="N13" s="111">
        <f>Calculations!N276</f>
        <v>0</v>
      </c>
      <c r="O13" s="111">
        <f>Calculations!O276</f>
        <v>0</v>
      </c>
      <c r="P13" s="111">
        <f>Calculations!P276</f>
        <v>0</v>
      </c>
      <c r="Q13" s="111">
        <f>Calculations!Q276</f>
        <v>0</v>
      </c>
      <c r="R13" s="111">
        <f>Calculations!R276</f>
        <v>0</v>
      </c>
      <c r="S13" s="111">
        <f>Calculations!S276</f>
        <v>0</v>
      </c>
      <c r="T13" s="111">
        <f>Calculations!T276</f>
        <v>0</v>
      </c>
      <c r="U13" s="111">
        <f>Calculations!U276</f>
        <v>0</v>
      </c>
      <c r="V13" s="111">
        <f>Calculations!V276</f>
        <v>0</v>
      </c>
      <c r="W13" s="111">
        <f>Calculations!W276</f>
        <v>0</v>
      </c>
      <c r="X13" s="111">
        <f>Calculations!X276</f>
        <v>0</v>
      </c>
      <c r="Y13" s="111">
        <f>Calculations!Y276</f>
        <v>0</v>
      </c>
      <c r="Z13" s="111">
        <f>Calculations!Z276</f>
        <v>0</v>
      </c>
      <c r="AA13" s="111">
        <f>Calculations!AA276</f>
        <v>0</v>
      </c>
      <c r="AB13" s="111">
        <f>Calculations!AB276</f>
        <v>0</v>
      </c>
      <c r="AC13" s="111">
        <f>Calculations!AC276</f>
        <v>0</v>
      </c>
      <c r="AD13" s="111">
        <f>Calculations!AD276</f>
        <v>0</v>
      </c>
      <c r="AE13" s="111">
        <f>Calculations!AE276</f>
        <v>0</v>
      </c>
      <c r="AF13" s="111">
        <f>Calculations!AF276</f>
        <v>0</v>
      </c>
      <c r="AG13" s="111">
        <f>Calculations!AG276</f>
        <v>0</v>
      </c>
      <c r="AH13" s="111">
        <f>Calculations!AH276</f>
        <v>0</v>
      </c>
      <c r="AI13" s="112">
        <f>Calculations!AI276</f>
        <v>0</v>
      </c>
      <c r="AJ13" s="110">
        <f>Calculations!AJ276</f>
        <v>0</v>
      </c>
      <c r="AK13" s="115">
        <f>Calculations!AK276</f>
        <v>11448.728531581437</v>
      </c>
      <c r="AL13" s="111">
        <f>Calculations!AL276</f>
        <v>0</v>
      </c>
      <c r="AM13" s="111">
        <f>Calculations!AM276</f>
        <v>0</v>
      </c>
      <c r="AN13" s="111">
        <f>Calculations!AN276</f>
        <v>0</v>
      </c>
      <c r="AO13" s="111">
        <f>Calculations!AO276</f>
        <v>0</v>
      </c>
      <c r="AP13" s="111">
        <f>Calculations!AP276</f>
        <v>0</v>
      </c>
      <c r="AQ13" s="111">
        <f>Calculations!AQ276</f>
        <v>0</v>
      </c>
      <c r="AR13" s="111">
        <f>Calculations!AR276</f>
        <v>0</v>
      </c>
      <c r="AS13" s="111">
        <f>Calculations!AS276</f>
        <v>0</v>
      </c>
      <c r="AT13" s="111">
        <f>Calculations!AT276</f>
        <v>0</v>
      </c>
      <c r="AU13" s="111">
        <f>Calculations!AU276</f>
        <v>0</v>
      </c>
      <c r="AV13" s="111">
        <f>Calculations!AV276</f>
        <v>0</v>
      </c>
      <c r="AW13" s="111">
        <f>Calculations!AW276</f>
        <v>0</v>
      </c>
      <c r="AX13" s="111">
        <f>Calculations!AX276</f>
        <v>0</v>
      </c>
      <c r="AY13" s="111">
        <f>Calculations!AY276</f>
        <v>0</v>
      </c>
      <c r="AZ13" s="111">
        <f>Calculations!AZ276</f>
        <v>0</v>
      </c>
      <c r="BA13" s="111">
        <f>Calculations!BA276</f>
        <v>0</v>
      </c>
      <c r="BB13" s="111">
        <f>Calculations!BB276</f>
        <v>0</v>
      </c>
      <c r="BC13" s="111">
        <f>Calculations!BC276</f>
        <v>0</v>
      </c>
      <c r="BD13" s="111">
        <f>Calculations!BD276</f>
        <v>0</v>
      </c>
      <c r="BE13" s="111">
        <f>Calculations!BE276</f>
        <v>0</v>
      </c>
      <c r="BF13" s="111">
        <f>Calculations!BF276</f>
        <v>0</v>
      </c>
      <c r="BG13" s="111">
        <f>Calculations!BG276</f>
        <v>0</v>
      </c>
      <c r="BH13" s="111">
        <f>Calculations!BH276</f>
        <v>0</v>
      </c>
      <c r="BI13" s="111">
        <f>Calculations!BI276</f>
        <v>0</v>
      </c>
      <c r="BJ13" s="111">
        <f>Calculations!BJ276</f>
        <v>0</v>
      </c>
      <c r="BK13" s="111">
        <f>Calculations!BK276</f>
        <v>0</v>
      </c>
      <c r="BL13" s="111">
        <f>Calculations!BL276</f>
        <v>0</v>
      </c>
      <c r="BM13" s="111">
        <f>Calculations!BM276</f>
        <v>0</v>
      </c>
      <c r="BN13" s="111">
        <f>Calculations!BN276</f>
        <v>0</v>
      </c>
      <c r="BO13" s="111">
        <f>Calculations!BO276</f>
        <v>0</v>
      </c>
      <c r="BP13" s="112">
        <f>Calculations!BP276</f>
        <v>0</v>
      </c>
      <c r="BQ13" s="110">
        <f>Calculations!BQ276</f>
        <v>0</v>
      </c>
      <c r="BR13" s="111">
        <f>Calculations!BR276</f>
        <v>0</v>
      </c>
      <c r="BS13" s="111">
        <v>0</v>
      </c>
      <c r="BT13" s="111">
        <f>Calculations!BS276</f>
        <v>0</v>
      </c>
      <c r="BU13" s="112">
        <f>Calculations!BT276</f>
        <v>0</v>
      </c>
      <c r="BV13" s="110">
        <f>Calculations!BU276</f>
        <v>0</v>
      </c>
      <c r="BW13" s="111">
        <f>Calculations!BV276</f>
        <v>0</v>
      </c>
      <c r="BX13" s="112">
        <f>Calculations!BW276</f>
        <v>0</v>
      </c>
      <c r="BY13" s="110">
        <f>Calculations!BX276</f>
        <v>0</v>
      </c>
      <c r="BZ13" s="111">
        <f>Calculations!BY276</f>
        <v>0</v>
      </c>
      <c r="CA13" s="111">
        <f>Calculations!BZ276+Calculations!CA276</f>
        <v>0</v>
      </c>
      <c r="CB13" s="111">
        <f>Calculations!CB276</f>
        <v>0</v>
      </c>
      <c r="CC13" s="111">
        <f>Calculations!CC276</f>
        <v>0</v>
      </c>
      <c r="CD13" s="112">
        <f>Calculations!CD276</f>
        <v>0</v>
      </c>
      <c r="CE13" s="113">
        <f>Calculations!CE276</f>
        <v>0</v>
      </c>
      <c r="CF13" s="117">
        <f t="shared" si="0"/>
        <v>11448.728531581437</v>
      </c>
      <c r="CH13">
        <f ca="1"/>
        <v>0</v>
      </c>
    </row>
    <row r="14" spans="1:86">
      <c r="A14" s="280"/>
      <c r="B14" s="28" t="s">
        <v>76</v>
      </c>
      <c r="C14" s="110">
        <f>Calculations!C277</f>
        <v>0</v>
      </c>
      <c r="D14" s="111">
        <f>Calculations!D277</f>
        <v>0</v>
      </c>
      <c r="E14" s="111">
        <f>Calculations!E277</f>
        <v>0</v>
      </c>
      <c r="F14" s="111">
        <f>Calculations!F277</f>
        <v>0</v>
      </c>
      <c r="G14" s="111">
        <f>Calculations!G277</f>
        <v>0</v>
      </c>
      <c r="H14" s="111">
        <f>Calculations!H277</f>
        <v>0</v>
      </c>
      <c r="I14" s="111">
        <f>Calculations!I277</f>
        <v>0</v>
      </c>
      <c r="J14" s="111">
        <f>Calculations!J277</f>
        <v>0</v>
      </c>
      <c r="K14" s="111">
        <f>Calculations!K277</f>
        <v>0</v>
      </c>
      <c r="L14" s="111">
        <f>Calculations!L277</f>
        <v>0</v>
      </c>
      <c r="M14" s="111">
        <f>Calculations!M277</f>
        <v>0</v>
      </c>
      <c r="N14" s="111">
        <f>Calculations!N277</f>
        <v>0</v>
      </c>
      <c r="O14" s="111">
        <f>Calculations!O277</f>
        <v>0</v>
      </c>
      <c r="P14" s="111">
        <f>Calculations!P277</f>
        <v>0</v>
      </c>
      <c r="Q14" s="111">
        <f>Calculations!Q277</f>
        <v>0</v>
      </c>
      <c r="R14" s="111">
        <f>Calculations!R277</f>
        <v>0</v>
      </c>
      <c r="S14" s="111">
        <f>Calculations!S277</f>
        <v>0</v>
      </c>
      <c r="T14" s="111">
        <f>Calculations!T277</f>
        <v>0</v>
      </c>
      <c r="U14" s="111">
        <f>Calculations!U277</f>
        <v>0</v>
      </c>
      <c r="V14" s="111">
        <f>Calculations!V277</f>
        <v>0</v>
      </c>
      <c r="W14" s="111">
        <f>Calculations!W277</f>
        <v>0</v>
      </c>
      <c r="X14" s="111">
        <f>Calculations!X277</f>
        <v>0</v>
      </c>
      <c r="Y14" s="111">
        <f>Calculations!Y277</f>
        <v>0</v>
      </c>
      <c r="Z14" s="111">
        <f>Calculations!Z277</f>
        <v>0</v>
      </c>
      <c r="AA14" s="111">
        <f>Calculations!AA277</f>
        <v>0</v>
      </c>
      <c r="AB14" s="111">
        <f>Calculations!AB277</f>
        <v>0</v>
      </c>
      <c r="AC14" s="111">
        <f>Calculations!AC277</f>
        <v>0</v>
      </c>
      <c r="AD14" s="111">
        <f>Calculations!AD277</f>
        <v>0</v>
      </c>
      <c r="AE14" s="111">
        <f>Calculations!AE277</f>
        <v>0</v>
      </c>
      <c r="AF14" s="111">
        <f>Calculations!AF277</f>
        <v>0</v>
      </c>
      <c r="AG14" s="111">
        <f>Calculations!AG277</f>
        <v>0</v>
      </c>
      <c r="AH14" s="111">
        <f>Calculations!AH277</f>
        <v>0</v>
      </c>
      <c r="AI14" s="112">
        <f>Calculations!AI277</f>
        <v>0</v>
      </c>
      <c r="AJ14" s="110">
        <f>Calculations!AJ277</f>
        <v>0</v>
      </c>
      <c r="AK14" s="111">
        <f>Calculations!AK277</f>
        <v>0</v>
      </c>
      <c r="AL14" s="115">
        <f>Calculations!AL277</f>
        <v>25557.71899999999</v>
      </c>
      <c r="AM14" s="111">
        <f>Calculations!AM277</f>
        <v>0</v>
      </c>
      <c r="AN14" s="111">
        <f>Calculations!AN277</f>
        <v>0</v>
      </c>
      <c r="AO14" s="111">
        <f>Calculations!AO277</f>
        <v>0</v>
      </c>
      <c r="AP14" s="111">
        <f>Calculations!AP277</f>
        <v>0</v>
      </c>
      <c r="AQ14" s="111">
        <f>Calculations!AQ277</f>
        <v>0</v>
      </c>
      <c r="AR14" s="111">
        <f>Calculations!AR277</f>
        <v>0</v>
      </c>
      <c r="AS14" s="111">
        <f>Calculations!AS277</f>
        <v>0</v>
      </c>
      <c r="AT14" s="111">
        <f>Calculations!AT277</f>
        <v>0</v>
      </c>
      <c r="AU14" s="111">
        <f>Calculations!AU277</f>
        <v>0</v>
      </c>
      <c r="AV14" s="111">
        <f>Calculations!AV277</f>
        <v>0</v>
      </c>
      <c r="AW14" s="111">
        <f>Calculations!AW277</f>
        <v>0</v>
      </c>
      <c r="AX14" s="111">
        <f>Calculations!AX277</f>
        <v>0</v>
      </c>
      <c r="AY14" s="111">
        <f>Calculations!AY277</f>
        <v>0</v>
      </c>
      <c r="AZ14" s="111">
        <f>Calculations!AZ277</f>
        <v>0</v>
      </c>
      <c r="BA14" s="111">
        <f>Calculations!BA277</f>
        <v>0</v>
      </c>
      <c r="BB14" s="111">
        <f>Calculations!BB277</f>
        <v>0</v>
      </c>
      <c r="BC14" s="111">
        <f>Calculations!BC277</f>
        <v>0</v>
      </c>
      <c r="BD14" s="111">
        <f>Calculations!BD277</f>
        <v>0</v>
      </c>
      <c r="BE14" s="111">
        <f>Calculations!BE277</f>
        <v>0</v>
      </c>
      <c r="BF14" s="111">
        <f>Calculations!BF277</f>
        <v>0</v>
      </c>
      <c r="BG14" s="111">
        <f>Calculations!BG277</f>
        <v>0</v>
      </c>
      <c r="BH14" s="111">
        <f>Calculations!BH277</f>
        <v>0</v>
      </c>
      <c r="BI14" s="111">
        <f>Calculations!BI277</f>
        <v>0</v>
      </c>
      <c r="BJ14" s="111">
        <f>Calculations!BJ277</f>
        <v>0</v>
      </c>
      <c r="BK14" s="111">
        <f>Calculations!BK277</f>
        <v>0</v>
      </c>
      <c r="BL14" s="111">
        <f>Calculations!BL277</f>
        <v>0</v>
      </c>
      <c r="BM14" s="111">
        <f>Calculations!BM277</f>
        <v>0</v>
      </c>
      <c r="BN14" s="111">
        <f>Calculations!BN277</f>
        <v>0</v>
      </c>
      <c r="BO14" s="111">
        <f>Calculations!BO277</f>
        <v>0</v>
      </c>
      <c r="BP14" s="112">
        <f>Calculations!BP277</f>
        <v>0</v>
      </c>
      <c r="BQ14" s="110">
        <f>Calculations!BQ277</f>
        <v>0</v>
      </c>
      <c r="BR14" s="111">
        <f>Calculations!BR277</f>
        <v>0</v>
      </c>
      <c r="BS14" s="111">
        <v>0</v>
      </c>
      <c r="BT14" s="111">
        <f>Calculations!BS277</f>
        <v>0</v>
      </c>
      <c r="BU14" s="112">
        <f>Calculations!BT277</f>
        <v>0</v>
      </c>
      <c r="BV14" s="110">
        <f>Calculations!BU277</f>
        <v>0</v>
      </c>
      <c r="BW14" s="111">
        <f>Calculations!BV277</f>
        <v>0</v>
      </c>
      <c r="BX14" s="112">
        <f>Calculations!BW277</f>
        <v>0</v>
      </c>
      <c r="BY14" s="110">
        <f>Calculations!BX277</f>
        <v>0</v>
      </c>
      <c r="BZ14" s="111">
        <f>Calculations!BY277</f>
        <v>0</v>
      </c>
      <c r="CA14" s="111">
        <f>Calculations!BZ277+Calculations!CA277</f>
        <v>0</v>
      </c>
      <c r="CB14" s="111">
        <f>Calculations!CB277</f>
        <v>0</v>
      </c>
      <c r="CC14" s="111">
        <f>Calculations!CC277</f>
        <v>0</v>
      </c>
      <c r="CD14" s="112">
        <f>Calculations!CD277</f>
        <v>0</v>
      </c>
      <c r="CE14" s="113">
        <f>Calculations!CE277</f>
        <v>0</v>
      </c>
      <c r="CF14" s="117">
        <f t="shared" si="0"/>
        <v>25557.71899999999</v>
      </c>
      <c r="CH14">
        <f ca="1"/>
        <v>0</v>
      </c>
    </row>
    <row r="15" spans="1:86">
      <c r="A15" s="280"/>
      <c r="B15" s="28" t="s">
        <v>77</v>
      </c>
      <c r="C15" s="110">
        <f>Calculations!C278</f>
        <v>0</v>
      </c>
      <c r="D15" s="111">
        <f>Calculations!D278</f>
        <v>0</v>
      </c>
      <c r="E15" s="111">
        <f>Calculations!E278</f>
        <v>0</v>
      </c>
      <c r="F15" s="111">
        <f>Calculations!F278</f>
        <v>0</v>
      </c>
      <c r="G15" s="111">
        <f>Calculations!G278</f>
        <v>0</v>
      </c>
      <c r="H15" s="111">
        <f>Calculations!H278</f>
        <v>0</v>
      </c>
      <c r="I15" s="111">
        <f>Calculations!I278</f>
        <v>0</v>
      </c>
      <c r="J15" s="111">
        <f>Calculations!J278</f>
        <v>0</v>
      </c>
      <c r="K15" s="111">
        <f>Calculations!K278</f>
        <v>0</v>
      </c>
      <c r="L15" s="111">
        <f>Calculations!L278</f>
        <v>0</v>
      </c>
      <c r="M15" s="111">
        <f>Calculations!M278</f>
        <v>0</v>
      </c>
      <c r="N15" s="111">
        <f>Calculations!N278</f>
        <v>0</v>
      </c>
      <c r="O15" s="111">
        <f>Calculations!O278</f>
        <v>0</v>
      </c>
      <c r="P15" s="111">
        <f>Calculations!P278</f>
        <v>0</v>
      </c>
      <c r="Q15" s="111">
        <f>Calculations!Q278</f>
        <v>0</v>
      </c>
      <c r="R15" s="111">
        <f>Calculations!R278</f>
        <v>0</v>
      </c>
      <c r="S15" s="111">
        <f>Calculations!S278</f>
        <v>0</v>
      </c>
      <c r="T15" s="111">
        <f>Calculations!T278</f>
        <v>0</v>
      </c>
      <c r="U15" s="111">
        <f>Calculations!U278</f>
        <v>0</v>
      </c>
      <c r="V15" s="111">
        <f>Calculations!V278</f>
        <v>0</v>
      </c>
      <c r="W15" s="111">
        <f>Calculations!W278</f>
        <v>0</v>
      </c>
      <c r="X15" s="111">
        <f>Calculations!X278</f>
        <v>0</v>
      </c>
      <c r="Y15" s="111">
        <f>Calculations!Y278</f>
        <v>0</v>
      </c>
      <c r="Z15" s="111">
        <f>Calculations!Z278</f>
        <v>0</v>
      </c>
      <c r="AA15" s="111">
        <f>Calculations!AA278</f>
        <v>0</v>
      </c>
      <c r="AB15" s="111">
        <f>Calculations!AB278</f>
        <v>0</v>
      </c>
      <c r="AC15" s="111">
        <f>Calculations!AC278</f>
        <v>0</v>
      </c>
      <c r="AD15" s="111">
        <f>Calculations!AD278</f>
        <v>0</v>
      </c>
      <c r="AE15" s="111">
        <f>Calculations!AE278</f>
        <v>0</v>
      </c>
      <c r="AF15" s="111">
        <f>Calculations!AF278</f>
        <v>0</v>
      </c>
      <c r="AG15" s="111">
        <f>Calculations!AG278</f>
        <v>0</v>
      </c>
      <c r="AH15" s="111">
        <f>Calculations!AH278</f>
        <v>0</v>
      </c>
      <c r="AI15" s="112">
        <f>Calculations!AI278</f>
        <v>0</v>
      </c>
      <c r="AJ15" s="110">
        <f>Calculations!AJ278</f>
        <v>0</v>
      </c>
      <c r="AK15" s="111">
        <f>Calculations!AK278</f>
        <v>0</v>
      </c>
      <c r="AL15" s="111">
        <f>Calculations!AL278</f>
        <v>0</v>
      </c>
      <c r="AM15" s="115">
        <f>Calculations!AM278</f>
        <v>3421.0370000000003</v>
      </c>
      <c r="AN15" s="111">
        <f>Calculations!AN278</f>
        <v>0</v>
      </c>
      <c r="AO15" s="111">
        <f>Calculations!AO278</f>
        <v>0</v>
      </c>
      <c r="AP15" s="111">
        <f>Calculations!AP278</f>
        <v>0</v>
      </c>
      <c r="AQ15" s="111">
        <f>Calculations!AQ278</f>
        <v>0</v>
      </c>
      <c r="AR15" s="111">
        <f>Calculations!AR278</f>
        <v>0</v>
      </c>
      <c r="AS15" s="111">
        <f>Calculations!AS278</f>
        <v>0</v>
      </c>
      <c r="AT15" s="111">
        <f>Calculations!AT278</f>
        <v>0</v>
      </c>
      <c r="AU15" s="111">
        <f>Calculations!AU278</f>
        <v>0</v>
      </c>
      <c r="AV15" s="111">
        <f>Calculations!AV278</f>
        <v>0</v>
      </c>
      <c r="AW15" s="111">
        <f>Calculations!AW278</f>
        <v>0</v>
      </c>
      <c r="AX15" s="111">
        <f>Calculations!AX278</f>
        <v>0</v>
      </c>
      <c r="AY15" s="111">
        <f>Calculations!AY278</f>
        <v>0</v>
      </c>
      <c r="AZ15" s="111">
        <f>Calculations!AZ278</f>
        <v>0</v>
      </c>
      <c r="BA15" s="111">
        <f>Calculations!BA278</f>
        <v>0</v>
      </c>
      <c r="BB15" s="111">
        <f>Calculations!BB278</f>
        <v>0</v>
      </c>
      <c r="BC15" s="111">
        <f>Calculations!BC278</f>
        <v>0</v>
      </c>
      <c r="BD15" s="111">
        <f>Calculations!BD278</f>
        <v>0</v>
      </c>
      <c r="BE15" s="111">
        <f>Calculations!BE278</f>
        <v>0</v>
      </c>
      <c r="BF15" s="111">
        <f>Calculations!BF278</f>
        <v>0</v>
      </c>
      <c r="BG15" s="111">
        <f>Calculations!BG278</f>
        <v>0</v>
      </c>
      <c r="BH15" s="111">
        <f>Calculations!BH278</f>
        <v>0</v>
      </c>
      <c r="BI15" s="111">
        <f>Calculations!BI278</f>
        <v>0</v>
      </c>
      <c r="BJ15" s="111">
        <f>Calculations!BJ278</f>
        <v>0</v>
      </c>
      <c r="BK15" s="111">
        <f>Calculations!BK278</f>
        <v>0</v>
      </c>
      <c r="BL15" s="111">
        <f>Calculations!BL278</f>
        <v>0</v>
      </c>
      <c r="BM15" s="111">
        <f>Calculations!BM278</f>
        <v>0</v>
      </c>
      <c r="BN15" s="111">
        <f>Calculations!BN278</f>
        <v>0</v>
      </c>
      <c r="BO15" s="111">
        <f>Calculations!BO278</f>
        <v>0</v>
      </c>
      <c r="BP15" s="112">
        <f>Calculations!BP278</f>
        <v>0</v>
      </c>
      <c r="BQ15" s="110">
        <f>Calculations!BQ278</f>
        <v>0</v>
      </c>
      <c r="BR15" s="111">
        <f>Calculations!BR278</f>
        <v>0</v>
      </c>
      <c r="BS15" s="111">
        <v>0</v>
      </c>
      <c r="BT15" s="111">
        <f>Calculations!BS278</f>
        <v>0</v>
      </c>
      <c r="BU15" s="112">
        <f>Calculations!BT278</f>
        <v>0</v>
      </c>
      <c r="BV15" s="110">
        <f>Calculations!BU278</f>
        <v>0</v>
      </c>
      <c r="BW15" s="111">
        <f>Calculations!BV278</f>
        <v>0</v>
      </c>
      <c r="BX15" s="112">
        <f>Calculations!BW278</f>
        <v>0</v>
      </c>
      <c r="BY15" s="110">
        <f>Calculations!BX278</f>
        <v>0</v>
      </c>
      <c r="BZ15" s="111">
        <f>Calculations!BY278</f>
        <v>0</v>
      </c>
      <c r="CA15" s="111">
        <f>Calculations!BZ278+Calculations!CA278</f>
        <v>0</v>
      </c>
      <c r="CB15" s="111">
        <f>Calculations!CB278</f>
        <v>0</v>
      </c>
      <c r="CC15" s="111">
        <f>Calculations!CC278</f>
        <v>0</v>
      </c>
      <c r="CD15" s="112">
        <f>Calculations!CD278</f>
        <v>0</v>
      </c>
      <c r="CE15" s="113">
        <f>Calculations!CE278</f>
        <v>0</v>
      </c>
      <c r="CF15" s="117">
        <f t="shared" si="0"/>
        <v>3421.0370000000003</v>
      </c>
      <c r="CH15">
        <f ca="1"/>
        <v>0</v>
      </c>
    </row>
    <row r="16" spans="1:86">
      <c r="A16" s="280"/>
      <c r="B16" s="28" t="s">
        <v>78</v>
      </c>
      <c r="C16" s="110">
        <f>Calculations!C279</f>
        <v>0</v>
      </c>
      <c r="D16" s="111">
        <f>Calculations!D279</f>
        <v>0</v>
      </c>
      <c r="E16" s="111">
        <f>Calculations!E279</f>
        <v>0</v>
      </c>
      <c r="F16" s="111">
        <f>Calculations!F279</f>
        <v>0</v>
      </c>
      <c r="G16" s="111">
        <f>Calculations!G279</f>
        <v>0</v>
      </c>
      <c r="H16" s="111">
        <f>Calculations!H279</f>
        <v>0</v>
      </c>
      <c r="I16" s="111">
        <f>Calculations!I279</f>
        <v>0</v>
      </c>
      <c r="J16" s="111">
        <f>Calculations!J279</f>
        <v>0</v>
      </c>
      <c r="K16" s="111">
        <f>Calculations!K279</f>
        <v>0</v>
      </c>
      <c r="L16" s="111">
        <f>Calculations!L279</f>
        <v>0</v>
      </c>
      <c r="M16" s="111">
        <f>Calculations!M279</f>
        <v>0</v>
      </c>
      <c r="N16" s="111">
        <f>Calculations!N279</f>
        <v>0</v>
      </c>
      <c r="O16" s="111">
        <f>Calculations!O279</f>
        <v>0</v>
      </c>
      <c r="P16" s="111">
        <f>Calculations!P279</f>
        <v>0</v>
      </c>
      <c r="Q16" s="111">
        <f>Calculations!Q279</f>
        <v>0</v>
      </c>
      <c r="R16" s="111">
        <f>Calculations!R279</f>
        <v>0</v>
      </c>
      <c r="S16" s="111">
        <f>Calculations!S279</f>
        <v>0</v>
      </c>
      <c r="T16" s="111">
        <f>Calculations!T279</f>
        <v>0</v>
      </c>
      <c r="U16" s="111">
        <f>Calculations!U279</f>
        <v>0</v>
      </c>
      <c r="V16" s="111">
        <f>Calculations!V279</f>
        <v>0</v>
      </c>
      <c r="W16" s="111">
        <f>Calculations!W279</f>
        <v>0</v>
      </c>
      <c r="X16" s="111">
        <f>Calculations!X279</f>
        <v>0</v>
      </c>
      <c r="Y16" s="111">
        <f>Calculations!Y279</f>
        <v>0</v>
      </c>
      <c r="Z16" s="111">
        <f>Calculations!Z279</f>
        <v>0</v>
      </c>
      <c r="AA16" s="111">
        <f>Calculations!AA279</f>
        <v>0</v>
      </c>
      <c r="AB16" s="111">
        <f>Calculations!AB279</f>
        <v>0</v>
      </c>
      <c r="AC16" s="111">
        <f>Calculations!AC279</f>
        <v>0</v>
      </c>
      <c r="AD16" s="111">
        <f>Calculations!AD279</f>
        <v>0</v>
      </c>
      <c r="AE16" s="111">
        <f>Calculations!AE279</f>
        <v>0</v>
      </c>
      <c r="AF16" s="111">
        <f>Calculations!AF279</f>
        <v>0</v>
      </c>
      <c r="AG16" s="111">
        <f>Calculations!AG279</f>
        <v>0</v>
      </c>
      <c r="AH16" s="111">
        <f>Calculations!AH279</f>
        <v>0</v>
      </c>
      <c r="AI16" s="112">
        <f>Calculations!AI279</f>
        <v>0</v>
      </c>
      <c r="AJ16" s="110">
        <f>Calculations!AJ279</f>
        <v>0</v>
      </c>
      <c r="AK16" s="111">
        <f>Calculations!AK279</f>
        <v>0</v>
      </c>
      <c r="AL16" s="111">
        <f>Calculations!AL279</f>
        <v>0</v>
      </c>
      <c r="AM16" s="111">
        <f>Calculations!AM279</f>
        <v>0</v>
      </c>
      <c r="AN16" s="115">
        <f>Calculations!AN279</f>
        <v>29.598000000000006</v>
      </c>
      <c r="AO16" s="111">
        <f>Calculations!AO279</f>
        <v>0</v>
      </c>
      <c r="AP16" s="111">
        <f>Calculations!AP279</f>
        <v>0</v>
      </c>
      <c r="AQ16" s="111">
        <f>Calculations!AQ279</f>
        <v>0</v>
      </c>
      <c r="AR16" s="111">
        <f>Calculations!AR279</f>
        <v>0</v>
      </c>
      <c r="AS16" s="111">
        <f>Calculations!AS279</f>
        <v>0</v>
      </c>
      <c r="AT16" s="111">
        <f>Calculations!AT279</f>
        <v>0</v>
      </c>
      <c r="AU16" s="111">
        <f>Calculations!AU279</f>
        <v>0</v>
      </c>
      <c r="AV16" s="111">
        <f>Calculations!AV279</f>
        <v>0</v>
      </c>
      <c r="AW16" s="111">
        <f>Calculations!AW279</f>
        <v>0</v>
      </c>
      <c r="AX16" s="111">
        <f>Calculations!AX279</f>
        <v>0</v>
      </c>
      <c r="AY16" s="111">
        <f>Calculations!AY279</f>
        <v>0</v>
      </c>
      <c r="AZ16" s="111">
        <f>Calculations!AZ279</f>
        <v>0</v>
      </c>
      <c r="BA16" s="111">
        <f>Calculations!BA279</f>
        <v>0</v>
      </c>
      <c r="BB16" s="111">
        <f>Calculations!BB279</f>
        <v>0</v>
      </c>
      <c r="BC16" s="111">
        <f>Calculations!BC279</f>
        <v>0</v>
      </c>
      <c r="BD16" s="111">
        <f>Calculations!BD279</f>
        <v>0</v>
      </c>
      <c r="BE16" s="111">
        <f>Calculations!BE279</f>
        <v>0</v>
      </c>
      <c r="BF16" s="111">
        <f>Calculations!BF279</f>
        <v>0</v>
      </c>
      <c r="BG16" s="111">
        <f>Calculations!BG279</f>
        <v>0</v>
      </c>
      <c r="BH16" s="111">
        <f>Calculations!BH279</f>
        <v>0</v>
      </c>
      <c r="BI16" s="111">
        <f>Calculations!BI279</f>
        <v>0</v>
      </c>
      <c r="BJ16" s="111">
        <f>Calculations!BJ279</f>
        <v>0</v>
      </c>
      <c r="BK16" s="111">
        <f>Calculations!BK279</f>
        <v>0</v>
      </c>
      <c r="BL16" s="111">
        <f>Calculations!BL279</f>
        <v>0</v>
      </c>
      <c r="BM16" s="111">
        <f>Calculations!BM279</f>
        <v>0</v>
      </c>
      <c r="BN16" s="111">
        <f>Calculations!BN279</f>
        <v>0</v>
      </c>
      <c r="BO16" s="111">
        <f>Calculations!BO279</f>
        <v>0</v>
      </c>
      <c r="BP16" s="112">
        <f>Calculations!BP279</f>
        <v>0</v>
      </c>
      <c r="BQ16" s="110">
        <f>Calculations!BQ279</f>
        <v>0</v>
      </c>
      <c r="BR16" s="111">
        <f>Calculations!BR279</f>
        <v>0</v>
      </c>
      <c r="BS16" s="111">
        <v>0</v>
      </c>
      <c r="BT16" s="111">
        <f>Calculations!BS279</f>
        <v>0</v>
      </c>
      <c r="BU16" s="112">
        <f>Calculations!BT279</f>
        <v>0</v>
      </c>
      <c r="BV16" s="110">
        <f>Calculations!BU279</f>
        <v>0</v>
      </c>
      <c r="BW16" s="111">
        <f>Calculations!BV279</f>
        <v>0</v>
      </c>
      <c r="BX16" s="112">
        <f>Calculations!BW279</f>
        <v>0</v>
      </c>
      <c r="BY16" s="110">
        <f>Calculations!BX279</f>
        <v>0</v>
      </c>
      <c r="BZ16" s="111">
        <f>Calculations!BY279</f>
        <v>0</v>
      </c>
      <c r="CA16" s="111">
        <f>Calculations!BZ279+Calculations!CA279</f>
        <v>0</v>
      </c>
      <c r="CB16" s="111">
        <f>Calculations!CB279</f>
        <v>0</v>
      </c>
      <c r="CC16" s="111">
        <f>Calculations!CC279</f>
        <v>0</v>
      </c>
      <c r="CD16" s="112">
        <f>Calculations!CD279</f>
        <v>0</v>
      </c>
      <c r="CE16" s="113">
        <f>Calculations!CE279</f>
        <v>0</v>
      </c>
      <c r="CF16" s="117">
        <f t="shared" si="0"/>
        <v>29.598000000000006</v>
      </c>
      <c r="CH16">
        <f ca="1"/>
        <v>0</v>
      </c>
    </row>
    <row r="17" spans="1:86">
      <c r="A17" s="280"/>
      <c r="B17" s="28" t="s">
        <v>79</v>
      </c>
      <c r="C17" s="110">
        <f>Calculations!C280</f>
        <v>0</v>
      </c>
      <c r="D17" s="111">
        <f>Calculations!D280</f>
        <v>0</v>
      </c>
      <c r="E17" s="111">
        <f>Calculations!E280</f>
        <v>0</v>
      </c>
      <c r="F17" s="111">
        <f>Calculations!F280</f>
        <v>0</v>
      </c>
      <c r="G17" s="111">
        <f>Calculations!G280</f>
        <v>0</v>
      </c>
      <c r="H17" s="111">
        <f>Calculations!H280</f>
        <v>0</v>
      </c>
      <c r="I17" s="111">
        <f>Calculations!I280</f>
        <v>0</v>
      </c>
      <c r="J17" s="111">
        <f>Calculations!J280</f>
        <v>0</v>
      </c>
      <c r="K17" s="111">
        <f>Calculations!K280</f>
        <v>0</v>
      </c>
      <c r="L17" s="111">
        <f>Calculations!L280</f>
        <v>0</v>
      </c>
      <c r="M17" s="111">
        <f>Calculations!M280</f>
        <v>0</v>
      </c>
      <c r="N17" s="111">
        <f>Calculations!N280</f>
        <v>0</v>
      </c>
      <c r="O17" s="111">
        <f>Calculations!O280</f>
        <v>0</v>
      </c>
      <c r="P17" s="111">
        <f>Calculations!P280</f>
        <v>0</v>
      </c>
      <c r="Q17" s="111">
        <f>Calculations!Q280</f>
        <v>0</v>
      </c>
      <c r="R17" s="111">
        <f>Calculations!R280</f>
        <v>0</v>
      </c>
      <c r="S17" s="111">
        <f>Calculations!S280</f>
        <v>0</v>
      </c>
      <c r="T17" s="111">
        <f>Calculations!T280</f>
        <v>0</v>
      </c>
      <c r="U17" s="111">
        <f>Calculations!U280</f>
        <v>0</v>
      </c>
      <c r="V17" s="111">
        <f>Calculations!V280</f>
        <v>0</v>
      </c>
      <c r="W17" s="111">
        <f>Calculations!W280</f>
        <v>0</v>
      </c>
      <c r="X17" s="111">
        <f>Calculations!X280</f>
        <v>0</v>
      </c>
      <c r="Y17" s="111">
        <f>Calculations!Y280</f>
        <v>0</v>
      </c>
      <c r="Z17" s="111">
        <f>Calculations!Z280</f>
        <v>0</v>
      </c>
      <c r="AA17" s="111">
        <f>Calculations!AA280</f>
        <v>0</v>
      </c>
      <c r="AB17" s="111">
        <f>Calculations!AB280</f>
        <v>0</v>
      </c>
      <c r="AC17" s="111">
        <f>Calculations!AC280</f>
        <v>0</v>
      </c>
      <c r="AD17" s="111">
        <f>Calculations!AD280</f>
        <v>0</v>
      </c>
      <c r="AE17" s="111">
        <f>Calculations!AE280</f>
        <v>0</v>
      </c>
      <c r="AF17" s="111">
        <f>Calculations!AF280</f>
        <v>0</v>
      </c>
      <c r="AG17" s="111">
        <f>Calculations!AG280</f>
        <v>0</v>
      </c>
      <c r="AH17" s="111">
        <f>Calculations!AH280</f>
        <v>0</v>
      </c>
      <c r="AI17" s="112">
        <f>Calculations!AI280</f>
        <v>0</v>
      </c>
      <c r="AJ17" s="110">
        <f>Calculations!AJ280</f>
        <v>0</v>
      </c>
      <c r="AK17" s="111">
        <f>Calculations!AK280</f>
        <v>0</v>
      </c>
      <c r="AL17" s="111">
        <f>Calculations!AL280</f>
        <v>0</v>
      </c>
      <c r="AM17" s="111">
        <f>Calculations!AM280</f>
        <v>0</v>
      </c>
      <c r="AN17" s="111">
        <f>Calculations!AN280</f>
        <v>0</v>
      </c>
      <c r="AO17" s="115">
        <f>Calculations!AO280</f>
        <v>2673.8829999999998</v>
      </c>
      <c r="AP17" s="111">
        <f>Calculations!AP280</f>
        <v>0</v>
      </c>
      <c r="AQ17" s="111">
        <f>Calculations!AQ280</f>
        <v>0</v>
      </c>
      <c r="AR17" s="111">
        <f>Calculations!AR280</f>
        <v>0</v>
      </c>
      <c r="AS17" s="111">
        <f>Calculations!AS280</f>
        <v>0</v>
      </c>
      <c r="AT17" s="111">
        <f>Calculations!AT280</f>
        <v>0</v>
      </c>
      <c r="AU17" s="111">
        <f>Calculations!AU280</f>
        <v>0</v>
      </c>
      <c r="AV17" s="111">
        <f>Calculations!AV280</f>
        <v>0</v>
      </c>
      <c r="AW17" s="111">
        <f>Calculations!AW280</f>
        <v>0</v>
      </c>
      <c r="AX17" s="111">
        <f>Calculations!AX280</f>
        <v>0</v>
      </c>
      <c r="AY17" s="111">
        <f>Calculations!AY280</f>
        <v>0</v>
      </c>
      <c r="AZ17" s="111">
        <f>Calculations!AZ280</f>
        <v>0</v>
      </c>
      <c r="BA17" s="111">
        <f>Calculations!BA280</f>
        <v>0</v>
      </c>
      <c r="BB17" s="111">
        <f>Calculations!BB280</f>
        <v>0</v>
      </c>
      <c r="BC17" s="111">
        <f>Calculations!BC280</f>
        <v>0</v>
      </c>
      <c r="BD17" s="111">
        <f>Calculations!BD280</f>
        <v>0</v>
      </c>
      <c r="BE17" s="111">
        <f>Calculations!BE280</f>
        <v>0</v>
      </c>
      <c r="BF17" s="111">
        <f>Calculations!BF280</f>
        <v>0</v>
      </c>
      <c r="BG17" s="111">
        <f>Calculations!BG280</f>
        <v>0</v>
      </c>
      <c r="BH17" s="111">
        <f>Calculations!BH280</f>
        <v>0</v>
      </c>
      <c r="BI17" s="111">
        <f>Calculations!BI280</f>
        <v>0</v>
      </c>
      <c r="BJ17" s="111">
        <f>Calculations!BJ280</f>
        <v>0</v>
      </c>
      <c r="BK17" s="111">
        <f>Calculations!BK280</f>
        <v>0</v>
      </c>
      <c r="BL17" s="111">
        <f>Calculations!BL280</f>
        <v>0</v>
      </c>
      <c r="BM17" s="111">
        <f>Calculations!BM280</f>
        <v>0</v>
      </c>
      <c r="BN17" s="111">
        <f>Calculations!BN280</f>
        <v>0</v>
      </c>
      <c r="BO17" s="111">
        <f>Calculations!BO280</f>
        <v>0</v>
      </c>
      <c r="BP17" s="112">
        <f>Calculations!BP280</f>
        <v>0</v>
      </c>
      <c r="BQ17" s="110">
        <f>Calculations!BQ280</f>
        <v>0</v>
      </c>
      <c r="BR17" s="111">
        <f>Calculations!BR280</f>
        <v>0</v>
      </c>
      <c r="BS17" s="111">
        <v>0</v>
      </c>
      <c r="BT17" s="111">
        <f>Calculations!BS280</f>
        <v>0</v>
      </c>
      <c r="BU17" s="112">
        <f>Calculations!BT280</f>
        <v>0</v>
      </c>
      <c r="BV17" s="110">
        <f>Calculations!BU280</f>
        <v>0</v>
      </c>
      <c r="BW17" s="111">
        <f>Calculations!BV280</f>
        <v>0</v>
      </c>
      <c r="BX17" s="112">
        <f>Calculations!BW280</f>
        <v>0</v>
      </c>
      <c r="BY17" s="110">
        <f>Calculations!BX280</f>
        <v>0</v>
      </c>
      <c r="BZ17" s="111">
        <f>Calculations!BY280</f>
        <v>0</v>
      </c>
      <c r="CA17" s="111">
        <f>Calculations!BZ280+Calculations!CA280</f>
        <v>0</v>
      </c>
      <c r="CB17" s="111">
        <f>Calculations!CB280</f>
        <v>0</v>
      </c>
      <c r="CC17" s="111">
        <f>Calculations!CC280</f>
        <v>0</v>
      </c>
      <c r="CD17" s="112">
        <f>Calculations!CD280</f>
        <v>0</v>
      </c>
      <c r="CE17" s="113">
        <f>Calculations!CE280</f>
        <v>0</v>
      </c>
      <c r="CF17" s="117">
        <f t="shared" si="0"/>
        <v>2673.8829999999998</v>
      </c>
      <c r="CH17">
        <f ca="1"/>
        <v>0</v>
      </c>
    </row>
    <row r="18" spans="1:86">
      <c r="A18" s="280"/>
      <c r="B18" s="28" t="s">
        <v>80</v>
      </c>
      <c r="C18" s="110">
        <f>Calculations!C281</f>
        <v>0</v>
      </c>
      <c r="D18" s="111">
        <f>Calculations!D281</f>
        <v>0</v>
      </c>
      <c r="E18" s="111">
        <f>Calculations!E281</f>
        <v>0</v>
      </c>
      <c r="F18" s="111">
        <f>Calculations!F281</f>
        <v>0</v>
      </c>
      <c r="G18" s="111">
        <f>Calculations!G281</f>
        <v>0</v>
      </c>
      <c r="H18" s="111">
        <f>Calculations!H281</f>
        <v>0</v>
      </c>
      <c r="I18" s="111">
        <f>Calculations!I281</f>
        <v>0</v>
      </c>
      <c r="J18" s="111">
        <f>Calculations!J281</f>
        <v>0</v>
      </c>
      <c r="K18" s="111">
        <f>Calculations!K281</f>
        <v>0</v>
      </c>
      <c r="L18" s="111">
        <f>Calculations!L281</f>
        <v>0</v>
      </c>
      <c r="M18" s="111">
        <f>Calculations!M281</f>
        <v>0</v>
      </c>
      <c r="N18" s="111">
        <f>Calculations!N281</f>
        <v>0</v>
      </c>
      <c r="O18" s="111">
        <f>Calculations!O281</f>
        <v>0</v>
      </c>
      <c r="P18" s="111">
        <f>Calculations!P281</f>
        <v>0</v>
      </c>
      <c r="Q18" s="111">
        <f>Calculations!Q281</f>
        <v>0</v>
      </c>
      <c r="R18" s="111">
        <f>Calculations!R281</f>
        <v>0</v>
      </c>
      <c r="S18" s="111">
        <f>Calculations!S281</f>
        <v>0</v>
      </c>
      <c r="T18" s="111">
        <f>Calculations!T281</f>
        <v>0</v>
      </c>
      <c r="U18" s="111">
        <f>Calculations!U281</f>
        <v>0</v>
      </c>
      <c r="V18" s="111">
        <f>Calculations!V281</f>
        <v>0</v>
      </c>
      <c r="W18" s="111">
        <f>Calculations!W281</f>
        <v>0</v>
      </c>
      <c r="X18" s="111">
        <f>Calculations!X281</f>
        <v>0</v>
      </c>
      <c r="Y18" s="111">
        <f>Calculations!Y281</f>
        <v>0</v>
      </c>
      <c r="Z18" s="111">
        <f>Calculations!Z281</f>
        <v>0</v>
      </c>
      <c r="AA18" s="111">
        <f>Calculations!AA281</f>
        <v>0</v>
      </c>
      <c r="AB18" s="111">
        <f>Calculations!AB281</f>
        <v>0</v>
      </c>
      <c r="AC18" s="111">
        <f>Calculations!AC281</f>
        <v>0</v>
      </c>
      <c r="AD18" s="111">
        <f>Calculations!AD281</f>
        <v>0</v>
      </c>
      <c r="AE18" s="111">
        <f>Calculations!AE281</f>
        <v>0</v>
      </c>
      <c r="AF18" s="111">
        <f>Calculations!AF281</f>
        <v>0</v>
      </c>
      <c r="AG18" s="111">
        <f>Calculations!AG281</f>
        <v>0</v>
      </c>
      <c r="AH18" s="111">
        <f>Calculations!AH281</f>
        <v>0</v>
      </c>
      <c r="AI18" s="112">
        <f>Calculations!AI281</f>
        <v>0</v>
      </c>
      <c r="AJ18" s="110">
        <f>Calculations!AJ281</f>
        <v>0</v>
      </c>
      <c r="AK18" s="111">
        <f>Calculations!AK281</f>
        <v>0</v>
      </c>
      <c r="AL18" s="111">
        <f>Calculations!AL281</f>
        <v>0</v>
      </c>
      <c r="AM18" s="111">
        <f>Calculations!AM281</f>
        <v>0</v>
      </c>
      <c r="AN18" s="111">
        <f>Calculations!AN281</f>
        <v>0</v>
      </c>
      <c r="AO18" s="111">
        <f>Calculations!AO281</f>
        <v>0</v>
      </c>
      <c r="AP18" s="115">
        <f>Calculations!AP281</f>
        <v>7097.4430000000011</v>
      </c>
      <c r="AQ18" s="111">
        <f>Calculations!AQ281</f>
        <v>0</v>
      </c>
      <c r="AR18" s="111">
        <f>Calculations!AR281</f>
        <v>0</v>
      </c>
      <c r="AS18" s="111">
        <f>Calculations!AS281</f>
        <v>0</v>
      </c>
      <c r="AT18" s="111">
        <f>Calculations!AT281</f>
        <v>0</v>
      </c>
      <c r="AU18" s="111">
        <f>Calculations!AU281</f>
        <v>0</v>
      </c>
      <c r="AV18" s="111">
        <f>Calculations!AV281</f>
        <v>0</v>
      </c>
      <c r="AW18" s="111">
        <f>Calculations!AW281</f>
        <v>0</v>
      </c>
      <c r="AX18" s="111">
        <f>Calculations!AX281</f>
        <v>0</v>
      </c>
      <c r="AY18" s="111">
        <f>Calculations!AY281</f>
        <v>0</v>
      </c>
      <c r="AZ18" s="111">
        <f>Calculations!AZ281</f>
        <v>0</v>
      </c>
      <c r="BA18" s="111">
        <f>Calculations!BA281</f>
        <v>0</v>
      </c>
      <c r="BB18" s="111">
        <f>Calculations!BB281</f>
        <v>0</v>
      </c>
      <c r="BC18" s="111">
        <f>Calculations!BC281</f>
        <v>0</v>
      </c>
      <c r="BD18" s="111">
        <f>Calculations!BD281</f>
        <v>0</v>
      </c>
      <c r="BE18" s="111">
        <f>Calculations!BE281</f>
        <v>0</v>
      </c>
      <c r="BF18" s="111">
        <f>Calculations!BF281</f>
        <v>0</v>
      </c>
      <c r="BG18" s="111">
        <f>Calculations!BG281</f>
        <v>0</v>
      </c>
      <c r="BH18" s="111">
        <f>Calculations!BH281</f>
        <v>0</v>
      </c>
      <c r="BI18" s="111">
        <f>Calculations!BI281</f>
        <v>0</v>
      </c>
      <c r="BJ18" s="111">
        <f>Calculations!BJ281</f>
        <v>0</v>
      </c>
      <c r="BK18" s="111">
        <f>Calculations!BK281</f>
        <v>0</v>
      </c>
      <c r="BL18" s="111">
        <f>Calculations!BL281</f>
        <v>0</v>
      </c>
      <c r="BM18" s="111">
        <f>Calculations!BM281</f>
        <v>0</v>
      </c>
      <c r="BN18" s="111">
        <f>Calculations!BN281</f>
        <v>0</v>
      </c>
      <c r="BO18" s="111">
        <f>Calculations!BO281</f>
        <v>0</v>
      </c>
      <c r="BP18" s="112">
        <f>Calculations!BP281</f>
        <v>0</v>
      </c>
      <c r="BQ18" s="110">
        <f>Calculations!BQ281</f>
        <v>0</v>
      </c>
      <c r="BR18" s="111">
        <f>Calculations!BR281</f>
        <v>0</v>
      </c>
      <c r="BS18" s="111">
        <v>0</v>
      </c>
      <c r="BT18" s="111">
        <f>Calculations!BS281</f>
        <v>0</v>
      </c>
      <c r="BU18" s="112">
        <f>Calculations!BT281</f>
        <v>0</v>
      </c>
      <c r="BV18" s="110">
        <f>Calculations!BU281</f>
        <v>0</v>
      </c>
      <c r="BW18" s="111">
        <f>Calculations!BV281</f>
        <v>0</v>
      </c>
      <c r="BX18" s="112">
        <f>Calculations!BW281</f>
        <v>0</v>
      </c>
      <c r="BY18" s="110">
        <f>Calculations!BX281</f>
        <v>0</v>
      </c>
      <c r="BZ18" s="111">
        <f>Calculations!BY281</f>
        <v>0</v>
      </c>
      <c r="CA18" s="111">
        <f>Calculations!BZ281+Calculations!CA281</f>
        <v>0</v>
      </c>
      <c r="CB18" s="111">
        <f>Calculations!CB281</f>
        <v>0</v>
      </c>
      <c r="CC18" s="111">
        <f>Calculations!CC281</f>
        <v>0</v>
      </c>
      <c r="CD18" s="112">
        <f>Calculations!CD281</f>
        <v>0</v>
      </c>
      <c r="CE18" s="113">
        <f>Calculations!CE281</f>
        <v>0</v>
      </c>
      <c r="CF18" s="117">
        <f t="shared" si="0"/>
        <v>7097.4430000000011</v>
      </c>
      <c r="CH18">
        <f ca="1"/>
        <v>0</v>
      </c>
    </row>
    <row r="19" spans="1:86">
      <c r="A19" s="280"/>
      <c r="B19" s="28" t="s">
        <v>81</v>
      </c>
      <c r="C19" s="110">
        <f>Calculations!C282</f>
        <v>0</v>
      </c>
      <c r="D19" s="111">
        <f>Calculations!D282</f>
        <v>0</v>
      </c>
      <c r="E19" s="111">
        <f>Calculations!E282</f>
        <v>0</v>
      </c>
      <c r="F19" s="111">
        <f>Calculations!F282</f>
        <v>0</v>
      </c>
      <c r="G19" s="111">
        <f>Calculations!G282</f>
        <v>0</v>
      </c>
      <c r="H19" s="111">
        <f>Calculations!H282</f>
        <v>0</v>
      </c>
      <c r="I19" s="111">
        <f>Calculations!I282</f>
        <v>0</v>
      </c>
      <c r="J19" s="111">
        <f>Calculations!J282</f>
        <v>0</v>
      </c>
      <c r="K19" s="111">
        <f>Calculations!K282</f>
        <v>0</v>
      </c>
      <c r="L19" s="111">
        <f>Calculations!L282</f>
        <v>0</v>
      </c>
      <c r="M19" s="111">
        <f>Calculations!M282</f>
        <v>0</v>
      </c>
      <c r="N19" s="111">
        <f>Calculations!N282</f>
        <v>0</v>
      </c>
      <c r="O19" s="111">
        <f>Calculations!O282</f>
        <v>0</v>
      </c>
      <c r="P19" s="111">
        <f>Calculations!P282</f>
        <v>0</v>
      </c>
      <c r="Q19" s="111">
        <f>Calculations!Q282</f>
        <v>0</v>
      </c>
      <c r="R19" s="111">
        <f>Calculations!R282</f>
        <v>0</v>
      </c>
      <c r="S19" s="111">
        <f>Calculations!S282</f>
        <v>0</v>
      </c>
      <c r="T19" s="111">
        <f>Calculations!T282</f>
        <v>0</v>
      </c>
      <c r="U19" s="111">
        <f>Calculations!U282</f>
        <v>0</v>
      </c>
      <c r="V19" s="111">
        <f>Calculations!V282</f>
        <v>0</v>
      </c>
      <c r="W19" s="111">
        <f>Calculations!W282</f>
        <v>0</v>
      </c>
      <c r="X19" s="111">
        <f>Calculations!X282</f>
        <v>0</v>
      </c>
      <c r="Y19" s="111">
        <f>Calculations!Y282</f>
        <v>0</v>
      </c>
      <c r="Z19" s="111">
        <f>Calculations!Z282</f>
        <v>0</v>
      </c>
      <c r="AA19" s="111">
        <f>Calculations!AA282</f>
        <v>0</v>
      </c>
      <c r="AB19" s="111">
        <f>Calculations!AB282</f>
        <v>0</v>
      </c>
      <c r="AC19" s="111">
        <f>Calculations!AC282</f>
        <v>0</v>
      </c>
      <c r="AD19" s="111">
        <f>Calculations!AD282</f>
        <v>0</v>
      </c>
      <c r="AE19" s="111">
        <f>Calculations!AE282</f>
        <v>0</v>
      </c>
      <c r="AF19" s="111">
        <f>Calculations!AF282</f>
        <v>0</v>
      </c>
      <c r="AG19" s="111">
        <f>Calculations!AG282</f>
        <v>0</v>
      </c>
      <c r="AH19" s="111">
        <f>Calculations!AH282</f>
        <v>0</v>
      </c>
      <c r="AI19" s="112">
        <f>Calculations!AI282</f>
        <v>0</v>
      </c>
      <c r="AJ19" s="110">
        <f>Calculations!AJ282</f>
        <v>0</v>
      </c>
      <c r="AK19" s="111">
        <f>Calculations!AK282</f>
        <v>0</v>
      </c>
      <c r="AL19" s="111">
        <f>Calculations!AL282</f>
        <v>0</v>
      </c>
      <c r="AM19" s="111">
        <f>Calculations!AM282</f>
        <v>0</v>
      </c>
      <c r="AN19" s="111">
        <f>Calculations!AN282</f>
        <v>0</v>
      </c>
      <c r="AO19" s="111">
        <f>Calculations!AO282</f>
        <v>0</v>
      </c>
      <c r="AP19" s="111">
        <f>Calculations!AP282</f>
        <v>0</v>
      </c>
      <c r="AQ19" s="115">
        <f>Calculations!AQ282</f>
        <v>28389.412000000011</v>
      </c>
      <c r="AR19" s="111">
        <f>Calculations!AR282</f>
        <v>0</v>
      </c>
      <c r="AS19" s="111">
        <f>Calculations!AS282</f>
        <v>0</v>
      </c>
      <c r="AT19" s="111">
        <f>Calculations!AT282</f>
        <v>0</v>
      </c>
      <c r="AU19" s="111">
        <f>Calculations!AU282</f>
        <v>0</v>
      </c>
      <c r="AV19" s="111">
        <f>Calculations!AV282</f>
        <v>0</v>
      </c>
      <c r="AW19" s="111">
        <f>Calculations!AW282</f>
        <v>0</v>
      </c>
      <c r="AX19" s="111">
        <f>Calculations!AX282</f>
        <v>0</v>
      </c>
      <c r="AY19" s="111">
        <f>Calculations!AY282</f>
        <v>0</v>
      </c>
      <c r="AZ19" s="111">
        <f>Calculations!AZ282</f>
        <v>0</v>
      </c>
      <c r="BA19" s="111">
        <f>Calculations!BA282</f>
        <v>0</v>
      </c>
      <c r="BB19" s="111">
        <f>Calculations!BB282</f>
        <v>0</v>
      </c>
      <c r="BC19" s="111">
        <f>Calculations!BC282</f>
        <v>0</v>
      </c>
      <c r="BD19" s="111">
        <f>Calculations!BD282</f>
        <v>0</v>
      </c>
      <c r="BE19" s="111">
        <f>Calculations!BE282</f>
        <v>0</v>
      </c>
      <c r="BF19" s="111">
        <f>Calculations!BF282</f>
        <v>0</v>
      </c>
      <c r="BG19" s="111">
        <f>Calculations!BG282</f>
        <v>0</v>
      </c>
      <c r="BH19" s="111">
        <f>Calculations!BH282</f>
        <v>0</v>
      </c>
      <c r="BI19" s="111">
        <f>Calculations!BI282</f>
        <v>0</v>
      </c>
      <c r="BJ19" s="111">
        <f>Calculations!BJ282</f>
        <v>0</v>
      </c>
      <c r="BK19" s="111">
        <f>Calculations!BK282</f>
        <v>0</v>
      </c>
      <c r="BL19" s="111">
        <f>Calculations!BL282</f>
        <v>0</v>
      </c>
      <c r="BM19" s="111">
        <f>Calculations!BM282</f>
        <v>0</v>
      </c>
      <c r="BN19" s="111">
        <f>Calculations!BN282</f>
        <v>0</v>
      </c>
      <c r="BO19" s="111">
        <f>Calculations!BO282</f>
        <v>0</v>
      </c>
      <c r="BP19" s="112">
        <f>Calculations!BP282</f>
        <v>0</v>
      </c>
      <c r="BQ19" s="110">
        <f>Calculations!BQ282</f>
        <v>0</v>
      </c>
      <c r="BR19" s="111">
        <f>Calculations!BR282</f>
        <v>0</v>
      </c>
      <c r="BS19" s="111">
        <v>0</v>
      </c>
      <c r="BT19" s="111">
        <f>Calculations!BS282</f>
        <v>0</v>
      </c>
      <c r="BU19" s="112">
        <f>Calculations!BT282</f>
        <v>0</v>
      </c>
      <c r="BV19" s="110">
        <f>Calculations!BU282</f>
        <v>0</v>
      </c>
      <c r="BW19" s="111">
        <f>Calculations!BV282</f>
        <v>0</v>
      </c>
      <c r="BX19" s="112">
        <f>Calculations!BW282</f>
        <v>0</v>
      </c>
      <c r="BY19" s="110">
        <f>Calculations!BX282</f>
        <v>0</v>
      </c>
      <c r="BZ19" s="111">
        <f>Calculations!BY282</f>
        <v>0</v>
      </c>
      <c r="CA19" s="111">
        <f>Calculations!BZ282+Calculations!CA282</f>
        <v>0</v>
      </c>
      <c r="CB19" s="111">
        <f>Calculations!CB282</f>
        <v>0</v>
      </c>
      <c r="CC19" s="111">
        <f>Calculations!CC282</f>
        <v>0</v>
      </c>
      <c r="CD19" s="112">
        <f>Calculations!CD282</f>
        <v>0</v>
      </c>
      <c r="CE19" s="113">
        <f>Calculations!CE282</f>
        <v>0</v>
      </c>
      <c r="CF19" s="117">
        <f t="shared" si="0"/>
        <v>28389.412000000011</v>
      </c>
      <c r="CH19">
        <f ca="1"/>
        <v>0</v>
      </c>
    </row>
    <row r="20" spans="1:86">
      <c r="A20" s="280"/>
      <c r="B20" s="28" t="s">
        <v>82</v>
      </c>
      <c r="C20" s="110">
        <f>Calculations!C283</f>
        <v>0</v>
      </c>
      <c r="D20" s="111">
        <f>Calculations!D283</f>
        <v>0</v>
      </c>
      <c r="E20" s="111">
        <f>Calculations!E283</f>
        <v>0</v>
      </c>
      <c r="F20" s="111">
        <f>Calculations!F283</f>
        <v>0</v>
      </c>
      <c r="G20" s="111">
        <f>Calculations!G283</f>
        <v>0</v>
      </c>
      <c r="H20" s="111">
        <f>Calculations!H283</f>
        <v>0</v>
      </c>
      <c r="I20" s="111">
        <f>Calculations!I283</f>
        <v>0</v>
      </c>
      <c r="J20" s="111">
        <f>Calculations!J283</f>
        <v>0</v>
      </c>
      <c r="K20" s="111">
        <f>Calculations!K283</f>
        <v>0</v>
      </c>
      <c r="L20" s="111">
        <f>Calculations!L283</f>
        <v>0</v>
      </c>
      <c r="M20" s="111">
        <f>Calculations!M283</f>
        <v>0</v>
      </c>
      <c r="N20" s="111">
        <f>Calculations!N283</f>
        <v>0</v>
      </c>
      <c r="O20" s="111">
        <f>Calculations!O283</f>
        <v>0</v>
      </c>
      <c r="P20" s="111">
        <f>Calculations!P283</f>
        <v>0</v>
      </c>
      <c r="Q20" s="111">
        <f>Calculations!Q283</f>
        <v>0</v>
      </c>
      <c r="R20" s="111">
        <f>Calculations!R283</f>
        <v>0</v>
      </c>
      <c r="S20" s="111">
        <f>Calculations!S283</f>
        <v>0</v>
      </c>
      <c r="T20" s="111">
        <f>Calculations!T283</f>
        <v>0</v>
      </c>
      <c r="U20" s="111">
        <f>Calculations!U283</f>
        <v>0</v>
      </c>
      <c r="V20" s="111">
        <f>Calculations!V283</f>
        <v>0</v>
      </c>
      <c r="W20" s="111">
        <f>Calculations!W283</f>
        <v>0</v>
      </c>
      <c r="X20" s="111">
        <f>Calculations!X283</f>
        <v>0</v>
      </c>
      <c r="Y20" s="111">
        <f>Calculations!Y283</f>
        <v>0</v>
      </c>
      <c r="Z20" s="111">
        <f>Calculations!Z283</f>
        <v>0</v>
      </c>
      <c r="AA20" s="111">
        <f>Calculations!AA283</f>
        <v>0</v>
      </c>
      <c r="AB20" s="111">
        <f>Calculations!AB283</f>
        <v>0</v>
      </c>
      <c r="AC20" s="111">
        <f>Calculations!AC283</f>
        <v>0</v>
      </c>
      <c r="AD20" s="111">
        <f>Calculations!AD283</f>
        <v>0</v>
      </c>
      <c r="AE20" s="111">
        <f>Calculations!AE283</f>
        <v>0</v>
      </c>
      <c r="AF20" s="111">
        <f>Calculations!AF283</f>
        <v>0</v>
      </c>
      <c r="AG20" s="111">
        <f>Calculations!AG283</f>
        <v>0</v>
      </c>
      <c r="AH20" s="111">
        <f>Calculations!AH283</f>
        <v>0</v>
      </c>
      <c r="AI20" s="112">
        <f>Calculations!AI283</f>
        <v>0</v>
      </c>
      <c r="AJ20" s="110">
        <f>Calculations!AJ283</f>
        <v>0</v>
      </c>
      <c r="AK20" s="111">
        <f>Calculations!AK283</f>
        <v>0</v>
      </c>
      <c r="AL20" s="111">
        <f>Calculations!AL283</f>
        <v>0</v>
      </c>
      <c r="AM20" s="111">
        <f>Calculations!AM283</f>
        <v>0</v>
      </c>
      <c r="AN20" s="111">
        <f>Calculations!AN283</f>
        <v>0</v>
      </c>
      <c r="AO20" s="111">
        <f>Calculations!AO283</f>
        <v>0</v>
      </c>
      <c r="AP20" s="111">
        <f>Calculations!AP283</f>
        <v>0</v>
      </c>
      <c r="AQ20" s="111">
        <f>Calculations!AQ283</f>
        <v>0</v>
      </c>
      <c r="AR20" s="115">
        <f>Calculations!AR283</f>
        <v>13147.265999999998</v>
      </c>
      <c r="AS20" s="111">
        <f>Calculations!AS283</f>
        <v>0</v>
      </c>
      <c r="AT20" s="111">
        <f>Calculations!AT283</f>
        <v>0</v>
      </c>
      <c r="AU20" s="111">
        <f>Calculations!AU283</f>
        <v>0</v>
      </c>
      <c r="AV20" s="111">
        <f>Calculations!AV283</f>
        <v>0</v>
      </c>
      <c r="AW20" s="111">
        <f>Calculations!AW283</f>
        <v>0</v>
      </c>
      <c r="AX20" s="111">
        <f>Calculations!AX283</f>
        <v>0</v>
      </c>
      <c r="AY20" s="111">
        <f>Calculations!AY283</f>
        <v>0</v>
      </c>
      <c r="AZ20" s="111">
        <f>Calculations!AZ283</f>
        <v>0</v>
      </c>
      <c r="BA20" s="111">
        <f>Calculations!BA283</f>
        <v>0</v>
      </c>
      <c r="BB20" s="111">
        <f>Calculations!BB283</f>
        <v>0</v>
      </c>
      <c r="BC20" s="111">
        <f>Calculations!BC283</f>
        <v>0</v>
      </c>
      <c r="BD20" s="111">
        <f>Calculations!BD283</f>
        <v>0</v>
      </c>
      <c r="BE20" s="111">
        <f>Calculations!BE283</f>
        <v>0</v>
      </c>
      <c r="BF20" s="111">
        <f>Calculations!BF283</f>
        <v>0</v>
      </c>
      <c r="BG20" s="111">
        <f>Calculations!BG283</f>
        <v>0</v>
      </c>
      <c r="BH20" s="111">
        <f>Calculations!BH283</f>
        <v>0</v>
      </c>
      <c r="BI20" s="111">
        <f>Calculations!BI283</f>
        <v>0</v>
      </c>
      <c r="BJ20" s="111">
        <f>Calculations!BJ283</f>
        <v>0</v>
      </c>
      <c r="BK20" s="111">
        <f>Calculations!BK283</f>
        <v>0</v>
      </c>
      <c r="BL20" s="111">
        <f>Calculations!BL283</f>
        <v>0</v>
      </c>
      <c r="BM20" s="111">
        <f>Calculations!BM283</f>
        <v>0</v>
      </c>
      <c r="BN20" s="111">
        <f>Calculations!BN283</f>
        <v>0</v>
      </c>
      <c r="BO20" s="111">
        <f>Calculations!BO283</f>
        <v>0</v>
      </c>
      <c r="BP20" s="112">
        <f>Calculations!BP283</f>
        <v>0</v>
      </c>
      <c r="BQ20" s="110">
        <f>Calculations!BQ283</f>
        <v>0</v>
      </c>
      <c r="BR20" s="111">
        <f>Calculations!BR283</f>
        <v>0</v>
      </c>
      <c r="BS20" s="111">
        <v>0</v>
      </c>
      <c r="BT20" s="111">
        <f>Calculations!BS283</f>
        <v>0</v>
      </c>
      <c r="BU20" s="112">
        <f>Calculations!BT283</f>
        <v>0</v>
      </c>
      <c r="BV20" s="110">
        <f>Calculations!BU283</f>
        <v>0</v>
      </c>
      <c r="BW20" s="111">
        <f>Calculations!BV283</f>
        <v>0</v>
      </c>
      <c r="BX20" s="112">
        <f>Calculations!BW283</f>
        <v>0</v>
      </c>
      <c r="BY20" s="110">
        <f>Calculations!BX283</f>
        <v>0</v>
      </c>
      <c r="BZ20" s="111">
        <f>Calculations!BY283</f>
        <v>0</v>
      </c>
      <c r="CA20" s="111">
        <f>Calculations!BZ283+Calculations!CA283</f>
        <v>0</v>
      </c>
      <c r="CB20" s="111">
        <f>Calculations!CB283</f>
        <v>0</v>
      </c>
      <c r="CC20" s="111">
        <f>Calculations!CC283</f>
        <v>0</v>
      </c>
      <c r="CD20" s="112">
        <f>Calculations!CD283</f>
        <v>0</v>
      </c>
      <c r="CE20" s="113">
        <f>Calculations!CE283</f>
        <v>0</v>
      </c>
      <c r="CF20" s="117">
        <f t="shared" si="0"/>
        <v>13147.265999999998</v>
      </c>
      <c r="CH20">
        <f ca="1"/>
        <v>0</v>
      </c>
    </row>
    <row r="21" spans="1:86">
      <c r="A21" s="280"/>
      <c r="B21" s="28" t="s">
        <v>83</v>
      </c>
      <c r="C21" s="110">
        <f>Calculations!C284</f>
        <v>0</v>
      </c>
      <c r="D21" s="111">
        <f>Calculations!D284</f>
        <v>0</v>
      </c>
      <c r="E21" s="111">
        <f>Calculations!E284</f>
        <v>0</v>
      </c>
      <c r="F21" s="111">
        <f>Calculations!F284</f>
        <v>0</v>
      </c>
      <c r="G21" s="111">
        <f>Calculations!G284</f>
        <v>0</v>
      </c>
      <c r="H21" s="111">
        <f>Calculations!H284</f>
        <v>0</v>
      </c>
      <c r="I21" s="111">
        <f>Calculations!I284</f>
        <v>0</v>
      </c>
      <c r="J21" s="111">
        <f>Calculations!J284</f>
        <v>0</v>
      </c>
      <c r="K21" s="111">
        <f>Calculations!K284</f>
        <v>0</v>
      </c>
      <c r="L21" s="111">
        <f>Calculations!L284</f>
        <v>0</v>
      </c>
      <c r="M21" s="111">
        <f>Calculations!M284</f>
        <v>0</v>
      </c>
      <c r="N21" s="111">
        <f>Calculations!N284</f>
        <v>0</v>
      </c>
      <c r="O21" s="111">
        <f>Calculations!O284</f>
        <v>0</v>
      </c>
      <c r="P21" s="111">
        <f>Calculations!P284</f>
        <v>0</v>
      </c>
      <c r="Q21" s="111">
        <f>Calculations!Q284</f>
        <v>0</v>
      </c>
      <c r="R21" s="111">
        <f>Calculations!R284</f>
        <v>0</v>
      </c>
      <c r="S21" s="111">
        <f>Calculations!S284</f>
        <v>0</v>
      </c>
      <c r="T21" s="111">
        <f>Calculations!T284</f>
        <v>0</v>
      </c>
      <c r="U21" s="111">
        <f>Calculations!U284</f>
        <v>0</v>
      </c>
      <c r="V21" s="111">
        <f>Calculations!V284</f>
        <v>0</v>
      </c>
      <c r="W21" s="111">
        <f>Calculations!W284</f>
        <v>0</v>
      </c>
      <c r="X21" s="111">
        <f>Calculations!X284</f>
        <v>0</v>
      </c>
      <c r="Y21" s="111">
        <f>Calculations!Y284</f>
        <v>0</v>
      </c>
      <c r="Z21" s="111">
        <f>Calculations!Z284</f>
        <v>0</v>
      </c>
      <c r="AA21" s="111">
        <f>Calculations!AA284</f>
        <v>0</v>
      </c>
      <c r="AB21" s="111">
        <f>Calculations!AB284</f>
        <v>0</v>
      </c>
      <c r="AC21" s="111">
        <f>Calculations!AC284</f>
        <v>0</v>
      </c>
      <c r="AD21" s="111">
        <f>Calculations!AD284</f>
        <v>0</v>
      </c>
      <c r="AE21" s="111">
        <f>Calculations!AE284</f>
        <v>0</v>
      </c>
      <c r="AF21" s="111">
        <f>Calculations!AF284</f>
        <v>0</v>
      </c>
      <c r="AG21" s="111">
        <f>Calculations!AG284</f>
        <v>0</v>
      </c>
      <c r="AH21" s="111">
        <f>Calculations!AH284</f>
        <v>0</v>
      </c>
      <c r="AI21" s="112">
        <f>Calculations!AI284</f>
        <v>0</v>
      </c>
      <c r="AJ21" s="110">
        <f>Calculations!AJ284</f>
        <v>0</v>
      </c>
      <c r="AK21" s="111">
        <f>Calculations!AK284</f>
        <v>0</v>
      </c>
      <c r="AL21" s="111">
        <f>Calculations!AL284</f>
        <v>0</v>
      </c>
      <c r="AM21" s="111">
        <f>Calculations!AM284</f>
        <v>0</v>
      </c>
      <c r="AN21" s="111">
        <f>Calculations!AN284</f>
        <v>0</v>
      </c>
      <c r="AO21" s="111">
        <f>Calculations!AO284</f>
        <v>0</v>
      </c>
      <c r="AP21" s="111">
        <f>Calculations!AP284</f>
        <v>0</v>
      </c>
      <c r="AQ21" s="111">
        <f>Calculations!AQ284</f>
        <v>0</v>
      </c>
      <c r="AR21" s="111">
        <f>Calculations!AR284</f>
        <v>0</v>
      </c>
      <c r="AS21" s="115">
        <f>Calculations!AS284</f>
        <v>6406.5290000000023</v>
      </c>
      <c r="AT21" s="111">
        <f>Calculations!AT284</f>
        <v>0</v>
      </c>
      <c r="AU21" s="111">
        <f>Calculations!AU284</f>
        <v>0</v>
      </c>
      <c r="AV21" s="111">
        <f>Calculations!AV284</f>
        <v>0</v>
      </c>
      <c r="AW21" s="111">
        <f>Calculations!AW284</f>
        <v>0</v>
      </c>
      <c r="AX21" s="111">
        <f>Calculations!AX284</f>
        <v>0</v>
      </c>
      <c r="AY21" s="111">
        <f>Calculations!AY284</f>
        <v>0</v>
      </c>
      <c r="AZ21" s="111">
        <f>Calculations!AZ284</f>
        <v>0</v>
      </c>
      <c r="BA21" s="111">
        <f>Calculations!BA284</f>
        <v>0</v>
      </c>
      <c r="BB21" s="111">
        <f>Calculations!BB284</f>
        <v>0</v>
      </c>
      <c r="BC21" s="111">
        <f>Calculations!BC284</f>
        <v>0</v>
      </c>
      <c r="BD21" s="111">
        <f>Calculations!BD284</f>
        <v>0</v>
      </c>
      <c r="BE21" s="111">
        <f>Calculations!BE284</f>
        <v>0</v>
      </c>
      <c r="BF21" s="111">
        <f>Calculations!BF284</f>
        <v>0</v>
      </c>
      <c r="BG21" s="111">
        <f>Calculations!BG284</f>
        <v>0</v>
      </c>
      <c r="BH21" s="111">
        <f>Calculations!BH284</f>
        <v>0</v>
      </c>
      <c r="BI21" s="111">
        <f>Calculations!BI284</f>
        <v>0</v>
      </c>
      <c r="BJ21" s="111">
        <f>Calculations!BJ284</f>
        <v>0</v>
      </c>
      <c r="BK21" s="111">
        <f>Calculations!BK284</f>
        <v>0</v>
      </c>
      <c r="BL21" s="111">
        <f>Calculations!BL284</f>
        <v>0</v>
      </c>
      <c r="BM21" s="111">
        <f>Calculations!BM284</f>
        <v>0</v>
      </c>
      <c r="BN21" s="111">
        <f>Calculations!BN284</f>
        <v>0</v>
      </c>
      <c r="BO21" s="111">
        <f>Calculations!BO284</f>
        <v>0</v>
      </c>
      <c r="BP21" s="112">
        <f>Calculations!BP284</f>
        <v>0</v>
      </c>
      <c r="BQ21" s="110">
        <f>Calculations!BQ284</f>
        <v>0</v>
      </c>
      <c r="BR21" s="111">
        <f>Calculations!BR284</f>
        <v>0</v>
      </c>
      <c r="BS21" s="111">
        <v>0</v>
      </c>
      <c r="BT21" s="111">
        <f>Calculations!BS284</f>
        <v>0</v>
      </c>
      <c r="BU21" s="112">
        <f>Calculations!BT284</f>
        <v>0</v>
      </c>
      <c r="BV21" s="110">
        <f>Calculations!BU284</f>
        <v>0</v>
      </c>
      <c r="BW21" s="111">
        <f>Calculations!BV284</f>
        <v>0</v>
      </c>
      <c r="BX21" s="112">
        <f>Calculations!BW284</f>
        <v>0</v>
      </c>
      <c r="BY21" s="110">
        <f>Calculations!BX284</f>
        <v>0</v>
      </c>
      <c r="BZ21" s="111">
        <f>Calculations!BY284</f>
        <v>0</v>
      </c>
      <c r="CA21" s="111">
        <f>Calculations!BZ284+Calculations!CA284</f>
        <v>0</v>
      </c>
      <c r="CB21" s="111">
        <f>Calculations!CB284</f>
        <v>0</v>
      </c>
      <c r="CC21" s="111">
        <f>Calculations!CC284</f>
        <v>0</v>
      </c>
      <c r="CD21" s="112">
        <f>Calculations!CD284</f>
        <v>0</v>
      </c>
      <c r="CE21" s="113">
        <f>Calculations!CE284</f>
        <v>0</v>
      </c>
      <c r="CF21" s="117">
        <f t="shared" si="0"/>
        <v>6406.5290000000023</v>
      </c>
      <c r="CH21">
        <f ca="1"/>
        <v>0</v>
      </c>
    </row>
    <row r="22" spans="1:86">
      <c r="A22" s="280"/>
      <c r="B22" s="28" t="s">
        <v>84</v>
      </c>
      <c r="C22" s="110">
        <f>Calculations!C285</f>
        <v>0</v>
      </c>
      <c r="D22" s="111">
        <f>Calculations!D285</f>
        <v>0</v>
      </c>
      <c r="E22" s="111">
        <f>Calculations!E285</f>
        <v>0</v>
      </c>
      <c r="F22" s="111">
        <f>Calculations!F285</f>
        <v>0</v>
      </c>
      <c r="G22" s="111">
        <f>Calculations!G285</f>
        <v>0</v>
      </c>
      <c r="H22" s="111">
        <f>Calculations!H285</f>
        <v>0</v>
      </c>
      <c r="I22" s="111">
        <f>Calculations!I285</f>
        <v>0</v>
      </c>
      <c r="J22" s="111">
        <f>Calculations!J285</f>
        <v>0</v>
      </c>
      <c r="K22" s="111">
        <f>Calculations!K285</f>
        <v>0</v>
      </c>
      <c r="L22" s="111">
        <f>Calculations!L285</f>
        <v>0</v>
      </c>
      <c r="M22" s="111">
        <f>Calculations!M285</f>
        <v>0</v>
      </c>
      <c r="N22" s="111">
        <f>Calculations!N285</f>
        <v>0</v>
      </c>
      <c r="O22" s="111">
        <f>Calculations!O285</f>
        <v>0</v>
      </c>
      <c r="P22" s="111">
        <f>Calculations!P285</f>
        <v>0</v>
      </c>
      <c r="Q22" s="111">
        <f>Calculations!Q285</f>
        <v>0</v>
      </c>
      <c r="R22" s="111">
        <f>Calculations!R285</f>
        <v>0</v>
      </c>
      <c r="S22" s="111">
        <f>Calculations!S285</f>
        <v>0</v>
      </c>
      <c r="T22" s="111">
        <f>Calculations!T285</f>
        <v>0</v>
      </c>
      <c r="U22" s="111">
        <f>Calculations!U285</f>
        <v>0</v>
      </c>
      <c r="V22" s="111">
        <f>Calculations!V285</f>
        <v>0</v>
      </c>
      <c r="W22" s="111">
        <f>Calculations!W285</f>
        <v>0</v>
      </c>
      <c r="X22" s="111">
        <f>Calculations!X285</f>
        <v>0</v>
      </c>
      <c r="Y22" s="111">
        <f>Calculations!Y285</f>
        <v>0</v>
      </c>
      <c r="Z22" s="111">
        <f>Calculations!Z285</f>
        <v>0</v>
      </c>
      <c r="AA22" s="111">
        <f>Calculations!AA285</f>
        <v>0</v>
      </c>
      <c r="AB22" s="111">
        <f>Calculations!AB285</f>
        <v>0</v>
      </c>
      <c r="AC22" s="111">
        <f>Calculations!AC285</f>
        <v>0</v>
      </c>
      <c r="AD22" s="111">
        <f>Calculations!AD285</f>
        <v>0</v>
      </c>
      <c r="AE22" s="111">
        <f>Calculations!AE285</f>
        <v>0</v>
      </c>
      <c r="AF22" s="111">
        <f>Calculations!AF285</f>
        <v>0</v>
      </c>
      <c r="AG22" s="111">
        <f>Calculations!AG285</f>
        <v>0</v>
      </c>
      <c r="AH22" s="111">
        <f>Calculations!AH285</f>
        <v>0</v>
      </c>
      <c r="AI22" s="112">
        <f>Calculations!AI285</f>
        <v>0</v>
      </c>
      <c r="AJ22" s="110">
        <f>Calculations!AJ285</f>
        <v>0</v>
      </c>
      <c r="AK22" s="111">
        <f>Calculations!AK285</f>
        <v>0</v>
      </c>
      <c r="AL22" s="111">
        <f>Calculations!AL285</f>
        <v>0</v>
      </c>
      <c r="AM22" s="111">
        <f>Calculations!AM285</f>
        <v>0</v>
      </c>
      <c r="AN22" s="111">
        <f>Calculations!AN285</f>
        <v>0</v>
      </c>
      <c r="AO22" s="111">
        <f>Calculations!AO285</f>
        <v>0</v>
      </c>
      <c r="AP22" s="111">
        <f>Calculations!AP285</f>
        <v>0</v>
      </c>
      <c r="AQ22" s="111">
        <f>Calculations!AQ285</f>
        <v>0</v>
      </c>
      <c r="AR22" s="111">
        <f>Calculations!AR285</f>
        <v>0</v>
      </c>
      <c r="AS22" s="111">
        <f>Calculations!AS285</f>
        <v>0</v>
      </c>
      <c r="AT22" s="115">
        <f>Calculations!AT285</f>
        <v>8147.143</v>
      </c>
      <c r="AU22" s="111">
        <f>Calculations!AU285</f>
        <v>0</v>
      </c>
      <c r="AV22" s="111">
        <f>Calculations!AV285</f>
        <v>0</v>
      </c>
      <c r="AW22" s="111">
        <f>Calculations!AW285</f>
        <v>0</v>
      </c>
      <c r="AX22" s="111">
        <f>Calculations!AX285</f>
        <v>0</v>
      </c>
      <c r="AY22" s="111">
        <f>Calculations!AY285</f>
        <v>0</v>
      </c>
      <c r="AZ22" s="111">
        <f>Calculations!AZ285</f>
        <v>0</v>
      </c>
      <c r="BA22" s="111">
        <f>Calculations!BA285</f>
        <v>0</v>
      </c>
      <c r="BB22" s="111">
        <f>Calculations!BB285</f>
        <v>0</v>
      </c>
      <c r="BC22" s="111">
        <f>Calculations!BC285</f>
        <v>0</v>
      </c>
      <c r="BD22" s="111">
        <f>Calculations!BD285</f>
        <v>0</v>
      </c>
      <c r="BE22" s="111">
        <f>Calculations!BE285</f>
        <v>0</v>
      </c>
      <c r="BF22" s="111">
        <f>Calculations!BF285</f>
        <v>0</v>
      </c>
      <c r="BG22" s="111">
        <f>Calculations!BG285</f>
        <v>0</v>
      </c>
      <c r="BH22" s="111">
        <f>Calculations!BH285</f>
        <v>0</v>
      </c>
      <c r="BI22" s="111">
        <f>Calculations!BI285</f>
        <v>0</v>
      </c>
      <c r="BJ22" s="111">
        <f>Calculations!BJ285</f>
        <v>0</v>
      </c>
      <c r="BK22" s="111">
        <f>Calculations!BK285</f>
        <v>0</v>
      </c>
      <c r="BL22" s="111">
        <f>Calculations!BL285</f>
        <v>0</v>
      </c>
      <c r="BM22" s="111">
        <f>Calculations!BM285</f>
        <v>0</v>
      </c>
      <c r="BN22" s="111">
        <f>Calculations!BN285</f>
        <v>0</v>
      </c>
      <c r="BO22" s="111">
        <f>Calculations!BO285</f>
        <v>0</v>
      </c>
      <c r="BP22" s="112">
        <f>Calculations!BP285</f>
        <v>0</v>
      </c>
      <c r="BQ22" s="110">
        <f>Calculations!BQ285</f>
        <v>0</v>
      </c>
      <c r="BR22" s="111">
        <f>Calculations!BR285</f>
        <v>0</v>
      </c>
      <c r="BS22" s="111">
        <v>0</v>
      </c>
      <c r="BT22" s="111">
        <f>Calculations!BS285</f>
        <v>0</v>
      </c>
      <c r="BU22" s="112">
        <f>Calculations!BT285</f>
        <v>0</v>
      </c>
      <c r="BV22" s="110">
        <f>Calculations!BU285</f>
        <v>0</v>
      </c>
      <c r="BW22" s="111">
        <f>Calculations!BV285</f>
        <v>0</v>
      </c>
      <c r="BX22" s="112">
        <f>Calculations!BW285</f>
        <v>0</v>
      </c>
      <c r="BY22" s="110">
        <f>Calculations!BX285</f>
        <v>0</v>
      </c>
      <c r="BZ22" s="111">
        <f>Calculations!BY285</f>
        <v>0</v>
      </c>
      <c r="CA22" s="111">
        <f>Calculations!BZ285+Calculations!CA285</f>
        <v>0</v>
      </c>
      <c r="CB22" s="111">
        <f>Calculations!CB285</f>
        <v>0</v>
      </c>
      <c r="CC22" s="111">
        <f>Calculations!CC285</f>
        <v>0</v>
      </c>
      <c r="CD22" s="112">
        <f>Calculations!CD285</f>
        <v>0</v>
      </c>
      <c r="CE22" s="113">
        <f>Calculations!CE285</f>
        <v>0</v>
      </c>
      <c r="CF22" s="117">
        <f t="shared" si="0"/>
        <v>8147.143</v>
      </c>
      <c r="CH22">
        <f ca="1"/>
        <v>0</v>
      </c>
    </row>
    <row r="23" spans="1:86">
      <c r="A23" s="280"/>
      <c r="B23" s="28" t="s">
        <v>85</v>
      </c>
      <c r="C23" s="110">
        <f>Calculations!C286</f>
        <v>0</v>
      </c>
      <c r="D23" s="111">
        <f>Calculations!D286</f>
        <v>0</v>
      </c>
      <c r="E23" s="111">
        <f>Calculations!E286</f>
        <v>0</v>
      </c>
      <c r="F23" s="111">
        <f>Calculations!F286</f>
        <v>0</v>
      </c>
      <c r="G23" s="111">
        <f>Calculations!G286</f>
        <v>0</v>
      </c>
      <c r="H23" s="111">
        <f>Calculations!H286</f>
        <v>0</v>
      </c>
      <c r="I23" s="111">
        <f>Calculations!I286</f>
        <v>0</v>
      </c>
      <c r="J23" s="111">
        <f>Calculations!J286</f>
        <v>0</v>
      </c>
      <c r="K23" s="111">
        <f>Calculations!K286</f>
        <v>0</v>
      </c>
      <c r="L23" s="111">
        <f>Calculations!L286</f>
        <v>0</v>
      </c>
      <c r="M23" s="111">
        <f>Calculations!M286</f>
        <v>0</v>
      </c>
      <c r="N23" s="111">
        <f>Calculations!N286</f>
        <v>0</v>
      </c>
      <c r="O23" s="111">
        <f>Calculations!O286</f>
        <v>0</v>
      </c>
      <c r="P23" s="111">
        <f>Calculations!P286</f>
        <v>0</v>
      </c>
      <c r="Q23" s="111">
        <f>Calculations!Q286</f>
        <v>0</v>
      </c>
      <c r="R23" s="111">
        <f>Calculations!R286</f>
        <v>0</v>
      </c>
      <c r="S23" s="111">
        <f>Calculations!S286</f>
        <v>0</v>
      </c>
      <c r="T23" s="111">
        <f>Calculations!T286</f>
        <v>0</v>
      </c>
      <c r="U23" s="111">
        <f>Calculations!U286</f>
        <v>0</v>
      </c>
      <c r="V23" s="111">
        <f>Calculations!V286</f>
        <v>0</v>
      </c>
      <c r="W23" s="111">
        <f>Calculations!W286</f>
        <v>0</v>
      </c>
      <c r="X23" s="111">
        <f>Calculations!X286</f>
        <v>0</v>
      </c>
      <c r="Y23" s="111">
        <f>Calculations!Y286</f>
        <v>0</v>
      </c>
      <c r="Z23" s="111">
        <f>Calculations!Z286</f>
        <v>0</v>
      </c>
      <c r="AA23" s="111">
        <f>Calculations!AA286</f>
        <v>0</v>
      </c>
      <c r="AB23" s="111">
        <f>Calculations!AB286</f>
        <v>0</v>
      </c>
      <c r="AC23" s="111">
        <f>Calculations!AC286</f>
        <v>0</v>
      </c>
      <c r="AD23" s="111">
        <f>Calculations!AD286</f>
        <v>0</v>
      </c>
      <c r="AE23" s="111">
        <f>Calculations!AE286</f>
        <v>0</v>
      </c>
      <c r="AF23" s="111">
        <f>Calculations!AF286</f>
        <v>0</v>
      </c>
      <c r="AG23" s="111">
        <f>Calculations!AG286</f>
        <v>0</v>
      </c>
      <c r="AH23" s="111">
        <f>Calculations!AH286</f>
        <v>0</v>
      </c>
      <c r="AI23" s="112">
        <f>Calculations!AI286</f>
        <v>0</v>
      </c>
      <c r="AJ23" s="110">
        <f>Calculations!AJ286</f>
        <v>0</v>
      </c>
      <c r="AK23" s="111">
        <f>Calculations!AK286</f>
        <v>0</v>
      </c>
      <c r="AL23" s="111">
        <f>Calculations!AL286</f>
        <v>0</v>
      </c>
      <c r="AM23" s="111">
        <f>Calculations!AM286</f>
        <v>0</v>
      </c>
      <c r="AN23" s="111">
        <f>Calculations!AN286</f>
        <v>0</v>
      </c>
      <c r="AO23" s="111">
        <f>Calculations!AO286</f>
        <v>0</v>
      </c>
      <c r="AP23" s="111">
        <f>Calculations!AP286</f>
        <v>0</v>
      </c>
      <c r="AQ23" s="111">
        <f>Calculations!AQ286</f>
        <v>0</v>
      </c>
      <c r="AR23" s="111">
        <f>Calculations!AR286</f>
        <v>0</v>
      </c>
      <c r="AS23" s="111">
        <f>Calculations!AS286</f>
        <v>0</v>
      </c>
      <c r="AT23" s="111">
        <f>Calculations!AT286</f>
        <v>0</v>
      </c>
      <c r="AU23" s="115">
        <f>Calculations!AU286</f>
        <v>38703.505000000012</v>
      </c>
      <c r="AV23" s="111">
        <f>Calculations!AV286</f>
        <v>0</v>
      </c>
      <c r="AW23" s="111">
        <f>Calculations!AW286</f>
        <v>0</v>
      </c>
      <c r="AX23" s="111">
        <f>Calculations!AX286</f>
        <v>0</v>
      </c>
      <c r="AY23" s="111">
        <f>Calculations!AY286</f>
        <v>0</v>
      </c>
      <c r="AZ23" s="111">
        <f>Calculations!AZ286</f>
        <v>0</v>
      </c>
      <c r="BA23" s="111">
        <f>Calculations!BA286</f>
        <v>0</v>
      </c>
      <c r="BB23" s="111">
        <f>Calculations!BB286</f>
        <v>0</v>
      </c>
      <c r="BC23" s="111">
        <f>Calculations!BC286</f>
        <v>0</v>
      </c>
      <c r="BD23" s="111">
        <f>Calculations!BD286</f>
        <v>0</v>
      </c>
      <c r="BE23" s="111">
        <f>Calculations!BE286</f>
        <v>0</v>
      </c>
      <c r="BF23" s="111">
        <f>Calculations!BF286</f>
        <v>0</v>
      </c>
      <c r="BG23" s="111">
        <f>Calculations!BG286</f>
        <v>0</v>
      </c>
      <c r="BH23" s="111">
        <f>Calculations!BH286</f>
        <v>0</v>
      </c>
      <c r="BI23" s="111">
        <f>Calculations!BI286</f>
        <v>0</v>
      </c>
      <c r="BJ23" s="111">
        <f>Calculations!BJ286</f>
        <v>0</v>
      </c>
      <c r="BK23" s="111">
        <f>Calculations!BK286</f>
        <v>0</v>
      </c>
      <c r="BL23" s="111">
        <f>Calculations!BL286</f>
        <v>0</v>
      </c>
      <c r="BM23" s="111">
        <f>Calculations!BM286</f>
        <v>0</v>
      </c>
      <c r="BN23" s="111">
        <f>Calculations!BN286</f>
        <v>0</v>
      </c>
      <c r="BO23" s="111">
        <f>Calculations!BO286</f>
        <v>0</v>
      </c>
      <c r="BP23" s="112">
        <f>Calculations!BP286</f>
        <v>0</v>
      </c>
      <c r="BQ23" s="110">
        <f>Calculations!BQ286</f>
        <v>0</v>
      </c>
      <c r="BR23" s="111">
        <f>Calculations!BR286</f>
        <v>0</v>
      </c>
      <c r="BS23" s="111">
        <v>0</v>
      </c>
      <c r="BT23" s="111">
        <f>Calculations!BS286</f>
        <v>0</v>
      </c>
      <c r="BU23" s="112">
        <f>Calculations!BT286</f>
        <v>0</v>
      </c>
      <c r="BV23" s="110">
        <f>Calculations!BU286</f>
        <v>0</v>
      </c>
      <c r="BW23" s="111">
        <f>Calculations!BV286</f>
        <v>0</v>
      </c>
      <c r="BX23" s="112">
        <f>Calculations!BW286</f>
        <v>0</v>
      </c>
      <c r="BY23" s="110">
        <f>Calculations!BX286</f>
        <v>0</v>
      </c>
      <c r="BZ23" s="111">
        <f>Calculations!BY286</f>
        <v>0</v>
      </c>
      <c r="CA23" s="111">
        <f>Calculations!BZ286+Calculations!CA286</f>
        <v>0</v>
      </c>
      <c r="CB23" s="111">
        <f>Calculations!CB286</f>
        <v>0</v>
      </c>
      <c r="CC23" s="111">
        <f>Calculations!CC286</f>
        <v>0</v>
      </c>
      <c r="CD23" s="112">
        <f>Calculations!CD286</f>
        <v>0</v>
      </c>
      <c r="CE23" s="113">
        <f>Calculations!CE286</f>
        <v>0</v>
      </c>
      <c r="CF23" s="117">
        <f t="shared" si="0"/>
        <v>38703.505000000012</v>
      </c>
      <c r="CH23">
        <f ca="1"/>
        <v>0</v>
      </c>
    </row>
    <row r="24" spans="1:86">
      <c r="A24" s="280"/>
      <c r="B24" s="28" t="s">
        <v>86</v>
      </c>
      <c r="C24" s="110">
        <f>Calculations!C287</f>
        <v>0</v>
      </c>
      <c r="D24" s="111">
        <f>Calculations!D287</f>
        <v>0</v>
      </c>
      <c r="E24" s="111">
        <f>Calculations!E287</f>
        <v>0</v>
      </c>
      <c r="F24" s="111">
        <f>Calculations!F287</f>
        <v>0</v>
      </c>
      <c r="G24" s="111">
        <f>Calculations!G287</f>
        <v>0</v>
      </c>
      <c r="H24" s="111">
        <f>Calculations!H287</f>
        <v>0</v>
      </c>
      <c r="I24" s="111">
        <f>Calculations!I287</f>
        <v>0</v>
      </c>
      <c r="J24" s="111">
        <f>Calculations!J287</f>
        <v>0</v>
      </c>
      <c r="K24" s="111">
        <f>Calculations!K287</f>
        <v>0</v>
      </c>
      <c r="L24" s="111">
        <f>Calculations!L287</f>
        <v>0</v>
      </c>
      <c r="M24" s="111">
        <f>Calculations!M287</f>
        <v>0</v>
      </c>
      <c r="N24" s="111">
        <f>Calculations!N287</f>
        <v>0</v>
      </c>
      <c r="O24" s="111">
        <f>Calculations!O287</f>
        <v>0</v>
      </c>
      <c r="P24" s="111">
        <f>Calculations!P287</f>
        <v>0</v>
      </c>
      <c r="Q24" s="111">
        <f>Calculations!Q287</f>
        <v>0</v>
      </c>
      <c r="R24" s="111">
        <f>Calculations!R287</f>
        <v>0</v>
      </c>
      <c r="S24" s="111">
        <f>Calculations!S287</f>
        <v>0</v>
      </c>
      <c r="T24" s="111">
        <f>Calculations!T287</f>
        <v>0</v>
      </c>
      <c r="U24" s="111">
        <f>Calculations!U287</f>
        <v>0</v>
      </c>
      <c r="V24" s="111">
        <f>Calculations!V287</f>
        <v>0</v>
      </c>
      <c r="W24" s="111">
        <f>Calculations!W287</f>
        <v>0</v>
      </c>
      <c r="X24" s="111">
        <f>Calculations!X287</f>
        <v>0</v>
      </c>
      <c r="Y24" s="111">
        <f>Calculations!Y287</f>
        <v>0</v>
      </c>
      <c r="Z24" s="111">
        <f>Calculations!Z287</f>
        <v>0</v>
      </c>
      <c r="AA24" s="111">
        <f>Calculations!AA287</f>
        <v>0</v>
      </c>
      <c r="AB24" s="111">
        <f>Calculations!AB287</f>
        <v>0</v>
      </c>
      <c r="AC24" s="111">
        <f>Calculations!AC287</f>
        <v>0</v>
      </c>
      <c r="AD24" s="111">
        <f>Calculations!AD287</f>
        <v>0</v>
      </c>
      <c r="AE24" s="111">
        <f>Calculations!AE287</f>
        <v>0</v>
      </c>
      <c r="AF24" s="111">
        <f>Calculations!AF287</f>
        <v>0</v>
      </c>
      <c r="AG24" s="111">
        <f>Calculations!AG287</f>
        <v>0</v>
      </c>
      <c r="AH24" s="111">
        <f>Calculations!AH287</f>
        <v>0</v>
      </c>
      <c r="AI24" s="112">
        <f>Calculations!AI287</f>
        <v>0</v>
      </c>
      <c r="AJ24" s="110">
        <f>Calculations!AJ287</f>
        <v>0</v>
      </c>
      <c r="AK24" s="111">
        <f>Calculations!AK287</f>
        <v>0</v>
      </c>
      <c r="AL24" s="111">
        <f>Calculations!AL287</f>
        <v>0</v>
      </c>
      <c r="AM24" s="111">
        <f>Calculations!AM287</f>
        <v>0</v>
      </c>
      <c r="AN24" s="111">
        <f>Calculations!AN287</f>
        <v>0</v>
      </c>
      <c r="AO24" s="111">
        <f>Calculations!AO287</f>
        <v>0</v>
      </c>
      <c r="AP24" s="111">
        <f>Calculations!AP287</f>
        <v>0</v>
      </c>
      <c r="AQ24" s="111">
        <f>Calculations!AQ287</f>
        <v>0</v>
      </c>
      <c r="AR24" s="111">
        <f>Calculations!AR287</f>
        <v>0</v>
      </c>
      <c r="AS24" s="111">
        <f>Calculations!AS287</f>
        <v>0</v>
      </c>
      <c r="AT24" s="111">
        <f>Calculations!AT287</f>
        <v>0</v>
      </c>
      <c r="AU24" s="111">
        <f>Calculations!AU287</f>
        <v>0</v>
      </c>
      <c r="AV24" s="115">
        <f>Calculations!AV287</f>
        <v>7111.3470000000007</v>
      </c>
      <c r="AW24" s="111">
        <f>Calculations!AW287</f>
        <v>0</v>
      </c>
      <c r="AX24" s="111">
        <f>Calculations!AX287</f>
        <v>0</v>
      </c>
      <c r="AY24" s="111">
        <f>Calculations!AY287</f>
        <v>0</v>
      </c>
      <c r="AZ24" s="111">
        <f>Calculations!AZ287</f>
        <v>0</v>
      </c>
      <c r="BA24" s="111">
        <f>Calculations!BA287</f>
        <v>0</v>
      </c>
      <c r="BB24" s="111">
        <f>Calculations!BB287</f>
        <v>0</v>
      </c>
      <c r="BC24" s="111">
        <f>Calculations!BC287</f>
        <v>0</v>
      </c>
      <c r="BD24" s="111">
        <f>Calculations!BD287</f>
        <v>0</v>
      </c>
      <c r="BE24" s="111">
        <f>Calculations!BE287</f>
        <v>0</v>
      </c>
      <c r="BF24" s="111">
        <f>Calculations!BF287</f>
        <v>0</v>
      </c>
      <c r="BG24" s="111">
        <f>Calculations!BG287</f>
        <v>0</v>
      </c>
      <c r="BH24" s="111">
        <f>Calculations!BH287</f>
        <v>0</v>
      </c>
      <c r="BI24" s="111">
        <f>Calculations!BI287</f>
        <v>0</v>
      </c>
      <c r="BJ24" s="111">
        <f>Calculations!BJ287</f>
        <v>0</v>
      </c>
      <c r="BK24" s="111">
        <f>Calculations!BK287</f>
        <v>0</v>
      </c>
      <c r="BL24" s="111">
        <f>Calculations!BL287</f>
        <v>0</v>
      </c>
      <c r="BM24" s="111">
        <f>Calculations!BM287</f>
        <v>0</v>
      </c>
      <c r="BN24" s="111">
        <f>Calculations!BN287</f>
        <v>0</v>
      </c>
      <c r="BO24" s="111">
        <f>Calculations!BO287</f>
        <v>0</v>
      </c>
      <c r="BP24" s="112">
        <f>Calculations!BP287</f>
        <v>0</v>
      </c>
      <c r="BQ24" s="110">
        <f>Calculations!BQ287</f>
        <v>0</v>
      </c>
      <c r="BR24" s="111">
        <f>Calculations!BR287</f>
        <v>0</v>
      </c>
      <c r="BS24" s="111">
        <v>0</v>
      </c>
      <c r="BT24" s="111">
        <f>Calculations!BS287</f>
        <v>0</v>
      </c>
      <c r="BU24" s="112">
        <f>Calculations!BT287</f>
        <v>0</v>
      </c>
      <c r="BV24" s="110">
        <f>Calculations!BU287</f>
        <v>0</v>
      </c>
      <c r="BW24" s="111">
        <f>Calculations!BV287</f>
        <v>0</v>
      </c>
      <c r="BX24" s="112">
        <f>Calculations!BW287</f>
        <v>0</v>
      </c>
      <c r="BY24" s="110">
        <f>Calculations!BX287</f>
        <v>0</v>
      </c>
      <c r="BZ24" s="111">
        <f>Calculations!BY287</f>
        <v>0</v>
      </c>
      <c r="CA24" s="111">
        <f>Calculations!BZ287+Calculations!CA287</f>
        <v>0</v>
      </c>
      <c r="CB24" s="111">
        <f>Calculations!CB287</f>
        <v>0</v>
      </c>
      <c r="CC24" s="111">
        <f>Calculations!CC287</f>
        <v>0</v>
      </c>
      <c r="CD24" s="112">
        <f>Calculations!CD287</f>
        <v>0</v>
      </c>
      <c r="CE24" s="113">
        <f>Calculations!CE287</f>
        <v>0</v>
      </c>
      <c r="CF24" s="117">
        <f t="shared" si="0"/>
        <v>7111.3470000000007</v>
      </c>
      <c r="CH24">
        <f ca="1"/>
        <v>0</v>
      </c>
    </row>
    <row r="25" spans="1:86">
      <c r="A25" s="280"/>
      <c r="B25" s="28" t="s">
        <v>87</v>
      </c>
      <c r="C25" s="110">
        <f>Calculations!C288</f>
        <v>0</v>
      </c>
      <c r="D25" s="111">
        <f>Calculations!D288</f>
        <v>0</v>
      </c>
      <c r="E25" s="111">
        <f>Calculations!E288</f>
        <v>0</v>
      </c>
      <c r="F25" s="111">
        <f>Calculations!F288</f>
        <v>0</v>
      </c>
      <c r="G25" s="111">
        <f>Calculations!G288</f>
        <v>0</v>
      </c>
      <c r="H25" s="111">
        <f>Calculations!H288</f>
        <v>0</v>
      </c>
      <c r="I25" s="111">
        <f>Calculations!I288</f>
        <v>0</v>
      </c>
      <c r="J25" s="111">
        <f>Calculations!J288</f>
        <v>0</v>
      </c>
      <c r="K25" s="111">
        <f>Calculations!K288</f>
        <v>0</v>
      </c>
      <c r="L25" s="111">
        <f>Calculations!L288</f>
        <v>0</v>
      </c>
      <c r="M25" s="111">
        <f>Calculations!M288</f>
        <v>0</v>
      </c>
      <c r="N25" s="111">
        <f>Calculations!N288</f>
        <v>0</v>
      </c>
      <c r="O25" s="111">
        <f>Calculations!O288</f>
        <v>0</v>
      </c>
      <c r="P25" s="111">
        <f>Calculations!P288</f>
        <v>0</v>
      </c>
      <c r="Q25" s="111">
        <f>Calculations!Q288</f>
        <v>0</v>
      </c>
      <c r="R25" s="111">
        <f>Calculations!R288</f>
        <v>0</v>
      </c>
      <c r="S25" s="111">
        <f>Calculations!S288</f>
        <v>0</v>
      </c>
      <c r="T25" s="111">
        <f>Calculations!T288</f>
        <v>0</v>
      </c>
      <c r="U25" s="111">
        <f>Calculations!U288</f>
        <v>0</v>
      </c>
      <c r="V25" s="111">
        <f>Calculations!V288</f>
        <v>0</v>
      </c>
      <c r="W25" s="111">
        <f>Calculations!W288</f>
        <v>0</v>
      </c>
      <c r="X25" s="111">
        <f>Calculations!X288</f>
        <v>0</v>
      </c>
      <c r="Y25" s="111">
        <f>Calculations!Y288</f>
        <v>0</v>
      </c>
      <c r="Z25" s="111">
        <f>Calculations!Z288</f>
        <v>0</v>
      </c>
      <c r="AA25" s="111">
        <f>Calculations!AA288</f>
        <v>0</v>
      </c>
      <c r="AB25" s="111">
        <f>Calculations!AB288</f>
        <v>0</v>
      </c>
      <c r="AC25" s="111">
        <f>Calculations!AC288</f>
        <v>0</v>
      </c>
      <c r="AD25" s="111">
        <f>Calculations!AD288</f>
        <v>0</v>
      </c>
      <c r="AE25" s="111">
        <f>Calculations!AE288</f>
        <v>0</v>
      </c>
      <c r="AF25" s="111">
        <f>Calculations!AF288</f>
        <v>0</v>
      </c>
      <c r="AG25" s="111">
        <f>Calculations!AG288</f>
        <v>0</v>
      </c>
      <c r="AH25" s="111">
        <f>Calculations!AH288</f>
        <v>0</v>
      </c>
      <c r="AI25" s="112">
        <f>Calculations!AI288</f>
        <v>0</v>
      </c>
      <c r="AJ25" s="110">
        <f>Calculations!AJ288</f>
        <v>0</v>
      </c>
      <c r="AK25" s="111">
        <f>Calculations!AK288</f>
        <v>0</v>
      </c>
      <c r="AL25" s="111">
        <f>Calculations!AL288</f>
        <v>0</v>
      </c>
      <c r="AM25" s="111">
        <f>Calculations!AM288</f>
        <v>0</v>
      </c>
      <c r="AN25" s="111">
        <f>Calculations!AN288</f>
        <v>0</v>
      </c>
      <c r="AO25" s="111">
        <f>Calculations!AO288</f>
        <v>0</v>
      </c>
      <c r="AP25" s="111">
        <f>Calculations!AP288</f>
        <v>0</v>
      </c>
      <c r="AQ25" s="111">
        <f>Calculations!AQ288</f>
        <v>0</v>
      </c>
      <c r="AR25" s="111">
        <f>Calculations!AR288</f>
        <v>0</v>
      </c>
      <c r="AS25" s="111">
        <f>Calculations!AS288</f>
        <v>0</v>
      </c>
      <c r="AT25" s="111">
        <f>Calculations!AT288</f>
        <v>0</v>
      </c>
      <c r="AU25" s="111">
        <f>Calculations!AU288</f>
        <v>0</v>
      </c>
      <c r="AV25" s="111">
        <f>Calculations!AV288</f>
        <v>0</v>
      </c>
      <c r="AW25" s="115">
        <f>Calculations!AW288</f>
        <v>6245.6820000000007</v>
      </c>
      <c r="AX25" s="111">
        <f>Calculations!AX288</f>
        <v>0</v>
      </c>
      <c r="AY25" s="111">
        <f>Calculations!AY288</f>
        <v>0</v>
      </c>
      <c r="AZ25" s="111">
        <f>Calculations!AZ288</f>
        <v>0</v>
      </c>
      <c r="BA25" s="111">
        <f>Calculations!BA288</f>
        <v>0</v>
      </c>
      <c r="BB25" s="111">
        <f>Calculations!BB288</f>
        <v>0</v>
      </c>
      <c r="BC25" s="111">
        <f>Calculations!BC288</f>
        <v>0</v>
      </c>
      <c r="BD25" s="111">
        <f>Calculations!BD288</f>
        <v>0</v>
      </c>
      <c r="BE25" s="111">
        <f>Calculations!BE288</f>
        <v>0</v>
      </c>
      <c r="BF25" s="111">
        <f>Calculations!BF288</f>
        <v>0</v>
      </c>
      <c r="BG25" s="111">
        <f>Calculations!BG288</f>
        <v>0</v>
      </c>
      <c r="BH25" s="111">
        <f>Calculations!BH288</f>
        <v>0</v>
      </c>
      <c r="BI25" s="111">
        <f>Calculations!BI288</f>
        <v>0</v>
      </c>
      <c r="BJ25" s="111">
        <f>Calculations!BJ288</f>
        <v>0</v>
      </c>
      <c r="BK25" s="111">
        <f>Calculations!BK288</f>
        <v>0</v>
      </c>
      <c r="BL25" s="111">
        <f>Calculations!BL288</f>
        <v>0</v>
      </c>
      <c r="BM25" s="111">
        <f>Calculations!BM288</f>
        <v>0</v>
      </c>
      <c r="BN25" s="111">
        <f>Calculations!BN288</f>
        <v>0</v>
      </c>
      <c r="BO25" s="111">
        <f>Calculations!BO288</f>
        <v>0</v>
      </c>
      <c r="BP25" s="112">
        <f>Calculations!BP288</f>
        <v>0</v>
      </c>
      <c r="BQ25" s="110">
        <f>Calculations!BQ288</f>
        <v>0</v>
      </c>
      <c r="BR25" s="111">
        <f>Calculations!BR288</f>
        <v>0</v>
      </c>
      <c r="BS25" s="111">
        <v>0</v>
      </c>
      <c r="BT25" s="111">
        <f>Calculations!BS288</f>
        <v>0</v>
      </c>
      <c r="BU25" s="112">
        <f>Calculations!BT288</f>
        <v>0</v>
      </c>
      <c r="BV25" s="110">
        <f>Calculations!BU288</f>
        <v>0</v>
      </c>
      <c r="BW25" s="111">
        <f>Calculations!BV288</f>
        <v>0</v>
      </c>
      <c r="BX25" s="112">
        <f>Calculations!BW288</f>
        <v>0</v>
      </c>
      <c r="BY25" s="110">
        <f>Calculations!BX288</f>
        <v>0</v>
      </c>
      <c r="BZ25" s="111">
        <f>Calculations!BY288</f>
        <v>0</v>
      </c>
      <c r="CA25" s="111">
        <f>Calculations!BZ288+Calculations!CA288</f>
        <v>0</v>
      </c>
      <c r="CB25" s="111">
        <f>Calculations!CB288</f>
        <v>0</v>
      </c>
      <c r="CC25" s="111">
        <f>Calculations!CC288</f>
        <v>0</v>
      </c>
      <c r="CD25" s="112">
        <f>Calculations!CD288</f>
        <v>0</v>
      </c>
      <c r="CE25" s="113">
        <f>Calculations!CE288</f>
        <v>0</v>
      </c>
      <c r="CF25" s="117">
        <f t="shared" si="0"/>
        <v>6245.6820000000007</v>
      </c>
      <c r="CH25">
        <f ca="1"/>
        <v>0</v>
      </c>
    </row>
    <row r="26" spans="1:86">
      <c r="A26" s="280"/>
      <c r="B26" s="28" t="s">
        <v>88</v>
      </c>
      <c r="C26" s="110">
        <f>Calculations!C289</f>
        <v>0</v>
      </c>
      <c r="D26" s="111">
        <f>Calculations!D289</f>
        <v>0</v>
      </c>
      <c r="E26" s="111">
        <f>Calculations!E289</f>
        <v>0</v>
      </c>
      <c r="F26" s="111">
        <f>Calculations!F289</f>
        <v>0</v>
      </c>
      <c r="G26" s="111">
        <f>Calculations!G289</f>
        <v>0</v>
      </c>
      <c r="H26" s="111">
        <f>Calculations!H289</f>
        <v>0</v>
      </c>
      <c r="I26" s="111">
        <f>Calculations!I289</f>
        <v>0</v>
      </c>
      <c r="J26" s="111">
        <f>Calculations!J289</f>
        <v>0</v>
      </c>
      <c r="K26" s="111">
        <f>Calculations!K289</f>
        <v>0</v>
      </c>
      <c r="L26" s="111">
        <f>Calculations!L289</f>
        <v>0</v>
      </c>
      <c r="M26" s="111">
        <f>Calculations!M289</f>
        <v>0</v>
      </c>
      <c r="N26" s="111">
        <f>Calculations!N289</f>
        <v>0</v>
      </c>
      <c r="O26" s="111">
        <f>Calculations!O289</f>
        <v>0</v>
      </c>
      <c r="P26" s="111">
        <f>Calculations!P289</f>
        <v>0</v>
      </c>
      <c r="Q26" s="111">
        <f>Calculations!Q289</f>
        <v>0</v>
      </c>
      <c r="R26" s="111">
        <f>Calculations!R289</f>
        <v>0</v>
      </c>
      <c r="S26" s="111">
        <f>Calculations!S289</f>
        <v>0</v>
      </c>
      <c r="T26" s="111">
        <f>Calculations!T289</f>
        <v>0</v>
      </c>
      <c r="U26" s="111">
        <f>Calculations!U289</f>
        <v>0</v>
      </c>
      <c r="V26" s="111">
        <f>Calculations!V289</f>
        <v>0</v>
      </c>
      <c r="W26" s="111">
        <f>Calculations!W289</f>
        <v>0</v>
      </c>
      <c r="X26" s="111">
        <f>Calculations!X289</f>
        <v>0</v>
      </c>
      <c r="Y26" s="111">
        <f>Calculations!Y289</f>
        <v>0</v>
      </c>
      <c r="Z26" s="111">
        <f>Calculations!Z289</f>
        <v>0</v>
      </c>
      <c r="AA26" s="111">
        <f>Calculations!AA289</f>
        <v>0</v>
      </c>
      <c r="AB26" s="111">
        <f>Calculations!AB289</f>
        <v>0</v>
      </c>
      <c r="AC26" s="111">
        <f>Calculations!AC289</f>
        <v>0</v>
      </c>
      <c r="AD26" s="111">
        <f>Calculations!AD289</f>
        <v>0</v>
      </c>
      <c r="AE26" s="111">
        <f>Calculations!AE289</f>
        <v>0</v>
      </c>
      <c r="AF26" s="111">
        <f>Calculations!AF289</f>
        <v>0</v>
      </c>
      <c r="AG26" s="111">
        <f>Calculations!AG289</f>
        <v>0</v>
      </c>
      <c r="AH26" s="111">
        <f>Calculations!AH289</f>
        <v>0</v>
      </c>
      <c r="AI26" s="112">
        <f>Calculations!AI289</f>
        <v>0</v>
      </c>
      <c r="AJ26" s="110">
        <f>Calculations!AJ289</f>
        <v>0</v>
      </c>
      <c r="AK26" s="111">
        <f>Calculations!AK289</f>
        <v>0</v>
      </c>
      <c r="AL26" s="111">
        <f>Calculations!AL289</f>
        <v>0</v>
      </c>
      <c r="AM26" s="111">
        <f>Calculations!AM289</f>
        <v>0</v>
      </c>
      <c r="AN26" s="111">
        <f>Calculations!AN289</f>
        <v>0</v>
      </c>
      <c r="AO26" s="111">
        <f>Calculations!AO289</f>
        <v>0</v>
      </c>
      <c r="AP26" s="111">
        <f>Calculations!AP289</f>
        <v>0</v>
      </c>
      <c r="AQ26" s="111">
        <f>Calculations!AQ289</f>
        <v>0</v>
      </c>
      <c r="AR26" s="111">
        <f>Calculations!AR289</f>
        <v>0</v>
      </c>
      <c r="AS26" s="111">
        <f>Calculations!AS289</f>
        <v>0</v>
      </c>
      <c r="AT26" s="111">
        <f>Calculations!AT289</f>
        <v>0</v>
      </c>
      <c r="AU26" s="111">
        <f>Calculations!AU289</f>
        <v>0</v>
      </c>
      <c r="AV26" s="111">
        <f>Calculations!AV289</f>
        <v>0</v>
      </c>
      <c r="AW26" s="111">
        <f>Calculations!AW289</f>
        <v>0</v>
      </c>
      <c r="AX26" s="115">
        <f>Calculations!AX289</f>
        <v>2014.7720000000002</v>
      </c>
      <c r="AY26" s="111">
        <f>Calculations!AY289</f>
        <v>0</v>
      </c>
      <c r="AZ26" s="111">
        <f>Calculations!AZ289</f>
        <v>0</v>
      </c>
      <c r="BA26" s="111">
        <f>Calculations!BA289</f>
        <v>0</v>
      </c>
      <c r="BB26" s="111">
        <f>Calculations!BB289</f>
        <v>0</v>
      </c>
      <c r="BC26" s="111">
        <f>Calculations!BC289</f>
        <v>0</v>
      </c>
      <c r="BD26" s="111">
        <f>Calculations!BD289</f>
        <v>0</v>
      </c>
      <c r="BE26" s="111">
        <f>Calculations!BE289</f>
        <v>0</v>
      </c>
      <c r="BF26" s="111">
        <f>Calculations!BF289</f>
        <v>0</v>
      </c>
      <c r="BG26" s="111">
        <f>Calculations!BG289</f>
        <v>0</v>
      </c>
      <c r="BH26" s="111">
        <f>Calculations!BH289</f>
        <v>0</v>
      </c>
      <c r="BI26" s="111">
        <f>Calculations!BI289</f>
        <v>0</v>
      </c>
      <c r="BJ26" s="111">
        <f>Calculations!BJ289</f>
        <v>0</v>
      </c>
      <c r="BK26" s="111">
        <f>Calculations!BK289</f>
        <v>0</v>
      </c>
      <c r="BL26" s="111">
        <f>Calculations!BL289</f>
        <v>0</v>
      </c>
      <c r="BM26" s="111">
        <f>Calculations!BM289</f>
        <v>0</v>
      </c>
      <c r="BN26" s="111">
        <f>Calculations!BN289</f>
        <v>0</v>
      </c>
      <c r="BO26" s="111">
        <f>Calculations!BO289</f>
        <v>0</v>
      </c>
      <c r="BP26" s="112">
        <f>Calculations!BP289</f>
        <v>0</v>
      </c>
      <c r="BQ26" s="110">
        <f>Calculations!BQ289</f>
        <v>0</v>
      </c>
      <c r="BR26" s="111">
        <f>Calculations!BR289</f>
        <v>0</v>
      </c>
      <c r="BS26" s="111">
        <v>0</v>
      </c>
      <c r="BT26" s="111">
        <f>Calculations!BS289</f>
        <v>0</v>
      </c>
      <c r="BU26" s="112">
        <f>Calculations!BT289</f>
        <v>0</v>
      </c>
      <c r="BV26" s="110">
        <f>Calculations!BU289</f>
        <v>0</v>
      </c>
      <c r="BW26" s="111">
        <f>Calculations!BV289</f>
        <v>0</v>
      </c>
      <c r="BX26" s="112">
        <f>Calculations!BW289</f>
        <v>0</v>
      </c>
      <c r="BY26" s="110">
        <f>Calculations!BX289</f>
        <v>0</v>
      </c>
      <c r="BZ26" s="111">
        <f>Calculations!BY289</f>
        <v>0</v>
      </c>
      <c r="CA26" s="111">
        <f>Calculations!BZ289+Calculations!CA289</f>
        <v>0</v>
      </c>
      <c r="CB26" s="111">
        <f>Calculations!CB289</f>
        <v>0</v>
      </c>
      <c r="CC26" s="111">
        <f>Calculations!CC289</f>
        <v>0</v>
      </c>
      <c r="CD26" s="112">
        <f>Calculations!CD289</f>
        <v>0</v>
      </c>
      <c r="CE26" s="113">
        <f>Calculations!CE289</f>
        <v>0</v>
      </c>
      <c r="CF26" s="117">
        <f t="shared" si="0"/>
        <v>2014.7720000000002</v>
      </c>
      <c r="CH26">
        <f ca="1"/>
        <v>0</v>
      </c>
    </row>
    <row r="27" spans="1:86">
      <c r="A27" s="280"/>
      <c r="B27" s="28" t="s">
        <v>89</v>
      </c>
      <c r="C27" s="110">
        <f>Calculations!C290</f>
        <v>0</v>
      </c>
      <c r="D27" s="111">
        <f>Calculations!D290</f>
        <v>0</v>
      </c>
      <c r="E27" s="111">
        <f>Calculations!E290</f>
        <v>0</v>
      </c>
      <c r="F27" s="111">
        <f>Calculations!F290</f>
        <v>0</v>
      </c>
      <c r="G27" s="111">
        <f>Calculations!G290</f>
        <v>0</v>
      </c>
      <c r="H27" s="111">
        <f>Calculations!H290</f>
        <v>0</v>
      </c>
      <c r="I27" s="111">
        <f>Calculations!I290</f>
        <v>0</v>
      </c>
      <c r="J27" s="111">
        <f>Calculations!J290</f>
        <v>0</v>
      </c>
      <c r="K27" s="111">
        <f>Calculations!K290</f>
        <v>0</v>
      </c>
      <c r="L27" s="111">
        <f>Calculations!L290</f>
        <v>0</v>
      </c>
      <c r="M27" s="111">
        <f>Calculations!M290</f>
        <v>0</v>
      </c>
      <c r="N27" s="111">
        <f>Calculations!N290</f>
        <v>0</v>
      </c>
      <c r="O27" s="111">
        <f>Calculations!O290</f>
        <v>0</v>
      </c>
      <c r="P27" s="111">
        <f>Calculations!P290</f>
        <v>0</v>
      </c>
      <c r="Q27" s="111">
        <f>Calculations!Q290</f>
        <v>0</v>
      </c>
      <c r="R27" s="111">
        <f>Calculations!R290</f>
        <v>0</v>
      </c>
      <c r="S27" s="111">
        <f>Calculations!S290</f>
        <v>0</v>
      </c>
      <c r="T27" s="111">
        <f>Calculations!T290</f>
        <v>0</v>
      </c>
      <c r="U27" s="111">
        <f>Calculations!U290</f>
        <v>0</v>
      </c>
      <c r="V27" s="111">
        <f>Calculations!V290</f>
        <v>0</v>
      </c>
      <c r="W27" s="111">
        <f>Calculations!W290</f>
        <v>0</v>
      </c>
      <c r="X27" s="111">
        <f>Calculations!X290</f>
        <v>0</v>
      </c>
      <c r="Y27" s="111">
        <f>Calculations!Y290</f>
        <v>0</v>
      </c>
      <c r="Z27" s="111">
        <f>Calculations!Z290</f>
        <v>0</v>
      </c>
      <c r="AA27" s="111">
        <f>Calculations!AA290</f>
        <v>0</v>
      </c>
      <c r="AB27" s="111">
        <f>Calculations!AB290</f>
        <v>0</v>
      </c>
      <c r="AC27" s="111">
        <f>Calculations!AC290</f>
        <v>0</v>
      </c>
      <c r="AD27" s="111">
        <f>Calculations!AD290</f>
        <v>0</v>
      </c>
      <c r="AE27" s="111">
        <f>Calculations!AE290</f>
        <v>0</v>
      </c>
      <c r="AF27" s="111">
        <f>Calculations!AF290</f>
        <v>0</v>
      </c>
      <c r="AG27" s="111">
        <f>Calculations!AG290</f>
        <v>0</v>
      </c>
      <c r="AH27" s="111">
        <f>Calculations!AH290</f>
        <v>0</v>
      </c>
      <c r="AI27" s="112">
        <f>Calculations!AI290</f>
        <v>0</v>
      </c>
      <c r="AJ27" s="110">
        <f>Calculations!AJ290</f>
        <v>0</v>
      </c>
      <c r="AK27" s="111">
        <f>Calculations!AK290</f>
        <v>0</v>
      </c>
      <c r="AL27" s="111">
        <f>Calculations!AL290</f>
        <v>0</v>
      </c>
      <c r="AM27" s="111">
        <f>Calculations!AM290</f>
        <v>0</v>
      </c>
      <c r="AN27" s="111">
        <f>Calculations!AN290</f>
        <v>0</v>
      </c>
      <c r="AO27" s="111">
        <f>Calculations!AO290</f>
        <v>0</v>
      </c>
      <c r="AP27" s="111">
        <f>Calculations!AP290</f>
        <v>0</v>
      </c>
      <c r="AQ27" s="111">
        <f>Calculations!AQ290</f>
        <v>0</v>
      </c>
      <c r="AR27" s="111">
        <f>Calculations!AR290</f>
        <v>0</v>
      </c>
      <c r="AS27" s="111">
        <f>Calculations!AS290</f>
        <v>0</v>
      </c>
      <c r="AT27" s="111">
        <f>Calculations!AT290</f>
        <v>0</v>
      </c>
      <c r="AU27" s="111">
        <f>Calculations!AU290</f>
        <v>0</v>
      </c>
      <c r="AV27" s="111">
        <f>Calculations!AV290</f>
        <v>0</v>
      </c>
      <c r="AW27" s="111">
        <f>Calculations!AW290</f>
        <v>0</v>
      </c>
      <c r="AX27" s="111">
        <f>Calculations!AX290</f>
        <v>0</v>
      </c>
      <c r="AY27" s="115">
        <f>Calculations!AY290</f>
        <v>13743.5</v>
      </c>
      <c r="AZ27" s="111">
        <f>Calculations!AZ290</f>
        <v>0</v>
      </c>
      <c r="BA27" s="111">
        <f>Calculations!BA290</f>
        <v>0</v>
      </c>
      <c r="BB27" s="111">
        <f>Calculations!BB290</f>
        <v>0</v>
      </c>
      <c r="BC27" s="111">
        <f>Calculations!BC290</f>
        <v>0</v>
      </c>
      <c r="BD27" s="111">
        <f>Calculations!BD290</f>
        <v>0</v>
      </c>
      <c r="BE27" s="111">
        <f>Calculations!BE290</f>
        <v>0</v>
      </c>
      <c r="BF27" s="111">
        <f>Calculations!BF290</f>
        <v>0</v>
      </c>
      <c r="BG27" s="111">
        <f>Calculations!BG290</f>
        <v>0</v>
      </c>
      <c r="BH27" s="111">
        <f>Calculations!BH290</f>
        <v>0</v>
      </c>
      <c r="BI27" s="111">
        <f>Calculations!BI290</f>
        <v>0</v>
      </c>
      <c r="BJ27" s="111">
        <f>Calculations!BJ290</f>
        <v>0</v>
      </c>
      <c r="BK27" s="111">
        <f>Calculations!BK290</f>
        <v>0</v>
      </c>
      <c r="BL27" s="111">
        <f>Calculations!BL290</f>
        <v>0</v>
      </c>
      <c r="BM27" s="111">
        <f>Calculations!BM290</f>
        <v>0</v>
      </c>
      <c r="BN27" s="111">
        <f>Calculations!BN290</f>
        <v>0</v>
      </c>
      <c r="BO27" s="111">
        <f>Calculations!BO290</f>
        <v>0</v>
      </c>
      <c r="BP27" s="112">
        <f>Calculations!BP290</f>
        <v>0</v>
      </c>
      <c r="BQ27" s="110">
        <f>Calculations!BQ290</f>
        <v>0</v>
      </c>
      <c r="BR27" s="111">
        <f>Calculations!BR290</f>
        <v>0</v>
      </c>
      <c r="BS27" s="111">
        <v>0</v>
      </c>
      <c r="BT27" s="111">
        <f>Calculations!BS290</f>
        <v>0</v>
      </c>
      <c r="BU27" s="112">
        <f>Calculations!BT290</f>
        <v>0</v>
      </c>
      <c r="BV27" s="110">
        <f>Calculations!BU290</f>
        <v>0</v>
      </c>
      <c r="BW27" s="111">
        <f>Calculations!BV290</f>
        <v>0</v>
      </c>
      <c r="BX27" s="112">
        <f>Calculations!BW290</f>
        <v>0</v>
      </c>
      <c r="BY27" s="110">
        <f>Calculations!BX290</f>
        <v>0</v>
      </c>
      <c r="BZ27" s="111">
        <f>Calculations!BY290</f>
        <v>0</v>
      </c>
      <c r="CA27" s="111">
        <f>Calculations!BZ290+Calculations!CA290</f>
        <v>0</v>
      </c>
      <c r="CB27" s="111">
        <f>Calculations!CB290</f>
        <v>0</v>
      </c>
      <c r="CC27" s="111">
        <f>Calculations!CC290</f>
        <v>0</v>
      </c>
      <c r="CD27" s="112">
        <f>Calculations!CD290</f>
        <v>0</v>
      </c>
      <c r="CE27" s="113">
        <f>Calculations!CE290</f>
        <v>0</v>
      </c>
      <c r="CF27" s="117">
        <f t="shared" si="0"/>
        <v>13743.5</v>
      </c>
      <c r="CH27">
        <f ca="1"/>
        <v>0</v>
      </c>
    </row>
    <row r="28" spans="1:86">
      <c r="A28" s="280"/>
      <c r="B28" s="28" t="s">
        <v>90</v>
      </c>
      <c r="C28" s="110">
        <f>Calculations!C291</f>
        <v>0</v>
      </c>
      <c r="D28" s="111">
        <f>Calculations!D291</f>
        <v>0</v>
      </c>
      <c r="E28" s="111">
        <f>Calculations!E291</f>
        <v>0</v>
      </c>
      <c r="F28" s="111">
        <f>Calculations!F291</f>
        <v>0</v>
      </c>
      <c r="G28" s="111">
        <f>Calculations!G291</f>
        <v>0</v>
      </c>
      <c r="H28" s="111">
        <f>Calculations!H291</f>
        <v>0</v>
      </c>
      <c r="I28" s="111">
        <f>Calculations!I291</f>
        <v>0</v>
      </c>
      <c r="J28" s="111">
        <f>Calculations!J291</f>
        <v>0</v>
      </c>
      <c r="K28" s="111">
        <f>Calculations!K291</f>
        <v>0</v>
      </c>
      <c r="L28" s="111">
        <f>Calculations!L291</f>
        <v>0</v>
      </c>
      <c r="M28" s="111">
        <f>Calculations!M291</f>
        <v>0</v>
      </c>
      <c r="N28" s="111">
        <f>Calculations!N291</f>
        <v>0</v>
      </c>
      <c r="O28" s="111">
        <f>Calculations!O291</f>
        <v>0</v>
      </c>
      <c r="P28" s="111">
        <f>Calculations!P291</f>
        <v>0</v>
      </c>
      <c r="Q28" s="111">
        <f>Calculations!Q291</f>
        <v>0</v>
      </c>
      <c r="R28" s="111">
        <f>Calculations!R291</f>
        <v>0</v>
      </c>
      <c r="S28" s="111">
        <f>Calculations!S291</f>
        <v>0</v>
      </c>
      <c r="T28" s="111">
        <f>Calculations!T291</f>
        <v>0</v>
      </c>
      <c r="U28" s="111">
        <f>Calculations!U291</f>
        <v>0</v>
      </c>
      <c r="V28" s="111">
        <f>Calculations!V291</f>
        <v>0</v>
      </c>
      <c r="W28" s="111">
        <f>Calculations!W291</f>
        <v>0</v>
      </c>
      <c r="X28" s="111">
        <f>Calculations!X291</f>
        <v>0</v>
      </c>
      <c r="Y28" s="111">
        <f>Calculations!Y291</f>
        <v>0</v>
      </c>
      <c r="Z28" s="111">
        <f>Calculations!Z291</f>
        <v>0</v>
      </c>
      <c r="AA28" s="111">
        <f>Calculations!AA291</f>
        <v>0</v>
      </c>
      <c r="AB28" s="111">
        <f>Calculations!AB291</f>
        <v>0</v>
      </c>
      <c r="AC28" s="111">
        <f>Calculations!AC291</f>
        <v>0</v>
      </c>
      <c r="AD28" s="111">
        <f>Calculations!AD291</f>
        <v>0</v>
      </c>
      <c r="AE28" s="111">
        <f>Calculations!AE291</f>
        <v>0</v>
      </c>
      <c r="AF28" s="111">
        <f>Calculations!AF291</f>
        <v>0</v>
      </c>
      <c r="AG28" s="111">
        <f>Calculations!AG291</f>
        <v>0</v>
      </c>
      <c r="AH28" s="111">
        <f>Calculations!AH291</f>
        <v>0</v>
      </c>
      <c r="AI28" s="112">
        <f>Calculations!AI291</f>
        <v>0</v>
      </c>
      <c r="AJ28" s="110">
        <f>Calculations!AJ291</f>
        <v>0</v>
      </c>
      <c r="AK28" s="111">
        <f>Calculations!AK291</f>
        <v>0</v>
      </c>
      <c r="AL28" s="111">
        <f>Calculations!AL291</f>
        <v>0</v>
      </c>
      <c r="AM28" s="111">
        <f>Calculations!AM291</f>
        <v>0</v>
      </c>
      <c r="AN28" s="111">
        <f>Calculations!AN291</f>
        <v>0</v>
      </c>
      <c r="AO28" s="111">
        <f>Calculations!AO291</f>
        <v>0</v>
      </c>
      <c r="AP28" s="111">
        <f>Calculations!AP291</f>
        <v>0</v>
      </c>
      <c r="AQ28" s="111">
        <f>Calculations!AQ291</f>
        <v>0</v>
      </c>
      <c r="AR28" s="111">
        <f>Calculations!AR291</f>
        <v>0</v>
      </c>
      <c r="AS28" s="111">
        <f>Calculations!AS291</f>
        <v>0</v>
      </c>
      <c r="AT28" s="111">
        <f>Calculations!AT291</f>
        <v>0</v>
      </c>
      <c r="AU28" s="111">
        <f>Calculations!AU291</f>
        <v>0</v>
      </c>
      <c r="AV28" s="111">
        <f>Calculations!AV291</f>
        <v>0</v>
      </c>
      <c r="AW28" s="111">
        <f>Calculations!AW291</f>
        <v>0</v>
      </c>
      <c r="AX28" s="111">
        <f>Calculations!AX291</f>
        <v>0</v>
      </c>
      <c r="AY28" s="111">
        <f>Calculations!AY291</f>
        <v>0</v>
      </c>
      <c r="AZ28" s="115">
        <f>Calculations!AZ291</f>
        <v>32516.284247284773</v>
      </c>
      <c r="BA28" s="111">
        <f>Calculations!BA291</f>
        <v>0</v>
      </c>
      <c r="BB28" s="111">
        <f>Calculations!BB291</f>
        <v>0</v>
      </c>
      <c r="BC28" s="111">
        <f>Calculations!BC291</f>
        <v>0</v>
      </c>
      <c r="BD28" s="111">
        <f>Calculations!BD291</f>
        <v>0</v>
      </c>
      <c r="BE28" s="111">
        <f>Calculations!BE291</f>
        <v>0</v>
      </c>
      <c r="BF28" s="111">
        <f>Calculations!BF291</f>
        <v>0</v>
      </c>
      <c r="BG28" s="111">
        <f>Calculations!BG291</f>
        <v>0</v>
      </c>
      <c r="BH28" s="111">
        <f>Calculations!BH291</f>
        <v>0</v>
      </c>
      <c r="BI28" s="111">
        <f>Calculations!BI291</f>
        <v>0</v>
      </c>
      <c r="BJ28" s="111">
        <f>Calculations!BJ291</f>
        <v>0</v>
      </c>
      <c r="BK28" s="111">
        <f>Calculations!BK291</f>
        <v>0</v>
      </c>
      <c r="BL28" s="111">
        <f>Calculations!BL291</f>
        <v>0</v>
      </c>
      <c r="BM28" s="111">
        <f>Calculations!BM291</f>
        <v>0</v>
      </c>
      <c r="BN28" s="111">
        <f>Calculations!BN291</f>
        <v>0</v>
      </c>
      <c r="BO28" s="111">
        <f>Calculations!BO291</f>
        <v>0</v>
      </c>
      <c r="BP28" s="112">
        <f>Calculations!BP291</f>
        <v>0</v>
      </c>
      <c r="BQ28" s="110">
        <f>Calculations!BQ291</f>
        <v>0</v>
      </c>
      <c r="BR28" s="111">
        <f>Calculations!BR291</f>
        <v>0</v>
      </c>
      <c r="BS28" s="111">
        <v>0</v>
      </c>
      <c r="BT28" s="111">
        <f>Calculations!BS291</f>
        <v>0</v>
      </c>
      <c r="BU28" s="112">
        <f>Calculations!BT291</f>
        <v>0</v>
      </c>
      <c r="BV28" s="110">
        <f>Calculations!BU291</f>
        <v>0</v>
      </c>
      <c r="BW28" s="111">
        <f>Calculations!BV291</f>
        <v>0</v>
      </c>
      <c r="BX28" s="112">
        <f>Calculations!BW291</f>
        <v>0</v>
      </c>
      <c r="BY28" s="110">
        <f>Calculations!BX291</f>
        <v>0</v>
      </c>
      <c r="BZ28" s="111">
        <f>Calculations!BY291</f>
        <v>0</v>
      </c>
      <c r="CA28" s="111">
        <f>Calculations!BZ291+Calculations!CA291</f>
        <v>0</v>
      </c>
      <c r="CB28" s="111">
        <f>Calculations!CB291</f>
        <v>0</v>
      </c>
      <c r="CC28" s="111">
        <f>Calculations!CC291</f>
        <v>0</v>
      </c>
      <c r="CD28" s="112">
        <f>Calculations!CD291</f>
        <v>0</v>
      </c>
      <c r="CE28" s="113">
        <f>Calculations!CE291</f>
        <v>0</v>
      </c>
      <c r="CF28" s="117">
        <f t="shared" si="0"/>
        <v>32516.284247284773</v>
      </c>
      <c r="CH28">
        <f ca="1"/>
        <v>0</v>
      </c>
    </row>
    <row r="29" spans="1:86">
      <c r="A29" s="280"/>
      <c r="B29" s="28" t="s">
        <v>91</v>
      </c>
      <c r="C29" s="110">
        <f>Calculations!C292</f>
        <v>0</v>
      </c>
      <c r="D29" s="111">
        <f>Calculations!D292</f>
        <v>0</v>
      </c>
      <c r="E29" s="111">
        <f>Calculations!E292</f>
        <v>0</v>
      </c>
      <c r="F29" s="111">
        <f>Calculations!F292</f>
        <v>0</v>
      </c>
      <c r="G29" s="111">
        <f>Calculations!G292</f>
        <v>0</v>
      </c>
      <c r="H29" s="111">
        <f>Calculations!H292</f>
        <v>0</v>
      </c>
      <c r="I29" s="111">
        <f>Calculations!I292</f>
        <v>0</v>
      </c>
      <c r="J29" s="111">
        <f>Calculations!J292</f>
        <v>0</v>
      </c>
      <c r="K29" s="111">
        <f>Calculations!K292</f>
        <v>0</v>
      </c>
      <c r="L29" s="111">
        <f>Calculations!L292</f>
        <v>0</v>
      </c>
      <c r="M29" s="111">
        <f>Calculations!M292</f>
        <v>0</v>
      </c>
      <c r="N29" s="111">
        <f>Calculations!N292</f>
        <v>0</v>
      </c>
      <c r="O29" s="111">
        <f>Calculations!O292</f>
        <v>0</v>
      </c>
      <c r="P29" s="111">
        <f>Calculations!P292</f>
        <v>0</v>
      </c>
      <c r="Q29" s="111">
        <f>Calculations!Q292</f>
        <v>0</v>
      </c>
      <c r="R29" s="111">
        <f>Calculations!R292</f>
        <v>0</v>
      </c>
      <c r="S29" s="111">
        <f>Calculations!S292</f>
        <v>0</v>
      </c>
      <c r="T29" s="111">
        <f>Calculations!T292</f>
        <v>0</v>
      </c>
      <c r="U29" s="111">
        <f>Calculations!U292</f>
        <v>0</v>
      </c>
      <c r="V29" s="111">
        <f>Calculations!V292</f>
        <v>0</v>
      </c>
      <c r="W29" s="111">
        <f>Calculations!W292</f>
        <v>0</v>
      </c>
      <c r="X29" s="111">
        <f>Calculations!X292</f>
        <v>0</v>
      </c>
      <c r="Y29" s="111">
        <f>Calculations!Y292</f>
        <v>0</v>
      </c>
      <c r="Z29" s="111">
        <f>Calculations!Z292</f>
        <v>0</v>
      </c>
      <c r="AA29" s="111">
        <f>Calculations!AA292</f>
        <v>0</v>
      </c>
      <c r="AB29" s="111">
        <f>Calculations!AB292</f>
        <v>0</v>
      </c>
      <c r="AC29" s="111">
        <f>Calculations!AC292</f>
        <v>0</v>
      </c>
      <c r="AD29" s="111">
        <f>Calculations!AD292</f>
        <v>0</v>
      </c>
      <c r="AE29" s="111">
        <f>Calculations!AE292</f>
        <v>0</v>
      </c>
      <c r="AF29" s="111">
        <f>Calculations!AF292</f>
        <v>0</v>
      </c>
      <c r="AG29" s="111">
        <f>Calculations!AG292</f>
        <v>0</v>
      </c>
      <c r="AH29" s="111">
        <f>Calculations!AH292</f>
        <v>0</v>
      </c>
      <c r="AI29" s="112">
        <f>Calculations!AI292</f>
        <v>0</v>
      </c>
      <c r="AJ29" s="110">
        <f>Calculations!AJ292</f>
        <v>0</v>
      </c>
      <c r="AK29" s="111">
        <f>Calculations!AK292</f>
        <v>0</v>
      </c>
      <c r="AL29" s="111">
        <f>Calculations!AL292</f>
        <v>0</v>
      </c>
      <c r="AM29" s="111">
        <f>Calculations!AM292</f>
        <v>0</v>
      </c>
      <c r="AN29" s="111">
        <f>Calculations!AN292</f>
        <v>0</v>
      </c>
      <c r="AO29" s="111">
        <f>Calculations!AO292</f>
        <v>0</v>
      </c>
      <c r="AP29" s="111">
        <f>Calculations!AP292</f>
        <v>0</v>
      </c>
      <c r="AQ29" s="111">
        <f>Calculations!AQ292</f>
        <v>0</v>
      </c>
      <c r="AR29" s="111">
        <f>Calculations!AR292</f>
        <v>0</v>
      </c>
      <c r="AS29" s="111">
        <f>Calculations!AS292</f>
        <v>0</v>
      </c>
      <c r="AT29" s="111">
        <f>Calculations!AT292</f>
        <v>0</v>
      </c>
      <c r="AU29" s="111">
        <f>Calculations!AU292</f>
        <v>0</v>
      </c>
      <c r="AV29" s="111">
        <f>Calculations!AV292</f>
        <v>0</v>
      </c>
      <c r="AW29" s="111">
        <f>Calculations!AW292</f>
        <v>0</v>
      </c>
      <c r="AX29" s="111">
        <f>Calculations!AX292</f>
        <v>0</v>
      </c>
      <c r="AY29" s="111">
        <f>Calculations!AY292</f>
        <v>0</v>
      </c>
      <c r="AZ29" s="111">
        <f>Calculations!AZ292</f>
        <v>0</v>
      </c>
      <c r="BA29" s="115">
        <f>Calculations!BA292</f>
        <v>89406.357042682357</v>
      </c>
      <c r="BB29" s="111">
        <f>Calculations!BB292</f>
        <v>0</v>
      </c>
      <c r="BC29" s="111">
        <f>Calculations!BC292</f>
        <v>0</v>
      </c>
      <c r="BD29" s="111">
        <f>Calculations!BD292</f>
        <v>0</v>
      </c>
      <c r="BE29" s="111">
        <f>Calculations!BE292</f>
        <v>0</v>
      </c>
      <c r="BF29" s="111">
        <f>Calculations!BF292</f>
        <v>0</v>
      </c>
      <c r="BG29" s="111">
        <f>Calculations!BG292</f>
        <v>0</v>
      </c>
      <c r="BH29" s="111">
        <f>Calculations!BH292</f>
        <v>0</v>
      </c>
      <c r="BI29" s="111">
        <f>Calculations!BI292</f>
        <v>0</v>
      </c>
      <c r="BJ29" s="111">
        <f>Calculations!BJ292</f>
        <v>0</v>
      </c>
      <c r="BK29" s="111">
        <f>Calculations!BK292</f>
        <v>0</v>
      </c>
      <c r="BL29" s="111">
        <f>Calculations!BL292</f>
        <v>0</v>
      </c>
      <c r="BM29" s="111">
        <f>Calculations!BM292</f>
        <v>0</v>
      </c>
      <c r="BN29" s="111">
        <f>Calculations!BN292</f>
        <v>0</v>
      </c>
      <c r="BO29" s="111">
        <f>Calculations!BO292</f>
        <v>0</v>
      </c>
      <c r="BP29" s="112">
        <f>Calculations!BP292</f>
        <v>0</v>
      </c>
      <c r="BQ29" s="110">
        <f>Calculations!BQ292</f>
        <v>0</v>
      </c>
      <c r="BR29" s="111">
        <f>Calculations!BR292</f>
        <v>0</v>
      </c>
      <c r="BS29" s="111">
        <v>0</v>
      </c>
      <c r="BT29" s="111">
        <f>Calculations!BS292</f>
        <v>0</v>
      </c>
      <c r="BU29" s="112">
        <f>Calculations!BT292</f>
        <v>0</v>
      </c>
      <c r="BV29" s="110">
        <f>Calculations!BU292</f>
        <v>0</v>
      </c>
      <c r="BW29" s="111">
        <f>Calculations!BV292</f>
        <v>0</v>
      </c>
      <c r="BX29" s="112">
        <f>Calculations!BW292</f>
        <v>0</v>
      </c>
      <c r="BY29" s="110">
        <f>Calculations!BX292</f>
        <v>0</v>
      </c>
      <c r="BZ29" s="111">
        <f>Calculations!BY292</f>
        <v>0</v>
      </c>
      <c r="CA29" s="111">
        <f>Calculations!BZ292+Calculations!CA292</f>
        <v>0</v>
      </c>
      <c r="CB29" s="111">
        <f>Calculations!CB292</f>
        <v>0</v>
      </c>
      <c r="CC29" s="111">
        <f>Calculations!CC292</f>
        <v>0</v>
      </c>
      <c r="CD29" s="112">
        <f>Calculations!CD292</f>
        <v>0</v>
      </c>
      <c r="CE29" s="113">
        <f>Calculations!CE292</f>
        <v>0</v>
      </c>
      <c r="CF29" s="117">
        <f t="shared" si="0"/>
        <v>89406.357042682357</v>
      </c>
      <c r="CH29">
        <f ca="1"/>
        <v>0</v>
      </c>
    </row>
    <row r="30" spans="1:86">
      <c r="A30" s="280"/>
      <c r="B30" s="41" t="s">
        <v>92</v>
      </c>
      <c r="C30" s="110">
        <f>Calculations!C293</f>
        <v>0</v>
      </c>
      <c r="D30" s="111">
        <f>Calculations!D293</f>
        <v>0</v>
      </c>
      <c r="E30" s="111">
        <f>Calculations!E293</f>
        <v>0</v>
      </c>
      <c r="F30" s="111">
        <f>Calculations!F293</f>
        <v>0</v>
      </c>
      <c r="G30" s="111">
        <f>Calculations!G293</f>
        <v>0</v>
      </c>
      <c r="H30" s="111">
        <f>Calculations!H293</f>
        <v>0</v>
      </c>
      <c r="I30" s="111">
        <f>Calculations!I293</f>
        <v>0</v>
      </c>
      <c r="J30" s="111">
        <f>Calculations!J293</f>
        <v>0</v>
      </c>
      <c r="K30" s="111">
        <f>Calculations!K293</f>
        <v>0</v>
      </c>
      <c r="L30" s="111">
        <f>Calculations!L293</f>
        <v>0</v>
      </c>
      <c r="M30" s="111">
        <f>Calculations!M293</f>
        <v>0</v>
      </c>
      <c r="N30" s="111">
        <f>Calculations!N293</f>
        <v>0</v>
      </c>
      <c r="O30" s="111">
        <f>Calculations!O293</f>
        <v>0</v>
      </c>
      <c r="P30" s="111">
        <f>Calculations!P293</f>
        <v>0</v>
      </c>
      <c r="Q30" s="111">
        <f>Calculations!Q293</f>
        <v>0</v>
      </c>
      <c r="R30" s="111">
        <f>Calculations!R293</f>
        <v>0</v>
      </c>
      <c r="S30" s="111">
        <f>Calculations!S293</f>
        <v>0</v>
      </c>
      <c r="T30" s="111">
        <f>Calculations!T293</f>
        <v>0</v>
      </c>
      <c r="U30" s="111">
        <f>Calculations!U293</f>
        <v>0</v>
      </c>
      <c r="V30" s="111">
        <f>Calculations!V293</f>
        <v>0</v>
      </c>
      <c r="W30" s="111">
        <f>Calculations!W293</f>
        <v>0</v>
      </c>
      <c r="X30" s="111">
        <f>Calculations!X293</f>
        <v>0</v>
      </c>
      <c r="Y30" s="111">
        <f>Calculations!Y293</f>
        <v>0</v>
      </c>
      <c r="Z30" s="111">
        <f>Calculations!Z293</f>
        <v>0</v>
      </c>
      <c r="AA30" s="111">
        <f>Calculations!AA293</f>
        <v>0</v>
      </c>
      <c r="AB30" s="111">
        <f>Calculations!AB293</f>
        <v>0</v>
      </c>
      <c r="AC30" s="111">
        <f>Calculations!AC293</f>
        <v>0</v>
      </c>
      <c r="AD30" s="111">
        <f>Calculations!AD293</f>
        <v>0</v>
      </c>
      <c r="AE30" s="111">
        <f>Calculations!AE293</f>
        <v>0</v>
      </c>
      <c r="AF30" s="111">
        <f>Calculations!AF293</f>
        <v>0</v>
      </c>
      <c r="AG30" s="111">
        <f>Calculations!AG293</f>
        <v>0</v>
      </c>
      <c r="AH30" s="111">
        <f>Calculations!AH293</f>
        <v>0</v>
      </c>
      <c r="AI30" s="112">
        <f>Calculations!AI293</f>
        <v>0</v>
      </c>
      <c r="AJ30" s="110">
        <f>Calculations!AJ293</f>
        <v>0</v>
      </c>
      <c r="AK30" s="111">
        <f>Calculations!AK293</f>
        <v>0</v>
      </c>
      <c r="AL30" s="111">
        <f>Calculations!AL293</f>
        <v>0</v>
      </c>
      <c r="AM30" s="111">
        <f>Calculations!AM293</f>
        <v>0</v>
      </c>
      <c r="AN30" s="111">
        <f>Calculations!AN293</f>
        <v>0</v>
      </c>
      <c r="AO30" s="111">
        <f>Calculations!AO293</f>
        <v>0</v>
      </c>
      <c r="AP30" s="111">
        <f>Calculations!AP293</f>
        <v>0</v>
      </c>
      <c r="AQ30" s="111">
        <f>Calculations!AQ293</f>
        <v>0</v>
      </c>
      <c r="AR30" s="111">
        <f>Calculations!AR293</f>
        <v>0</v>
      </c>
      <c r="AS30" s="111">
        <f>Calculations!AS293</f>
        <v>0</v>
      </c>
      <c r="AT30" s="111">
        <f>Calculations!AT293</f>
        <v>0</v>
      </c>
      <c r="AU30" s="111">
        <f>Calculations!AU293</f>
        <v>0</v>
      </c>
      <c r="AV30" s="111">
        <f>Calculations!AV293</f>
        <v>0</v>
      </c>
      <c r="AW30" s="111">
        <f>Calculations!AW293</f>
        <v>0</v>
      </c>
      <c r="AX30" s="111">
        <f>Calculations!AX293</f>
        <v>0</v>
      </c>
      <c r="AY30" s="111">
        <f>Calculations!AY293</f>
        <v>0</v>
      </c>
      <c r="AZ30" s="111">
        <f>Calculations!AZ293</f>
        <v>0</v>
      </c>
      <c r="BA30" s="111">
        <f>Calculations!BA293</f>
        <v>0</v>
      </c>
      <c r="BB30" s="115">
        <f>Calculations!BB293</f>
        <v>190466.70173842864</v>
      </c>
      <c r="BC30" s="111">
        <f>Calculations!BC293</f>
        <v>0</v>
      </c>
      <c r="BD30" s="111">
        <f>Calculations!BD293</f>
        <v>0</v>
      </c>
      <c r="BE30" s="111">
        <f>Calculations!BE293</f>
        <v>0</v>
      </c>
      <c r="BF30" s="111">
        <f>Calculations!BF293</f>
        <v>0</v>
      </c>
      <c r="BG30" s="111">
        <f>Calculations!BG293</f>
        <v>0</v>
      </c>
      <c r="BH30" s="111">
        <f>Calculations!BH293</f>
        <v>0</v>
      </c>
      <c r="BI30" s="111">
        <f>Calculations!BI293</f>
        <v>0</v>
      </c>
      <c r="BJ30" s="111">
        <f>Calculations!BJ293</f>
        <v>0</v>
      </c>
      <c r="BK30" s="111">
        <f>Calculations!BK293</f>
        <v>0</v>
      </c>
      <c r="BL30" s="111">
        <f>Calculations!BL293</f>
        <v>0</v>
      </c>
      <c r="BM30" s="111">
        <f>Calculations!BM293</f>
        <v>0</v>
      </c>
      <c r="BN30" s="111">
        <f>Calculations!BN293</f>
        <v>0</v>
      </c>
      <c r="BO30" s="111">
        <f>Calculations!BO293</f>
        <v>0</v>
      </c>
      <c r="BP30" s="112">
        <f>Calculations!BP293</f>
        <v>0</v>
      </c>
      <c r="BQ30" s="110">
        <f>Calculations!BQ293</f>
        <v>0</v>
      </c>
      <c r="BR30" s="111">
        <f>Calculations!BR293</f>
        <v>0</v>
      </c>
      <c r="BS30" s="111">
        <v>0</v>
      </c>
      <c r="BT30" s="111">
        <f>Calculations!BS293</f>
        <v>0</v>
      </c>
      <c r="BU30" s="112">
        <f>Calculations!BT293</f>
        <v>0</v>
      </c>
      <c r="BV30" s="110">
        <f>Calculations!BU293</f>
        <v>0</v>
      </c>
      <c r="BW30" s="111">
        <f>Calculations!BV293</f>
        <v>0</v>
      </c>
      <c r="BX30" s="112">
        <f>Calculations!BW293</f>
        <v>0</v>
      </c>
      <c r="BY30" s="110">
        <f>Calculations!BX293</f>
        <v>0</v>
      </c>
      <c r="BZ30" s="111">
        <f>Calculations!BY293</f>
        <v>0</v>
      </c>
      <c r="CA30" s="111">
        <f>Calculations!BZ293+Calculations!CA293</f>
        <v>0</v>
      </c>
      <c r="CB30" s="111">
        <f>Calculations!CB293</f>
        <v>0</v>
      </c>
      <c r="CC30" s="111">
        <f>Calculations!CC293</f>
        <v>0</v>
      </c>
      <c r="CD30" s="112">
        <f>Calculations!CD293</f>
        <v>0</v>
      </c>
      <c r="CE30" s="113">
        <f>Calculations!CE293</f>
        <v>0</v>
      </c>
      <c r="CF30" s="117">
        <f t="shared" si="0"/>
        <v>190466.70173842864</v>
      </c>
      <c r="CH30">
        <f ca="1"/>
        <v>0</v>
      </c>
    </row>
    <row r="31" spans="1:86">
      <c r="A31" s="280"/>
      <c r="B31" s="28" t="s">
        <v>93</v>
      </c>
      <c r="C31" s="110">
        <f>Calculations!C294</f>
        <v>0</v>
      </c>
      <c r="D31" s="111">
        <f>Calculations!D294</f>
        <v>0</v>
      </c>
      <c r="E31" s="111">
        <f>Calculations!E294</f>
        <v>0</v>
      </c>
      <c r="F31" s="111">
        <f>Calculations!F294</f>
        <v>0</v>
      </c>
      <c r="G31" s="111">
        <f>Calculations!G294</f>
        <v>0</v>
      </c>
      <c r="H31" s="111">
        <f>Calculations!H294</f>
        <v>0</v>
      </c>
      <c r="I31" s="111">
        <f>Calculations!I294</f>
        <v>0</v>
      </c>
      <c r="J31" s="111">
        <f>Calculations!J294</f>
        <v>0</v>
      </c>
      <c r="K31" s="111">
        <f>Calculations!K294</f>
        <v>0</v>
      </c>
      <c r="L31" s="111">
        <f>Calculations!L294</f>
        <v>0</v>
      </c>
      <c r="M31" s="111">
        <f>Calculations!M294</f>
        <v>0</v>
      </c>
      <c r="N31" s="111">
        <f>Calculations!N294</f>
        <v>0</v>
      </c>
      <c r="O31" s="111">
        <f>Calculations!O294</f>
        <v>0</v>
      </c>
      <c r="P31" s="111">
        <f>Calculations!P294</f>
        <v>0</v>
      </c>
      <c r="Q31" s="111">
        <f>Calculations!Q294</f>
        <v>0</v>
      </c>
      <c r="R31" s="111">
        <f>Calculations!R294</f>
        <v>0</v>
      </c>
      <c r="S31" s="111">
        <f>Calculations!S294</f>
        <v>0</v>
      </c>
      <c r="T31" s="111">
        <f>Calculations!T294</f>
        <v>0</v>
      </c>
      <c r="U31" s="111">
        <f>Calculations!U294</f>
        <v>0</v>
      </c>
      <c r="V31" s="111">
        <f>Calculations!V294</f>
        <v>0</v>
      </c>
      <c r="W31" s="111">
        <f>Calculations!W294</f>
        <v>0</v>
      </c>
      <c r="X31" s="111">
        <f>Calculations!X294</f>
        <v>0</v>
      </c>
      <c r="Y31" s="111">
        <f>Calculations!Y294</f>
        <v>0</v>
      </c>
      <c r="Z31" s="111">
        <f>Calculations!Z294</f>
        <v>0</v>
      </c>
      <c r="AA31" s="111">
        <f>Calculations!AA294</f>
        <v>0</v>
      </c>
      <c r="AB31" s="111">
        <f>Calculations!AB294</f>
        <v>0</v>
      </c>
      <c r="AC31" s="111">
        <f>Calculations!AC294</f>
        <v>0</v>
      </c>
      <c r="AD31" s="111">
        <f>Calculations!AD294</f>
        <v>0</v>
      </c>
      <c r="AE31" s="111">
        <f>Calculations!AE294</f>
        <v>0</v>
      </c>
      <c r="AF31" s="111">
        <f>Calculations!AF294</f>
        <v>0</v>
      </c>
      <c r="AG31" s="111">
        <f>Calculations!AG294</f>
        <v>0</v>
      </c>
      <c r="AH31" s="111">
        <f>Calculations!AH294</f>
        <v>0</v>
      </c>
      <c r="AI31" s="112">
        <f>Calculations!AI294</f>
        <v>0</v>
      </c>
      <c r="AJ31" s="110">
        <f>Calculations!AJ294</f>
        <v>0</v>
      </c>
      <c r="AK31" s="111">
        <f>Calculations!AK294</f>
        <v>0</v>
      </c>
      <c r="AL31" s="111">
        <f>Calculations!AL294</f>
        <v>0</v>
      </c>
      <c r="AM31" s="111">
        <f>Calculations!AM294</f>
        <v>0</v>
      </c>
      <c r="AN31" s="111">
        <f>Calculations!AN294</f>
        <v>0</v>
      </c>
      <c r="AO31" s="111">
        <f>Calculations!AO294</f>
        <v>0</v>
      </c>
      <c r="AP31" s="111">
        <f>Calculations!AP294</f>
        <v>0</v>
      </c>
      <c r="AQ31" s="111">
        <f>Calculations!AQ294</f>
        <v>0</v>
      </c>
      <c r="AR31" s="111">
        <f>Calculations!AR294</f>
        <v>0</v>
      </c>
      <c r="AS31" s="111">
        <f>Calculations!AS294</f>
        <v>0</v>
      </c>
      <c r="AT31" s="111">
        <f>Calculations!AT294</f>
        <v>0</v>
      </c>
      <c r="AU31" s="111">
        <f>Calculations!AU294</f>
        <v>0</v>
      </c>
      <c r="AV31" s="111">
        <f>Calculations!AV294</f>
        <v>0</v>
      </c>
      <c r="AW31" s="111">
        <f>Calculations!AW294</f>
        <v>0</v>
      </c>
      <c r="AX31" s="111">
        <f>Calculations!AX294</f>
        <v>0</v>
      </c>
      <c r="AY31" s="111">
        <f>Calculations!AY294</f>
        <v>0</v>
      </c>
      <c r="AZ31" s="111">
        <f>Calculations!AZ294</f>
        <v>0</v>
      </c>
      <c r="BA31" s="111">
        <f>Calculations!BA294</f>
        <v>0</v>
      </c>
      <c r="BB31" s="111">
        <f>Calculations!BB294</f>
        <v>0</v>
      </c>
      <c r="BC31" s="115">
        <f>Calculations!BC294</f>
        <v>61824.290783745375</v>
      </c>
      <c r="BD31" s="111">
        <f>Calculations!BD294</f>
        <v>0</v>
      </c>
      <c r="BE31" s="111">
        <f>Calculations!BE294</f>
        <v>0</v>
      </c>
      <c r="BF31" s="111">
        <f>Calculations!BF294</f>
        <v>0</v>
      </c>
      <c r="BG31" s="111">
        <f>Calculations!BG294</f>
        <v>0</v>
      </c>
      <c r="BH31" s="111">
        <f>Calculations!BH294</f>
        <v>0</v>
      </c>
      <c r="BI31" s="111">
        <f>Calculations!BI294</f>
        <v>0</v>
      </c>
      <c r="BJ31" s="111">
        <f>Calculations!BJ294</f>
        <v>0</v>
      </c>
      <c r="BK31" s="111">
        <f>Calculations!BK294</f>
        <v>0</v>
      </c>
      <c r="BL31" s="111">
        <f>Calculations!BL294</f>
        <v>0</v>
      </c>
      <c r="BM31" s="111">
        <f>Calculations!BM294</f>
        <v>0</v>
      </c>
      <c r="BN31" s="111">
        <f>Calculations!BN294</f>
        <v>0</v>
      </c>
      <c r="BO31" s="111">
        <f>Calculations!BO294</f>
        <v>0</v>
      </c>
      <c r="BP31" s="112">
        <f>Calculations!BP294</f>
        <v>0</v>
      </c>
      <c r="BQ31" s="110">
        <f>Calculations!BQ294</f>
        <v>0</v>
      </c>
      <c r="BR31" s="111">
        <f>Calculations!BR294</f>
        <v>0</v>
      </c>
      <c r="BS31" s="111">
        <v>0</v>
      </c>
      <c r="BT31" s="111">
        <f>Calculations!BS294</f>
        <v>0</v>
      </c>
      <c r="BU31" s="112">
        <f>Calculations!BT294</f>
        <v>0</v>
      </c>
      <c r="BV31" s="110">
        <f>Calculations!BU294</f>
        <v>0</v>
      </c>
      <c r="BW31" s="111">
        <f>Calculations!BV294</f>
        <v>0</v>
      </c>
      <c r="BX31" s="112">
        <f>Calculations!BW294</f>
        <v>0</v>
      </c>
      <c r="BY31" s="110">
        <f>Calculations!BX294</f>
        <v>0</v>
      </c>
      <c r="BZ31" s="111">
        <f>Calculations!BY294</f>
        <v>0</v>
      </c>
      <c r="CA31" s="111">
        <f>Calculations!BZ294+Calculations!CA294</f>
        <v>0</v>
      </c>
      <c r="CB31" s="111">
        <f>Calculations!CB294</f>
        <v>0</v>
      </c>
      <c r="CC31" s="111">
        <f>Calculations!CC294</f>
        <v>0</v>
      </c>
      <c r="CD31" s="112">
        <f>Calculations!CD294</f>
        <v>0</v>
      </c>
      <c r="CE31" s="113">
        <f>Calculations!CE294</f>
        <v>0</v>
      </c>
      <c r="CF31" s="117">
        <f t="shared" si="0"/>
        <v>61824.290783745375</v>
      </c>
      <c r="CH31">
        <f ca="1"/>
        <v>0</v>
      </c>
    </row>
    <row r="32" spans="1:86">
      <c r="A32" s="280"/>
      <c r="B32" s="28" t="s">
        <v>94</v>
      </c>
      <c r="C32" s="110">
        <f>Calculations!C295</f>
        <v>0</v>
      </c>
      <c r="D32" s="111">
        <f>Calculations!D295</f>
        <v>0</v>
      </c>
      <c r="E32" s="111">
        <f>Calculations!E295</f>
        <v>0</v>
      </c>
      <c r="F32" s="111">
        <f>Calculations!F295</f>
        <v>0</v>
      </c>
      <c r="G32" s="111">
        <f>Calculations!G295</f>
        <v>0</v>
      </c>
      <c r="H32" s="111">
        <f>Calculations!H295</f>
        <v>0</v>
      </c>
      <c r="I32" s="111">
        <f>Calculations!I295</f>
        <v>0</v>
      </c>
      <c r="J32" s="111">
        <f>Calculations!J295</f>
        <v>0</v>
      </c>
      <c r="K32" s="111">
        <f>Calculations!K295</f>
        <v>0</v>
      </c>
      <c r="L32" s="111">
        <f>Calculations!L295</f>
        <v>0</v>
      </c>
      <c r="M32" s="111">
        <f>Calculations!M295</f>
        <v>0</v>
      </c>
      <c r="N32" s="111">
        <f>Calculations!N295</f>
        <v>0</v>
      </c>
      <c r="O32" s="111">
        <f>Calculations!O295</f>
        <v>0</v>
      </c>
      <c r="P32" s="111">
        <f>Calculations!P295</f>
        <v>0</v>
      </c>
      <c r="Q32" s="111">
        <f>Calculations!Q295</f>
        <v>0</v>
      </c>
      <c r="R32" s="111">
        <f>Calculations!R295</f>
        <v>0</v>
      </c>
      <c r="S32" s="111">
        <f>Calculations!S295</f>
        <v>0</v>
      </c>
      <c r="T32" s="111">
        <f>Calculations!T295</f>
        <v>0</v>
      </c>
      <c r="U32" s="111">
        <f>Calculations!U295</f>
        <v>0</v>
      </c>
      <c r="V32" s="111">
        <f>Calculations!V295</f>
        <v>0</v>
      </c>
      <c r="W32" s="111">
        <f>Calculations!W295</f>
        <v>0</v>
      </c>
      <c r="X32" s="111">
        <f>Calculations!X295</f>
        <v>0</v>
      </c>
      <c r="Y32" s="111">
        <f>Calculations!Y295</f>
        <v>0</v>
      </c>
      <c r="Z32" s="111">
        <f>Calculations!Z295</f>
        <v>0</v>
      </c>
      <c r="AA32" s="111">
        <f>Calculations!AA295</f>
        <v>0</v>
      </c>
      <c r="AB32" s="111">
        <f>Calculations!AB295</f>
        <v>0</v>
      </c>
      <c r="AC32" s="111">
        <f>Calculations!AC295</f>
        <v>0</v>
      </c>
      <c r="AD32" s="111">
        <f>Calculations!AD295</f>
        <v>0</v>
      </c>
      <c r="AE32" s="111">
        <f>Calculations!AE295</f>
        <v>0</v>
      </c>
      <c r="AF32" s="111">
        <f>Calculations!AF295</f>
        <v>0</v>
      </c>
      <c r="AG32" s="111">
        <f>Calculations!AG295</f>
        <v>0</v>
      </c>
      <c r="AH32" s="111">
        <f>Calculations!AH295</f>
        <v>0</v>
      </c>
      <c r="AI32" s="112">
        <f>Calculations!AI295</f>
        <v>0</v>
      </c>
      <c r="AJ32" s="110">
        <f>Calculations!AJ295</f>
        <v>0</v>
      </c>
      <c r="AK32" s="111">
        <f>Calculations!AK295</f>
        <v>0</v>
      </c>
      <c r="AL32" s="111">
        <f>Calculations!AL295</f>
        <v>0</v>
      </c>
      <c r="AM32" s="111">
        <f>Calculations!AM295</f>
        <v>0</v>
      </c>
      <c r="AN32" s="111">
        <f>Calculations!AN295</f>
        <v>0</v>
      </c>
      <c r="AO32" s="111">
        <f>Calculations!AO295</f>
        <v>0</v>
      </c>
      <c r="AP32" s="111">
        <f>Calculations!AP295</f>
        <v>0</v>
      </c>
      <c r="AQ32" s="111">
        <f>Calculations!AQ295</f>
        <v>0</v>
      </c>
      <c r="AR32" s="111">
        <f>Calculations!AR295</f>
        <v>0</v>
      </c>
      <c r="AS32" s="111">
        <f>Calculations!AS295</f>
        <v>0</v>
      </c>
      <c r="AT32" s="111">
        <f>Calculations!AT295</f>
        <v>0</v>
      </c>
      <c r="AU32" s="111">
        <f>Calculations!AU295</f>
        <v>0</v>
      </c>
      <c r="AV32" s="111">
        <f>Calculations!AV295</f>
        <v>0</v>
      </c>
      <c r="AW32" s="111">
        <f>Calculations!AW295</f>
        <v>0</v>
      </c>
      <c r="AX32" s="111">
        <f>Calculations!AX295</f>
        <v>0</v>
      </c>
      <c r="AY32" s="111">
        <f>Calculations!AY295</f>
        <v>0</v>
      </c>
      <c r="AZ32" s="111">
        <f>Calculations!AZ295</f>
        <v>0</v>
      </c>
      <c r="BA32" s="111">
        <f>Calculations!BA295</f>
        <v>0</v>
      </c>
      <c r="BB32" s="111">
        <f>Calculations!BB295</f>
        <v>0</v>
      </c>
      <c r="BC32" s="111">
        <f>Calculations!BC295</f>
        <v>0</v>
      </c>
      <c r="BD32" s="115">
        <f>Calculations!BD295</f>
        <v>15857.388999999996</v>
      </c>
      <c r="BE32" s="111">
        <f>Calculations!BE295</f>
        <v>0</v>
      </c>
      <c r="BF32" s="111">
        <f>Calculations!BF295</f>
        <v>0</v>
      </c>
      <c r="BG32" s="111">
        <f>Calculations!BG295</f>
        <v>0</v>
      </c>
      <c r="BH32" s="111">
        <f>Calculations!BH295</f>
        <v>0</v>
      </c>
      <c r="BI32" s="111">
        <f>Calculations!BI295</f>
        <v>0</v>
      </c>
      <c r="BJ32" s="111">
        <f>Calculations!BJ295</f>
        <v>0</v>
      </c>
      <c r="BK32" s="111">
        <f>Calculations!BK295</f>
        <v>0</v>
      </c>
      <c r="BL32" s="111">
        <f>Calculations!BL295</f>
        <v>0</v>
      </c>
      <c r="BM32" s="111">
        <f>Calculations!BM295</f>
        <v>0</v>
      </c>
      <c r="BN32" s="111">
        <f>Calculations!BN295</f>
        <v>0</v>
      </c>
      <c r="BO32" s="111">
        <f>Calculations!BO295</f>
        <v>0</v>
      </c>
      <c r="BP32" s="112">
        <f>Calculations!BP295</f>
        <v>0</v>
      </c>
      <c r="BQ32" s="110">
        <f>Calculations!BQ295</f>
        <v>0</v>
      </c>
      <c r="BR32" s="111">
        <f>Calculations!BR295</f>
        <v>0</v>
      </c>
      <c r="BS32" s="111">
        <v>0</v>
      </c>
      <c r="BT32" s="111">
        <f>Calculations!BS295</f>
        <v>0</v>
      </c>
      <c r="BU32" s="112">
        <f>Calculations!BT295</f>
        <v>0</v>
      </c>
      <c r="BV32" s="110">
        <f>Calculations!BU295</f>
        <v>0</v>
      </c>
      <c r="BW32" s="111">
        <f>Calculations!BV295</f>
        <v>0</v>
      </c>
      <c r="BX32" s="112">
        <f>Calculations!BW295</f>
        <v>0</v>
      </c>
      <c r="BY32" s="110">
        <f>Calculations!BX295</f>
        <v>0</v>
      </c>
      <c r="BZ32" s="111">
        <f>Calculations!BY295</f>
        <v>0</v>
      </c>
      <c r="CA32" s="111">
        <f>Calculations!BZ295+Calculations!CA295</f>
        <v>0</v>
      </c>
      <c r="CB32" s="111">
        <f>Calculations!CB295</f>
        <v>0</v>
      </c>
      <c r="CC32" s="111">
        <f>Calculations!CC295</f>
        <v>0</v>
      </c>
      <c r="CD32" s="112">
        <f>Calculations!CD295</f>
        <v>0</v>
      </c>
      <c r="CE32" s="113">
        <f>Calculations!CE295</f>
        <v>0</v>
      </c>
      <c r="CF32" s="117">
        <f t="shared" si="0"/>
        <v>15857.388999999996</v>
      </c>
      <c r="CH32">
        <f ca="1"/>
        <v>0</v>
      </c>
    </row>
    <row r="33" spans="1:93">
      <c r="A33" s="280"/>
      <c r="B33" s="28" t="s">
        <v>95</v>
      </c>
      <c r="C33" s="110">
        <f>Calculations!C296</f>
        <v>0</v>
      </c>
      <c r="D33" s="111">
        <f>Calculations!D296</f>
        <v>0</v>
      </c>
      <c r="E33" s="111">
        <f>Calculations!E296</f>
        <v>0</v>
      </c>
      <c r="F33" s="111">
        <f>Calculations!F296</f>
        <v>0</v>
      </c>
      <c r="G33" s="111">
        <f>Calculations!G296</f>
        <v>0</v>
      </c>
      <c r="H33" s="111">
        <f>Calculations!H296</f>
        <v>0</v>
      </c>
      <c r="I33" s="111">
        <f>Calculations!I296</f>
        <v>0</v>
      </c>
      <c r="J33" s="111">
        <f>Calculations!J296</f>
        <v>0</v>
      </c>
      <c r="K33" s="111">
        <f>Calculations!K296</f>
        <v>0</v>
      </c>
      <c r="L33" s="111">
        <f>Calculations!L296</f>
        <v>0</v>
      </c>
      <c r="M33" s="111">
        <f>Calculations!M296</f>
        <v>0</v>
      </c>
      <c r="N33" s="111">
        <f>Calculations!N296</f>
        <v>0</v>
      </c>
      <c r="O33" s="111">
        <f>Calculations!O296</f>
        <v>0</v>
      </c>
      <c r="P33" s="111">
        <f>Calculations!P296</f>
        <v>0</v>
      </c>
      <c r="Q33" s="111">
        <f>Calculations!Q296</f>
        <v>0</v>
      </c>
      <c r="R33" s="111">
        <f>Calculations!R296</f>
        <v>0</v>
      </c>
      <c r="S33" s="111">
        <f>Calculations!S296</f>
        <v>0</v>
      </c>
      <c r="T33" s="111">
        <f>Calculations!T296</f>
        <v>0</v>
      </c>
      <c r="U33" s="111">
        <f>Calculations!U296</f>
        <v>0</v>
      </c>
      <c r="V33" s="111">
        <f>Calculations!V296</f>
        <v>0</v>
      </c>
      <c r="W33" s="111">
        <f>Calculations!W296</f>
        <v>0</v>
      </c>
      <c r="X33" s="111">
        <f>Calculations!X296</f>
        <v>0</v>
      </c>
      <c r="Y33" s="111">
        <f>Calculations!Y296</f>
        <v>0</v>
      </c>
      <c r="Z33" s="111">
        <f>Calculations!Z296</f>
        <v>0</v>
      </c>
      <c r="AA33" s="111">
        <f>Calculations!AA296</f>
        <v>0</v>
      </c>
      <c r="AB33" s="111">
        <f>Calculations!AB296</f>
        <v>0</v>
      </c>
      <c r="AC33" s="111">
        <f>Calculations!AC296</f>
        <v>0</v>
      </c>
      <c r="AD33" s="111">
        <f>Calculations!AD296</f>
        <v>0</v>
      </c>
      <c r="AE33" s="111">
        <f>Calculations!AE296</f>
        <v>0</v>
      </c>
      <c r="AF33" s="111">
        <f>Calculations!AF296</f>
        <v>0</v>
      </c>
      <c r="AG33" s="111">
        <f>Calculations!AG296</f>
        <v>0</v>
      </c>
      <c r="AH33" s="111">
        <f>Calculations!AH296</f>
        <v>0</v>
      </c>
      <c r="AI33" s="112">
        <f>Calculations!AI296</f>
        <v>0</v>
      </c>
      <c r="AJ33" s="110">
        <f>Calculations!AJ296</f>
        <v>0</v>
      </c>
      <c r="AK33" s="111">
        <f>Calculations!AK296</f>
        <v>0</v>
      </c>
      <c r="AL33" s="111">
        <f>Calculations!AL296</f>
        <v>0</v>
      </c>
      <c r="AM33" s="111">
        <f>Calculations!AM296</f>
        <v>0</v>
      </c>
      <c r="AN33" s="111">
        <f>Calculations!AN296</f>
        <v>0</v>
      </c>
      <c r="AO33" s="111">
        <f>Calculations!AO296</f>
        <v>0</v>
      </c>
      <c r="AP33" s="111">
        <f>Calculations!AP296</f>
        <v>0</v>
      </c>
      <c r="AQ33" s="111">
        <f>Calculations!AQ296</f>
        <v>0</v>
      </c>
      <c r="AR33" s="111">
        <f>Calculations!AR296</f>
        <v>0</v>
      </c>
      <c r="AS33" s="111">
        <f>Calculations!AS296</f>
        <v>0</v>
      </c>
      <c r="AT33" s="111">
        <f>Calculations!AT296</f>
        <v>0</v>
      </c>
      <c r="AU33" s="111">
        <f>Calculations!AU296</f>
        <v>0</v>
      </c>
      <c r="AV33" s="111">
        <f>Calculations!AV296</f>
        <v>0</v>
      </c>
      <c r="AW33" s="111">
        <f>Calculations!AW296</f>
        <v>0</v>
      </c>
      <c r="AX33" s="111">
        <f>Calculations!AX296</f>
        <v>0</v>
      </c>
      <c r="AY33" s="111">
        <f>Calculations!AY296</f>
        <v>0</v>
      </c>
      <c r="AZ33" s="111">
        <f>Calculations!AZ296</f>
        <v>0</v>
      </c>
      <c r="BA33" s="111">
        <f>Calculations!BA296</f>
        <v>0</v>
      </c>
      <c r="BB33" s="111">
        <f>Calculations!BB296</f>
        <v>0</v>
      </c>
      <c r="BC33" s="111">
        <f>Calculations!BC296</f>
        <v>0</v>
      </c>
      <c r="BD33" s="111">
        <f>Calculations!BD296</f>
        <v>0</v>
      </c>
      <c r="BE33" s="115">
        <f>Calculations!BE296</f>
        <v>2289.5279999999998</v>
      </c>
      <c r="BF33" s="111">
        <f>Calculations!BF296</f>
        <v>0</v>
      </c>
      <c r="BG33" s="111">
        <f>Calculations!BG296</f>
        <v>0</v>
      </c>
      <c r="BH33" s="111">
        <f>Calculations!BH296</f>
        <v>0</v>
      </c>
      <c r="BI33" s="111">
        <f>Calculations!BI296</f>
        <v>0</v>
      </c>
      <c r="BJ33" s="111">
        <f>Calculations!BJ296</f>
        <v>0</v>
      </c>
      <c r="BK33" s="111">
        <f>Calculations!BK296</f>
        <v>0</v>
      </c>
      <c r="BL33" s="111">
        <f>Calculations!BL296</f>
        <v>0</v>
      </c>
      <c r="BM33" s="111">
        <f>Calculations!BM296</f>
        <v>0</v>
      </c>
      <c r="BN33" s="111">
        <f>Calculations!BN296</f>
        <v>0</v>
      </c>
      <c r="BO33" s="111">
        <f>Calculations!BO296</f>
        <v>0</v>
      </c>
      <c r="BP33" s="112">
        <f>Calculations!BP296</f>
        <v>0</v>
      </c>
      <c r="BQ33" s="110">
        <f>Calculations!BQ296</f>
        <v>0</v>
      </c>
      <c r="BR33" s="111">
        <f>Calculations!BR296</f>
        <v>0</v>
      </c>
      <c r="BS33" s="111">
        <v>0</v>
      </c>
      <c r="BT33" s="111">
        <f>Calculations!BS296</f>
        <v>0</v>
      </c>
      <c r="BU33" s="112">
        <f>Calculations!BT296</f>
        <v>0</v>
      </c>
      <c r="BV33" s="110">
        <f>Calculations!BU296</f>
        <v>0</v>
      </c>
      <c r="BW33" s="111">
        <f>Calculations!BV296</f>
        <v>0</v>
      </c>
      <c r="BX33" s="112">
        <f>Calculations!BW296</f>
        <v>0</v>
      </c>
      <c r="BY33" s="110">
        <f>Calculations!BX296</f>
        <v>0</v>
      </c>
      <c r="BZ33" s="111">
        <f>Calculations!BY296</f>
        <v>0</v>
      </c>
      <c r="CA33" s="111">
        <f>Calculations!BZ296+Calculations!CA296</f>
        <v>0</v>
      </c>
      <c r="CB33" s="111">
        <f>Calculations!CB296</f>
        <v>0</v>
      </c>
      <c r="CC33" s="111">
        <f>Calculations!CC296</f>
        <v>0</v>
      </c>
      <c r="CD33" s="112">
        <f>Calculations!CD296</f>
        <v>0</v>
      </c>
      <c r="CE33" s="113">
        <f>Calculations!CE296</f>
        <v>0</v>
      </c>
      <c r="CF33" s="117">
        <f t="shared" si="0"/>
        <v>2289.5279999999998</v>
      </c>
      <c r="CH33">
        <f ca="1"/>
        <v>0</v>
      </c>
    </row>
    <row r="34" spans="1:93">
      <c r="A34" s="280"/>
      <c r="B34" s="28" t="s">
        <v>96</v>
      </c>
      <c r="C34" s="110">
        <f>Calculations!C297</f>
        <v>0</v>
      </c>
      <c r="D34" s="111">
        <f>Calculations!D297</f>
        <v>0</v>
      </c>
      <c r="E34" s="111">
        <f>Calculations!E297</f>
        <v>0</v>
      </c>
      <c r="F34" s="111">
        <f>Calculations!F297</f>
        <v>0</v>
      </c>
      <c r="G34" s="111">
        <f>Calculations!G297</f>
        <v>0</v>
      </c>
      <c r="H34" s="111">
        <f>Calculations!H297</f>
        <v>0</v>
      </c>
      <c r="I34" s="111">
        <f>Calculations!I297</f>
        <v>0</v>
      </c>
      <c r="J34" s="111">
        <f>Calculations!J297</f>
        <v>0</v>
      </c>
      <c r="K34" s="111">
        <f>Calculations!K297</f>
        <v>0</v>
      </c>
      <c r="L34" s="111">
        <f>Calculations!L297</f>
        <v>0</v>
      </c>
      <c r="M34" s="111">
        <f>Calculations!M297</f>
        <v>0</v>
      </c>
      <c r="N34" s="111">
        <f>Calculations!N297</f>
        <v>0</v>
      </c>
      <c r="O34" s="111">
        <f>Calculations!O297</f>
        <v>0</v>
      </c>
      <c r="P34" s="111">
        <f>Calculations!P297</f>
        <v>0</v>
      </c>
      <c r="Q34" s="111">
        <f>Calculations!Q297</f>
        <v>0</v>
      </c>
      <c r="R34" s="111">
        <f>Calculations!R297</f>
        <v>0</v>
      </c>
      <c r="S34" s="111">
        <f>Calculations!S297</f>
        <v>0</v>
      </c>
      <c r="T34" s="111">
        <f>Calculations!T297</f>
        <v>0</v>
      </c>
      <c r="U34" s="111">
        <f>Calculations!U297</f>
        <v>0</v>
      </c>
      <c r="V34" s="111">
        <f>Calculations!V297</f>
        <v>0</v>
      </c>
      <c r="W34" s="111">
        <f>Calculations!W297</f>
        <v>0</v>
      </c>
      <c r="X34" s="111">
        <f>Calculations!X297</f>
        <v>0</v>
      </c>
      <c r="Y34" s="111">
        <f>Calculations!Y297</f>
        <v>0</v>
      </c>
      <c r="Z34" s="111">
        <f>Calculations!Z297</f>
        <v>0</v>
      </c>
      <c r="AA34" s="111">
        <f>Calculations!AA297</f>
        <v>0</v>
      </c>
      <c r="AB34" s="111">
        <f>Calculations!AB297</f>
        <v>0</v>
      </c>
      <c r="AC34" s="111">
        <f>Calculations!AC297</f>
        <v>0</v>
      </c>
      <c r="AD34" s="111">
        <f>Calculations!AD297</f>
        <v>0</v>
      </c>
      <c r="AE34" s="111">
        <f>Calculations!AE297</f>
        <v>0</v>
      </c>
      <c r="AF34" s="111">
        <f>Calculations!AF297</f>
        <v>0</v>
      </c>
      <c r="AG34" s="111">
        <f>Calculations!AG297</f>
        <v>0</v>
      </c>
      <c r="AH34" s="111">
        <f>Calculations!AH297</f>
        <v>0</v>
      </c>
      <c r="AI34" s="112">
        <f>Calculations!AI297</f>
        <v>0</v>
      </c>
      <c r="AJ34" s="110">
        <f>Calculations!AJ297</f>
        <v>0</v>
      </c>
      <c r="AK34" s="111">
        <f>Calculations!AK297</f>
        <v>0</v>
      </c>
      <c r="AL34" s="111">
        <f>Calculations!AL297</f>
        <v>0</v>
      </c>
      <c r="AM34" s="111">
        <f>Calculations!AM297</f>
        <v>0</v>
      </c>
      <c r="AN34" s="111">
        <f>Calculations!AN297</f>
        <v>0</v>
      </c>
      <c r="AO34" s="111">
        <f>Calculations!AO297</f>
        <v>0</v>
      </c>
      <c r="AP34" s="111">
        <f>Calculations!AP297</f>
        <v>0</v>
      </c>
      <c r="AQ34" s="111">
        <f>Calculations!AQ297</f>
        <v>0</v>
      </c>
      <c r="AR34" s="111">
        <f>Calculations!AR297</f>
        <v>0</v>
      </c>
      <c r="AS34" s="111">
        <f>Calculations!AS297</f>
        <v>0</v>
      </c>
      <c r="AT34" s="111">
        <f>Calculations!AT297</f>
        <v>0</v>
      </c>
      <c r="AU34" s="111">
        <f>Calculations!AU297</f>
        <v>0</v>
      </c>
      <c r="AV34" s="111">
        <f>Calculations!AV297</f>
        <v>0</v>
      </c>
      <c r="AW34" s="111">
        <f>Calculations!AW297</f>
        <v>0</v>
      </c>
      <c r="AX34" s="111">
        <f>Calculations!AX297</f>
        <v>0</v>
      </c>
      <c r="AY34" s="111">
        <f>Calculations!AY297</f>
        <v>0</v>
      </c>
      <c r="AZ34" s="111">
        <f>Calculations!AZ297</f>
        <v>0</v>
      </c>
      <c r="BA34" s="111">
        <f>Calculations!BA297</f>
        <v>0</v>
      </c>
      <c r="BB34" s="111">
        <f>Calculations!BB297</f>
        <v>0</v>
      </c>
      <c r="BC34" s="111">
        <f>Calculations!BC297</f>
        <v>0</v>
      </c>
      <c r="BD34" s="111">
        <f>Calculations!BD297</f>
        <v>0</v>
      </c>
      <c r="BE34" s="111">
        <f>Calculations!BE297</f>
        <v>0</v>
      </c>
      <c r="BF34" s="115">
        <f>Calculations!BF297</f>
        <v>102307.00900000002</v>
      </c>
      <c r="BG34" s="111">
        <f>Calculations!BG297</f>
        <v>0</v>
      </c>
      <c r="BH34" s="111">
        <f>Calculations!BH297</f>
        <v>0</v>
      </c>
      <c r="BI34" s="111">
        <f>Calculations!BI297</f>
        <v>0</v>
      </c>
      <c r="BJ34" s="111">
        <f>Calculations!BJ297</f>
        <v>0</v>
      </c>
      <c r="BK34" s="111">
        <f>Calculations!BK297</f>
        <v>0</v>
      </c>
      <c r="BL34" s="111">
        <f>Calculations!BL297</f>
        <v>0</v>
      </c>
      <c r="BM34" s="111">
        <f>Calculations!BM297</f>
        <v>0</v>
      </c>
      <c r="BN34" s="111">
        <f>Calculations!BN297</f>
        <v>0</v>
      </c>
      <c r="BO34" s="111">
        <f>Calculations!BO297</f>
        <v>0</v>
      </c>
      <c r="BP34" s="112">
        <f>Calculations!BP297</f>
        <v>0</v>
      </c>
      <c r="BQ34" s="110">
        <f>Calculations!BQ297</f>
        <v>0</v>
      </c>
      <c r="BR34" s="111">
        <f>Calculations!BR297</f>
        <v>0</v>
      </c>
      <c r="BS34" s="111">
        <v>0</v>
      </c>
      <c r="BT34" s="111">
        <f>Calculations!BS297</f>
        <v>0</v>
      </c>
      <c r="BU34" s="112">
        <f>Calculations!BT297</f>
        <v>0</v>
      </c>
      <c r="BV34" s="110">
        <f>Calculations!BU297</f>
        <v>0</v>
      </c>
      <c r="BW34" s="111">
        <f>Calculations!BV297</f>
        <v>0</v>
      </c>
      <c r="BX34" s="112">
        <f>Calculations!BW297</f>
        <v>0</v>
      </c>
      <c r="BY34" s="110">
        <f>Calculations!BX297</f>
        <v>0</v>
      </c>
      <c r="BZ34" s="111">
        <f>Calculations!BY297</f>
        <v>0</v>
      </c>
      <c r="CA34" s="111">
        <f>Calculations!BZ297+Calculations!CA297</f>
        <v>0</v>
      </c>
      <c r="CB34" s="111">
        <f>Calculations!CB297</f>
        <v>0</v>
      </c>
      <c r="CC34" s="111">
        <f>Calculations!CC297</f>
        <v>0</v>
      </c>
      <c r="CD34" s="112">
        <f>Calculations!CD297</f>
        <v>0</v>
      </c>
      <c r="CE34" s="113">
        <f>Calculations!CE297</f>
        <v>0</v>
      </c>
      <c r="CF34" s="117">
        <f t="shared" si="0"/>
        <v>102307.00900000002</v>
      </c>
      <c r="CH34">
        <f ca="1"/>
        <v>0</v>
      </c>
    </row>
    <row r="35" spans="1:93">
      <c r="A35" s="280"/>
      <c r="B35" s="28" t="s">
        <v>97</v>
      </c>
      <c r="C35" s="110">
        <f>Calculations!C298</f>
        <v>0</v>
      </c>
      <c r="D35" s="111">
        <f>Calculations!D298</f>
        <v>0</v>
      </c>
      <c r="E35" s="111">
        <f>Calculations!E298</f>
        <v>0</v>
      </c>
      <c r="F35" s="111">
        <f>Calculations!F298</f>
        <v>0</v>
      </c>
      <c r="G35" s="111">
        <f>Calculations!G298</f>
        <v>0</v>
      </c>
      <c r="H35" s="111">
        <f>Calculations!H298</f>
        <v>0</v>
      </c>
      <c r="I35" s="111">
        <f>Calculations!I298</f>
        <v>0</v>
      </c>
      <c r="J35" s="111">
        <f>Calculations!J298</f>
        <v>0</v>
      </c>
      <c r="K35" s="111">
        <f>Calculations!K298</f>
        <v>0</v>
      </c>
      <c r="L35" s="111">
        <f>Calculations!L298</f>
        <v>0</v>
      </c>
      <c r="M35" s="111">
        <f>Calculations!M298</f>
        <v>0</v>
      </c>
      <c r="N35" s="111">
        <f>Calculations!N298</f>
        <v>0</v>
      </c>
      <c r="O35" s="111">
        <f>Calculations!O298</f>
        <v>0</v>
      </c>
      <c r="P35" s="111">
        <f>Calculations!P298</f>
        <v>0</v>
      </c>
      <c r="Q35" s="111">
        <f>Calculations!Q298</f>
        <v>0</v>
      </c>
      <c r="R35" s="111">
        <f>Calculations!R298</f>
        <v>0</v>
      </c>
      <c r="S35" s="111">
        <f>Calculations!S298</f>
        <v>0</v>
      </c>
      <c r="T35" s="111">
        <f>Calculations!T298</f>
        <v>0</v>
      </c>
      <c r="U35" s="111">
        <f>Calculations!U298</f>
        <v>0</v>
      </c>
      <c r="V35" s="111">
        <f>Calculations!V298</f>
        <v>0</v>
      </c>
      <c r="W35" s="111">
        <f>Calculations!W298</f>
        <v>0</v>
      </c>
      <c r="X35" s="111">
        <f>Calculations!X298</f>
        <v>0</v>
      </c>
      <c r="Y35" s="111">
        <f>Calculations!Y298</f>
        <v>0</v>
      </c>
      <c r="Z35" s="111">
        <f>Calculations!Z298</f>
        <v>0</v>
      </c>
      <c r="AA35" s="111">
        <f>Calculations!AA298</f>
        <v>0</v>
      </c>
      <c r="AB35" s="111">
        <f>Calculations!AB298</f>
        <v>0</v>
      </c>
      <c r="AC35" s="111">
        <f>Calculations!AC298</f>
        <v>0</v>
      </c>
      <c r="AD35" s="111">
        <f>Calculations!AD298</f>
        <v>0</v>
      </c>
      <c r="AE35" s="111">
        <f>Calculations!AE298</f>
        <v>0</v>
      </c>
      <c r="AF35" s="111">
        <f>Calculations!AF298</f>
        <v>0</v>
      </c>
      <c r="AG35" s="111">
        <f>Calculations!AG298</f>
        <v>0</v>
      </c>
      <c r="AH35" s="111">
        <f>Calculations!AH298</f>
        <v>0</v>
      </c>
      <c r="AI35" s="112">
        <f>Calculations!AI298</f>
        <v>0</v>
      </c>
      <c r="AJ35" s="110">
        <f>Calculations!AJ298</f>
        <v>0</v>
      </c>
      <c r="AK35" s="111">
        <f>Calculations!AK298</f>
        <v>0</v>
      </c>
      <c r="AL35" s="111">
        <f>Calculations!AL298</f>
        <v>0</v>
      </c>
      <c r="AM35" s="111">
        <f>Calculations!AM298</f>
        <v>0</v>
      </c>
      <c r="AN35" s="111">
        <f>Calculations!AN298</f>
        <v>0</v>
      </c>
      <c r="AO35" s="111">
        <f>Calculations!AO298</f>
        <v>0</v>
      </c>
      <c r="AP35" s="111">
        <f>Calculations!AP298</f>
        <v>0</v>
      </c>
      <c r="AQ35" s="111">
        <f>Calculations!AQ298</f>
        <v>0</v>
      </c>
      <c r="AR35" s="111">
        <f>Calculations!AR298</f>
        <v>0</v>
      </c>
      <c r="AS35" s="111">
        <f>Calculations!AS298</f>
        <v>0</v>
      </c>
      <c r="AT35" s="111">
        <f>Calculations!AT298</f>
        <v>0</v>
      </c>
      <c r="AU35" s="111">
        <f>Calculations!AU298</f>
        <v>0</v>
      </c>
      <c r="AV35" s="111">
        <f>Calculations!AV298</f>
        <v>0</v>
      </c>
      <c r="AW35" s="111">
        <f>Calculations!AW298</f>
        <v>0</v>
      </c>
      <c r="AX35" s="111">
        <f>Calculations!AX298</f>
        <v>0</v>
      </c>
      <c r="AY35" s="111">
        <f>Calculations!AY298</f>
        <v>0</v>
      </c>
      <c r="AZ35" s="111">
        <f>Calculations!AZ298</f>
        <v>0</v>
      </c>
      <c r="BA35" s="111">
        <f>Calculations!BA298</f>
        <v>0</v>
      </c>
      <c r="BB35" s="111">
        <f>Calculations!BB298</f>
        <v>0</v>
      </c>
      <c r="BC35" s="111">
        <f>Calculations!BC298</f>
        <v>0</v>
      </c>
      <c r="BD35" s="111">
        <f>Calculations!BD298</f>
        <v>0</v>
      </c>
      <c r="BE35" s="111">
        <f>Calculations!BE298</f>
        <v>0</v>
      </c>
      <c r="BF35" s="111">
        <f>Calculations!BF298</f>
        <v>0</v>
      </c>
      <c r="BG35" s="115">
        <f>Calculations!BG298</f>
        <v>51951.452999999994</v>
      </c>
      <c r="BH35" s="111">
        <f>Calculations!BH298</f>
        <v>0</v>
      </c>
      <c r="BI35" s="111">
        <f>Calculations!BI298</f>
        <v>0</v>
      </c>
      <c r="BJ35" s="111">
        <f>Calculations!BJ298</f>
        <v>0</v>
      </c>
      <c r="BK35" s="111">
        <f>Calculations!BK298</f>
        <v>0</v>
      </c>
      <c r="BL35" s="111">
        <f>Calculations!BL298</f>
        <v>0</v>
      </c>
      <c r="BM35" s="111">
        <f>Calculations!BM298</f>
        <v>0</v>
      </c>
      <c r="BN35" s="111">
        <f>Calculations!BN298</f>
        <v>0</v>
      </c>
      <c r="BO35" s="111">
        <f>Calculations!BO298</f>
        <v>0</v>
      </c>
      <c r="BP35" s="112">
        <f>Calculations!BP298</f>
        <v>0</v>
      </c>
      <c r="BQ35" s="110">
        <f>Calculations!BQ298</f>
        <v>0</v>
      </c>
      <c r="BR35" s="111">
        <f>Calculations!BR298</f>
        <v>0</v>
      </c>
      <c r="BS35" s="111">
        <v>0</v>
      </c>
      <c r="BT35" s="111">
        <f>Calculations!BS298</f>
        <v>0</v>
      </c>
      <c r="BU35" s="112">
        <f>Calculations!BT298</f>
        <v>0</v>
      </c>
      <c r="BV35" s="110">
        <f>Calculations!BU298</f>
        <v>0</v>
      </c>
      <c r="BW35" s="111">
        <f>Calculations!BV298</f>
        <v>0</v>
      </c>
      <c r="BX35" s="112">
        <f>Calculations!BW298</f>
        <v>0</v>
      </c>
      <c r="BY35" s="110">
        <f>Calculations!BX298</f>
        <v>0</v>
      </c>
      <c r="BZ35" s="111">
        <f>Calculations!BY298</f>
        <v>0</v>
      </c>
      <c r="CA35" s="111">
        <f>Calculations!BZ298+Calculations!CA298</f>
        <v>0</v>
      </c>
      <c r="CB35" s="111">
        <f>Calculations!CB298</f>
        <v>0</v>
      </c>
      <c r="CC35" s="111">
        <f>Calculations!CC298</f>
        <v>0</v>
      </c>
      <c r="CD35" s="112">
        <f>Calculations!CD298</f>
        <v>0</v>
      </c>
      <c r="CE35" s="113">
        <f>Calculations!CE298</f>
        <v>0</v>
      </c>
      <c r="CF35" s="117">
        <f t="shared" si="0"/>
        <v>51951.452999999994</v>
      </c>
      <c r="CH35">
        <f ca="1"/>
        <v>0</v>
      </c>
    </row>
    <row r="36" spans="1:93">
      <c r="A36" s="280"/>
      <c r="B36" s="28" t="s">
        <v>98</v>
      </c>
      <c r="C36" s="110">
        <f>Calculations!C299</f>
        <v>0</v>
      </c>
      <c r="D36" s="111">
        <f>Calculations!D299</f>
        <v>0</v>
      </c>
      <c r="E36" s="111">
        <f>Calculations!E299</f>
        <v>0</v>
      </c>
      <c r="F36" s="111">
        <f>Calculations!F299</f>
        <v>0</v>
      </c>
      <c r="G36" s="111">
        <f>Calculations!G299</f>
        <v>0</v>
      </c>
      <c r="H36" s="111">
        <f>Calculations!H299</f>
        <v>0</v>
      </c>
      <c r="I36" s="111">
        <f>Calculations!I299</f>
        <v>0</v>
      </c>
      <c r="J36" s="111">
        <f>Calculations!J299</f>
        <v>0</v>
      </c>
      <c r="K36" s="111">
        <f>Calculations!K299</f>
        <v>0</v>
      </c>
      <c r="L36" s="111">
        <f>Calculations!L299</f>
        <v>0</v>
      </c>
      <c r="M36" s="111">
        <f>Calculations!M299</f>
        <v>0</v>
      </c>
      <c r="N36" s="111">
        <f>Calculations!N299</f>
        <v>0</v>
      </c>
      <c r="O36" s="111">
        <f>Calculations!O299</f>
        <v>0</v>
      </c>
      <c r="P36" s="111">
        <f>Calculations!P299</f>
        <v>0</v>
      </c>
      <c r="Q36" s="111">
        <f>Calculations!Q299</f>
        <v>0</v>
      </c>
      <c r="R36" s="111">
        <f>Calculations!R299</f>
        <v>0</v>
      </c>
      <c r="S36" s="111">
        <f>Calculations!S299</f>
        <v>0</v>
      </c>
      <c r="T36" s="111">
        <f>Calculations!T299</f>
        <v>0</v>
      </c>
      <c r="U36" s="111">
        <f>Calculations!U299</f>
        <v>0</v>
      </c>
      <c r="V36" s="111">
        <f>Calculations!V299</f>
        <v>0</v>
      </c>
      <c r="W36" s="111">
        <f>Calculations!W299</f>
        <v>0</v>
      </c>
      <c r="X36" s="111">
        <f>Calculations!X299</f>
        <v>0</v>
      </c>
      <c r="Y36" s="111">
        <f>Calculations!Y299</f>
        <v>0</v>
      </c>
      <c r="Z36" s="111">
        <f>Calculations!Z299</f>
        <v>0</v>
      </c>
      <c r="AA36" s="111">
        <f>Calculations!AA299</f>
        <v>0</v>
      </c>
      <c r="AB36" s="111">
        <f>Calculations!AB299</f>
        <v>0</v>
      </c>
      <c r="AC36" s="111">
        <f>Calculations!AC299</f>
        <v>0</v>
      </c>
      <c r="AD36" s="111">
        <f>Calculations!AD299</f>
        <v>0</v>
      </c>
      <c r="AE36" s="111">
        <f>Calculations!AE299</f>
        <v>0</v>
      </c>
      <c r="AF36" s="111">
        <f>Calculations!AF299</f>
        <v>0</v>
      </c>
      <c r="AG36" s="111">
        <f>Calculations!AG299</f>
        <v>0</v>
      </c>
      <c r="AH36" s="111">
        <f>Calculations!AH299</f>
        <v>0</v>
      </c>
      <c r="AI36" s="112">
        <f>Calculations!AI299</f>
        <v>0</v>
      </c>
      <c r="AJ36" s="110">
        <f>Calculations!AJ299</f>
        <v>0</v>
      </c>
      <c r="AK36" s="111">
        <f>Calculations!AK299</f>
        <v>0</v>
      </c>
      <c r="AL36" s="111">
        <f>Calculations!AL299</f>
        <v>0</v>
      </c>
      <c r="AM36" s="111">
        <f>Calculations!AM299</f>
        <v>0</v>
      </c>
      <c r="AN36" s="111">
        <f>Calculations!AN299</f>
        <v>0</v>
      </c>
      <c r="AO36" s="111">
        <f>Calculations!AO299</f>
        <v>0</v>
      </c>
      <c r="AP36" s="111">
        <f>Calculations!AP299</f>
        <v>0</v>
      </c>
      <c r="AQ36" s="111">
        <f>Calculations!AQ299</f>
        <v>0</v>
      </c>
      <c r="AR36" s="111">
        <f>Calculations!AR299</f>
        <v>0</v>
      </c>
      <c r="AS36" s="111">
        <f>Calculations!AS299</f>
        <v>0</v>
      </c>
      <c r="AT36" s="111">
        <f>Calculations!AT299</f>
        <v>0</v>
      </c>
      <c r="AU36" s="111">
        <f>Calculations!AU299</f>
        <v>0</v>
      </c>
      <c r="AV36" s="111">
        <f>Calculations!AV299</f>
        <v>0</v>
      </c>
      <c r="AW36" s="111">
        <f>Calculations!AW299</f>
        <v>0</v>
      </c>
      <c r="AX36" s="111">
        <f>Calculations!AX299</f>
        <v>0</v>
      </c>
      <c r="AY36" s="111">
        <f>Calculations!AY299</f>
        <v>0</v>
      </c>
      <c r="AZ36" s="111">
        <f>Calculations!AZ299</f>
        <v>0</v>
      </c>
      <c r="BA36" s="111">
        <f>Calculations!BA299</f>
        <v>0</v>
      </c>
      <c r="BB36" s="111">
        <f>Calculations!BB299</f>
        <v>0</v>
      </c>
      <c r="BC36" s="111">
        <f>Calculations!BC299</f>
        <v>0</v>
      </c>
      <c r="BD36" s="111">
        <f>Calculations!BD299</f>
        <v>0</v>
      </c>
      <c r="BE36" s="111">
        <f>Calculations!BE299</f>
        <v>0</v>
      </c>
      <c r="BF36" s="111">
        <f>Calculations!BF299</f>
        <v>0</v>
      </c>
      <c r="BG36" s="111">
        <f>Calculations!BG299</f>
        <v>0</v>
      </c>
      <c r="BH36" s="115">
        <f>Calculations!BH299</f>
        <v>33978.014777243785</v>
      </c>
      <c r="BI36" s="111">
        <f>Calculations!BI299</f>
        <v>0</v>
      </c>
      <c r="BJ36" s="111">
        <f>Calculations!BJ299</f>
        <v>0</v>
      </c>
      <c r="BK36" s="111">
        <f>Calculations!BK299</f>
        <v>0</v>
      </c>
      <c r="BL36" s="111">
        <f>Calculations!BL299</f>
        <v>0</v>
      </c>
      <c r="BM36" s="111">
        <f>Calculations!BM299</f>
        <v>0</v>
      </c>
      <c r="BN36" s="111">
        <f>Calculations!BN299</f>
        <v>0</v>
      </c>
      <c r="BO36" s="111">
        <f>Calculations!BO299</f>
        <v>0</v>
      </c>
      <c r="BP36" s="112">
        <f>Calculations!BP299</f>
        <v>0</v>
      </c>
      <c r="BQ36" s="110">
        <f>Calculations!BQ299</f>
        <v>0</v>
      </c>
      <c r="BR36" s="111">
        <f>Calculations!BR299</f>
        <v>0</v>
      </c>
      <c r="BS36" s="111">
        <v>0</v>
      </c>
      <c r="BT36" s="111">
        <f>Calculations!BS299</f>
        <v>0</v>
      </c>
      <c r="BU36" s="112">
        <f>Calculations!BT299</f>
        <v>0</v>
      </c>
      <c r="BV36" s="110">
        <f>Calculations!BU299</f>
        <v>0</v>
      </c>
      <c r="BW36" s="111">
        <f>Calculations!BV299</f>
        <v>0</v>
      </c>
      <c r="BX36" s="112">
        <f>Calculations!BW299</f>
        <v>0</v>
      </c>
      <c r="BY36" s="110">
        <f>Calculations!BX299</f>
        <v>0</v>
      </c>
      <c r="BZ36" s="111">
        <f>Calculations!BY299</f>
        <v>0</v>
      </c>
      <c r="CA36" s="111">
        <f>Calculations!BZ299+Calculations!CA299</f>
        <v>0</v>
      </c>
      <c r="CB36" s="111">
        <f>Calculations!CB299</f>
        <v>0</v>
      </c>
      <c r="CC36" s="111">
        <f>Calculations!CC299</f>
        <v>0</v>
      </c>
      <c r="CD36" s="112">
        <f>Calculations!CD299</f>
        <v>0</v>
      </c>
      <c r="CE36" s="113">
        <f>Calculations!CE299</f>
        <v>0</v>
      </c>
      <c r="CF36" s="117">
        <f t="shared" si="0"/>
        <v>33978.014777243785</v>
      </c>
      <c r="CH36">
        <f ca="1"/>
        <v>0</v>
      </c>
    </row>
    <row r="37" spans="1:93">
      <c r="A37" s="280"/>
      <c r="B37" s="28" t="s">
        <v>99</v>
      </c>
      <c r="C37" s="110">
        <f>Calculations!C300</f>
        <v>0</v>
      </c>
      <c r="D37" s="111">
        <f>Calculations!D300</f>
        <v>0</v>
      </c>
      <c r="E37" s="111">
        <f>Calculations!E300</f>
        <v>0</v>
      </c>
      <c r="F37" s="111">
        <f>Calculations!F300</f>
        <v>0</v>
      </c>
      <c r="G37" s="111">
        <f>Calculations!G300</f>
        <v>0</v>
      </c>
      <c r="H37" s="111">
        <f>Calculations!H300</f>
        <v>0</v>
      </c>
      <c r="I37" s="111">
        <f>Calculations!I300</f>
        <v>0</v>
      </c>
      <c r="J37" s="111">
        <f>Calculations!J300</f>
        <v>0</v>
      </c>
      <c r="K37" s="111">
        <f>Calculations!K300</f>
        <v>0</v>
      </c>
      <c r="L37" s="111">
        <f>Calculations!L300</f>
        <v>0</v>
      </c>
      <c r="M37" s="111">
        <f>Calculations!M300</f>
        <v>0</v>
      </c>
      <c r="N37" s="111">
        <f>Calculations!N300</f>
        <v>0</v>
      </c>
      <c r="O37" s="111">
        <f>Calculations!O300</f>
        <v>0</v>
      </c>
      <c r="P37" s="111">
        <f>Calculations!P300</f>
        <v>0</v>
      </c>
      <c r="Q37" s="111">
        <f>Calculations!Q300</f>
        <v>0</v>
      </c>
      <c r="R37" s="111">
        <f>Calculations!R300</f>
        <v>0</v>
      </c>
      <c r="S37" s="111">
        <f>Calculations!S300</f>
        <v>0</v>
      </c>
      <c r="T37" s="111">
        <f>Calculations!T300</f>
        <v>0</v>
      </c>
      <c r="U37" s="111">
        <f>Calculations!U300</f>
        <v>0</v>
      </c>
      <c r="V37" s="111">
        <f>Calculations!V300</f>
        <v>0</v>
      </c>
      <c r="W37" s="111">
        <f>Calculations!W300</f>
        <v>0</v>
      </c>
      <c r="X37" s="111">
        <f>Calculations!X300</f>
        <v>0</v>
      </c>
      <c r="Y37" s="111">
        <f>Calculations!Y300</f>
        <v>0</v>
      </c>
      <c r="Z37" s="111">
        <f>Calculations!Z300</f>
        <v>0</v>
      </c>
      <c r="AA37" s="111">
        <f>Calculations!AA300</f>
        <v>0</v>
      </c>
      <c r="AB37" s="111">
        <f>Calculations!AB300</f>
        <v>0</v>
      </c>
      <c r="AC37" s="111">
        <f>Calculations!AC300</f>
        <v>0</v>
      </c>
      <c r="AD37" s="111">
        <f>Calculations!AD300</f>
        <v>0</v>
      </c>
      <c r="AE37" s="111">
        <f>Calculations!AE300</f>
        <v>0</v>
      </c>
      <c r="AF37" s="111">
        <f>Calculations!AF300</f>
        <v>0</v>
      </c>
      <c r="AG37" s="111">
        <f>Calculations!AG300</f>
        <v>0</v>
      </c>
      <c r="AH37" s="111">
        <f>Calculations!AH300</f>
        <v>0</v>
      </c>
      <c r="AI37" s="112">
        <f>Calculations!AI300</f>
        <v>0</v>
      </c>
      <c r="AJ37" s="110">
        <f>Calculations!AJ300</f>
        <v>0</v>
      </c>
      <c r="AK37" s="111">
        <f>Calculations!AK300</f>
        <v>0</v>
      </c>
      <c r="AL37" s="111">
        <f>Calculations!AL300</f>
        <v>0</v>
      </c>
      <c r="AM37" s="111">
        <f>Calculations!AM300</f>
        <v>0</v>
      </c>
      <c r="AN37" s="111">
        <f>Calculations!AN300</f>
        <v>0</v>
      </c>
      <c r="AO37" s="111">
        <f>Calculations!AO300</f>
        <v>0</v>
      </c>
      <c r="AP37" s="111">
        <f>Calculations!AP300</f>
        <v>0</v>
      </c>
      <c r="AQ37" s="111">
        <f>Calculations!AQ300</f>
        <v>0</v>
      </c>
      <c r="AR37" s="111">
        <f>Calculations!AR300</f>
        <v>0</v>
      </c>
      <c r="AS37" s="111">
        <f>Calculations!AS300</f>
        <v>0</v>
      </c>
      <c r="AT37" s="111">
        <f>Calculations!AT300</f>
        <v>0</v>
      </c>
      <c r="AU37" s="111">
        <f>Calculations!AU300</f>
        <v>0</v>
      </c>
      <c r="AV37" s="111">
        <f>Calculations!AV300</f>
        <v>0</v>
      </c>
      <c r="AW37" s="111">
        <f>Calculations!AW300</f>
        <v>0</v>
      </c>
      <c r="AX37" s="111">
        <f>Calculations!AX300</f>
        <v>0</v>
      </c>
      <c r="AY37" s="111">
        <f>Calculations!AY300</f>
        <v>0</v>
      </c>
      <c r="AZ37" s="111">
        <f>Calculations!AZ300</f>
        <v>0</v>
      </c>
      <c r="BA37" s="111">
        <f>Calculations!BA300</f>
        <v>0</v>
      </c>
      <c r="BB37" s="111">
        <f>Calculations!BB300</f>
        <v>0</v>
      </c>
      <c r="BC37" s="111">
        <f>Calculations!BC300</f>
        <v>0</v>
      </c>
      <c r="BD37" s="111">
        <f>Calculations!BD300</f>
        <v>0</v>
      </c>
      <c r="BE37" s="111">
        <f>Calculations!BE300</f>
        <v>0</v>
      </c>
      <c r="BF37" s="111">
        <f>Calculations!BF300</f>
        <v>0</v>
      </c>
      <c r="BG37" s="111">
        <f>Calculations!BG300</f>
        <v>0</v>
      </c>
      <c r="BH37" s="111">
        <f>Calculations!BH300</f>
        <v>0</v>
      </c>
      <c r="BI37" s="115">
        <f>Calculations!BI300</f>
        <v>68358.296123052918</v>
      </c>
      <c r="BJ37" s="111">
        <f>Calculations!BJ300</f>
        <v>0</v>
      </c>
      <c r="BK37" s="111">
        <f>Calculations!BK300</f>
        <v>0</v>
      </c>
      <c r="BL37" s="111">
        <f>Calculations!BL300</f>
        <v>0</v>
      </c>
      <c r="BM37" s="111">
        <f>Calculations!BM300</f>
        <v>0</v>
      </c>
      <c r="BN37" s="111">
        <f>Calculations!BN300</f>
        <v>0</v>
      </c>
      <c r="BO37" s="111">
        <f>Calculations!BO300</f>
        <v>0</v>
      </c>
      <c r="BP37" s="112">
        <f>Calculations!BP300</f>
        <v>0</v>
      </c>
      <c r="BQ37" s="110">
        <f>Calculations!BQ300</f>
        <v>0</v>
      </c>
      <c r="BR37" s="111">
        <f>Calculations!BR300</f>
        <v>0</v>
      </c>
      <c r="BS37" s="111">
        <v>0</v>
      </c>
      <c r="BT37" s="111">
        <f>Calculations!BS300</f>
        <v>0</v>
      </c>
      <c r="BU37" s="112">
        <f>Calculations!BT300</f>
        <v>0</v>
      </c>
      <c r="BV37" s="110">
        <f>Calculations!BU300</f>
        <v>0</v>
      </c>
      <c r="BW37" s="111">
        <f>Calculations!BV300</f>
        <v>0</v>
      </c>
      <c r="BX37" s="112">
        <f>Calculations!BW300</f>
        <v>0</v>
      </c>
      <c r="BY37" s="110">
        <f>Calculations!BX300</f>
        <v>0</v>
      </c>
      <c r="BZ37" s="111">
        <f>Calculations!BY300</f>
        <v>0</v>
      </c>
      <c r="CA37" s="111">
        <f>Calculations!BZ300+Calculations!CA300</f>
        <v>0</v>
      </c>
      <c r="CB37" s="111">
        <f>Calculations!CB300</f>
        <v>0</v>
      </c>
      <c r="CC37" s="111">
        <f>Calculations!CC300</f>
        <v>0</v>
      </c>
      <c r="CD37" s="112">
        <f>Calculations!CD300</f>
        <v>0</v>
      </c>
      <c r="CE37" s="113">
        <f>Calculations!CE300</f>
        <v>0</v>
      </c>
      <c r="CF37" s="117">
        <f t="shared" si="0"/>
        <v>68358.296123052918</v>
      </c>
      <c r="CH37">
        <f ca="1"/>
        <v>0</v>
      </c>
    </row>
    <row r="38" spans="1:93">
      <c r="A38" s="280"/>
      <c r="B38" s="28" t="s">
        <v>100</v>
      </c>
      <c r="C38" s="110">
        <f>Calculations!C301</f>
        <v>0</v>
      </c>
      <c r="D38" s="111">
        <f>Calculations!D301</f>
        <v>0</v>
      </c>
      <c r="E38" s="111">
        <f>Calculations!E301</f>
        <v>0</v>
      </c>
      <c r="F38" s="111">
        <f>Calculations!F301</f>
        <v>0</v>
      </c>
      <c r="G38" s="111">
        <f>Calculations!G301</f>
        <v>0</v>
      </c>
      <c r="H38" s="111">
        <f>Calculations!H301</f>
        <v>0</v>
      </c>
      <c r="I38" s="111">
        <f>Calculations!I301</f>
        <v>0</v>
      </c>
      <c r="J38" s="111">
        <f>Calculations!J301</f>
        <v>0</v>
      </c>
      <c r="K38" s="111">
        <f>Calculations!K301</f>
        <v>0</v>
      </c>
      <c r="L38" s="111">
        <f>Calculations!L301</f>
        <v>0</v>
      </c>
      <c r="M38" s="111">
        <f>Calculations!M301</f>
        <v>0</v>
      </c>
      <c r="N38" s="111">
        <f>Calculations!N301</f>
        <v>0</v>
      </c>
      <c r="O38" s="111">
        <f>Calculations!O301</f>
        <v>0</v>
      </c>
      <c r="P38" s="111">
        <f>Calculations!P301</f>
        <v>0</v>
      </c>
      <c r="Q38" s="111">
        <f>Calculations!Q301</f>
        <v>0</v>
      </c>
      <c r="R38" s="111">
        <f>Calculations!R301</f>
        <v>0</v>
      </c>
      <c r="S38" s="111">
        <f>Calculations!S301</f>
        <v>0</v>
      </c>
      <c r="T38" s="111">
        <f>Calculations!T301</f>
        <v>0</v>
      </c>
      <c r="U38" s="111">
        <f>Calculations!U301</f>
        <v>0</v>
      </c>
      <c r="V38" s="111">
        <f>Calculations!V301</f>
        <v>0</v>
      </c>
      <c r="W38" s="111">
        <f>Calculations!W301</f>
        <v>0</v>
      </c>
      <c r="X38" s="111">
        <f>Calculations!X301</f>
        <v>0</v>
      </c>
      <c r="Y38" s="111">
        <f>Calculations!Y301</f>
        <v>0</v>
      </c>
      <c r="Z38" s="111">
        <f>Calculations!Z301</f>
        <v>0</v>
      </c>
      <c r="AA38" s="111">
        <f>Calculations!AA301</f>
        <v>0</v>
      </c>
      <c r="AB38" s="111">
        <f>Calculations!AB301</f>
        <v>0</v>
      </c>
      <c r="AC38" s="111">
        <f>Calculations!AC301</f>
        <v>0</v>
      </c>
      <c r="AD38" s="111">
        <f>Calculations!AD301</f>
        <v>0</v>
      </c>
      <c r="AE38" s="111">
        <f>Calculations!AE301</f>
        <v>0</v>
      </c>
      <c r="AF38" s="111">
        <f>Calculations!AF301</f>
        <v>0</v>
      </c>
      <c r="AG38" s="111">
        <f>Calculations!AG301</f>
        <v>0</v>
      </c>
      <c r="AH38" s="111">
        <f>Calculations!AH301</f>
        <v>0</v>
      </c>
      <c r="AI38" s="112">
        <f>Calculations!AI301</f>
        <v>0</v>
      </c>
      <c r="AJ38" s="110">
        <f>Calculations!AJ301</f>
        <v>0</v>
      </c>
      <c r="AK38" s="111">
        <f>Calculations!AK301</f>
        <v>0</v>
      </c>
      <c r="AL38" s="111">
        <f>Calculations!AL301</f>
        <v>0</v>
      </c>
      <c r="AM38" s="111">
        <f>Calculations!AM301</f>
        <v>0</v>
      </c>
      <c r="AN38" s="111">
        <f>Calculations!AN301</f>
        <v>0</v>
      </c>
      <c r="AO38" s="111">
        <f>Calculations!AO301</f>
        <v>0</v>
      </c>
      <c r="AP38" s="111">
        <f>Calculations!AP301</f>
        <v>0</v>
      </c>
      <c r="AQ38" s="111">
        <f>Calculations!AQ301</f>
        <v>0</v>
      </c>
      <c r="AR38" s="111">
        <f>Calculations!AR301</f>
        <v>0</v>
      </c>
      <c r="AS38" s="111">
        <f>Calculations!AS301</f>
        <v>0</v>
      </c>
      <c r="AT38" s="111">
        <f>Calculations!AT301</f>
        <v>0</v>
      </c>
      <c r="AU38" s="111">
        <f>Calculations!AU301</f>
        <v>0</v>
      </c>
      <c r="AV38" s="111">
        <f>Calculations!AV301</f>
        <v>0</v>
      </c>
      <c r="AW38" s="111">
        <f>Calculations!AW301</f>
        <v>0</v>
      </c>
      <c r="AX38" s="111">
        <f>Calculations!AX301</f>
        <v>0</v>
      </c>
      <c r="AY38" s="111">
        <f>Calculations!AY301</f>
        <v>0</v>
      </c>
      <c r="AZ38" s="111">
        <f>Calculations!AZ301</f>
        <v>0</v>
      </c>
      <c r="BA38" s="111">
        <f>Calculations!BA301</f>
        <v>0</v>
      </c>
      <c r="BB38" s="111">
        <f>Calculations!BB301</f>
        <v>0</v>
      </c>
      <c r="BC38" s="111">
        <f>Calculations!BC301</f>
        <v>0</v>
      </c>
      <c r="BD38" s="111">
        <f>Calculations!BD301</f>
        <v>0</v>
      </c>
      <c r="BE38" s="111">
        <f>Calculations!BE301</f>
        <v>0</v>
      </c>
      <c r="BF38" s="111">
        <f>Calculations!BF301</f>
        <v>0</v>
      </c>
      <c r="BG38" s="111">
        <f>Calculations!BG301</f>
        <v>0</v>
      </c>
      <c r="BH38" s="111">
        <f>Calculations!BH301</f>
        <v>0</v>
      </c>
      <c r="BI38" s="111">
        <f>Calculations!BI301</f>
        <v>0</v>
      </c>
      <c r="BJ38" s="115">
        <f>Calculations!BJ301</f>
        <v>51738.011936033465</v>
      </c>
      <c r="BK38" s="111">
        <f>Calculations!BK301</f>
        <v>0</v>
      </c>
      <c r="BL38" s="111">
        <f>Calculations!BL301</f>
        <v>0</v>
      </c>
      <c r="BM38" s="111">
        <f>Calculations!BM301</f>
        <v>0</v>
      </c>
      <c r="BN38" s="111">
        <f>Calculations!BN301</f>
        <v>0</v>
      </c>
      <c r="BO38" s="111">
        <f>Calculations!BO301</f>
        <v>0</v>
      </c>
      <c r="BP38" s="112">
        <f>Calculations!BP301</f>
        <v>0</v>
      </c>
      <c r="BQ38" s="110">
        <f>Calculations!BQ301</f>
        <v>0</v>
      </c>
      <c r="BR38" s="111">
        <f>Calculations!BR301</f>
        <v>0</v>
      </c>
      <c r="BS38" s="111">
        <v>0</v>
      </c>
      <c r="BT38" s="111">
        <f>Calculations!BS301</f>
        <v>0</v>
      </c>
      <c r="BU38" s="112">
        <f>Calculations!BT301</f>
        <v>0</v>
      </c>
      <c r="BV38" s="110">
        <f>Calculations!BU301</f>
        <v>0</v>
      </c>
      <c r="BW38" s="111">
        <f>Calculations!BV301</f>
        <v>0</v>
      </c>
      <c r="BX38" s="112">
        <f>Calculations!BW301</f>
        <v>0</v>
      </c>
      <c r="BY38" s="110">
        <f>Calculations!BX301</f>
        <v>0</v>
      </c>
      <c r="BZ38" s="111">
        <f>Calculations!BY301</f>
        <v>0</v>
      </c>
      <c r="CA38" s="111">
        <f>Calculations!BZ301+Calculations!CA301</f>
        <v>0</v>
      </c>
      <c r="CB38" s="111">
        <f>Calculations!CB301</f>
        <v>0</v>
      </c>
      <c r="CC38" s="111">
        <f>Calculations!CC301</f>
        <v>0</v>
      </c>
      <c r="CD38" s="112">
        <f>Calculations!CD301</f>
        <v>0</v>
      </c>
      <c r="CE38" s="113">
        <f>Calculations!CE301</f>
        <v>0</v>
      </c>
      <c r="CF38" s="117">
        <f t="shared" si="0"/>
        <v>51738.011936033465</v>
      </c>
      <c r="CH38">
        <f ca="1"/>
        <v>0</v>
      </c>
    </row>
    <row r="39" spans="1:93">
      <c r="A39" s="280"/>
      <c r="B39" s="28" t="s">
        <v>101</v>
      </c>
      <c r="C39" s="110">
        <f>Calculations!C302</f>
        <v>0</v>
      </c>
      <c r="D39" s="111">
        <f>Calculations!D302</f>
        <v>0</v>
      </c>
      <c r="E39" s="111">
        <f>Calculations!E302</f>
        <v>0</v>
      </c>
      <c r="F39" s="111">
        <f>Calculations!F302</f>
        <v>0</v>
      </c>
      <c r="G39" s="111">
        <f>Calculations!G302</f>
        <v>0</v>
      </c>
      <c r="H39" s="111">
        <f>Calculations!H302</f>
        <v>0</v>
      </c>
      <c r="I39" s="111">
        <f>Calculations!I302</f>
        <v>0</v>
      </c>
      <c r="J39" s="111">
        <f>Calculations!J302</f>
        <v>0</v>
      </c>
      <c r="K39" s="111">
        <f>Calculations!K302</f>
        <v>0</v>
      </c>
      <c r="L39" s="111">
        <f>Calculations!L302</f>
        <v>0</v>
      </c>
      <c r="M39" s="111">
        <f>Calculations!M302</f>
        <v>0</v>
      </c>
      <c r="N39" s="111">
        <f>Calculations!N302</f>
        <v>0</v>
      </c>
      <c r="O39" s="111">
        <f>Calculations!O302</f>
        <v>0</v>
      </c>
      <c r="P39" s="111">
        <f>Calculations!P302</f>
        <v>0</v>
      </c>
      <c r="Q39" s="111">
        <f>Calculations!Q302</f>
        <v>0</v>
      </c>
      <c r="R39" s="111">
        <f>Calculations!R302</f>
        <v>0</v>
      </c>
      <c r="S39" s="111">
        <f>Calculations!S302</f>
        <v>0</v>
      </c>
      <c r="T39" s="111">
        <f>Calculations!T302</f>
        <v>0</v>
      </c>
      <c r="U39" s="111">
        <f>Calculations!U302</f>
        <v>0</v>
      </c>
      <c r="V39" s="111">
        <f>Calculations!V302</f>
        <v>0</v>
      </c>
      <c r="W39" s="111">
        <f>Calculations!W302</f>
        <v>0</v>
      </c>
      <c r="X39" s="111">
        <f>Calculations!X302</f>
        <v>0</v>
      </c>
      <c r="Y39" s="111">
        <f>Calculations!Y302</f>
        <v>0</v>
      </c>
      <c r="Z39" s="111">
        <f>Calculations!Z302</f>
        <v>0</v>
      </c>
      <c r="AA39" s="111">
        <f>Calculations!AA302</f>
        <v>0</v>
      </c>
      <c r="AB39" s="111">
        <f>Calculations!AB302</f>
        <v>0</v>
      </c>
      <c r="AC39" s="111">
        <f>Calculations!AC302</f>
        <v>0</v>
      </c>
      <c r="AD39" s="111">
        <f>Calculations!AD302</f>
        <v>0</v>
      </c>
      <c r="AE39" s="111">
        <f>Calculations!AE302</f>
        <v>0</v>
      </c>
      <c r="AF39" s="111">
        <f>Calculations!AF302</f>
        <v>0</v>
      </c>
      <c r="AG39" s="111">
        <f>Calculations!AG302</f>
        <v>0</v>
      </c>
      <c r="AH39" s="111">
        <f>Calculations!AH302</f>
        <v>0</v>
      </c>
      <c r="AI39" s="112">
        <f>Calculations!AI302</f>
        <v>0</v>
      </c>
      <c r="AJ39" s="110">
        <f>Calculations!AJ302</f>
        <v>0</v>
      </c>
      <c r="AK39" s="111">
        <f>Calculations!AK302</f>
        <v>0</v>
      </c>
      <c r="AL39" s="111">
        <f>Calculations!AL302</f>
        <v>0</v>
      </c>
      <c r="AM39" s="111">
        <f>Calculations!AM302</f>
        <v>0</v>
      </c>
      <c r="AN39" s="111">
        <f>Calculations!AN302</f>
        <v>0</v>
      </c>
      <c r="AO39" s="111">
        <f>Calculations!AO302</f>
        <v>0</v>
      </c>
      <c r="AP39" s="111">
        <f>Calculations!AP302</f>
        <v>0</v>
      </c>
      <c r="AQ39" s="111">
        <f>Calculations!AQ302</f>
        <v>0</v>
      </c>
      <c r="AR39" s="111">
        <f>Calculations!AR302</f>
        <v>0</v>
      </c>
      <c r="AS39" s="111">
        <f>Calculations!AS302</f>
        <v>0</v>
      </c>
      <c r="AT39" s="111">
        <f>Calculations!AT302</f>
        <v>0</v>
      </c>
      <c r="AU39" s="111">
        <f>Calculations!AU302</f>
        <v>0</v>
      </c>
      <c r="AV39" s="111">
        <f>Calculations!AV302</f>
        <v>0</v>
      </c>
      <c r="AW39" s="111">
        <f>Calculations!AW302</f>
        <v>0</v>
      </c>
      <c r="AX39" s="111">
        <f>Calculations!AX302</f>
        <v>0</v>
      </c>
      <c r="AY39" s="111">
        <f>Calculations!AY302</f>
        <v>0</v>
      </c>
      <c r="AZ39" s="111">
        <f>Calculations!AZ302</f>
        <v>0</v>
      </c>
      <c r="BA39" s="111">
        <f>Calculations!BA302</f>
        <v>0</v>
      </c>
      <c r="BB39" s="111">
        <f>Calculations!BB302</f>
        <v>0</v>
      </c>
      <c r="BC39" s="111">
        <f>Calculations!BC302</f>
        <v>0</v>
      </c>
      <c r="BD39" s="111">
        <f>Calculations!BD302</f>
        <v>0</v>
      </c>
      <c r="BE39" s="111">
        <f>Calculations!BE302</f>
        <v>0</v>
      </c>
      <c r="BF39" s="111">
        <f>Calculations!BF302</f>
        <v>0</v>
      </c>
      <c r="BG39" s="111">
        <f>Calculations!BG302</f>
        <v>0</v>
      </c>
      <c r="BH39" s="111">
        <f>Calculations!BH302</f>
        <v>0</v>
      </c>
      <c r="BI39" s="111">
        <f>Calculations!BI302</f>
        <v>0</v>
      </c>
      <c r="BJ39" s="111">
        <f>Calculations!BJ302</f>
        <v>0</v>
      </c>
      <c r="BK39" s="115">
        <f>Calculations!BK302</f>
        <v>92686.291595032715</v>
      </c>
      <c r="BL39" s="111">
        <f>Calculations!BL302</f>
        <v>0</v>
      </c>
      <c r="BM39" s="111">
        <f>Calculations!BM302</f>
        <v>0</v>
      </c>
      <c r="BN39" s="111">
        <f>Calculations!BN302</f>
        <v>0</v>
      </c>
      <c r="BO39" s="111">
        <f>Calculations!BO302</f>
        <v>0</v>
      </c>
      <c r="BP39" s="112">
        <f>Calculations!BP302</f>
        <v>0</v>
      </c>
      <c r="BQ39" s="110">
        <f>Calculations!BQ302</f>
        <v>0</v>
      </c>
      <c r="BR39" s="111">
        <f>Calculations!BR302</f>
        <v>0</v>
      </c>
      <c r="BS39" s="111">
        <v>0</v>
      </c>
      <c r="BT39" s="111">
        <f>Calculations!BS302</f>
        <v>0</v>
      </c>
      <c r="BU39" s="112">
        <f>Calculations!BT302</f>
        <v>0</v>
      </c>
      <c r="BV39" s="110">
        <f>Calculations!BU302</f>
        <v>0</v>
      </c>
      <c r="BW39" s="111">
        <f>Calculations!BV302</f>
        <v>0</v>
      </c>
      <c r="BX39" s="112">
        <f>Calculations!BW302</f>
        <v>0</v>
      </c>
      <c r="BY39" s="110">
        <f>Calculations!BX302</f>
        <v>0</v>
      </c>
      <c r="BZ39" s="111">
        <f>Calculations!BY302</f>
        <v>0</v>
      </c>
      <c r="CA39" s="111">
        <f>Calculations!BZ302+Calculations!CA302</f>
        <v>0</v>
      </c>
      <c r="CB39" s="111">
        <f>Calculations!CB302</f>
        <v>0</v>
      </c>
      <c r="CC39" s="111">
        <f>Calculations!CC302</f>
        <v>0</v>
      </c>
      <c r="CD39" s="112">
        <f>Calculations!CD302</f>
        <v>0</v>
      </c>
      <c r="CE39" s="113">
        <f>Calculations!CE302</f>
        <v>0</v>
      </c>
      <c r="CF39" s="117">
        <f t="shared" si="0"/>
        <v>92686.291595032715</v>
      </c>
      <c r="CH39">
        <f ca="1"/>
        <v>0</v>
      </c>
    </row>
    <row r="40" spans="1:93">
      <c r="A40" s="280"/>
      <c r="B40" s="28" t="s">
        <v>102</v>
      </c>
      <c r="C40" s="110">
        <f>Calculations!C303</f>
        <v>0</v>
      </c>
      <c r="D40" s="111">
        <f>Calculations!D303</f>
        <v>0</v>
      </c>
      <c r="E40" s="111">
        <f>Calculations!E303</f>
        <v>0</v>
      </c>
      <c r="F40" s="111">
        <f>Calculations!F303</f>
        <v>0</v>
      </c>
      <c r="G40" s="111">
        <f>Calculations!G303</f>
        <v>0</v>
      </c>
      <c r="H40" s="111">
        <f>Calculations!H303</f>
        <v>0</v>
      </c>
      <c r="I40" s="111">
        <f>Calculations!I303</f>
        <v>0</v>
      </c>
      <c r="J40" s="111">
        <f>Calculations!J303</f>
        <v>0</v>
      </c>
      <c r="K40" s="111">
        <f>Calculations!K303</f>
        <v>0</v>
      </c>
      <c r="L40" s="111">
        <f>Calculations!L303</f>
        <v>0</v>
      </c>
      <c r="M40" s="111">
        <f>Calculations!M303</f>
        <v>0</v>
      </c>
      <c r="N40" s="111">
        <f>Calculations!N303</f>
        <v>0</v>
      </c>
      <c r="O40" s="111">
        <f>Calculations!O303</f>
        <v>0</v>
      </c>
      <c r="P40" s="111">
        <f>Calculations!P303</f>
        <v>0</v>
      </c>
      <c r="Q40" s="111">
        <f>Calculations!Q303</f>
        <v>0</v>
      </c>
      <c r="R40" s="111">
        <f>Calculations!R303</f>
        <v>0</v>
      </c>
      <c r="S40" s="111">
        <f>Calculations!S303</f>
        <v>0</v>
      </c>
      <c r="T40" s="111">
        <f>Calculations!T303</f>
        <v>0</v>
      </c>
      <c r="U40" s="111">
        <f>Calculations!U303</f>
        <v>0</v>
      </c>
      <c r="V40" s="111">
        <f>Calculations!V303</f>
        <v>0</v>
      </c>
      <c r="W40" s="111">
        <f>Calculations!W303</f>
        <v>0</v>
      </c>
      <c r="X40" s="111">
        <f>Calculations!X303</f>
        <v>0</v>
      </c>
      <c r="Y40" s="111">
        <f>Calculations!Y303</f>
        <v>0</v>
      </c>
      <c r="Z40" s="111">
        <f>Calculations!Z303</f>
        <v>0</v>
      </c>
      <c r="AA40" s="111">
        <f>Calculations!AA303</f>
        <v>0</v>
      </c>
      <c r="AB40" s="111">
        <f>Calculations!AB303</f>
        <v>0</v>
      </c>
      <c r="AC40" s="111">
        <f>Calculations!AC303</f>
        <v>0</v>
      </c>
      <c r="AD40" s="111">
        <f>Calculations!AD303</f>
        <v>0</v>
      </c>
      <c r="AE40" s="111">
        <f>Calculations!AE303</f>
        <v>0</v>
      </c>
      <c r="AF40" s="111">
        <f>Calculations!AF303</f>
        <v>0</v>
      </c>
      <c r="AG40" s="111">
        <f>Calculations!AG303</f>
        <v>0</v>
      </c>
      <c r="AH40" s="111">
        <f>Calculations!AH303</f>
        <v>0</v>
      </c>
      <c r="AI40" s="112">
        <f>Calculations!AI303</f>
        <v>0</v>
      </c>
      <c r="AJ40" s="110">
        <f>Calculations!AJ303</f>
        <v>0</v>
      </c>
      <c r="AK40" s="111">
        <f>Calculations!AK303</f>
        <v>0</v>
      </c>
      <c r="AL40" s="111">
        <f>Calculations!AL303</f>
        <v>0</v>
      </c>
      <c r="AM40" s="111">
        <f>Calculations!AM303</f>
        <v>0</v>
      </c>
      <c r="AN40" s="111">
        <f>Calculations!AN303</f>
        <v>0</v>
      </c>
      <c r="AO40" s="111">
        <f>Calculations!AO303</f>
        <v>0</v>
      </c>
      <c r="AP40" s="111">
        <f>Calculations!AP303</f>
        <v>0</v>
      </c>
      <c r="AQ40" s="111">
        <f>Calculations!AQ303</f>
        <v>0</v>
      </c>
      <c r="AR40" s="111">
        <f>Calculations!AR303</f>
        <v>0</v>
      </c>
      <c r="AS40" s="111">
        <f>Calculations!AS303</f>
        <v>0</v>
      </c>
      <c r="AT40" s="111">
        <f>Calculations!AT303</f>
        <v>0</v>
      </c>
      <c r="AU40" s="111">
        <f>Calculations!AU303</f>
        <v>0</v>
      </c>
      <c r="AV40" s="111">
        <f>Calculations!AV303</f>
        <v>0</v>
      </c>
      <c r="AW40" s="111">
        <f>Calculations!AW303</f>
        <v>0</v>
      </c>
      <c r="AX40" s="111">
        <f>Calculations!AX303</f>
        <v>0</v>
      </c>
      <c r="AY40" s="111">
        <f>Calculations!AY303</f>
        <v>0</v>
      </c>
      <c r="AZ40" s="111">
        <f>Calculations!AZ303</f>
        <v>0</v>
      </c>
      <c r="BA40" s="111">
        <f>Calculations!BA303</f>
        <v>0</v>
      </c>
      <c r="BB40" s="111">
        <f>Calculations!BB303</f>
        <v>0</v>
      </c>
      <c r="BC40" s="111">
        <f>Calculations!BC303</f>
        <v>0</v>
      </c>
      <c r="BD40" s="111">
        <f>Calculations!BD303</f>
        <v>0</v>
      </c>
      <c r="BE40" s="111">
        <f>Calculations!BE303</f>
        <v>0</v>
      </c>
      <c r="BF40" s="111">
        <f>Calculations!BF303</f>
        <v>0</v>
      </c>
      <c r="BG40" s="111">
        <f>Calculations!BG303</f>
        <v>0</v>
      </c>
      <c r="BH40" s="111">
        <f>Calculations!BH303</f>
        <v>0</v>
      </c>
      <c r="BI40" s="111">
        <f>Calculations!BI303</f>
        <v>0</v>
      </c>
      <c r="BJ40" s="111">
        <f>Calculations!BJ303</f>
        <v>0</v>
      </c>
      <c r="BK40" s="111">
        <f>Calculations!BK303</f>
        <v>0</v>
      </c>
      <c r="BL40" s="115">
        <f>Calculations!BL303</f>
        <v>48821.366518956798</v>
      </c>
      <c r="BM40" s="111">
        <f>Calculations!BM303</f>
        <v>0</v>
      </c>
      <c r="BN40" s="111">
        <f>Calculations!BN303</f>
        <v>0</v>
      </c>
      <c r="BO40" s="111">
        <f>Calculations!BO303</f>
        <v>0</v>
      </c>
      <c r="BP40" s="112">
        <f>Calculations!BP303</f>
        <v>0</v>
      </c>
      <c r="BQ40" s="110">
        <f>Calculations!BQ303</f>
        <v>0</v>
      </c>
      <c r="BR40" s="111">
        <f>Calculations!BR303</f>
        <v>0</v>
      </c>
      <c r="BS40" s="111">
        <v>0</v>
      </c>
      <c r="BT40" s="111">
        <f>Calculations!BS303</f>
        <v>0</v>
      </c>
      <c r="BU40" s="112">
        <f>Calculations!BT303</f>
        <v>0</v>
      </c>
      <c r="BV40" s="110">
        <f>Calculations!BU303</f>
        <v>0</v>
      </c>
      <c r="BW40" s="111">
        <f>Calculations!BV303</f>
        <v>0</v>
      </c>
      <c r="BX40" s="112">
        <f>Calculations!BW303</f>
        <v>0</v>
      </c>
      <c r="BY40" s="110">
        <f>Calculations!BX303</f>
        <v>0</v>
      </c>
      <c r="BZ40" s="111">
        <f>Calculations!BY303</f>
        <v>0</v>
      </c>
      <c r="CA40" s="111">
        <f>Calculations!BZ303+Calculations!CA303</f>
        <v>0</v>
      </c>
      <c r="CB40" s="111">
        <f>Calculations!CB303</f>
        <v>0</v>
      </c>
      <c r="CC40" s="111">
        <f>Calculations!CC303</f>
        <v>0</v>
      </c>
      <c r="CD40" s="112">
        <f>Calculations!CD303</f>
        <v>0</v>
      </c>
      <c r="CE40" s="113">
        <f>Calculations!CE303</f>
        <v>0</v>
      </c>
      <c r="CF40" s="117">
        <f t="shared" si="0"/>
        <v>48821.366518956798</v>
      </c>
      <c r="CH40">
        <f ca="1"/>
        <v>0</v>
      </c>
    </row>
    <row r="41" spans="1:93">
      <c r="A41" s="280"/>
      <c r="B41" s="28" t="s">
        <v>103</v>
      </c>
      <c r="C41" s="110">
        <f>Calculations!C304</f>
        <v>0</v>
      </c>
      <c r="D41" s="111">
        <f>Calculations!D304</f>
        <v>0</v>
      </c>
      <c r="E41" s="111">
        <f>Calculations!E304</f>
        <v>0</v>
      </c>
      <c r="F41" s="111">
        <f>Calculations!F304</f>
        <v>0</v>
      </c>
      <c r="G41" s="111">
        <f>Calculations!G304</f>
        <v>0</v>
      </c>
      <c r="H41" s="111">
        <f>Calculations!H304</f>
        <v>0</v>
      </c>
      <c r="I41" s="111">
        <f>Calculations!I304</f>
        <v>0</v>
      </c>
      <c r="J41" s="111">
        <f>Calculations!J304</f>
        <v>0</v>
      </c>
      <c r="K41" s="111">
        <f>Calculations!K304</f>
        <v>0</v>
      </c>
      <c r="L41" s="111">
        <f>Calculations!L304</f>
        <v>0</v>
      </c>
      <c r="M41" s="111">
        <f>Calculations!M304</f>
        <v>0</v>
      </c>
      <c r="N41" s="111">
        <f>Calculations!N304</f>
        <v>0</v>
      </c>
      <c r="O41" s="111">
        <f>Calculations!O304</f>
        <v>0</v>
      </c>
      <c r="P41" s="111">
        <f>Calculations!P304</f>
        <v>0</v>
      </c>
      <c r="Q41" s="111">
        <f>Calculations!Q304</f>
        <v>0</v>
      </c>
      <c r="R41" s="111">
        <f>Calculations!R304</f>
        <v>0</v>
      </c>
      <c r="S41" s="111">
        <f>Calculations!S304</f>
        <v>0</v>
      </c>
      <c r="T41" s="111">
        <f>Calculations!T304</f>
        <v>0</v>
      </c>
      <c r="U41" s="111">
        <f>Calculations!U304</f>
        <v>0</v>
      </c>
      <c r="V41" s="111">
        <f>Calculations!V304</f>
        <v>0</v>
      </c>
      <c r="W41" s="111">
        <f>Calculations!W304</f>
        <v>0</v>
      </c>
      <c r="X41" s="111">
        <f>Calculations!X304</f>
        <v>0</v>
      </c>
      <c r="Y41" s="111">
        <f>Calculations!Y304</f>
        <v>0</v>
      </c>
      <c r="Z41" s="111">
        <f>Calculations!Z304</f>
        <v>0</v>
      </c>
      <c r="AA41" s="111">
        <f>Calculations!AA304</f>
        <v>0</v>
      </c>
      <c r="AB41" s="111">
        <f>Calculations!AB304</f>
        <v>0</v>
      </c>
      <c r="AC41" s="111">
        <f>Calculations!AC304</f>
        <v>0</v>
      </c>
      <c r="AD41" s="111">
        <f>Calculations!AD304</f>
        <v>0</v>
      </c>
      <c r="AE41" s="111">
        <f>Calculations!AE304</f>
        <v>0</v>
      </c>
      <c r="AF41" s="111">
        <f>Calculations!AF304</f>
        <v>0</v>
      </c>
      <c r="AG41" s="111">
        <f>Calculations!AG304</f>
        <v>0</v>
      </c>
      <c r="AH41" s="111">
        <f>Calculations!AH304</f>
        <v>0</v>
      </c>
      <c r="AI41" s="112">
        <f>Calculations!AI304</f>
        <v>0</v>
      </c>
      <c r="AJ41" s="110">
        <f>Calculations!AJ304</f>
        <v>0</v>
      </c>
      <c r="AK41" s="111">
        <f>Calculations!AK304</f>
        <v>0</v>
      </c>
      <c r="AL41" s="111">
        <f>Calculations!AL304</f>
        <v>0</v>
      </c>
      <c r="AM41" s="111">
        <f>Calculations!AM304</f>
        <v>0</v>
      </c>
      <c r="AN41" s="111">
        <f>Calculations!AN304</f>
        <v>0</v>
      </c>
      <c r="AO41" s="111">
        <f>Calculations!AO304</f>
        <v>0</v>
      </c>
      <c r="AP41" s="111">
        <f>Calculations!AP304</f>
        <v>0</v>
      </c>
      <c r="AQ41" s="111">
        <f>Calculations!AQ304</f>
        <v>0</v>
      </c>
      <c r="AR41" s="111">
        <f>Calculations!AR304</f>
        <v>0</v>
      </c>
      <c r="AS41" s="111">
        <f>Calculations!AS304</f>
        <v>0</v>
      </c>
      <c r="AT41" s="111">
        <f>Calculations!AT304</f>
        <v>0</v>
      </c>
      <c r="AU41" s="111">
        <f>Calculations!AU304</f>
        <v>0</v>
      </c>
      <c r="AV41" s="111">
        <f>Calculations!AV304</f>
        <v>0</v>
      </c>
      <c r="AW41" s="111">
        <f>Calculations!AW304</f>
        <v>0</v>
      </c>
      <c r="AX41" s="111">
        <f>Calculations!AX304</f>
        <v>0</v>
      </c>
      <c r="AY41" s="111">
        <f>Calculations!AY304</f>
        <v>0</v>
      </c>
      <c r="AZ41" s="111">
        <f>Calculations!AZ304</f>
        <v>0</v>
      </c>
      <c r="BA41" s="111">
        <f>Calculations!BA304</f>
        <v>0</v>
      </c>
      <c r="BB41" s="111">
        <f>Calculations!BB304</f>
        <v>0</v>
      </c>
      <c r="BC41" s="111">
        <f>Calculations!BC304</f>
        <v>0</v>
      </c>
      <c r="BD41" s="111">
        <f>Calculations!BD304</f>
        <v>0</v>
      </c>
      <c r="BE41" s="111">
        <f>Calculations!BE304</f>
        <v>0</v>
      </c>
      <c r="BF41" s="111">
        <f>Calculations!BF304</f>
        <v>0</v>
      </c>
      <c r="BG41" s="111">
        <f>Calculations!BG304</f>
        <v>0</v>
      </c>
      <c r="BH41" s="111">
        <f>Calculations!BH304</f>
        <v>0</v>
      </c>
      <c r="BI41" s="111">
        <f>Calculations!BI304</f>
        <v>0</v>
      </c>
      <c r="BJ41" s="111">
        <f>Calculations!BJ304</f>
        <v>0</v>
      </c>
      <c r="BK41" s="111">
        <f>Calculations!BK304</f>
        <v>0</v>
      </c>
      <c r="BL41" s="111">
        <f>Calculations!BL304</f>
        <v>0</v>
      </c>
      <c r="BM41" s="115">
        <f>Calculations!BM304</f>
        <v>12497.736973482994</v>
      </c>
      <c r="BN41" s="111">
        <f>Calculations!BN304</f>
        <v>0</v>
      </c>
      <c r="BO41" s="111">
        <f>Calculations!BO304</f>
        <v>0</v>
      </c>
      <c r="BP41" s="112">
        <f>Calculations!BP304</f>
        <v>0</v>
      </c>
      <c r="BQ41" s="110">
        <f>Calculations!BQ304</f>
        <v>0</v>
      </c>
      <c r="BR41" s="111">
        <f>Calculations!BR304</f>
        <v>0</v>
      </c>
      <c r="BS41" s="111">
        <v>0</v>
      </c>
      <c r="BT41" s="111">
        <f>Calculations!BS304</f>
        <v>0</v>
      </c>
      <c r="BU41" s="112">
        <f>Calculations!BT304</f>
        <v>0</v>
      </c>
      <c r="BV41" s="110">
        <f>Calculations!BU304</f>
        <v>0</v>
      </c>
      <c r="BW41" s="111">
        <f>Calculations!BV304</f>
        <v>0</v>
      </c>
      <c r="BX41" s="112">
        <f>Calculations!BW304</f>
        <v>0</v>
      </c>
      <c r="BY41" s="110">
        <f>Calculations!BX304</f>
        <v>0</v>
      </c>
      <c r="BZ41" s="111">
        <f>Calculations!BY304</f>
        <v>0</v>
      </c>
      <c r="CA41" s="111">
        <f>Calculations!BZ304+Calculations!CA304</f>
        <v>0</v>
      </c>
      <c r="CB41" s="111">
        <f>Calculations!CB304</f>
        <v>0</v>
      </c>
      <c r="CC41" s="111">
        <f>Calculations!CC304</f>
        <v>0</v>
      </c>
      <c r="CD41" s="112">
        <f>Calculations!CD304</f>
        <v>0</v>
      </c>
      <c r="CE41" s="113">
        <f>Calculations!CE304</f>
        <v>0</v>
      </c>
      <c r="CF41" s="117">
        <f t="shared" si="0"/>
        <v>12497.736973482994</v>
      </c>
      <c r="CH41">
        <f ca="1"/>
        <v>0</v>
      </c>
    </row>
    <row r="42" spans="1:93">
      <c r="A42" s="280"/>
      <c r="B42" s="28" t="s">
        <v>104</v>
      </c>
      <c r="C42" s="110">
        <f>Calculations!C305</f>
        <v>0</v>
      </c>
      <c r="D42" s="111">
        <f>Calculations!D305</f>
        <v>0</v>
      </c>
      <c r="E42" s="111">
        <f>Calculations!E305</f>
        <v>0</v>
      </c>
      <c r="F42" s="111">
        <f>Calculations!F305</f>
        <v>0</v>
      </c>
      <c r="G42" s="111">
        <f>Calculations!G305</f>
        <v>0</v>
      </c>
      <c r="H42" s="111">
        <f>Calculations!H305</f>
        <v>0</v>
      </c>
      <c r="I42" s="111">
        <f>Calculations!I305</f>
        <v>0</v>
      </c>
      <c r="J42" s="111">
        <f>Calculations!J305</f>
        <v>0</v>
      </c>
      <c r="K42" s="111">
        <f>Calculations!K305</f>
        <v>0</v>
      </c>
      <c r="L42" s="111">
        <f>Calculations!L305</f>
        <v>0</v>
      </c>
      <c r="M42" s="111">
        <f>Calculations!M305</f>
        <v>0</v>
      </c>
      <c r="N42" s="111">
        <f>Calculations!N305</f>
        <v>0</v>
      </c>
      <c r="O42" s="111">
        <f>Calculations!O305</f>
        <v>0</v>
      </c>
      <c r="P42" s="111">
        <f>Calculations!P305</f>
        <v>0</v>
      </c>
      <c r="Q42" s="111">
        <f>Calculations!Q305</f>
        <v>0</v>
      </c>
      <c r="R42" s="111">
        <f>Calculations!R305</f>
        <v>0</v>
      </c>
      <c r="S42" s="111">
        <f>Calculations!S305</f>
        <v>0</v>
      </c>
      <c r="T42" s="111">
        <f>Calculations!T305</f>
        <v>0</v>
      </c>
      <c r="U42" s="111">
        <f>Calculations!U305</f>
        <v>0</v>
      </c>
      <c r="V42" s="111">
        <f>Calculations!V305</f>
        <v>0</v>
      </c>
      <c r="W42" s="111">
        <f>Calculations!W305</f>
        <v>0</v>
      </c>
      <c r="X42" s="111">
        <f>Calculations!X305</f>
        <v>0</v>
      </c>
      <c r="Y42" s="111">
        <f>Calculations!Y305</f>
        <v>0</v>
      </c>
      <c r="Z42" s="111">
        <f>Calculations!Z305</f>
        <v>0</v>
      </c>
      <c r="AA42" s="111">
        <f>Calculations!AA305</f>
        <v>0</v>
      </c>
      <c r="AB42" s="111">
        <f>Calculations!AB305</f>
        <v>0</v>
      </c>
      <c r="AC42" s="111">
        <f>Calculations!AC305</f>
        <v>0</v>
      </c>
      <c r="AD42" s="111">
        <f>Calculations!AD305</f>
        <v>0</v>
      </c>
      <c r="AE42" s="111">
        <f>Calculations!AE305</f>
        <v>0</v>
      </c>
      <c r="AF42" s="111">
        <f>Calculations!AF305</f>
        <v>0</v>
      </c>
      <c r="AG42" s="111">
        <f>Calculations!AG305</f>
        <v>0</v>
      </c>
      <c r="AH42" s="111">
        <f>Calculations!AH305</f>
        <v>0</v>
      </c>
      <c r="AI42" s="112">
        <f>Calculations!AI305</f>
        <v>0</v>
      </c>
      <c r="AJ42" s="110">
        <f>Calculations!AJ305</f>
        <v>0</v>
      </c>
      <c r="AK42" s="111">
        <f>Calculations!AK305</f>
        <v>0</v>
      </c>
      <c r="AL42" s="111">
        <f>Calculations!AL305</f>
        <v>0</v>
      </c>
      <c r="AM42" s="111">
        <f>Calculations!AM305</f>
        <v>0</v>
      </c>
      <c r="AN42" s="111">
        <f>Calculations!AN305</f>
        <v>0</v>
      </c>
      <c r="AO42" s="111">
        <f>Calculations!AO305</f>
        <v>0</v>
      </c>
      <c r="AP42" s="111">
        <f>Calculations!AP305</f>
        <v>0</v>
      </c>
      <c r="AQ42" s="111">
        <f>Calculations!AQ305</f>
        <v>0</v>
      </c>
      <c r="AR42" s="111">
        <f>Calculations!AR305</f>
        <v>0</v>
      </c>
      <c r="AS42" s="111">
        <f>Calculations!AS305</f>
        <v>0</v>
      </c>
      <c r="AT42" s="111">
        <f>Calculations!AT305</f>
        <v>0</v>
      </c>
      <c r="AU42" s="111">
        <f>Calculations!AU305</f>
        <v>0</v>
      </c>
      <c r="AV42" s="111">
        <f>Calculations!AV305</f>
        <v>0</v>
      </c>
      <c r="AW42" s="111">
        <f>Calculations!AW305</f>
        <v>0</v>
      </c>
      <c r="AX42" s="111">
        <f>Calculations!AX305</f>
        <v>0</v>
      </c>
      <c r="AY42" s="111">
        <f>Calculations!AY305</f>
        <v>0</v>
      </c>
      <c r="AZ42" s="111">
        <f>Calculations!AZ305</f>
        <v>0</v>
      </c>
      <c r="BA42" s="111">
        <f>Calculations!BA305</f>
        <v>0</v>
      </c>
      <c r="BB42" s="111">
        <f>Calculations!BB305</f>
        <v>0</v>
      </c>
      <c r="BC42" s="111">
        <f>Calculations!BC305</f>
        <v>0</v>
      </c>
      <c r="BD42" s="111">
        <f>Calculations!BD305</f>
        <v>0</v>
      </c>
      <c r="BE42" s="111">
        <f>Calculations!BE305</f>
        <v>0</v>
      </c>
      <c r="BF42" s="111">
        <f>Calculations!BF305</f>
        <v>0</v>
      </c>
      <c r="BG42" s="111">
        <f>Calculations!BG305</f>
        <v>0</v>
      </c>
      <c r="BH42" s="111">
        <f>Calculations!BH305</f>
        <v>0</v>
      </c>
      <c r="BI42" s="111">
        <f>Calculations!BI305</f>
        <v>0</v>
      </c>
      <c r="BJ42" s="111">
        <f>Calculations!BJ305</f>
        <v>0</v>
      </c>
      <c r="BK42" s="111">
        <f>Calculations!BK305</f>
        <v>0</v>
      </c>
      <c r="BL42" s="111">
        <f>Calculations!BL305</f>
        <v>0</v>
      </c>
      <c r="BM42" s="111">
        <f>Calculations!BM305</f>
        <v>0</v>
      </c>
      <c r="BN42" s="115">
        <f>Calculations!BN305</f>
        <v>11654.900466501786</v>
      </c>
      <c r="BO42" s="111">
        <f>Calculations!BO305</f>
        <v>0</v>
      </c>
      <c r="BP42" s="112">
        <f>Calculations!BP305</f>
        <v>0</v>
      </c>
      <c r="BQ42" s="110">
        <f>Calculations!BQ305</f>
        <v>0</v>
      </c>
      <c r="BR42" s="111">
        <f>Calculations!BR305</f>
        <v>0</v>
      </c>
      <c r="BS42" s="111">
        <v>0</v>
      </c>
      <c r="BT42" s="111">
        <f>Calculations!BS305</f>
        <v>0</v>
      </c>
      <c r="BU42" s="112">
        <f>Calculations!BT305</f>
        <v>0</v>
      </c>
      <c r="BV42" s="110">
        <f>Calculations!BU305</f>
        <v>0</v>
      </c>
      <c r="BW42" s="111">
        <f>Calculations!BV305</f>
        <v>0</v>
      </c>
      <c r="BX42" s="112">
        <f>Calculations!BW305</f>
        <v>0</v>
      </c>
      <c r="BY42" s="110">
        <f>Calculations!BX305</f>
        <v>0</v>
      </c>
      <c r="BZ42" s="111">
        <f>Calculations!BY305</f>
        <v>0</v>
      </c>
      <c r="CA42" s="111">
        <f>Calculations!BZ305+Calculations!CA305</f>
        <v>0</v>
      </c>
      <c r="CB42" s="111">
        <f>Calculations!CB305</f>
        <v>0</v>
      </c>
      <c r="CC42" s="111">
        <f>Calculations!CC305</f>
        <v>0</v>
      </c>
      <c r="CD42" s="112">
        <f>Calculations!CD305</f>
        <v>0</v>
      </c>
      <c r="CE42" s="113">
        <f>Calculations!CE305</f>
        <v>0</v>
      </c>
      <c r="CF42" s="117">
        <f t="shared" si="0"/>
        <v>11654.900466501786</v>
      </c>
      <c r="CH42">
        <f ca="1"/>
        <v>0</v>
      </c>
    </row>
    <row r="43" spans="1:93">
      <c r="A43" s="280"/>
      <c r="B43" s="28" t="s">
        <v>105</v>
      </c>
      <c r="C43" s="110">
        <f>Calculations!C306</f>
        <v>0</v>
      </c>
      <c r="D43" s="111">
        <f>Calculations!D306</f>
        <v>0</v>
      </c>
      <c r="E43" s="111">
        <f>Calculations!E306</f>
        <v>0</v>
      </c>
      <c r="F43" s="111">
        <f>Calculations!F306</f>
        <v>0</v>
      </c>
      <c r="G43" s="111">
        <f>Calculations!G306</f>
        <v>0</v>
      </c>
      <c r="H43" s="111">
        <f>Calculations!H306</f>
        <v>0</v>
      </c>
      <c r="I43" s="111">
        <f>Calculations!I306</f>
        <v>0</v>
      </c>
      <c r="J43" s="111">
        <f>Calculations!J306</f>
        <v>0</v>
      </c>
      <c r="K43" s="111">
        <f>Calculations!K306</f>
        <v>0</v>
      </c>
      <c r="L43" s="111">
        <f>Calculations!L306</f>
        <v>0</v>
      </c>
      <c r="M43" s="111">
        <f>Calculations!M306</f>
        <v>0</v>
      </c>
      <c r="N43" s="111">
        <f>Calculations!N306</f>
        <v>0</v>
      </c>
      <c r="O43" s="111">
        <f>Calculations!O306</f>
        <v>0</v>
      </c>
      <c r="P43" s="111">
        <f>Calculations!P306</f>
        <v>0</v>
      </c>
      <c r="Q43" s="111">
        <f>Calculations!Q306</f>
        <v>0</v>
      </c>
      <c r="R43" s="111">
        <f>Calculations!R306</f>
        <v>0</v>
      </c>
      <c r="S43" s="111">
        <f>Calculations!S306</f>
        <v>0</v>
      </c>
      <c r="T43" s="111">
        <f>Calculations!T306</f>
        <v>0</v>
      </c>
      <c r="U43" s="111">
        <f>Calculations!U306</f>
        <v>0</v>
      </c>
      <c r="V43" s="111">
        <f>Calculations!V306</f>
        <v>0</v>
      </c>
      <c r="W43" s="111">
        <f>Calculations!W306</f>
        <v>0</v>
      </c>
      <c r="X43" s="111">
        <f>Calculations!X306</f>
        <v>0</v>
      </c>
      <c r="Y43" s="111">
        <f>Calculations!Y306</f>
        <v>0</v>
      </c>
      <c r="Z43" s="111">
        <f>Calculations!Z306</f>
        <v>0</v>
      </c>
      <c r="AA43" s="111">
        <f>Calculations!AA306</f>
        <v>0</v>
      </c>
      <c r="AB43" s="111">
        <f>Calculations!AB306</f>
        <v>0</v>
      </c>
      <c r="AC43" s="111">
        <f>Calculations!AC306</f>
        <v>0</v>
      </c>
      <c r="AD43" s="111">
        <f>Calculations!AD306</f>
        <v>0</v>
      </c>
      <c r="AE43" s="111">
        <f>Calculations!AE306</f>
        <v>0</v>
      </c>
      <c r="AF43" s="111">
        <f>Calculations!AF306</f>
        <v>0</v>
      </c>
      <c r="AG43" s="111">
        <f>Calculations!AG306</f>
        <v>0</v>
      </c>
      <c r="AH43" s="111">
        <f>Calculations!AH306</f>
        <v>0</v>
      </c>
      <c r="AI43" s="112">
        <f>Calculations!AI306</f>
        <v>0</v>
      </c>
      <c r="AJ43" s="110">
        <f>Calculations!AJ306</f>
        <v>0</v>
      </c>
      <c r="AK43" s="111">
        <f>Calculations!AK306</f>
        <v>0</v>
      </c>
      <c r="AL43" s="111">
        <f>Calculations!AL306</f>
        <v>0</v>
      </c>
      <c r="AM43" s="111">
        <f>Calculations!AM306</f>
        <v>0</v>
      </c>
      <c r="AN43" s="111">
        <f>Calculations!AN306</f>
        <v>0</v>
      </c>
      <c r="AO43" s="111">
        <f>Calculations!AO306</f>
        <v>0</v>
      </c>
      <c r="AP43" s="111">
        <f>Calculations!AP306</f>
        <v>0</v>
      </c>
      <c r="AQ43" s="111">
        <f>Calculations!AQ306</f>
        <v>0</v>
      </c>
      <c r="AR43" s="111">
        <f>Calculations!AR306</f>
        <v>0</v>
      </c>
      <c r="AS43" s="111">
        <f>Calculations!AS306</f>
        <v>0</v>
      </c>
      <c r="AT43" s="111">
        <f>Calculations!AT306</f>
        <v>0</v>
      </c>
      <c r="AU43" s="111">
        <f>Calculations!AU306</f>
        <v>0</v>
      </c>
      <c r="AV43" s="111">
        <f>Calculations!AV306</f>
        <v>0</v>
      </c>
      <c r="AW43" s="111">
        <f>Calculations!AW306</f>
        <v>0</v>
      </c>
      <c r="AX43" s="111">
        <f>Calculations!AX306</f>
        <v>0</v>
      </c>
      <c r="AY43" s="111">
        <f>Calculations!AY306</f>
        <v>0</v>
      </c>
      <c r="AZ43" s="111">
        <f>Calculations!AZ306</f>
        <v>0</v>
      </c>
      <c r="BA43" s="111">
        <f>Calculations!BA306</f>
        <v>0</v>
      </c>
      <c r="BB43" s="111">
        <f>Calculations!BB306</f>
        <v>0</v>
      </c>
      <c r="BC43" s="111">
        <f>Calculations!BC306</f>
        <v>0</v>
      </c>
      <c r="BD43" s="111">
        <f>Calculations!BD306</f>
        <v>0</v>
      </c>
      <c r="BE43" s="111">
        <f>Calculations!BE306</f>
        <v>0</v>
      </c>
      <c r="BF43" s="111">
        <f>Calculations!BF306</f>
        <v>0</v>
      </c>
      <c r="BG43" s="111">
        <f>Calculations!BG306</f>
        <v>0</v>
      </c>
      <c r="BH43" s="111">
        <f>Calculations!BH306</f>
        <v>0</v>
      </c>
      <c r="BI43" s="111">
        <f>Calculations!BI306</f>
        <v>0</v>
      </c>
      <c r="BJ43" s="111">
        <f>Calculations!BJ306</f>
        <v>0</v>
      </c>
      <c r="BK43" s="111">
        <f>Calculations!BK306</f>
        <v>0</v>
      </c>
      <c r="BL43" s="111">
        <f>Calculations!BL306</f>
        <v>0</v>
      </c>
      <c r="BM43" s="111">
        <f>Calculations!BM306</f>
        <v>0</v>
      </c>
      <c r="BN43" s="111">
        <f>Calculations!BN306</f>
        <v>0</v>
      </c>
      <c r="BO43" s="115">
        <f>Calculations!BO306</f>
        <v>7820.8397258647346</v>
      </c>
      <c r="BP43" s="112">
        <f>Calculations!BP306</f>
        <v>0</v>
      </c>
      <c r="BQ43" s="110">
        <f>Calculations!BQ306</f>
        <v>0</v>
      </c>
      <c r="BR43" s="111">
        <f>Calculations!BR306</f>
        <v>0</v>
      </c>
      <c r="BS43" s="111">
        <v>0</v>
      </c>
      <c r="BT43" s="111">
        <f>Calculations!BS306</f>
        <v>0</v>
      </c>
      <c r="BU43" s="112">
        <f>Calculations!BT306</f>
        <v>0</v>
      </c>
      <c r="BV43" s="110">
        <f>Calculations!BU306</f>
        <v>0</v>
      </c>
      <c r="BW43" s="111">
        <f>Calculations!BV306</f>
        <v>0</v>
      </c>
      <c r="BX43" s="112">
        <f>Calculations!BW306</f>
        <v>0</v>
      </c>
      <c r="BY43" s="110">
        <f>Calculations!BX306</f>
        <v>0</v>
      </c>
      <c r="BZ43" s="111">
        <f>Calculations!BY306</f>
        <v>0</v>
      </c>
      <c r="CA43" s="111">
        <f>Calculations!BZ306+Calculations!CA306</f>
        <v>0</v>
      </c>
      <c r="CB43" s="111">
        <f>Calculations!CB306</f>
        <v>0</v>
      </c>
      <c r="CC43" s="111">
        <f>Calculations!CC306</f>
        <v>0</v>
      </c>
      <c r="CD43" s="112">
        <f>Calculations!CD306</f>
        <v>0</v>
      </c>
      <c r="CE43" s="113">
        <f>Calculations!CE306</f>
        <v>0</v>
      </c>
      <c r="CF43" s="117">
        <f t="shared" si="0"/>
        <v>7820.8397258647346</v>
      </c>
      <c r="CH43">
        <f ca="1"/>
        <v>0</v>
      </c>
    </row>
    <row r="44" spans="1:93" ht="15" thickBot="1">
      <c r="A44" s="281"/>
      <c r="B44" s="42" t="s">
        <v>106</v>
      </c>
      <c r="C44" s="110">
        <f>Calculations!C307</f>
        <v>0</v>
      </c>
      <c r="D44" s="111">
        <f>Calculations!D307</f>
        <v>0</v>
      </c>
      <c r="E44" s="111">
        <f>Calculations!E307</f>
        <v>0</v>
      </c>
      <c r="F44" s="111">
        <f>Calculations!F307</f>
        <v>0</v>
      </c>
      <c r="G44" s="111">
        <f>Calculations!G307</f>
        <v>0</v>
      </c>
      <c r="H44" s="111">
        <f>Calculations!H307</f>
        <v>0</v>
      </c>
      <c r="I44" s="111">
        <f>Calculations!I307</f>
        <v>0</v>
      </c>
      <c r="J44" s="111">
        <f>Calculations!J307</f>
        <v>0</v>
      </c>
      <c r="K44" s="111">
        <f>Calculations!K307</f>
        <v>0</v>
      </c>
      <c r="L44" s="111">
        <f>Calculations!L307</f>
        <v>0</v>
      </c>
      <c r="M44" s="111">
        <f>Calculations!M307</f>
        <v>0</v>
      </c>
      <c r="N44" s="111">
        <f>Calculations!N307</f>
        <v>0</v>
      </c>
      <c r="O44" s="111">
        <f>Calculations!O307</f>
        <v>0</v>
      </c>
      <c r="P44" s="111">
        <f>Calculations!P307</f>
        <v>0</v>
      </c>
      <c r="Q44" s="111">
        <f>Calculations!Q307</f>
        <v>0</v>
      </c>
      <c r="R44" s="111">
        <f>Calculations!R307</f>
        <v>0</v>
      </c>
      <c r="S44" s="111">
        <f>Calculations!S307</f>
        <v>0</v>
      </c>
      <c r="T44" s="111">
        <f>Calculations!T307</f>
        <v>0</v>
      </c>
      <c r="U44" s="111">
        <f>Calculations!U307</f>
        <v>0</v>
      </c>
      <c r="V44" s="111">
        <f>Calculations!V307</f>
        <v>0</v>
      </c>
      <c r="W44" s="111">
        <f>Calculations!W307</f>
        <v>0</v>
      </c>
      <c r="X44" s="111">
        <f>Calculations!X307</f>
        <v>0</v>
      </c>
      <c r="Y44" s="111">
        <f>Calculations!Y307</f>
        <v>0</v>
      </c>
      <c r="Z44" s="111">
        <f>Calculations!Z307</f>
        <v>0</v>
      </c>
      <c r="AA44" s="111">
        <f>Calculations!AA307</f>
        <v>0</v>
      </c>
      <c r="AB44" s="111">
        <f>Calculations!AB307</f>
        <v>0</v>
      </c>
      <c r="AC44" s="111">
        <f>Calculations!AC307</f>
        <v>0</v>
      </c>
      <c r="AD44" s="111">
        <f>Calculations!AD307</f>
        <v>0</v>
      </c>
      <c r="AE44" s="111">
        <f>Calculations!AE307</f>
        <v>0</v>
      </c>
      <c r="AF44" s="111">
        <f>Calculations!AF307</f>
        <v>0</v>
      </c>
      <c r="AG44" s="111">
        <f>Calculations!AG307</f>
        <v>0</v>
      </c>
      <c r="AH44" s="111">
        <f>Calculations!AH307</f>
        <v>0</v>
      </c>
      <c r="AI44" s="112">
        <f>Calculations!AI307</f>
        <v>0</v>
      </c>
      <c r="AJ44" s="110">
        <f>Calculations!AJ307</f>
        <v>0</v>
      </c>
      <c r="AK44" s="111">
        <f>Calculations!AK307</f>
        <v>0</v>
      </c>
      <c r="AL44" s="111">
        <f>Calculations!AL307</f>
        <v>0</v>
      </c>
      <c r="AM44" s="111">
        <f>Calculations!AM307</f>
        <v>0</v>
      </c>
      <c r="AN44" s="111">
        <f>Calculations!AN307</f>
        <v>0</v>
      </c>
      <c r="AO44" s="111">
        <f>Calculations!AO307</f>
        <v>0</v>
      </c>
      <c r="AP44" s="111">
        <f>Calculations!AP307</f>
        <v>0</v>
      </c>
      <c r="AQ44" s="111">
        <f>Calculations!AQ307</f>
        <v>0</v>
      </c>
      <c r="AR44" s="111">
        <f>Calculations!AR307</f>
        <v>0</v>
      </c>
      <c r="AS44" s="111">
        <f>Calculations!AS307</f>
        <v>0</v>
      </c>
      <c r="AT44" s="111">
        <f>Calculations!AT307</f>
        <v>0</v>
      </c>
      <c r="AU44" s="111">
        <f>Calculations!AU307</f>
        <v>0</v>
      </c>
      <c r="AV44" s="111">
        <f>Calculations!AV307</f>
        <v>0</v>
      </c>
      <c r="AW44" s="111">
        <f>Calculations!AW307</f>
        <v>0</v>
      </c>
      <c r="AX44" s="111">
        <f>Calculations!AX307</f>
        <v>0</v>
      </c>
      <c r="AY44" s="111">
        <f>Calculations!AY307</f>
        <v>0</v>
      </c>
      <c r="AZ44" s="111">
        <f>Calculations!AZ307</f>
        <v>0</v>
      </c>
      <c r="BA44" s="111">
        <f>Calculations!BA307</f>
        <v>0</v>
      </c>
      <c r="BB44" s="111">
        <f>Calculations!BB307</f>
        <v>0</v>
      </c>
      <c r="BC44" s="111">
        <f>Calculations!BC307</f>
        <v>0</v>
      </c>
      <c r="BD44" s="111">
        <f>Calculations!BD307</f>
        <v>0</v>
      </c>
      <c r="BE44" s="111">
        <f>Calculations!BE307</f>
        <v>0</v>
      </c>
      <c r="BF44" s="111">
        <f>Calculations!BF307</f>
        <v>0</v>
      </c>
      <c r="BG44" s="111">
        <f>Calculations!BG307</f>
        <v>0</v>
      </c>
      <c r="BH44" s="111">
        <f>Calculations!BH307</f>
        <v>0</v>
      </c>
      <c r="BI44" s="111">
        <f>Calculations!BI307</f>
        <v>0</v>
      </c>
      <c r="BJ44" s="111">
        <f>Calculations!BJ307</f>
        <v>0</v>
      </c>
      <c r="BK44" s="111">
        <f>Calculations!BK307</f>
        <v>0</v>
      </c>
      <c r="BL44" s="111">
        <f>Calculations!BL307</f>
        <v>0</v>
      </c>
      <c r="BM44" s="111">
        <f>Calculations!BM307</f>
        <v>0</v>
      </c>
      <c r="BN44" s="111">
        <f>Calculations!BN307</f>
        <v>0</v>
      </c>
      <c r="BO44" s="111">
        <f>Calculations!BO307</f>
        <v>0</v>
      </c>
      <c r="BP44" s="116">
        <f>Calculations!BP307</f>
        <v>1945.3419233888926</v>
      </c>
      <c r="BQ44" s="110">
        <f>Calculations!BQ307</f>
        <v>0</v>
      </c>
      <c r="BR44" s="111">
        <f>Calculations!BR307</f>
        <v>0</v>
      </c>
      <c r="BS44" s="111">
        <v>0</v>
      </c>
      <c r="BT44" s="111">
        <f>Calculations!BS307</f>
        <v>0</v>
      </c>
      <c r="BU44" s="112">
        <f>Calculations!BT307</f>
        <v>0</v>
      </c>
      <c r="BV44" s="110">
        <f>Calculations!BU307</f>
        <v>0</v>
      </c>
      <c r="BW44" s="111">
        <f>Calculations!BV307</f>
        <v>0</v>
      </c>
      <c r="BX44" s="112">
        <f>Calculations!BW307</f>
        <v>0</v>
      </c>
      <c r="BY44" s="110">
        <f>Calculations!BX307</f>
        <v>0</v>
      </c>
      <c r="BZ44" s="111">
        <f>Calculations!BY307</f>
        <v>0</v>
      </c>
      <c r="CA44" s="111">
        <f>Calculations!BZ307+Calculations!CA307</f>
        <v>0</v>
      </c>
      <c r="CB44" s="111">
        <f>Calculations!CB307</f>
        <v>0</v>
      </c>
      <c r="CC44" s="111">
        <f>Calculations!CC307</f>
        <v>0</v>
      </c>
      <c r="CD44" s="112">
        <f>Calculations!CD307</f>
        <v>0</v>
      </c>
      <c r="CE44" s="113">
        <f>Calculations!CE307</f>
        <v>0</v>
      </c>
      <c r="CF44" s="117">
        <f t="shared" ref="CF44:CF75" si="1">SUM(C44:CE44)</f>
        <v>1945.3419233888926</v>
      </c>
      <c r="CH44">
        <f ca="1"/>
        <v>0</v>
      </c>
      <c r="CJ44" s="34"/>
    </row>
    <row r="45" spans="1:93">
      <c r="A45" s="280" t="s">
        <v>68</v>
      </c>
      <c r="B45" s="44" t="s">
        <v>74</v>
      </c>
      <c r="C45" s="114">
        <f>Calculations!C308</f>
        <v>143.07823590530879</v>
      </c>
      <c r="D45" s="115">
        <f>Calculations!D308</f>
        <v>0</v>
      </c>
      <c r="E45" s="115">
        <f>Calculations!E308</f>
        <v>2948.2760170595957</v>
      </c>
      <c r="F45" s="115">
        <f>Calculations!F308</f>
        <v>0.80286355196178172</v>
      </c>
      <c r="G45" s="115">
        <f>Calculations!G308</f>
        <v>0</v>
      </c>
      <c r="H45" s="115">
        <f>Calculations!H308</f>
        <v>47.293888174773144</v>
      </c>
      <c r="I45" s="115">
        <f>Calculations!I308</f>
        <v>0</v>
      </c>
      <c r="J45" s="115">
        <f>Calculations!J308</f>
        <v>0</v>
      </c>
      <c r="K45" s="115">
        <f>Calculations!K308</f>
        <v>0</v>
      </c>
      <c r="L45" s="115">
        <f>Calculations!L308</f>
        <v>5.2979158899536278</v>
      </c>
      <c r="M45" s="115">
        <f>Calculations!M308</f>
        <v>0</v>
      </c>
      <c r="N45" s="115">
        <f>Calculations!N308</f>
        <v>0</v>
      </c>
      <c r="O45" s="115">
        <f>Calculations!O308</f>
        <v>0</v>
      </c>
      <c r="P45" s="115">
        <f>Calculations!P308</f>
        <v>0</v>
      </c>
      <c r="Q45" s="115">
        <f>Calculations!Q308</f>
        <v>0</v>
      </c>
      <c r="R45" s="115">
        <f>Calculations!R308</f>
        <v>0</v>
      </c>
      <c r="S45" s="115">
        <f>Calculations!S308</f>
        <v>0</v>
      </c>
      <c r="T45" s="115">
        <f>Calculations!T308</f>
        <v>0</v>
      </c>
      <c r="U45" s="115">
        <f>Calculations!U308</f>
        <v>0</v>
      </c>
      <c r="V45" s="115">
        <f>Calculations!V308</f>
        <v>1610.6116036461883</v>
      </c>
      <c r="W45" s="115">
        <f>Calculations!W308</f>
        <v>0</v>
      </c>
      <c r="X45" s="115">
        <f>Calculations!X308</f>
        <v>0</v>
      </c>
      <c r="Y45" s="115">
        <f>Calculations!Y308</f>
        <v>546.04976871135295</v>
      </c>
      <c r="Z45" s="115">
        <f>Calculations!Z308</f>
        <v>0</v>
      </c>
      <c r="AA45" s="115">
        <f>Calculations!AA308</f>
        <v>0</v>
      </c>
      <c r="AB45" s="115">
        <f>Calculations!AB308</f>
        <v>0</v>
      </c>
      <c r="AC45" s="115">
        <f>Calculations!AC308</f>
        <v>0</v>
      </c>
      <c r="AD45" s="115">
        <f>Calculations!AD308</f>
        <v>0</v>
      </c>
      <c r="AE45" s="115">
        <f>Calculations!AE308</f>
        <v>0</v>
      </c>
      <c r="AF45" s="115">
        <f>Calculations!AF308</f>
        <v>0</v>
      </c>
      <c r="AG45" s="115">
        <f>Calculations!AG308</f>
        <v>36.561041205969538</v>
      </c>
      <c r="AH45" s="115">
        <f>Calculations!AH308</f>
        <v>0</v>
      </c>
      <c r="AI45" s="116">
        <f>Calculations!AI308</f>
        <v>0</v>
      </c>
      <c r="AJ45" s="110">
        <f>Calculations!AJ308</f>
        <v>0</v>
      </c>
      <c r="AK45" s="111">
        <f>Calculations!AK308</f>
        <v>0</v>
      </c>
      <c r="AL45" s="111">
        <f>Calculations!AL308</f>
        <v>0</v>
      </c>
      <c r="AM45" s="111">
        <f>Calculations!AM308</f>
        <v>0</v>
      </c>
      <c r="AN45" s="111">
        <f>Calculations!AN308</f>
        <v>0</v>
      </c>
      <c r="AO45" s="111">
        <f>Calculations!AO308</f>
        <v>0</v>
      </c>
      <c r="AP45" s="111">
        <f>Calculations!AP308</f>
        <v>0</v>
      </c>
      <c r="AQ45" s="111">
        <f>Calculations!AQ308</f>
        <v>0</v>
      </c>
      <c r="AR45" s="111">
        <f>Calculations!AR308</f>
        <v>0</v>
      </c>
      <c r="AS45" s="111">
        <f>Calculations!AS308</f>
        <v>0</v>
      </c>
      <c r="AT45" s="111">
        <f>Calculations!AT308</f>
        <v>0</v>
      </c>
      <c r="AU45" s="111">
        <f>Calculations!AU308</f>
        <v>0</v>
      </c>
      <c r="AV45" s="111">
        <f>Calculations!AV308</f>
        <v>0</v>
      </c>
      <c r="AW45" s="111">
        <f>Calculations!AW308</f>
        <v>0</v>
      </c>
      <c r="AX45" s="111">
        <f>Calculations!AX308</f>
        <v>0</v>
      </c>
      <c r="AY45" s="111">
        <f>Calculations!AY308</f>
        <v>0</v>
      </c>
      <c r="AZ45" s="111">
        <f>Calculations!AZ308</f>
        <v>0</v>
      </c>
      <c r="BA45" s="111">
        <f>Calculations!BA308</f>
        <v>0</v>
      </c>
      <c r="BB45" s="111">
        <f>Calculations!BB308</f>
        <v>0</v>
      </c>
      <c r="BC45" s="111">
        <f>Calculations!BC308</f>
        <v>0</v>
      </c>
      <c r="BD45" s="111">
        <f>Calculations!BD308</f>
        <v>0</v>
      </c>
      <c r="BE45" s="111">
        <f>Calculations!BE308</f>
        <v>0</v>
      </c>
      <c r="BF45" s="111">
        <f>Calculations!BF308</f>
        <v>0</v>
      </c>
      <c r="BG45" s="111">
        <f>Calculations!BG308</f>
        <v>0</v>
      </c>
      <c r="BH45" s="111">
        <f>Calculations!BH308</f>
        <v>0</v>
      </c>
      <c r="BI45" s="111">
        <f>Calculations!BI308</f>
        <v>0</v>
      </c>
      <c r="BJ45" s="111">
        <f>Calculations!BJ308</f>
        <v>0</v>
      </c>
      <c r="BK45" s="111">
        <f>Calculations!BK308</f>
        <v>0</v>
      </c>
      <c r="BL45" s="111">
        <f>Calculations!BL308</f>
        <v>0</v>
      </c>
      <c r="BM45" s="111">
        <f>Calculations!BM308</f>
        <v>0</v>
      </c>
      <c r="BN45" s="111">
        <f>Calculations!BN308</f>
        <v>0</v>
      </c>
      <c r="BO45" s="111">
        <f>Calculations!BO308</f>
        <v>0</v>
      </c>
      <c r="BP45" s="112">
        <f>Calculations!BP308</f>
        <v>0</v>
      </c>
      <c r="BQ45" s="110">
        <f>Calculations!BQ308</f>
        <v>0</v>
      </c>
      <c r="BR45" s="111">
        <f>Calculations!BR308</f>
        <v>0</v>
      </c>
      <c r="BS45" s="111">
        <v>0</v>
      </c>
      <c r="BT45" s="111">
        <f>Calculations!BS308</f>
        <v>0</v>
      </c>
      <c r="BU45" s="112">
        <f>Calculations!BT308</f>
        <v>0</v>
      </c>
      <c r="BV45" s="110">
        <f>Calculations!BU308</f>
        <v>0</v>
      </c>
      <c r="BW45" s="111">
        <f>Calculations!BV308</f>
        <v>0</v>
      </c>
      <c r="BX45" s="112">
        <f>Calculations!BW308</f>
        <v>0</v>
      </c>
      <c r="BY45" s="141">
        <f ca="1">Calculations!BX308+'Calculations 2'!CJ45</f>
        <v>387.54161328952961</v>
      </c>
      <c r="BZ45" s="142">
        <f ca="1">Calculations!BY308+'Calculations 2'!CK45</f>
        <v>2036.7337861424442</v>
      </c>
      <c r="CA45" s="142">
        <f ca="1">Calculations!BZ308+Calculations!CA308</f>
        <v>300.5145892607373</v>
      </c>
      <c r="CB45" s="142">
        <f ca="1">Calculations!CB308+'Calculations 2'!CN45</f>
        <v>0</v>
      </c>
      <c r="CC45" s="115">
        <f>Calculations!CC308+'Calculations 2'!CO45</f>
        <v>0</v>
      </c>
      <c r="CD45" s="116">
        <f>Calculations!CD308</f>
        <v>13478.351902081989</v>
      </c>
      <c r="CE45" s="117">
        <f>Calculations!CE308</f>
        <v>327.9915341696771</v>
      </c>
      <c r="CF45" s="117">
        <f t="shared" ca="1" si="1"/>
        <v>21869.104759089481</v>
      </c>
      <c r="CH45">
        <f ca="1"/>
        <v>0</v>
      </c>
      <c r="CJ45" s="34"/>
      <c r="CK45" s="34"/>
      <c r="CL45" s="34"/>
      <c r="CM45" s="34"/>
      <c r="CN45" s="34"/>
      <c r="CO45" s="34"/>
    </row>
    <row r="46" spans="1:93">
      <c r="A46" s="280"/>
      <c r="B46" s="44" t="s">
        <v>75</v>
      </c>
      <c r="C46" s="114">
        <f>Calculations!C309</f>
        <v>0</v>
      </c>
      <c r="D46" s="115">
        <f>Calculations!D309</f>
        <v>653.16941081642108</v>
      </c>
      <c r="E46" s="115">
        <f>Calculations!E309</f>
        <v>101.44139136435791</v>
      </c>
      <c r="F46" s="115">
        <f>Calculations!F309</f>
        <v>0</v>
      </c>
      <c r="G46" s="115">
        <f>Calculations!G309</f>
        <v>0</v>
      </c>
      <c r="H46" s="115">
        <f>Calculations!H309</f>
        <v>6.1203669341497218</v>
      </c>
      <c r="I46" s="115">
        <f>Calculations!I309</f>
        <v>0</v>
      </c>
      <c r="J46" s="115">
        <f>Calculations!J309</f>
        <v>22262.802475382508</v>
      </c>
      <c r="K46" s="115">
        <f>Calculations!K309</f>
        <v>22.487696830331647</v>
      </c>
      <c r="L46" s="115">
        <f>Calculations!L309</f>
        <v>0</v>
      </c>
      <c r="M46" s="115">
        <f>Calculations!M309</f>
        <v>297.72952112198385</v>
      </c>
      <c r="N46" s="115">
        <f>Calculations!N309</f>
        <v>23.711952651076075</v>
      </c>
      <c r="O46" s="115">
        <f>Calculations!O309</f>
        <v>2.4323441930633103E-2</v>
      </c>
      <c r="P46" s="115">
        <f>Calculations!P309</f>
        <v>0</v>
      </c>
      <c r="Q46" s="115">
        <f>Calculations!Q309</f>
        <v>0</v>
      </c>
      <c r="R46" s="115">
        <f>Calculations!R309</f>
        <v>349.98526899996273</v>
      </c>
      <c r="S46" s="115">
        <f>Calculations!S309</f>
        <v>0</v>
      </c>
      <c r="T46" s="115">
        <f>Calculations!T309</f>
        <v>284.62506732249068</v>
      </c>
      <c r="U46" s="115">
        <f>Calculations!U309</f>
        <v>60.706331757998363</v>
      </c>
      <c r="V46" s="115">
        <f>Calculations!V309</f>
        <v>0</v>
      </c>
      <c r="W46" s="115">
        <f>Calculations!W309</f>
        <v>0.68713536245575257</v>
      </c>
      <c r="X46" s="115">
        <f>Calculations!X309</f>
        <v>0</v>
      </c>
      <c r="Y46" s="115">
        <f>Calculations!Y309</f>
        <v>0</v>
      </c>
      <c r="Z46" s="115">
        <f>Calculations!Z309</f>
        <v>407.34275326788526</v>
      </c>
      <c r="AA46" s="115">
        <f>Calculations!AA309</f>
        <v>0</v>
      </c>
      <c r="AB46" s="115">
        <f>Calculations!AB309</f>
        <v>0</v>
      </c>
      <c r="AC46" s="115">
        <f>Calculations!AC309</f>
        <v>0</v>
      </c>
      <c r="AD46" s="115">
        <f>Calculations!AD309</f>
        <v>0</v>
      </c>
      <c r="AE46" s="115">
        <f>Calculations!AE309</f>
        <v>0</v>
      </c>
      <c r="AF46" s="115">
        <f>Calculations!AF309</f>
        <v>0</v>
      </c>
      <c r="AG46" s="115">
        <f>Calculations!AG309</f>
        <v>0</v>
      </c>
      <c r="AH46" s="115">
        <f>Calculations!AH309</f>
        <v>0</v>
      </c>
      <c r="AI46" s="116">
        <f>Calculations!AI309</f>
        <v>0</v>
      </c>
      <c r="AJ46" s="110">
        <f>Calculations!AJ309</f>
        <v>0</v>
      </c>
      <c r="AK46" s="111">
        <f>Calculations!AK309</f>
        <v>0</v>
      </c>
      <c r="AL46" s="111">
        <f>Calculations!AL309</f>
        <v>0</v>
      </c>
      <c r="AM46" s="111">
        <f>Calculations!AM309</f>
        <v>0</v>
      </c>
      <c r="AN46" s="111">
        <f>Calculations!AN309</f>
        <v>0</v>
      </c>
      <c r="AO46" s="111">
        <f>Calculations!AO309</f>
        <v>0</v>
      </c>
      <c r="AP46" s="111">
        <f>Calculations!AP309</f>
        <v>0</v>
      </c>
      <c r="AQ46" s="111">
        <f>Calculations!AQ309</f>
        <v>0</v>
      </c>
      <c r="AR46" s="111">
        <f>Calculations!AR309</f>
        <v>0</v>
      </c>
      <c r="AS46" s="111">
        <f>Calculations!AS309</f>
        <v>0</v>
      </c>
      <c r="AT46" s="111">
        <f>Calculations!AT309</f>
        <v>0</v>
      </c>
      <c r="AU46" s="111">
        <f>Calculations!AU309</f>
        <v>0</v>
      </c>
      <c r="AV46" s="111">
        <f>Calculations!AV309</f>
        <v>0</v>
      </c>
      <c r="AW46" s="111">
        <f>Calculations!AW309</f>
        <v>0</v>
      </c>
      <c r="AX46" s="111">
        <f>Calculations!AX309</f>
        <v>0</v>
      </c>
      <c r="AY46" s="111">
        <f>Calculations!AY309</f>
        <v>0</v>
      </c>
      <c r="AZ46" s="111">
        <f>Calculations!AZ309</f>
        <v>0</v>
      </c>
      <c r="BA46" s="111">
        <f>Calculations!BA309</f>
        <v>0</v>
      </c>
      <c r="BB46" s="111">
        <f>Calculations!BB309</f>
        <v>0</v>
      </c>
      <c r="BC46" s="111">
        <f>Calculations!BC309</f>
        <v>0</v>
      </c>
      <c r="BD46" s="111">
        <f>Calculations!BD309</f>
        <v>0</v>
      </c>
      <c r="BE46" s="111">
        <f>Calculations!BE309</f>
        <v>0</v>
      </c>
      <c r="BF46" s="111">
        <f>Calculations!BF309</f>
        <v>0</v>
      </c>
      <c r="BG46" s="111">
        <f>Calculations!BG309</f>
        <v>0</v>
      </c>
      <c r="BH46" s="111">
        <f>Calculations!BH309</f>
        <v>0</v>
      </c>
      <c r="BI46" s="111">
        <f>Calculations!BI309</f>
        <v>0</v>
      </c>
      <c r="BJ46" s="111">
        <f>Calculations!BJ309</f>
        <v>0</v>
      </c>
      <c r="BK46" s="111">
        <f>Calculations!BK309</f>
        <v>0</v>
      </c>
      <c r="BL46" s="111">
        <f>Calculations!BL309</f>
        <v>0</v>
      </c>
      <c r="BM46" s="111">
        <f>Calculations!BM309</f>
        <v>0</v>
      </c>
      <c r="BN46" s="111">
        <f>Calculations!BN309</f>
        <v>0</v>
      </c>
      <c r="BO46" s="111">
        <f>Calculations!BO309</f>
        <v>0</v>
      </c>
      <c r="BP46" s="112">
        <f>Calculations!BP309</f>
        <v>0</v>
      </c>
      <c r="BQ46" s="110">
        <f>Calculations!BQ309</f>
        <v>0</v>
      </c>
      <c r="BR46" s="111">
        <f>Calculations!BR309</f>
        <v>0</v>
      </c>
      <c r="BS46" s="111">
        <v>0</v>
      </c>
      <c r="BT46" s="111">
        <f>Calculations!BS309</f>
        <v>0</v>
      </c>
      <c r="BU46" s="112">
        <f>Calculations!BT309</f>
        <v>0</v>
      </c>
      <c r="BV46" s="110">
        <f>Calculations!BU309</f>
        <v>0</v>
      </c>
      <c r="BW46" s="111">
        <f>Calculations!BV309</f>
        <v>0</v>
      </c>
      <c r="BX46" s="112">
        <f>Calculations!BW309</f>
        <v>0</v>
      </c>
      <c r="BY46" s="141">
        <f ca="1">Calculations!BX309+'Calculations 2'!CJ46</f>
        <v>16.849359213951164</v>
      </c>
      <c r="BZ46" s="142">
        <f ca="1">Calculations!BY309+'Calculations 2'!CK46</f>
        <v>437.35053589275822</v>
      </c>
      <c r="CA46" s="142">
        <f ca="1">Calculations!BZ309+Calculations!CA309</f>
        <v>59.878164448283385</v>
      </c>
      <c r="CB46" s="142">
        <f ca="1">Calculations!CB309+'Calculations 2'!CN46</f>
        <v>0</v>
      </c>
      <c r="CC46" s="115">
        <f>Calculations!CC309+'Calculations 2'!CO46</f>
        <v>0</v>
      </c>
      <c r="CD46" s="116">
        <f>Calculations!CD309</f>
        <v>125317.36036255097</v>
      </c>
      <c r="CE46" s="117">
        <f>Calculations!CE309</f>
        <v>521.2328051112944</v>
      </c>
      <c r="CF46" s="117">
        <f t="shared" ca="1" si="1"/>
        <v>150823.50492247081</v>
      </c>
      <c r="CH46">
        <f ca="1"/>
        <v>0</v>
      </c>
      <c r="CJ46" s="34"/>
      <c r="CK46" s="34"/>
      <c r="CL46" s="34"/>
      <c r="CM46" s="34"/>
      <c r="CN46" s="34"/>
      <c r="CO46" s="34"/>
    </row>
    <row r="47" spans="1:93">
      <c r="A47" s="280"/>
      <c r="B47" s="44" t="s">
        <v>76</v>
      </c>
      <c r="C47" s="114">
        <f>Calculations!C310</f>
        <v>443.27858699773691</v>
      </c>
      <c r="D47" s="115">
        <f>Calculations!D310</f>
        <v>0</v>
      </c>
      <c r="E47" s="115">
        <f>Calculations!E310</f>
        <v>8805.5268241051217</v>
      </c>
      <c r="F47" s="115">
        <f>Calculations!F310</f>
        <v>0</v>
      </c>
      <c r="G47" s="115">
        <f>Calculations!G310</f>
        <v>0</v>
      </c>
      <c r="H47" s="115">
        <f>Calculations!H310</f>
        <v>2.3586798746378018E-2</v>
      </c>
      <c r="I47" s="115">
        <f>Calculations!I310</f>
        <v>0.24330826989269344</v>
      </c>
      <c r="J47" s="115">
        <f>Calculations!J310</f>
        <v>0</v>
      </c>
      <c r="K47" s="115">
        <f>Calculations!K310</f>
        <v>45.323193258002348</v>
      </c>
      <c r="L47" s="115">
        <f>Calculations!L310</f>
        <v>0</v>
      </c>
      <c r="M47" s="115">
        <f>Calculations!M310</f>
        <v>0</v>
      </c>
      <c r="N47" s="115">
        <f>Calculations!N310</f>
        <v>4.1326843550814116</v>
      </c>
      <c r="O47" s="115">
        <f>Calculations!O310</f>
        <v>0</v>
      </c>
      <c r="P47" s="115">
        <f>Calculations!P310</f>
        <v>0.37408767626039047</v>
      </c>
      <c r="Q47" s="115">
        <f>Calculations!Q310</f>
        <v>8.6673367614887933E-2</v>
      </c>
      <c r="R47" s="115">
        <f>Calculations!R310</f>
        <v>0.23063435453130504</v>
      </c>
      <c r="S47" s="115">
        <f>Calculations!S310</f>
        <v>4.8891826825966378E-2</v>
      </c>
      <c r="T47" s="115">
        <f>Calculations!T310</f>
        <v>0.90742099991843894</v>
      </c>
      <c r="U47" s="115">
        <f>Calculations!U310</f>
        <v>44.82131171797139</v>
      </c>
      <c r="V47" s="115">
        <f>Calculations!V310</f>
        <v>9221.4896063921806</v>
      </c>
      <c r="W47" s="115">
        <f>Calculations!W310</f>
        <v>5.7621653420335858E-2</v>
      </c>
      <c r="X47" s="115">
        <f>Calculations!X310</f>
        <v>0</v>
      </c>
      <c r="Y47" s="115">
        <f>Calculations!Y310</f>
        <v>2734.1726592034756</v>
      </c>
      <c r="Z47" s="115">
        <f>Calculations!Z310</f>
        <v>47.926888375112767</v>
      </c>
      <c r="AA47" s="115">
        <f>Calculations!AA310</f>
        <v>0</v>
      </c>
      <c r="AB47" s="115">
        <f>Calculations!AB310</f>
        <v>0</v>
      </c>
      <c r="AC47" s="115">
        <f>Calculations!AC310</f>
        <v>52.972689877271435</v>
      </c>
      <c r="AD47" s="115">
        <f>Calculations!AD310</f>
        <v>61.641520505996795</v>
      </c>
      <c r="AE47" s="115">
        <f>Calculations!AE310</f>
        <v>91.856638011086147</v>
      </c>
      <c r="AF47" s="115">
        <f>Calculations!AF310</f>
        <v>5.6700134628609913</v>
      </c>
      <c r="AG47" s="115">
        <f>Calculations!AG310</f>
        <v>258.32034603018809</v>
      </c>
      <c r="AH47" s="115">
        <f>Calculations!AH310</f>
        <v>386.26082050460712</v>
      </c>
      <c r="AI47" s="116">
        <f>Calculations!AI310</f>
        <v>0</v>
      </c>
      <c r="AJ47" s="110">
        <f>Calculations!AJ310</f>
        <v>0</v>
      </c>
      <c r="AK47" s="111">
        <f>Calculations!AK310</f>
        <v>0</v>
      </c>
      <c r="AL47" s="111">
        <f>Calculations!AL310</f>
        <v>0</v>
      </c>
      <c r="AM47" s="111">
        <f>Calculations!AM310</f>
        <v>0</v>
      </c>
      <c r="AN47" s="111">
        <f>Calculations!AN310</f>
        <v>0</v>
      </c>
      <c r="AO47" s="111">
        <f>Calculations!AO310</f>
        <v>0</v>
      </c>
      <c r="AP47" s="111">
        <f>Calculations!AP310</f>
        <v>0</v>
      </c>
      <c r="AQ47" s="111">
        <f>Calculations!AQ310</f>
        <v>0</v>
      </c>
      <c r="AR47" s="111">
        <f>Calculations!AR310</f>
        <v>0</v>
      </c>
      <c r="AS47" s="111">
        <f>Calculations!AS310</f>
        <v>0</v>
      </c>
      <c r="AT47" s="111">
        <f>Calculations!AT310</f>
        <v>0</v>
      </c>
      <c r="AU47" s="111">
        <f>Calculations!AU310</f>
        <v>0</v>
      </c>
      <c r="AV47" s="111">
        <f>Calculations!AV310</f>
        <v>0</v>
      </c>
      <c r="AW47" s="111">
        <f>Calculations!AW310</f>
        <v>0</v>
      </c>
      <c r="AX47" s="111">
        <f>Calculations!AX310</f>
        <v>0</v>
      </c>
      <c r="AY47" s="111">
        <f>Calculations!AY310</f>
        <v>0</v>
      </c>
      <c r="AZ47" s="111">
        <f>Calculations!AZ310</f>
        <v>0</v>
      </c>
      <c r="BA47" s="111">
        <f>Calculations!BA310</f>
        <v>0</v>
      </c>
      <c r="BB47" s="111">
        <f>Calculations!BB310</f>
        <v>0</v>
      </c>
      <c r="BC47" s="111">
        <f>Calculations!BC310</f>
        <v>0</v>
      </c>
      <c r="BD47" s="111">
        <f>Calculations!BD310</f>
        <v>0</v>
      </c>
      <c r="BE47" s="111">
        <f>Calculations!BE310</f>
        <v>0</v>
      </c>
      <c r="BF47" s="111">
        <f>Calculations!BF310</f>
        <v>0</v>
      </c>
      <c r="BG47" s="111">
        <f>Calculations!BG310</f>
        <v>0</v>
      </c>
      <c r="BH47" s="111">
        <f>Calculations!BH310</f>
        <v>0</v>
      </c>
      <c r="BI47" s="111">
        <f>Calculations!BI310</f>
        <v>0</v>
      </c>
      <c r="BJ47" s="111">
        <f>Calculations!BJ310</f>
        <v>0</v>
      </c>
      <c r="BK47" s="111">
        <f>Calculations!BK310</f>
        <v>0</v>
      </c>
      <c r="BL47" s="111">
        <f>Calculations!BL310</f>
        <v>0</v>
      </c>
      <c r="BM47" s="111">
        <f>Calculations!BM310</f>
        <v>0</v>
      </c>
      <c r="BN47" s="111">
        <f>Calculations!BN310</f>
        <v>0</v>
      </c>
      <c r="BO47" s="111">
        <f>Calculations!BO310</f>
        <v>0</v>
      </c>
      <c r="BP47" s="112">
        <f>Calculations!BP310</f>
        <v>0</v>
      </c>
      <c r="BQ47" s="110">
        <f>Calculations!BQ310</f>
        <v>0</v>
      </c>
      <c r="BR47" s="111">
        <f>Calculations!BR310</f>
        <v>0</v>
      </c>
      <c r="BS47" s="111">
        <v>0</v>
      </c>
      <c r="BT47" s="111">
        <f>Calculations!BS310</f>
        <v>0</v>
      </c>
      <c r="BU47" s="112">
        <f>Calculations!BT310</f>
        <v>0</v>
      </c>
      <c r="BV47" s="110">
        <f>Calculations!BU310</f>
        <v>0</v>
      </c>
      <c r="BW47" s="111">
        <f>Calculations!BV310</f>
        <v>0</v>
      </c>
      <c r="BX47" s="112">
        <f>Calculations!BW310</f>
        <v>0</v>
      </c>
      <c r="BY47" s="141">
        <f ca="1">Calculations!BX310+'Calculations 2'!CJ47</f>
        <v>1253.1684939058321</v>
      </c>
      <c r="BZ47" s="142">
        <f ca="1">Calculations!BY310+'Calculations 2'!CK47</f>
        <v>6198.5988946857278</v>
      </c>
      <c r="CA47" s="142">
        <f ca="1">Calculations!BZ310+Calculations!CA310</f>
        <v>1683.9949282178609</v>
      </c>
      <c r="CB47" s="142">
        <f ca="1">Calculations!CB310+'Calculations 2'!CN47</f>
        <v>0</v>
      </c>
      <c r="CC47" s="115">
        <f>Calculations!CC310+'Calculations 2'!CO47</f>
        <v>0</v>
      </c>
      <c r="CD47" s="116">
        <f>Calculations!CD310</f>
        <v>40267.724701005194</v>
      </c>
      <c r="CE47" s="117">
        <f>Calculations!CE310</f>
        <v>187.14831260354563</v>
      </c>
      <c r="CF47" s="117">
        <f t="shared" ca="1" si="1"/>
        <v>71796.001338162067</v>
      </c>
      <c r="CH47">
        <f ca="1"/>
        <v>0</v>
      </c>
      <c r="CJ47" s="34"/>
      <c r="CK47" s="34"/>
      <c r="CL47" s="34"/>
      <c r="CM47" s="34"/>
      <c r="CN47" s="34"/>
      <c r="CO47" s="34"/>
    </row>
    <row r="48" spans="1:93">
      <c r="A48" s="280"/>
      <c r="B48" s="44" t="s">
        <v>77</v>
      </c>
      <c r="C48" s="114">
        <f>Calculations!C311</f>
        <v>9.8214309387835055</v>
      </c>
      <c r="D48" s="115">
        <f>Calculations!D311</f>
        <v>0</v>
      </c>
      <c r="E48" s="115">
        <f>Calculations!E311</f>
        <v>40.776498420445073</v>
      </c>
      <c r="F48" s="115">
        <f>Calculations!F311</f>
        <v>847.77562503103979</v>
      </c>
      <c r="G48" s="115">
        <f>Calculations!G311</f>
        <v>2.7194626952667775</v>
      </c>
      <c r="H48" s="115">
        <f>Calculations!H311</f>
        <v>24.203471482992004</v>
      </c>
      <c r="I48" s="115">
        <f>Calculations!I311</f>
        <v>14.517658738705769</v>
      </c>
      <c r="J48" s="115">
        <f>Calculations!J311</f>
        <v>1.4346228140804382E-3</v>
      </c>
      <c r="K48" s="115">
        <f>Calculations!K311</f>
        <v>3.9443526400293405</v>
      </c>
      <c r="L48" s="115">
        <f>Calculations!L311</f>
        <v>0.2772327233887632</v>
      </c>
      <c r="M48" s="115">
        <f>Calculations!M311</f>
        <v>3.1923404967877418</v>
      </c>
      <c r="N48" s="115">
        <f>Calculations!N311</f>
        <v>15.217026077527342</v>
      </c>
      <c r="O48" s="115">
        <f>Calculations!O311</f>
        <v>4.474749151108508</v>
      </c>
      <c r="P48" s="115">
        <f>Calculations!P311</f>
        <v>2.6666000697492152</v>
      </c>
      <c r="Q48" s="115">
        <f>Calculations!Q311</f>
        <v>69.702729973059306</v>
      </c>
      <c r="R48" s="115">
        <f>Calculations!R311</f>
        <v>74.578343452838638</v>
      </c>
      <c r="S48" s="115">
        <f>Calculations!S311</f>
        <v>0.58925542747739501</v>
      </c>
      <c r="T48" s="115">
        <f>Calculations!T311</f>
        <v>122.7376543392551</v>
      </c>
      <c r="U48" s="115">
        <f>Calculations!U311</f>
        <v>137.09779810140287</v>
      </c>
      <c r="V48" s="115">
        <f>Calculations!V311</f>
        <v>490.7492417506129</v>
      </c>
      <c r="W48" s="115">
        <f>Calculations!W311</f>
        <v>15.468951235922477</v>
      </c>
      <c r="X48" s="115">
        <f>Calculations!X311</f>
        <v>1.7603693104953213E-2</v>
      </c>
      <c r="Y48" s="115">
        <f>Calculations!Y311</f>
        <v>246.62359594030562</v>
      </c>
      <c r="Z48" s="115">
        <f>Calculations!Z311</f>
        <v>176.32222278972475</v>
      </c>
      <c r="AA48" s="115">
        <f>Calculations!AA311</f>
        <v>83.761824909061872</v>
      </c>
      <c r="AB48" s="115">
        <f>Calculations!AB311</f>
        <v>0</v>
      </c>
      <c r="AC48" s="115">
        <f>Calculations!AC311</f>
        <v>1.8691740278591968</v>
      </c>
      <c r="AD48" s="115">
        <f>Calculations!AD311</f>
        <v>136.27980428647743</v>
      </c>
      <c r="AE48" s="115">
        <f>Calculations!AE311</f>
        <v>390.7564621650813</v>
      </c>
      <c r="AF48" s="115">
        <f>Calculations!AF311</f>
        <v>14.621530560217048</v>
      </c>
      <c r="AG48" s="115">
        <f>Calculations!AG311</f>
        <v>19.954025889379952</v>
      </c>
      <c r="AH48" s="115">
        <f>Calculations!AH311</f>
        <v>55.460526419644168</v>
      </c>
      <c r="AI48" s="116">
        <f>Calculations!AI311</f>
        <v>0</v>
      </c>
      <c r="AJ48" s="110">
        <f>Calculations!AJ311</f>
        <v>0</v>
      </c>
      <c r="AK48" s="111">
        <f>Calculations!AK311</f>
        <v>0</v>
      </c>
      <c r="AL48" s="111">
        <f>Calculations!AL311</f>
        <v>0</v>
      </c>
      <c r="AM48" s="111">
        <f>Calculations!AM311</f>
        <v>0</v>
      </c>
      <c r="AN48" s="111">
        <f>Calculations!AN311</f>
        <v>0</v>
      </c>
      <c r="AO48" s="111">
        <f>Calculations!AO311</f>
        <v>0</v>
      </c>
      <c r="AP48" s="111">
        <f>Calculations!AP311</f>
        <v>0</v>
      </c>
      <c r="AQ48" s="111">
        <f>Calculations!AQ311</f>
        <v>0</v>
      </c>
      <c r="AR48" s="111">
        <f>Calculations!AR311</f>
        <v>0</v>
      </c>
      <c r="AS48" s="111">
        <f>Calculations!AS311</f>
        <v>0</v>
      </c>
      <c r="AT48" s="111">
        <f>Calculations!AT311</f>
        <v>0</v>
      </c>
      <c r="AU48" s="111">
        <f>Calculations!AU311</f>
        <v>0</v>
      </c>
      <c r="AV48" s="111">
        <f>Calculations!AV311</f>
        <v>0</v>
      </c>
      <c r="AW48" s="111">
        <f>Calculations!AW311</f>
        <v>0</v>
      </c>
      <c r="AX48" s="111">
        <f>Calculations!AX311</f>
        <v>0</v>
      </c>
      <c r="AY48" s="111">
        <f>Calculations!AY311</f>
        <v>0</v>
      </c>
      <c r="AZ48" s="111">
        <f>Calculations!AZ311</f>
        <v>0</v>
      </c>
      <c r="BA48" s="111">
        <f>Calculations!BA311</f>
        <v>0</v>
      </c>
      <c r="BB48" s="111">
        <f>Calculations!BB311</f>
        <v>0</v>
      </c>
      <c r="BC48" s="111">
        <f>Calculations!BC311</f>
        <v>0</v>
      </c>
      <c r="BD48" s="111">
        <f>Calculations!BD311</f>
        <v>0</v>
      </c>
      <c r="BE48" s="111">
        <f>Calculations!BE311</f>
        <v>0</v>
      </c>
      <c r="BF48" s="111">
        <f>Calculations!BF311</f>
        <v>0</v>
      </c>
      <c r="BG48" s="111">
        <f>Calculations!BG311</f>
        <v>0</v>
      </c>
      <c r="BH48" s="111">
        <f>Calculations!BH311</f>
        <v>0</v>
      </c>
      <c r="BI48" s="111">
        <f>Calculations!BI311</f>
        <v>0</v>
      </c>
      <c r="BJ48" s="111">
        <f>Calculations!BJ311</f>
        <v>0</v>
      </c>
      <c r="BK48" s="111">
        <f>Calculations!BK311</f>
        <v>0</v>
      </c>
      <c r="BL48" s="111">
        <f>Calculations!BL311</f>
        <v>0</v>
      </c>
      <c r="BM48" s="111">
        <f>Calculations!BM311</f>
        <v>0</v>
      </c>
      <c r="BN48" s="111">
        <f>Calculations!BN311</f>
        <v>0</v>
      </c>
      <c r="BO48" s="111">
        <f>Calculations!BO311</f>
        <v>0</v>
      </c>
      <c r="BP48" s="112">
        <f>Calculations!BP311</f>
        <v>0</v>
      </c>
      <c r="BQ48" s="110">
        <f>Calculations!BQ311</f>
        <v>0</v>
      </c>
      <c r="BR48" s="111">
        <f>Calculations!BR311</f>
        <v>0</v>
      </c>
      <c r="BS48" s="111">
        <v>0</v>
      </c>
      <c r="BT48" s="111">
        <f>Calculations!BS311</f>
        <v>0</v>
      </c>
      <c r="BU48" s="112">
        <f>Calculations!BT311</f>
        <v>0</v>
      </c>
      <c r="BV48" s="110">
        <f>Calculations!BU311</f>
        <v>0</v>
      </c>
      <c r="BW48" s="111">
        <f>Calculations!BV311</f>
        <v>0</v>
      </c>
      <c r="BX48" s="112">
        <f>Calculations!BW311</f>
        <v>0</v>
      </c>
      <c r="BY48" s="141">
        <f ca="1">Calculations!BX311+'Calculations 2'!CJ48</f>
        <v>470.47534986483754</v>
      </c>
      <c r="BZ48" s="142">
        <f ca="1">Calculations!BY311+'Calculations 2'!CK48</f>
        <v>2116.3817131144733</v>
      </c>
      <c r="CA48" s="142">
        <f ca="1">Calculations!BZ311+Calculations!CA311</f>
        <v>182.69544291295344</v>
      </c>
      <c r="CB48" s="142">
        <f ca="1">Calculations!CB311+'Calculations 2'!CN48</f>
        <v>0</v>
      </c>
      <c r="CC48" s="115">
        <f>Calculations!CC311+'Calculations 2'!CO48</f>
        <v>0</v>
      </c>
      <c r="CD48" s="116">
        <f>Calculations!CD311</f>
        <v>18250.608304205467</v>
      </c>
      <c r="CE48" s="117">
        <f>Calculations!CE311</f>
        <v>2712.2571658698798</v>
      </c>
      <c r="CF48" s="117">
        <f t="shared" ca="1" si="1"/>
        <v>26738.596604017675</v>
      </c>
      <c r="CH48">
        <f ca="1"/>
        <v>0</v>
      </c>
      <c r="CJ48" s="34"/>
      <c r="CK48" s="34"/>
      <c r="CL48" s="34"/>
      <c r="CM48" s="34"/>
      <c r="CN48" s="34"/>
      <c r="CO48" s="34"/>
    </row>
    <row r="49" spans="1:93">
      <c r="A49" s="280"/>
      <c r="B49" s="44" t="s">
        <v>78</v>
      </c>
      <c r="C49" s="114">
        <f>Calculations!C312</f>
        <v>0</v>
      </c>
      <c r="D49" s="115">
        <f>Calculations!D312</f>
        <v>0</v>
      </c>
      <c r="E49" s="115">
        <f>Calculations!E312</f>
        <v>0</v>
      </c>
      <c r="F49" s="115">
        <f>Calculations!F312</f>
        <v>4.713775331519289E-2</v>
      </c>
      <c r="G49" s="115">
        <f>Calculations!G312</f>
        <v>4.6397824460873478</v>
      </c>
      <c r="H49" s="115">
        <f>Calculations!H312</f>
        <v>0</v>
      </c>
      <c r="I49" s="115">
        <f>Calculations!I312</f>
        <v>43.061949577901792</v>
      </c>
      <c r="J49" s="115">
        <f>Calculations!J312</f>
        <v>0</v>
      </c>
      <c r="K49" s="115">
        <f>Calculations!K312</f>
        <v>0</v>
      </c>
      <c r="L49" s="115">
        <f>Calculations!L312</f>
        <v>0</v>
      </c>
      <c r="M49" s="115">
        <f>Calculations!M312</f>
        <v>0</v>
      </c>
      <c r="N49" s="115">
        <f>Calculations!N312</f>
        <v>0</v>
      </c>
      <c r="O49" s="115">
        <f>Calculations!O312</f>
        <v>0</v>
      </c>
      <c r="P49" s="115">
        <f>Calculations!P312</f>
        <v>0.73110918406191894</v>
      </c>
      <c r="Q49" s="115">
        <f>Calculations!Q312</f>
        <v>0</v>
      </c>
      <c r="R49" s="115">
        <f>Calculations!R312</f>
        <v>0.4500176305031956</v>
      </c>
      <c r="S49" s="115">
        <f>Calculations!S312</f>
        <v>0</v>
      </c>
      <c r="T49" s="115">
        <f>Calculations!T312</f>
        <v>90.826996301885586</v>
      </c>
      <c r="U49" s="115">
        <f>Calculations!U312</f>
        <v>0</v>
      </c>
      <c r="V49" s="115">
        <f>Calculations!V312</f>
        <v>31.612477097999907</v>
      </c>
      <c r="W49" s="115">
        <f>Calculations!W312</f>
        <v>0</v>
      </c>
      <c r="X49" s="115">
        <f>Calculations!X312</f>
        <v>0</v>
      </c>
      <c r="Y49" s="115">
        <f>Calculations!Y312</f>
        <v>84.179349743445556</v>
      </c>
      <c r="Z49" s="115">
        <f>Calculations!Z312</f>
        <v>0</v>
      </c>
      <c r="AA49" s="115">
        <f>Calculations!AA312</f>
        <v>31.790731274214725</v>
      </c>
      <c r="AB49" s="115">
        <f>Calculations!AB312</f>
        <v>0</v>
      </c>
      <c r="AC49" s="115">
        <f>Calculations!AC312</f>
        <v>0</v>
      </c>
      <c r="AD49" s="115">
        <f>Calculations!AD312</f>
        <v>0.31434999410404901</v>
      </c>
      <c r="AE49" s="115">
        <f>Calculations!AE312</f>
        <v>189.05612878939084</v>
      </c>
      <c r="AF49" s="115">
        <f>Calculations!AF312</f>
        <v>0</v>
      </c>
      <c r="AG49" s="115">
        <f>Calculations!AG312</f>
        <v>0</v>
      </c>
      <c r="AH49" s="115">
        <f>Calculations!AH312</f>
        <v>1.5814537660081827</v>
      </c>
      <c r="AI49" s="116">
        <f>Calculations!AI312</f>
        <v>0</v>
      </c>
      <c r="AJ49" s="110">
        <f>Calculations!AJ312</f>
        <v>0</v>
      </c>
      <c r="AK49" s="111">
        <f>Calculations!AK312</f>
        <v>0</v>
      </c>
      <c r="AL49" s="111">
        <f>Calculations!AL312</f>
        <v>0</v>
      </c>
      <c r="AM49" s="111">
        <f>Calculations!AM312</f>
        <v>0</v>
      </c>
      <c r="AN49" s="111">
        <f>Calculations!AN312</f>
        <v>0</v>
      </c>
      <c r="AO49" s="111">
        <f>Calculations!AO312</f>
        <v>0</v>
      </c>
      <c r="AP49" s="111">
        <f>Calculations!AP312</f>
        <v>0</v>
      </c>
      <c r="AQ49" s="111">
        <f>Calculations!AQ312</f>
        <v>0</v>
      </c>
      <c r="AR49" s="111">
        <f>Calculations!AR312</f>
        <v>0</v>
      </c>
      <c r="AS49" s="111">
        <f>Calculations!AS312</f>
        <v>0</v>
      </c>
      <c r="AT49" s="111">
        <f>Calculations!AT312</f>
        <v>0</v>
      </c>
      <c r="AU49" s="111">
        <f>Calculations!AU312</f>
        <v>0</v>
      </c>
      <c r="AV49" s="111">
        <f>Calculations!AV312</f>
        <v>0</v>
      </c>
      <c r="AW49" s="111">
        <f>Calculations!AW312</f>
        <v>0</v>
      </c>
      <c r="AX49" s="111">
        <f>Calculations!AX312</f>
        <v>0</v>
      </c>
      <c r="AY49" s="111">
        <f>Calculations!AY312</f>
        <v>0</v>
      </c>
      <c r="AZ49" s="111">
        <f>Calculations!AZ312</f>
        <v>0</v>
      </c>
      <c r="BA49" s="111">
        <f>Calculations!BA312</f>
        <v>0</v>
      </c>
      <c r="BB49" s="111">
        <f>Calculations!BB312</f>
        <v>0</v>
      </c>
      <c r="BC49" s="111">
        <f>Calculations!BC312</f>
        <v>0</v>
      </c>
      <c r="BD49" s="111">
        <f>Calculations!BD312</f>
        <v>0</v>
      </c>
      <c r="BE49" s="111">
        <f>Calculations!BE312</f>
        <v>0</v>
      </c>
      <c r="BF49" s="111">
        <f>Calculations!BF312</f>
        <v>0</v>
      </c>
      <c r="BG49" s="111">
        <f>Calculations!BG312</f>
        <v>0</v>
      </c>
      <c r="BH49" s="111">
        <f>Calculations!BH312</f>
        <v>0</v>
      </c>
      <c r="BI49" s="111">
        <f>Calculations!BI312</f>
        <v>0</v>
      </c>
      <c r="BJ49" s="111">
        <f>Calculations!BJ312</f>
        <v>0</v>
      </c>
      <c r="BK49" s="111">
        <f>Calculations!BK312</f>
        <v>0</v>
      </c>
      <c r="BL49" s="111">
        <f>Calculations!BL312</f>
        <v>0</v>
      </c>
      <c r="BM49" s="111">
        <f>Calculations!BM312</f>
        <v>0</v>
      </c>
      <c r="BN49" s="111">
        <f>Calculations!BN312</f>
        <v>0</v>
      </c>
      <c r="BO49" s="111">
        <f>Calculations!BO312</f>
        <v>0</v>
      </c>
      <c r="BP49" s="112">
        <f>Calculations!BP312</f>
        <v>0</v>
      </c>
      <c r="BQ49" s="110">
        <f>Calculations!BQ312</f>
        <v>0</v>
      </c>
      <c r="BR49" s="111">
        <f>Calculations!BR312</f>
        <v>0</v>
      </c>
      <c r="BS49" s="111">
        <v>0</v>
      </c>
      <c r="BT49" s="111">
        <f>Calculations!BS312</f>
        <v>0</v>
      </c>
      <c r="BU49" s="112">
        <f>Calculations!BT312</f>
        <v>0</v>
      </c>
      <c r="BV49" s="110">
        <f>Calculations!BU312</f>
        <v>0</v>
      </c>
      <c r="BW49" s="111">
        <f>Calculations!BV312</f>
        <v>0</v>
      </c>
      <c r="BX49" s="112">
        <f>Calculations!BW312</f>
        <v>0</v>
      </c>
      <c r="BY49" s="141">
        <f ca="1">Calculations!BX312+'Calculations 2'!CJ49</f>
        <v>332.34663367367568</v>
      </c>
      <c r="BZ49" s="142">
        <f ca="1">Calculations!BY312+'Calculations 2'!CK49</f>
        <v>1495.0248469429764</v>
      </c>
      <c r="CA49" s="142">
        <f ca="1">Calculations!BZ312+Calculations!CA312</f>
        <v>129.0571662406648</v>
      </c>
      <c r="CB49" s="142">
        <f ca="1">Calculations!CB312+'Calculations 2'!CN49</f>
        <v>0</v>
      </c>
      <c r="CC49" s="115">
        <f>Calculations!CC312+'Calculations 2'!CO49</f>
        <v>0</v>
      </c>
      <c r="CD49" s="116">
        <f>Calculations!CD312</f>
        <v>11177.054523798743</v>
      </c>
      <c r="CE49" s="117">
        <f>Calculations!CE312</f>
        <v>1235.1536008192618</v>
      </c>
      <c r="CF49" s="117">
        <f t="shared" ca="1" si="1"/>
        <v>14846.92825503424</v>
      </c>
      <c r="CH49">
        <f ca="1"/>
        <v>0</v>
      </c>
      <c r="CJ49" s="34"/>
      <c r="CK49" s="34"/>
      <c r="CL49" s="34"/>
      <c r="CM49" s="34"/>
      <c r="CN49" s="34"/>
      <c r="CO49" s="34"/>
    </row>
    <row r="50" spans="1:93">
      <c r="A50" s="280"/>
      <c r="B50" s="44" t="s">
        <v>79</v>
      </c>
      <c r="C50" s="114">
        <f>Calculations!C313</f>
        <v>0</v>
      </c>
      <c r="D50" s="115">
        <f>Calculations!D313</f>
        <v>0</v>
      </c>
      <c r="E50" s="115">
        <f>Calculations!E313</f>
        <v>0</v>
      </c>
      <c r="F50" s="115">
        <f>Calculations!F313</f>
        <v>0</v>
      </c>
      <c r="G50" s="115">
        <f>Calculations!G313</f>
        <v>0</v>
      </c>
      <c r="H50" s="115">
        <f>Calculations!H313</f>
        <v>442.57758521273331</v>
      </c>
      <c r="I50" s="115">
        <f>Calculations!I313</f>
        <v>17.960526618936118</v>
      </c>
      <c r="J50" s="115">
        <f>Calculations!J313</f>
        <v>0</v>
      </c>
      <c r="K50" s="115">
        <f>Calculations!K313</f>
        <v>0</v>
      </c>
      <c r="L50" s="115">
        <f>Calculations!L313</f>
        <v>0</v>
      </c>
      <c r="M50" s="115">
        <f>Calculations!M313</f>
        <v>2.5637884671315665</v>
      </c>
      <c r="N50" s="115">
        <f>Calculations!N313</f>
        <v>120.23754224409839</v>
      </c>
      <c r="O50" s="115">
        <f>Calculations!O313</f>
        <v>0</v>
      </c>
      <c r="P50" s="115">
        <f>Calculations!P313</f>
        <v>13.401102665043434</v>
      </c>
      <c r="Q50" s="115">
        <f>Calculations!Q313</f>
        <v>0.50438249462474194</v>
      </c>
      <c r="R50" s="115">
        <f>Calculations!R313</f>
        <v>845.54257731350742</v>
      </c>
      <c r="S50" s="115">
        <f>Calculations!S313</f>
        <v>0</v>
      </c>
      <c r="T50" s="115">
        <f>Calculations!T313</f>
        <v>1600.1933226217254</v>
      </c>
      <c r="U50" s="115">
        <f>Calculations!U313</f>
        <v>11.336138354601175</v>
      </c>
      <c r="V50" s="115">
        <f>Calculations!V313</f>
        <v>0</v>
      </c>
      <c r="W50" s="115">
        <f>Calculations!W313</f>
        <v>0</v>
      </c>
      <c r="X50" s="115">
        <f>Calculations!X313</f>
        <v>0</v>
      </c>
      <c r="Y50" s="115">
        <f>Calculations!Y313</f>
        <v>0</v>
      </c>
      <c r="Z50" s="115">
        <f>Calculations!Z313</f>
        <v>1396.7649079909966</v>
      </c>
      <c r="AA50" s="115">
        <f>Calculations!AA313</f>
        <v>0</v>
      </c>
      <c r="AB50" s="115">
        <f>Calculations!AB313</f>
        <v>0</v>
      </c>
      <c r="AC50" s="115">
        <f>Calculations!AC313</f>
        <v>0</v>
      </c>
      <c r="AD50" s="115">
        <f>Calculations!AD313</f>
        <v>48.06239381927665</v>
      </c>
      <c r="AE50" s="115">
        <f>Calculations!AE313</f>
        <v>0</v>
      </c>
      <c r="AF50" s="115">
        <f>Calculations!AF313</f>
        <v>0</v>
      </c>
      <c r="AG50" s="115">
        <f>Calculations!AG313</f>
        <v>0</v>
      </c>
      <c r="AH50" s="115">
        <f>Calculations!AH313</f>
        <v>2.0149160434290923</v>
      </c>
      <c r="AI50" s="116">
        <f>Calculations!AI313</f>
        <v>0</v>
      </c>
      <c r="AJ50" s="110">
        <f>Calculations!AJ313</f>
        <v>0</v>
      </c>
      <c r="AK50" s="111">
        <f>Calculations!AK313</f>
        <v>0</v>
      </c>
      <c r="AL50" s="111">
        <f>Calculations!AL313</f>
        <v>0</v>
      </c>
      <c r="AM50" s="111">
        <f>Calculations!AM313</f>
        <v>0</v>
      </c>
      <c r="AN50" s="111">
        <f>Calculations!AN313</f>
        <v>0</v>
      </c>
      <c r="AO50" s="111">
        <f>Calculations!AO313</f>
        <v>0</v>
      </c>
      <c r="AP50" s="111">
        <f>Calculations!AP313</f>
        <v>0</v>
      </c>
      <c r="AQ50" s="111">
        <f>Calculations!AQ313</f>
        <v>0</v>
      </c>
      <c r="AR50" s="111">
        <f>Calculations!AR313</f>
        <v>0</v>
      </c>
      <c r="AS50" s="111">
        <f>Calculations!AS313</f>
        <v>0</v>
      </c>
      <c r="AT50" s="111">
        <f>Calculations!AT313</f>
        <v>0</v>
      </c>
      <c r="AU50" s="111">
        <f>Calculations!AU313</f>
        <v>0</v>
      </c>
      <c r="AV50" s="111">
        <f>Calculations!AV313</f>
        <v>0</v>
      </c>
      <c r="AW50" s="111">
        <f>Calculations!AW313</f>
        <v>0</v>
      </c>
      <c r="AX50" s="111">
        <f>Calculations!AX313</f>
        <v>0</v>
      </c>
      <c r="AY50" s="111">
        <f>Calculations!AY313</f>
        <v>0</v>
      </c>
      <c r="AZ50" s="111">
        <f>Calculations!AZ313</f>
        <v>0</v>
      </c>
      <c r="BA50" s="111">
        <f>Calculations!BA313</f>
        <v>0</v>
      </c>
      <c r="BB50" s="111">
        <f>Calculations!BB313</f>
        <v>0</v>
      </c>
      <c r="BC50" s="111">
        <f>Calculations!BC313</f>
        <v>0</v>
      </c>
      <c r="BD50" s="111">
        <f>Calculations!BD313</f>
        <v>0</v>
      </c>
      <c r="BE50" s="111">
        <f>Calculations!BE313</f>
        <v>0</v>
      </c>
      <c r="BF50" s="111">
        <f>Calculations!BF313</f>
        <v>0</v>
      </c>
      <c r="BG50" s="111">
        <f>Calculations!BG313</f>
        <v>0</v>
      </c>
      <c r="BH50" s="111">
        <f>Calculations!BH313</f>
        <v>0</v>
      </c>
      <c r="BI50" s="111">
        <f>Calculations!BI313</f>
        <v>0</v>
      </c>
      <c r="BJ50" s="111">
        <f>Calculations!BJ313</f>
        <v>0</v>
      </c>
      <c r="BK50" s="111">
        <f>Calculations!BK313</f>
        <v>0</v>
      </c>
      <c r="BL50" s="111">
        <f>Calculations!BL313</f>
        <v>0</v>
      </c>
      <c r="BM50" s="111">
        <f>Calculations!BM313</f>
        <v>0</v>
      </c>
      <c r="BN50" s="111">
        <f>Calculations!BN313</f>
        <v>0</v>
      </c>
      <c r="BO50" s="111">
        <f>Calculations!BO313</f>
        <v>0</v>
      </c>
      <c r="BP50" s="112">
        <f>Calculations!BP313</f>
        <v>0</v>
      </c>
      <c r="BQ50" s="110">
        <f>Calculations!BQ313</f>
        <v>0</v>
      </c>
      <c r="BR50" s="111">
        <f>Calculations!BR313</f>
        <v>0</v>
      </c>
      <c r="BS50" s="111">
        <v>0</v>
      </c>
      <c r="BT50" s="111">
        <f>Calculations!BS313</f>
        <v>0</v>
      </c>
      <c r="BU50" s="112">
        <f>Calculations!BT313</f>
        <v>0</v>
      </c>
      <c r="BV50" s="110">
        <f>Calculations!BU313</f>
        <v>0</v>
      </c>
      <c r="BW50" s="111">
        <f>Calculations!BV313</f>
        <v>0</v>
      </c>
      <c r="BX50" s="112">
        <f>Calculations!BW313</f>
        <v>0</v>
      </c>
      <c r="BY50" s="141">
        <f ca="1">Calculations!BX313+'Calculations 2'!CJ50</f>
        <v>0</v>
      </c>
      <c r="BZ50" s="142">
        <f ca="1">Calculations!BY313+'Calculations 2'!CK50</f>
        <v>0</v>
      </c>
      <c r="CA50" s="142">
        <f ca="1">Calculations!BZ313+Calculations!CA313</f>
        <v>0</v>
      </c>
      <c r="CB50" s="142">
        <f ca="1">Calculations!CB313+'Calculations 2'!CN50</f>
        <v>0</v>
      </c>
      <c r="CC50" s="115">
        <f>Calculations!CC313+'Calculations 2'!CO50</f>
        <v>0</v>
      </c>
      <c r="CD50" s="116">
        <f>Calculations!CD313</f>
        <v>2027.6278314589742</v>
      </c>
      <c r="CE50" s="117">
        <f>Calculations!CE313</f>
        <v>37.222327457974046</v>
      </c>
      <c r="CF50" s="117">
        <f t="shared" ca="1" si="1"/>
        <v>6566.0093427630527</v>
      </c>
      <c r="CH50">
        <f ca="1"/>
        <v>0</v>
      </c>
      <c r="CJ50" s="34"/>
      <c r="CK50" s="34"/>
      <c r="CL50" s="34"/>
      <c r="CM50" s="34"/>
      <c r="CN50" s="34"/>
      <c r="CO50" s="34"/>
    </row>
    <row r="51" spans="1:93">
      <c r="A51" s="280"/>
      <c r="B51" s="44" t="s">
        <v>80</v>
      </c>
      <c r="C51" s="114">
        <f>Calculations!C314</f>
        <v>0</v>
      </c>
      <c r="D51" s="115">
        <f>Calculations!D314</f>
        <v>0</v>
      </c>
      <c r="E51" s="115">
        <f>Calculations!E314</f>
        <v>232.23009952330443</v>
      </c>
      <c r="F51" s="115">
        <f>Calculations!F314</f>
        <v>5.5587769457393339</v>
      </c>
      <c r="G51" s="115">
        <f>Calculations!G314</f>
        <v>0.30999411114557252</v>
      </c>
      <c r="H51" s="115">
        <f>Calculations!H314</f>
        <v>28.845784008169488</v>
      </c>
      <c r="I51" s="115">
        <f>Calculations!I314</f>
        <v>2353.369915248335</v>
      </c>
      <c r="J51" s="115">
        <f>Calculations!J314</f>
        <v>0.16826760910603758</v>
      </c>
      <c r="K51" s="115">
        <f>Calculations!K314</f>
        <v>33.623036901223301</v>
      </c>
      <c r="L51" s="115">
        <f>Calculations!L314</f>
        <v>18.961867927395684</v>
      </c>
      <c r="M51" s="115">
        <f>Calculations!M314</f>
        <v>23.997227113614169</v>
      </c>
      <c r="N51" s="115">
        <f>Calculations!N314</f>
        <v>192.10008968440673</v>
      </c>
      <c r="O51" s="115">
        <f>Calculations!O314</f>
        <v>6.5156528284447894</v>
      </c>
      <c r="P51" s="115">
        <f>Calculations!P314</f>
        <v>8.2368064719375464</v>
      </c>
      <c r="Q51" s="115">
        <f>Calculations!Q314</f>
        <v>0.40523783797668544</v>
      </c>
      <c r="R51" s="115">
        <f>Calculations!R314</f>
        <v>14.535779216788443</v>
      </c>
      <c r="S51" s="115">
        <f>Calculations!S314</f>
        <v>6.1360101636493694</v>
      </c>
      <c r="T51" s="115">
        <f>Calculations!T314</f>
        <v>231.95063936060666</v>
      </c>
      <c r="U51" s="115">
        <f>Calculations!U314</f>
        <v>1091.805351624683</v>
      </c>
      <c r="V51" s="115">
        <f>Calculations!V314</f>
        <v>365.7775956846159</v>
      </c>
      <c r="W51" s="115">
        <f>Calculations!W314</f>
        <v>66.801477858256376</v>
      </c>
      <c r="X51" s="115">
        <f>Calculations!X314</f>
        <v>5.9089027671945145</v>
      </c>
      <c r="Y51" s="115">
        <f>Calculations!Y314</f>
        <v>119.59023388314377</v>
      </c>
      <c r="Z51" s="115">
        <f>Calculations!Z314</f>
        <v>49.638261341446594</v>
      </c>
      <c r="AA51" s="115">
        <f>Calculations!AA314</f>
        <v>197.47850495011454</v>
      </c>
      <c r="AB51" s="115">
        <f>Calculations!AB314</f>
        <v>184.88434370227444</v>
      </c>
      <c r="AC51" s="115">
        <f>Calculations!AC314</f>
        <v>30.587657924839966</v>
      </c>
      <c r="AD51" s="115">
        <f>Calculations!AD314</f>
        <v>2995.4107956339744</v>
      </c>
      <c r="AE51" s="115">
        <f>Calculations!AE314</f>
        <v>666.79726769048966</v>
      </c>
      <c r="AF51" s="115">
        <f>Calculations!AF314</f>
        <v>782.20715424322282</v>
      </c>
      <c r="AG51" s="115">
        <f>Calculations!AG314</f>
        <v>91.815263601805341</v>
      </c>
      <c r="AH51" s="115">
        <f>Calculations!AH314</f>
        <v>40.396299772087474</v>
      </c>
      <c r="AI51" s="116">
        <f>Calculations!AI314</f>
        <v>0</v>
      </c>
      <c r="AJ51" s="110">
        <f>Calculations!AJ314</f>
        <v>0</v>
      </c>
      <c r="AK51" s="111">
        <f>Calculations!AK314</f>
        <v>0</v>
      </c>
      <c r="AL51" s="111">
        <f>Calculations!AL314</f>
        <v>0</v>
      </c>
      <c r="AM51" s="111">
        <f>Calculations!AM314</f>
        <v>0</v>
      </c>
      <c r="AN51" s="111">
        <f>Calculations!AN314</f>
        <v>0</v>
      </c>
      <c r="AO51" s="111">
        <f>Calculations!AO314</f>
        <v>0</v>
      </c>
      <c r="AP51" s="111">
        <f>Calculations!AP314</f>
        <v>0</v>
      </c>
      <c r="AQ51" s="111">
        <f>Calculations!AQ314</f>
        <v>0</v>
      </c>
      <c r="AR51" s="111">
        <f>Calculations!AR314</f>
        <v>0</v>
      </c>
      <c r="AS51" s="111">
        <f>Calculations!AS314</f>
        <v>0</v>
      </c>
      <c r="AT51" s="111">
        <f>Calculations!AT314</f>
        <v>0</v>
      </c>
      <c r="AU51" s="111">
        <f>Calculations!AU314</f>
        <v>0</v>
      </c>
      <c r="AV51" s="111">
        <f>Calculations!AV314</f>
        <v>0</v>
      </c>
      <c r="AW51" s="111">
        <f>Calculations!AW314</f>
        <v>0</v>
      </c>
      <c r="AX51" s="111">
        <f>Calculations!AX314</f>
        <v>0</v>
      </c>
      <c r="AY51" s="111">
        <f>Calculations!AY314</f>
        <v>0</v>
      </c>
      <c r="AZ51" s="111">
        <f>Calculations!AZ314</f>
        <v>0</v>
      </c>
      <c r="BA51" s="111">
        <f>Calculations!BA314</f>
        <v>0</v>
      </c>
      <c r="BB51" s="111">
        <f>Calculations!BB314</f>
        <v>0</v>
      </c>
      <c r="BC51" s="111">
        <f>Calculations!BC314</f>
        <v>0</v>
      </c>
      <c r="BD51" s="111">
        <f>Calculations!BD314</f>
        <v>0</v>
      </c>
      <c r="BE51" s="111">
        <f>Calculations!BE314</f>
        <v>0</v>
      </c>
      <c r="BF51" s="111">
        <f>Calculations!BF314</f>
        <v>0</v>
      </c>
      <c r="BG51" s="111">
        <f>Calculations!BG314</f>
        <v>0</v>
      </c>
      <c r="BH51" s="111">
        <f>Calculations!BH314</f>
        <v>0</v>
      </c>
      <c r="BI51" s="111">
        <f>Calculations!BI314</f>
        <v>0</v>
      </c>
      <c r="BJ51" s="111">
        <f>Calculations!BJ314</f>
        <v>0</v>
      </c>
      <c r="BK51" s="111">
        <f>Calculations!BK314</f>
        <v>0</v>
      </c>
      <c r="BL51" s="111">
        <f>Calculations!BL314</f>
        <v>0</v>
      </c>
      <c r="BM51" s="111">
        <f>Calculations!BM314</f>
        <v>0</v>
      </c>
      <c r="BN51" s="111">
        <f>Calculations!BN314</f>
        <v>0</v>
      </c>
      <c r="BO51" s="111">
        <f>Calculations!BO314</f>
        <v>0</v>
      </c>
      <c r="BP51" s="112">
        <f>Calculations!BP314</f>
        <v>0</v>
      </c>
      <c r="BQ51" s="110">
        <f>Calculations!BQ314</f>
        <v>0</v>
      </c>
      <c r="BR51" s="111">
        <f>Calculations!BR314</f>
        <v>0</v>
      </c>
      <c r="BS51" s="111">
        <v>0</v>
      </c>
      <c r="BT51" s="111">
        <f>Calculations!BS314</f>
        <v>0</v>
      </c>
      <c r="BU51" s="112">
        <f>Calculations!BT314</f>
        <v>0</v>
      </c>
      <c r="BV51" s="110">
        <f>Calculations!BU314</f>
        <v>0</v>
      </c>
      <c r="BW51" s="111">
        <f>Calculations!BV314</f>
        <v>0</v>
      </c>
      <c r="BX51" s="112">
        <f>Calculations!BW314</f>
        <v>0</v>
      </c>
      <c r="BY51" s="141">
        <f ca="1">Calculations!BX314+'Calculations 2'!CJ51</f>
        <v>31.846153433626526</v>
      </c>
      <c r="BZ51" s="142">
        <f ca="1">Calculations!BY314+'Calculations 2'!CK51</f>
        <v>184.700717859397</v>
      </c>
      <c r="CA51" s="142">
        <f ca="1">Calculations!BZ314+Calculations!CA314</f>
        <v>39.757334135550899</v>
      </c>
      <c r="CB51" s="142">
        <f ca="1">Calculations!CB314+'Calculations 2'!CN51</f>
        <v>0</v>
      </c>
      <c r="CC51" s="115">
        <f>Calculations!CC314+'Calculations 2'!CO51</f>
        <v>0</v>
      </c>
      <c r="CD51" s="116">
        <f>Calculations!CD314</f>
        <v>3806.5155733022907</v>
      </c>
      <c r="CE51" s="117">
        <f>Calculations!CE314</f>
        <v>621.12181188369561</v>
      </c>
      <c r="CF51" s="117">
        <f t="shared" ca="1" si="1"/>
        <v>14529.985886244553</v>
      </c>
      <c r="CH51">
        <f ca="1"/>
        <v>0</v>
      </c>
      <c r="CJ51" s="34"/>
      <c r="CK51" s="34"/>
      <c r="CL51" s="34"/>
      <c r="CM51" s="34"/>
      <c r="CN51" s="34"/>
      <c r="CO51" s="34"/>
    </row>
    <row r="52" spans="1:93">
      <c r="A52" s="280"/>
      <c r="B52" s="44" t="s">
        <v>81</v>
      </c>
      <c r="C52" s="114">
        <f>Calculations!C315</f>
        <v>36.592313199241772</v>
      </c>
      <c r="D52" s="115">
        <f>Calculations!D315</f>
        <v>494.32314984266588</v>
      </c>
      <c r="E52" s="115">
        <f>Calculations!E315</f>
        <v>413.30215346277959</v>
      </c>
      <c r="F52" s="115">
        <f>Calculations!F315</f>
        <v>7.4312132619848148</v>
      </c>
      <c r="G52" s="115">
        <f>Calculations!G315</f>
        <v>0.12144778720273028</v>
      </c>
      <c r="H52" s="115">
        <f>Calculations!H315</f>
        <v>9.4906176447736801</v>
      </c>
      <c r="I52" s="115">
        <f>Calculations!I315</f>
        <v>15.137527556029266</v>
      </c>
      <c r="J52" s="115">
        <f>Calculations!J315</f>
        <v>1608.8146892468444</v>
      </c>
      <c r="K52" s="115">
        <f>Calculations!K315</f>
        <v>138.00557269882009</v>
      </c>
      <c r="L52" s="115">
        <f>Calculations!L315</f>
        <v>10.506635906265135</v>
      </c>
      <c r="M52" s="115">
        <f>Calculations!M315</f>
        <v>445.57349707096478</v>
      </c>
      <c r="N52" s="115">
        <f>Calculations!N315</f>
        <v>288.39333872385356</v>
      </c>
      <c r="O52" s="115">
        <f>Calculations!O315</f>
        <v>58.496669630223849</v>
      </c>
      <c r="P52" s="115">
        <f>Calculations!P315</f>
        <v>23.440947692759678</v>
      </c>
      <c r="Q52" s="115">
        <f>Calculations!Q315</f>
        <v>9.1102493547948615</v>
      </c>
      <c r="R52" s="115">
        <f>Calculations!R315</f>
        <v>213.21580161914065</v>
      </c>
      <c r="S52" s="115">
        <f>Calculations!S315</f>
        <v>10967.363264909925</v>
      </c>
      <c r="T52" s="115">
        <f>Calculations!T315</f>
        <v>2161.7112940069615</v>
      </c>
      <c r="U52" s="115">
        <f>Calculations!U315</f>
        <v>1072.5682527583845</v>
      </c>
      <c r="V52" s="115">
        <f>Calculations!V315</f>
        <v>178.57843632128751</v>
      </c>
      <c r="W52" s="115">
        <f>Calculations!W315</f>
        <v>2721.1057177201351</v>
      </c>
      <c r="X52" s="115">
        <f>Calculations!X315</f>
        <v>52.545397381999422</v>
      </c>
      <c r="Y52" s="115">
        <f>Calculations!Y315</f>
        <v>27097.858571924095</v>
      </c>
      <c r="Z52" s="115">
        <f>Calculations!Z315</f>
        <v>1120.7656727889998</v>
      </c>
      <c r="AA52" s="115">
        <f>Calculations!AA315</f>
        <v>387.99220488429273</v>
      </c>
      <c r="AB52" s="115">
        <f>Calculations!AB315</f>
        <v>11.690594306474955</v>
      </c>
      <c r="AC52" s="115">
        <f>Calculations!AC315</f>
        <v>44.5239534777741</v>
      </c>
      <c r="AD52" s="115">
        <f>Calculations!AD315</f>
        <v>1167.3757193320623</v>
      </c>
      <c r="AE52" s="115">
        <f>Calculations!AE315</f>
        <v>828.83293998682007</v>
      </c>
      <c r="AF52" s="115">
        <f>Calculations!AF315</f>
        <v>60.792723051457884</v>
      </c>
      <c r="AG52" s="115">
        <f>Calculations!AG315</f>
        <v>60.668637076505682</v>
      </c>
      <c r="AH52" s="115">
        <f>Calculations!AH315</f>
        <v>274.72731047807525</v>
      </c>
      <c r="AI52" s="116">
        <f>Calculations!AI315</f>
        <v>0</v>
      </c>
      <c r="AJ52" s="110">
        <f>Calculations!AJ315</f>
        <v>0</v>
      </c>
      <c r="AK52" s="111">
        <f>Calculations!AK315</f>
        <v>0</v>
      </c>
      <c r="AL52" s="111">
        <f>Calculations!AL315</f>
        <v>0</v>
      </c>
      <c r="AM52" s="111">
        <f>Calculations!AM315</f>
        <v>0</v>
      </c>
      <c r="AN52" s="111">
        <f>Calculations!AN315</f>
        <v>0</v>
      </c>
      <c r="AO52" s="111">
        <f>Calculations!AO315</f>
        <v>0</v>
      </c>
      <c r="AP52" s="111">
        <f>Calculations!AP315</f>
        <v>0</v>
      </c>
      <c r="AQ52" s="111">
        <f>Calculations!AQ315</f>
        <v>0</v>
      </c>
      <c r="AR52" s="111">
        <f>Calculations!AR315</f>
        <v>0</v>
      </c>
      <c r="AS52" s="111">
        <f>Calculations!AS315</f>
        <v>0</v>
      </c>
      <c r="AT52" s="111">
        <f>Calculations!AT315</f>
        <v>0</v>
      </c>
      <c r="AU52" s="111">
        <f>Calculations!AU315</f>
        <v>0</v>
      </c>
      <c r="AV52" s="111">
        <f>Calculations!AV315</f>
        <v>0</v>
      </c>
      <c r="AW52" s="111">
        <f>Calculations!AW315</f>
        <v>0</v>
      </c>
      <c r="AX52" s="111">
        <f>Calculations!AX315</f>
        <v>0</v>
      </c>
      <c r="AY52" s="111">
        <f>Calculations!AY315</f>
        <v>0</v>
      </c>
      <c r="AZ52" s="111">
        <f>Calculations!AZ315</f>
        <v>0</v>
      </c>
      <c r="BA52" s="111">
        <f>Calculations!BA315</f>
        <v>0</v>
      </c>
      <c r="BB52" s="111">
        <f>Calculations!BB315</f>
        <v>0</v>
      </c>
      <c r="BC52" s="111">
        <f>Calculations!BC315</f>
        <v>0</v>
      </c>
      <c r="BD52" s="111">
        <f>Calculations!BD315</f>
        <v>0</v>
      </c>
      <c r="BE52" s="111">
        <f>Calculations!BE315</f>
        <v>0</v>
      </c>
      <c r="BF52" s="111">
        <f>Calculations!BF315</f>
        <v>0</v>
      </c>
      <c r="BG52" s="111">
        <f>Calculations!BG315</f>
        <v>0</v>
      </c>
      <c r="BH52" s="111">
        <f>Calculations!BH315</f>
        <v>0</v>
      </c>
      <c r="BI52" s="111">
        <f>Calculations!BI315</f>
        <v>0</v>
      </c>
      <c r="BJ52" s="111">
        <f>Calculations!BJ315</f>
        <v>0</v>
      </c>
      <c r="BK52" s="111">
        <f>Calculations!BK315</f>
        <v>0</v>
      </c>
      <c r="BL52" s="111">
        <f>Calculations!BL315</f>
        <v>0</v>
      </c>
      <c r="BM52" s="111">
        <f>Calculations!BM315</f>
        <v>0</v>
      </c>
      <c r="BN52" s="111">
        <f>Calculations!BN315</f>
        <v>0</v>
      </c>
      <c r="BO52" s="111">
        <f>Calculations!BO315</f>
        <v>0</v>
      </c>
      <c r="BP52" s="112">
        <f>Calculations!BP315</f>
        <v>0</v>
      </c>
      <c r="BQ52" s="110">
        <f>Calculations!BQ315</f>
        <v>0</v>
      </c>
      <c r="BR52" s="111">
        <f>Calculations!BR315</f>
        <v>0</v>
      </c>
      <c r="BS52" s="111">
        <v>0</v>
      </c>
      <c r="BT52" s="111">
        <f>Calculations!BS315</f>
        <v>0</v>
      </c>
      <c r="BU52" s="112">
        <f>Calculations!BT315</f>
        <v>0</v>
      </c>
      <c r="BV52" s="110">
        <f>Calculations!BU315</f>
        <v>0</v>
      </c>
      <c r="BW52" s="111">
        <f>Calculations!BV315</f>
        <v>0</v>
      </c>
      <c r="BX52" s="112">
        <f>Calculations!BW315</f>
        <v>0</v>
      </c>
      <c r="BY52" s="141">
        <f ca="1">Calculations!BX315+'Calculations 2'!CJ52</f>
        <v>59.196169609987869</v>
      </c>
      <c r="BZ52" s="142">
        <f ca="1">Calculations!BY315+'Calculations 2'!CK52</f>
        <v>1536.5258804792102</v>
      </c>
      <c r="CA52" s="142">
        <f ca="1">Calculations!BZ315+Calculations!CA315</f>
        <v>210.36752398752691</v>
      </c>
      <c r="CB52" s="142">
        <f ca="1">Calculations!CB315+'Calculations 2'!CN52</f>
        <v>0</v>
      </c>
      <c r="CC52" s="115">
        <f>Calculations!CC315+'Calculations 2'!CO52</f>
        <v>0</v>
      </c>
      <c r="CD52" s="116">
        <f>Calculations!CD315</f>
        <v>23605.032081154142</v>
      </c>
      <c r="CE52" s="117">
        <f>Calculations!CE315</f>
        <v>126.2384962122496</v>
      </c>
      <c r="CF52" s="117">
        <f t="shared" ca="1" si="1"/>
        <v>77518.416666546735</v>
      </c>
      <c r="CH52">
        <f ca="1"/>
        <v>0</v>
      </c>
      <c r="CJ52" s="34"/>
      <c r="CK52" s="34"/>
      <c r="CL52" s="34"/>
      <c r="CM52" s="34"/>
      <c r="CN52" s="34"/>
      <c r="CO52" s="34"/>
    </row>
    <row r="53" spans="1:93">
      <c r="A53" s="280"/>
      <c r="B53" s="44" t="s">
        <v>82</v>
      </c>
      <c r="C53" s="114">
        <f>Calculations!C316</f>
        <v>6.3345435022400052</v>
      </c>
      <c r="D53" s="115">
        <f>Calculations!D316</f>
        <v>0</v>
      </c>
      <c r="E53" s="115">
        <f>Calculations!E316</f>
        <v>96.322723128105849</v>
      </c>
      <c r="F53" s="115">
        <f>Calculations!F316</f>
        <v>1.9305359981046426</v>
      </c>
      <c r="G53" s="115">
        <f>Calculations!G316</f>
        <v>0.78651651512938248</v>
      </c>
      <c r="H53" s="115">
        <f>Calculations!H316</f>
        <v>387.75161679139399</v>
      </c>
      <c r="I53" s="115">
        <f>Calculations!I316</f>
        <v>347.68441620986312</v>
      </c>
      <c r="J53" s="115">
        <f>Calculations!J316</f>
        <v>679.94070258648492</v>
      </c>
      <c r="K53" s="115">
        <f>Calculations!K316</f>
        <v>5025.1749013820399</v>
      </c>
      <c r="L53" s="115">
        <f>Calculations!L316</f>
        <v>2086.9589526103682</v>
      </c>
      <c r="M53" s="115">
        <f>Calculations!M316</f>
        <v>280.77505966041906</v>
      </c>
      <c r="N53" s="115">
        <f>Calculations!N316</f>
        <v>1201.9456712853571</v>
      </c>
      <c r="O53" s="115">
        <f>Calculations!O316</f>
        <v>4.6280511462071408</v>
      </c>
      <c r="P53" s="115">
        <f>Calculations!P316</f>
        <v>340.9208605909285</v>
      </c>
      <c r="Q53" s="115">
        <f>Calculations!Q316</f>
        <v>81.560034931273492</v>
      </c>
      <c r="R53" s="115">
        <f>Calculations!R316</f>
        <v>50.836776936286007</v>
      </c>
      <c r="S53" s="115">
        <f>Calculations!S316</f>
        <v>14.910195777397515</v>
      </c>
      <c r="T53" s="115">
        <f>Calculations!T316</f>
        <v>1203.5115894638459</v>
      </c>
      <c r="U53" s="115">
        <f>Calculations!U316</f>
        <v>116.20495298552665</v>
      </c>
      <c r="V53" s="115">
        <f>Calculations!V316</f>
        <v>239.50491434390656</v>
      </c>
      <c r="W53" s="115">
        <f>Calculations!W316</f>
        <v>4.296756977169248</v>
      </c>
      <c r="X53" s="115">
        <f>Calculations!X316</f>
        <v>5.5558081158493318E-2</v>
      </c>
      <c r="Y53" s="115">
        <f>Calculations!Y316</f>
        <v>415.14746118495719</v>
      </c>
      <c r="Z53" s="115">
        <f>Calculations!Z316</f>
        <v>5.8966489377843043</v>
      </c>
      <c r="AA53" s="115">
        <f>Calculations!AA316</f>
        <v>3.6393651597300427</v>
      </c>
      <c r="AB53" s="115">
        <f>Calculations!AB316</f>
        <v>0</v>
      </c>
      <c r="AC53" s="115">
        <f>Calculations!AC316</f>
        <v>3.6782049596675863</v>
      </c>
      <c r="AD53" s="115">
        <f>Calculations!AD316</f>
        <v>737.07098911566857</v>
      </c>
      <c r="AE53" s="115">
        <f>Calculations!AE316</f>
        <v>24.747849616131585</v>
      </c>
      <c r="AF53" s="115">
        <f>Calculations!AF316</f>
        <v>3.53606005664696</v>
      </c>
      <c r="AG53" s="115">
        <f>Calculations!AG316</f>
        <v>916.62251044862671</v>
      </c>
      <c r="AH53" s="115">
        <f>Calculations!AH316</f>
        <v>226.62070858688551</v>
      </c>
      <c r="AI53" s="116">
        <f>Calculations!AI316</f>
        <v>0</v>
      </c>
      <c r="AJ53" s="110">
        <f>Calculations!AJ316</f>
        <v>0</v>
      </c>
      <c r="AK53" s="111">
        <f>Calculations!AK316</f>
        <v>0</v>
      </c>
      <c r="AL53" s="111">
        <f>Calculations!AL316</f>
        <v>0</v>
      </c>
      <c r="AM53" s="111">
        <f>Calculations!AM316</f>
        <v>0</v>
      </c>
      <c r="AN53" s="111">
        <f>Calculations!AN316</f>
        <v>0</v>
      </c>
      <c r="AO53" s="111">
        <f>Calculations!AO316</f>
        <v>0</v>
      </c>
      <c r="AP53" s="111">
        <f>Calculations!AP316</f>
        <v>0</v>
      </c>
      <c r="AQ53" s="111">
        <f>Calculations!AQ316</f>
        <v>0</v>
      </c>
      <c r="AR53" s="111">
        <f>Calculations!AR316</f>
        <v>0</v>
      </c>
      <c r="AS53" s="111">
        <f>Calculations!AS316</f>
        <v>0</v>
      </c>
      <c r="AT53" s="111">
        <f>Calculations!AT316</f>
        <v>0</v>
      </c>
      <c r="AU53" s="111">
        <f>Calculations!AU316</f>
        <v>0</v>
      </c>
      <c r="AV53" s="111">
        <f>Calculations!AV316</f>
        <v>0</v>
      </c>
      <c r="AW53" s="111">
        <f>Calculations!AW316</f>
        <v>0</v>
      </c>
      <c r="AX53" s="111">
        <f>Calculations!AX316</f>
        <v>0</v>
      </c>
      <c r="AY53" s="111">
        <f>Calculations!AY316</f>
        <v>0</v>
      </c>
      <c r="AZ53" s="111">
        <f>Calculations!AZ316</f>
        <v>0</v>
      </c>
      <c r="BA53" s="111">
        <f>Calculations!BA316</f>
        <v>0</v>
      </c>
      <c r="BB53" s="111">
        <f>Calculations!BB316</f>
        <v>0</v>
      </c>
      <c r="BC53" s="111">
        <f>Calculations!BC316</f>
        <v>0</v>
      </c>
      <c r="BD53" s="111">
        <f>Calculations!BD316</f>
        <v>0</v>
      </c>
      <c r="BE53" s="111">
        <f>Calculations!BE316</f>
        <v>0</v>
      </c>
      <c r="BF53" s="111">
        <f>Calculations!BF316</f>
        <v>0</v>
      </c>
      <c r="BG53" s="111">
        <f>Calculations!BG316</f>
        <v>0</v>
      </c>
      <c r="BH53" s="111">
        <f>Calculations!BH316</f>
        <v>0</v>
      </c>
      <c r="BI53" s="111">
        <f>Calculations!BI316</f>
        <v>0</v>
      </c>
      <c r="BJ53" s="111">
        <f>Calculations!BJ316</f>
        <v>0</v>
      </c>
      <c r="BK53" s="111">
        <f>Calculations!BK316</f>
        <v>0</v>
      </c>
      <c r="BL53" s="111">
        <f>Calculations!BL316</f>
        <v>0</v>
      </c>
      <c r="BM53" s="111">
        <f>Calculations!BM316</f>
        <v>0</v>
      </c>
      <c r="BN53" s="111">
        <f>Calculations!BN316</f>
        <v>0</v>
      </c>
      <c r="BO53" s="111">
        <f>Calculations!BO316</f>
        <v>0</v>
      </c>
      <c r="BP53" s="112">
        <f>Calculations!BP316</f>
        <v>0</v>
      </c>
      <c r="BQ53" s="110">
        <f>Calculations!BQ316</f>
        <v>0</v>
      </c>
      <c r="BR53" s="111">
        <f>Calculations!BR316</f>
        <v>0</v>
      </c>
      <c r="BS53" s="111">
        <v>0</v>
      </c>
      <c r="BT53" s="111">
        <f>Calculations!BS316</f>
        <v>0</v>
      </c>
      <c r="BU53" s="112">
        <f>Calculations!BT316</f>
        <v>0</v>
      </c>
      <c r="BV53" s="110">
        <f>Calculations!BU316</f>
        <v>0</v>
      </c>
      <c r="BW53" s="111">
        <f>Calculations!BV316</f>
        <v>0</v>
      </c>
      <c r="BX53" s="112">
        <f>Calculations!BW316</f>
        <v>0</v>
      </c>
      <c r="BY53" s="141">
        <f ca="1">Calculations!BX316+'Calculations 2'!CJ53</f>
        <v>361.08736665848602</v>
      </c>
      <c r="BZ53" s="142">
        <f ca="1">Calculations!BY316+'Calculations 2'!CK53</f>
        <v>1897.7028897103289</v>
      </c>
      <c r="CA53" s="142">
        <f ca="1">Calculations!BZ316+Calculations!CA316</f>
        <v>280.00095462663933</v>
      </c>
      <c r="CB53" s="142">
        <f ca="1">Calculations!CB316+'Calculations 2'!CN53</f>
        <v>0</v>
      </c>
      <c r="CC53" s="115">
        <f>Calculations!CC316+'Calculations 2'!CO53</f>
        <v>0</v>
      </c>
      <c r="CD53" s="116">
        <f>Calculations!CD316</f>
        <v>44799.937548905371</v>
      </c>
      <c r="CE53" s="117">
        <f>Calculations!CE316</f>
        <v>1384.6515007422354</v>
      </c>
      <c r="CF53" s="117">
        <f t="shared" ca="1" si="1"/>
        <v>63232.375389612367</v>
      </c>
      <c r="CH53">
        <f ca="1"/>
        <v>0</v>
      </c>
      <c r="CJ53" s="34"/>
      <c r="CK53" s="34"/>
      <c r="CL53" s="34"/>
      <c r="CM53" s="34"/>
      <c r="CN53" s="34"/>
      <c r="CO53" s="34"/>
    </row>
    <row r="54" spans="1:93">
      <c r="A54" s="280"/>
      <c r="B54" s="44" t="s">
        <v>83</v>
      </c>
      <c r="C54" s="114">
        <f>Calculations!C317</f>
        <v>0</v>
      </c>
      <c r="D54" s="115">
        <f>Calculations!D317</f>
        <v>0</v>
      </c>
      <c r="E54" s="115">
        <f>Calculations!E317</f>
        <v>1298.9289671204074</v>
      </c>
      <c r="F54" s="115">
        <f>Calculations!F317</f>
        <v>31.663666775383735</v>
      </c>
      <c r="G54" s="115">
        <f>Calculations!G317</f>
        <v>0.6054561238358217</v>
      </c>
      <c r="H54" s="115">
        <f>Calculations!H317</f>
        <v>73.899941468080385</v>
      </c>
      <c r="I54" s="115">
        <f>Calculations!I317</f>
        <v>160.1655910870229</v>
      </c>
      <c r="J54" s="115">
        <f>Calculations!J317</f>
        <v>244.93127905282185</v>
      </c>
      <c r="K54" s="115">
        <f>Calculations!K317</f>
        <v>571.52178084879131</v>
      </c>
      <c r="L54" s="115">
        <f>Calculations!L317</f>
        <v>708.09948836558499</v>
      </c>
      <c r="M54" s="115">
        <f>Calculations!M317</f>
        <v>143.6855334211935</v>
      </c>
      <c r="N54" s="115">
        <f>Calculations!N317</f>
        <v>275.00095074776988</v>
      </c>
      <c r="O54" s="115">
        <f>Calculations!O317</f>
        <v>16.083088085939281</v>
      </c>
      <c r="P54" s="115">
        <f>Calculations!P317</f>
        <v>196.63702880828413</v>
      </c>
      <c r="Q54" s="115">
        <f>Calculations!Q317</f>
        <v>35.308232952191965</v>
      </c>
      <c r="R54" s="115">
        <f>Calculations!R317</f>
        <v>54.534899072201554</v>
      </c>
      <c r="S54" s="115">
        <f>Calculations!S317</f>
        <v>1.496756290758475</v>
      </c>
      <c r="T54" s="115">
        <f>Calculations!T317</f>
        <v>234.32823995012137</v>
      </c>
      <c r="U54" s="115">
        <f>Calculations!U317</f>
        <v>585.74361574383022</v>
      </c>
      <c r="V54" s="115">
        <f>Calculations!V317</f>
        <v>191.03213796467725</v>
      </c>
      <c r="W54" s="115">
        <f>Calculations!W317</f>
        <v>176.39960579554761</v>
      </c>
      <c r="X54" s="115">
        <f>Calculations!X317</f>
        <v>8.714776642152032E-2</v>
      </c>
      <c r="Y54" s="115">
        <f>Calculations!Y317</f>
        <v>0</v>
      </c>
      <c r="Z54" s="115">
        <f>Calculations!Z317</f>
        <v>109.88555141823031</v>
      </c>
      <c r="AA54" s="115">
        <f>Calculations!AA317</f>
        <v>114.62627829341547</v>
      </c>
      <c r="AB54" s="115">
        <f>Calculations!AB317</f>
        <v>0</v>
      </c>
      <c r="AC54" s="115">
        <f>Calculations!AC317</f>
        <v>0</v>
      </c>
      <c r="AD54" s="115">
        <f>Calculations!AD317</f>
        <v>346.20003469866197</v>
      </c>
      <c r="AE54" s="115">
        <f>Calculations!AE317</f>
        <v>0</v>
      </c>
      <c r="AF54" s="115">
        <f>Calculations!AF317</f>
        <v>0</v>
      </c>
      <c r="AG54" s="115">
        <f>Calculations!AG317</f>
        <v>3.6852382624889413</v>
      </c>
      <c r="AH54" s="115">
        <f>Calculations!AH317</f>
        <v>18.458981064343213</v>
      </c>
      <c r="AI54" s="116">
        <f>Calculations!AI317</f>
        <v>0</v>
      </c>
      <c r="AJ54" s="110">
        <f>Calculations!AJ317</f>
        <v>0</v>
      </c>
      <c r="AK54" s="111">
        <f>Calculations!AK317</f>
        <v>0</v>
      </c>
      <c r="AL54" s="111">
        <f>Calculations!AL317</f>
        <v>0</v>
      </c>
      <c r="AM54" s="111">
        <f>Calculations!AM317</f>
        <v>0</v>
      </c>
      <c r="AN54" s="111">
        <f>Calculations!AN317</f>
        <v>0</v>
      </c>
      <c r="AO54" s="111">
        <f>Calculations!AO317</f>
        <v>0</v>
      </c>
      <c r="AP54" s="111">
        <f>Calculations!AP317</f>
        <v>0</v>
      </c>
      <c r="AQ54" s="111">
        <f>Calculations!AQ317</f>
        <v>0</v>
      </c>
      <c r="AR54" s="111">
        <f>Calculations!AR317</f>
        <v>0</v>
      </c>
      <c r="AS54" s="111">
        <f>Calculations!AS317</f>
        <v>0</v>
      </c>
      <c r="AT54" s="111">
        <f>Calculations!AT317</f>
        <v>0</v>
      </c>
      <c r="AU54" s="111">
        <f>Calculations!AU317</f>
        <v>0</v>
      </c>
      <c r="AV54" s="111">
        <f>Calculations!AV317</f>
        <v>0</v>
      </c>
      <c r="AW54" s="111">
        <f>Calculations!AW317</f>
        <v>0</v>
      </c>
      <c r="AX54" s="111">
        <f>Calculations!AX317</f>
        <v>0</v>
      </c>
      <c r="AY54" s="111">
        <f>Calculations!AY317</f>
        <v>0</v>
      </c>
      <c r="AZ54" s="111">
        <f>Calculations!AZ317</f>
        <v>0</v>
      </c>
      <c r="BA54" s="111">
        <f>Calculations!BA317</f>
        <v>0</v>
      </c>
      <c r="BB54" s="111">
        <f>Calculations!BB317</f>
        <v>0</v>
      </c>
      <c r="BC54" s="111">
        <f>Calculations!BC317</f>
        <v>0</v>
      </c>
      <c r="BD54" s="111">
        <f>Calculations!BD317</f>
        <v>0</v>
      </c>
      <c r="BE54" s="111">
        <f>Calculations!BE317</f>
        <v>0</v>
      </c>
      <c r="BF54" s="111">
        <f>Calculations!BF317</f>
        <v>0</v>
      </c>
      <c r="BG54" s="111">
        <f>Calculations!BG317</f>
        <v>0</v>
      </c>
      <c r="BH54" s="111">
        <f>Calculations!BH317</f>
        <v>0</v>
      </c>
      <c r="BI54" s="111">
        <f>Calculations!BI317</f>
        <v>0</v>
      </c>
      <c r="BJ54" s="111">
        <f>Calculations!BJ317</f>
        <v>0</v>
      </c>
      <c r="BK54" s="111">
        <f>Calculations!BK317</f>
        <v>0</v>
      </c>
      <c r="BL54" s="111">
        <f>Calculations!BL317</f>
        <v>0</v>
      </c>
      <c r="BM54" s="111">
        <f>Calculations!BM317</f>
        <v>0</v>
      </c>
      <c r="BN54" s="111">
        <f>Calculations!BN317</f>
        <v>0</v>
      </c>
      <c r="BO54" s="111">
        <f>Calculations!BO317</f>
        <v>0</v>
      </c>
      <c r="BP54" s="112">
        <f>Calculations!BP317</f>
        <v>0</v>
      </c>
      <c r="BQ54" s="110">
        <f>Calculations!BQ317</f>
        <v>0</v>
      </c>
      <c r="BR54" s="111">
        <f>Calculations!BR317</f>
        <v>0</v>
      </c>
      <c r="BS54" s="111">
        <v>0</v>
      </c>
      <c r="BT54" s="111">
        <f>Calculations!BS317</f>
        <v>0</v>
      </c>
      <c r="BU54" s="112">
        <f>Calculations!BT317</f>
        <v>0</v>
      </c>
      <c r="BV54" s="110">
        <f>Calculations!BU317</f>
        <v>0</v>
      </c>
      <c r="BW54" s="111">
        <f>Calculations!BV317</f>
        <v>0</v>
      </c>
      <c r="BX54" s="112">
        <f>Calculations!BW317</f>
        <v>0</v>
      </c>
      <c r="BY54" s="141">
        <f ca="1">Calculations!BX317+'Calculations 2'!CJ54</f>
        <v>1.0611083564335282</v>
      </c>
      <c r="BZ54" s="142">
        <f ca="1">Calculations!BY317+'Calculations 2'!CK54</f>
        <v>5.5766791647523855</v>
      </c>
      <c r="CA54" s="142">
        <f ca="1">Calculations!BZ317+Calculations!CA317</f>
        <v>0.82282400382259291</v>
      </c>
      <c r="CB54" s="142">
        <f ca="1">Calculations!CB317+'Calculations 2'!CN54</f>
        <v>0</v>
      </c>
      <c r="CC54" s="115">
        <f>Calculations!CC317+'Calculations 2'!CO54</f>
        <v>0</v>
      </c>
      <c r="CD54" s="116">
        <f>Calculations!CD317</f>
        <v>11455.931012608735</v>
      </c>
      <c r="CE54" s="117">
        <f>Calculations!CE317</f>
        <v>1290.6427837664244</v>
      </c>
      <c r="CF54" s="117">
        <f t="shared" ca="1" si="1"/>
        <v>18347.043899078169</v>
      </c>
      <c r="CH54">
        <f ca="1"/>
        <v>0</v>
      </c>
      <c r="CJ54" s="34"/>
      <c r="CK54" s="34"/>
      <c r="CL54" s="34"/>
      <c r="CM54" s="34"/>
      <c r="CN54" s="34"/>
      <c r="CO54" s="34"/>
    </row>
    <row r="55" spans="1:93">
      <c r="A55" s="280"/>
      <c r="B55" s="44" t="s">
        <v>84</v>
      </c>
      <c r="C55" s="114">
        <f>Calculations!C318</f>
        <v>0</v>
      </c>
      <c r="D55" s="115">
        <f>Calculations!D318</f>
        <v>0</v>
      </c>
      <c r="E55" s="115">
        <f>Calculations!E318</f>
        <v>3.6321957069980595</v>
      </c>
      <c r="F55" s="115">
        <f>Calculations!F318</f>
        <v>9.3401169352699398</v>
      </c>
      <c r="G55" s="115">
        <f>Calculations!G318</f>
        <v>0.46547114856015948</v>
      </c>
      <c r="H55" s="115">
        <f>Calculations!H318</f>
        <v>31.308111981945761</v>
      </c>
      <c r="I55" s="115">
        <f>Calculations!I318</f>
        <v>0</v>
      </c>
      <c r="J55" s="115">
        <f>Calculations!J318</f>
        <v>0</v>
      </c>
      <c r="K55" s="115">
        <f>Calculations!K318</f>
        <v>225.97732219833929</v>
      </c>
      <c r="L55" s="115">
        <f>Calculations!L318</f>
        <v>5.0598814702095787</v>
      </c>
      <c r="M55" s="115">
        <f>Calculations!M318</f>
        <v>1364.7264706633732</v>
      </c>
      <c r="N55" s="115">
        <f>Calculations!N318</f>
        <v>253.9679344562791</v>
      </c>
      <c r="O55" s="115">
        <f>Calculations!O318</f>
        <v>0</v>
      </c>
      <c r="P55" s="115">
        <f>Calculations!P318</f>
        <v>0</v>
      </c>
      <c r="Q55" s="115">
        <f>Calculations!Q318</f>
        <v>4.0385607949445035</v>
      </c>
      <c r="R55" s="115">
        <f>Calculations!R318</f>
        <v>349.02423026294349</v>
      </c>
      <c r="S55" s="115">
        <f>Calculations!S318</f>
        <v>0</v>
      </c>
      <c r="T55" s="115">
        <f>Calculations!T318</f>
        <v>6470.345464665259</v>
      </c>
      <c r="U55" s="115">
        <f>Calculations!U318</f>
        <v>0</v>
      </c>
      <c r="V55" s="115">
        <f>Calculations!V318</f>
        <v>16.971143372754582</v>
      </c>
      <c r="W55" s="115">
        <f>Calculations!W318</f>
        <v>0</v>
      </c>
      <c r="X55" s="115">
        <f>Calculations!X318</f>
        <v>0</v>
      </c>
      <c r="Y55" s="115">
        <f>Calculations!Y318</f>
        <v>0</v>
      </c>
      <c r="Z55" s="115">
        <f>Calculations!Z318</f>
        <v>0</v>
      </c>
      <c r="AA55" s="115">
        <f>Calculations!AA318</f>
        <v>0</v>
      </c>
      <c r="AB55" s="115">
        <f>Calculations!AB318</f>
        <v>0</v>
      </c>
      <c r="AC55" s="115">
        <f>Calculations!AC318</f>
        <v>0</v>
      </c>
      <c r="AD55" s="115">
        <f>Calculations!AD318</f>
        <v>0</v>
      </c>
      <c r="AE55" s="115">
        <f>Calculations!AE318</f>
        <v>0</v>
      </c>
      <c r="AF55" s="115">
        <f>Calculations!AF318</f>
        <v>0.12730818027996194</v>
      </c>
      <c r="AG55" s="115">
        <f>Calculations!AG318</f>
        <v>47.171651052028288</v>
      </c>
      <c r="AH55" s="115">
        <f>Calculations!AH318</f>
        <v>0</v>
      </c>
      <c r="AI55" s="116">
        <f>Calculations!AI318</f>
        <v>0</v>
      </c>
      <c r="AJ55" s="110">
        <f>Calculations!AJ318</f>
        <v>0</v>
      </c>
      <c r="AK55" s="111">
        <f>Calculations!AK318</f>
        <v>0</v>
      </c>
      <c r="AL55" s="111">
        <f>Calculations!AL318</f>
        <v>0</v>
      </c>
      <c r="AM55" s="111">
        <f>Calculations!AM318</f>
        <v>0</v>
      </c>
      <c r="AN55" s="111">
        <f>Calculations!AN318</f>
        <v>0</v>
      </c>
      <c r="AO55" s="111">
        <f>Calculations!AO318</f>
        <v>0</v>
      </c>
      <c r="AP55" s="111">
        <f>Calculations!AP318</f>
        <v>0</v>
      </c>
      <c r="AQ55" s="111">
        <f>Calculations!AQ318</f>
        <v>0</v>
      </c>
      <c r="AR55" s="111">
        <f>Calculations!AR318</f>
        <v>0</v>
      </c>
      <c r="AS55" s="111">
        <f>Calculations!AS318</f>
        <v>0</v>
      </c>
      <c r="AT55" s="111">
        <f>Calculations!AT318</f>
        <v>0</v>
      </c>
      <c r="AU55" s="111">
        <f>Calculations!AU318</f>
        <v>0</v>
      </c>
      <c r="AV55" s="111">
        <f>Calculations!AV318</f>
        <v>0</v>
      </c>
      <c r="AW55" s="111">
        <f>Calculations!AW318</f>
        <v>0</v>
      </c>
      <c r="AX55" s="111">
        <f>Calculations!AX318</f>
        <v>0</v>
      </c>
      <c r="AY55" s="111">
        <f>Calculations!AY318</f>
        <v>0</v>
      </c>
      <c r="AZ55" s="111">
        <f>Calculations!AZ318</f>
        <v>0</v>
      </c>
      <c r="BA55" s="111">
        <f>Calculations!BA318</f>
        <v>0</v>
      </c>
      <c r="BB55" s="111">
        <f>Calculations!BB318</f>
        <v>0</v>
      </c>
      <c r="BC55" s="111">
        <f>Calculations!BC318</f>
        <v>0</v>
      </c>
      <c r="BD55" s="111">
        <f>Calculations!BD318</f>
        <v>0</v>
      </c>
      <c r="BE55" s="111">
        <f>Calculations!BE318</f>
        <v>0</v>
      </c>
      <c r="BF55" s="111">
        <f>Calculations!BF318</f>
        <v>0</v>
      </c>
      <c r="BG55" s="111">
        <f>Calculations!BG318</f>
        <v>0</v>
      </c>
      <c r="BH55" s="111">
        <f>Calculations!BH318</f>
        <v>0</v>
      </c>
      <c r="BI55" s="111">
        <f>Calculations!BI318</f>
        <v>0</v>
      </c>
      <c r="BJ55" s="111">
        <f>Calculations!BJ318</f>
        <v>0</v>
      </c>
      <c r="BK55" s="111">
        <f>Calculations!BK318</f>
        <v>0</v>
      </c>
      <c r="BL55" s="111">
        <f>Calculations!BL318</f>
        <v>0</v>
      </c>
      <c r="BM55" s="111">
        <f>Calculations!BM318</f>
        <v>0</v>
      </c>
      <c r="BN55" s="111">
        <f>Calculations!BN318</f>
        <v>0</v>
      </c>
      <c r="BO55" s="111">
        <f>Calculations!BO318</f>
        <v>0</v>
      </c>
      <c r="BP55" s="112">
        <f>Calculations!BP318</f>
        <v>0</v>
      </c>
      <c r="BQ55" s="110">
        <f>Calculations!BQ318</f>
        <v>0</v>
      </c>
      <c r="BR55" s="111">
        <f>Calculations!BR318</f>
        <v>0</v>
      </c>
      <c r="BS55" s="111">
        <v>0</v>
      </c>
      <c r="BT55" s="111">
        <f>Calculations!BS318</f>
        <v>0</v>
      </c>
      <c r="BU55" s="112">
        <f>Calculations!BT318</f>
        <v>0</v>
      </c>
      <c r="BV55" s="110">
        <f>Calculations!BU318</f>
        <v>0</v>
      </c>
      <c r="BW55" s="111">
        <f>Calculations!BV318</f>
        <v>0</v>
      </c>
      <c r="BX55" s="112">
        <f>Calculations!BW318</f>
        <v>0</v>
      </c>
      <c r="BY55" s="141">
        <f ca="1">Calculations!BX318+'Calculations 2'!CJ55</f>
        <v>12.707078162001828</v>
      </c>
      <c r="BZ55" s="142">
        <f ca="1">Calculations!BY318+'Calculations 2'!CK55</f>
        <v>66.7823390526232</v>
      </c>
      <c r="CA55" s="142">
        <f ca="1">Calculations!BZ318+Calculations!CA318</f>
        <v>9.8535544148265899</v>
      </c>
      <c r="CB55" s="142">
        <f ca="1">Calculations!CB318+'Calculations 2'!CN55</f>
        <v>0</v>
      </c>
      <c r="CC55" s="115">
        <f>Calculations!CC318+'Calculations 2'!CO55</f>
        <v>0</v>
      </c>
      <c r="CD55" s="116">
        <f>Calculations!CD318</f>
        <v>4728.6532694254747</v>
      </c>
      <c r="CE55" s="117">
        <f>Calculations!CE318</f>
        <v>734.57117772375295</v>
      </c>
      <c r="CF55" s="117">
        <f t="shared" ca="1" si="1"/>
        <v>14334.723281667866</v>
      </c>
      <c r="CH55">
        <f ca="1"/>
        <v>0</v>
      </c>
      <c r="CJ55" s="34"/>
      <c r="CK55" s="34"/>
      <c r="CL55" s="34"/>
      <c r="CM55" s="34"/>
      <c r="CN55" s="34"/>
      <c r="CO55" s="34"/>
    </row>
    <row r="56" spans="1:93">
      <c r="A56" s="280"/>
      <c r="B56" s="44" t="s">
        <v>85</v>
      </c>
      <c r="C56" s="114">
        <f>Calculations!C319</f>
        <v>0</v>
      </c>
      <c r="D56" s="115">
        <f>Calculations!D319</f>
        <v>0</v>
      </c>
      <c r="E56" s="115">
        <f>Calculations!E319</f>
        <v>15.07720472681059</v>
      </c>
      <c r="F56" s="115">
        <f>Calculations!F319</f>
        <v>82.436696404822627</v>
      </c>
      <c r="G56" s="115">
        <f>Calculations!G319</f>
        <v>0</v>
      </c>
      <c r="H56" s="115">
        <f>Calculations!H319</f>
        <v>108.81532339293815</v>
      </c>
      <c r="I56" s="115">
        <f>Calculations!I319</f>
        <v>31.051592598639381</v>
      </c>
      <c r="J56" s="115">
        <f>Calculations!J319</f>
        <v>0</v>
      </c>
      <c r="K56" s="115">
        <f>Calculations!K319</f>
        <v>1.7759274318138933</v>
      </c>
      <c r="L56" s="115">
        <f>Calculations!L319</f>
        <v>382.468836721287</v>
      </c>
      <c r="M56" s="115">
        <f>Calculations!M319</f>
        <v>132.11199490888916</v>
      </c>
      <c r="N56" s="115">
        <f>Calculations!N319</f>
        <v>14746.857733611136</v>
      </c>
      <c r="O56" s="115">
        <f>Calculations!O319</f>
        <v>1842.6759591066773</v>
      </c>
      <c r="P56" s="115">
        <f>Calculations!P319</f>
        <v>2666.1365789535334</v>
      </c>
      <c r="Q56" s="115">
        <f>Calculations!Q319</f>
        <v>232.726976818021</v>
      </c>
      <c r="R56" s="115">
        <f>Calculations!R319</f>
        <v>2332.262990294807</v>
      </c>
      <c r="S56" s="115">
        <f>Calculations!S319</f>
        <v>3.643172099091993E-4</v>
      </c>
      <c r="T56" s="115">
        <f>Calculations!T319</f>
        <v>6395.6390333875834</v>
      </c>
      <c r="U56" s="115">
        <f>Calculations!U319</f>
        <v>142.76294923666291</v>
      </c>
      <c r="V56" s="115">
        <f>Calculations!V319</f>
        <v>499.74631507464375</v>
      </c>
      <c r="W56" s="115">
        <f>Calculations!W319</f>
        <v>0</v>
      </c>
      <c r="X56" s="115">
        <f>Calculations!X319</f>
        <v>0</v>
      </c>
      <c r="Y56" s="115">
        <f>Calculations!Y319</f>
        <v>0</v>
      </c>
      <c r="Z56" s="115">
        <f>Calculations!Z319</f>
        <v>9.0288998001675308E-2</v>
      </c>
      <c r="AA56" s="115">
        <f>Calculations!AA319</f>
        <v>0</v>
      </c>
      <c r="AB56" s="115">
        <f>Calculations!AB319</f>
        <v>0</v>
      </c>
      <c r="AC56" s="115">
        <f>Calculations!AC319</f>
        <v>0</v>
      </c>
      <c r="AD56" s="115">
        <f>Calculations!AD319</f>
        <v>35.405645245469941</v>
      </c>
      <c r="AE56" s="115">
        <f>Calculations!AE319</f>
        <v>161.21949586138052</v>
      </c>
      <c r="AF56" s="115">
        <f>Calculations!AF319</f>
        <v>0</v>
      </c>
      <c r="AG56" s="115">
        <f>Calculations!AG319</f>
        <v>0</v>
      </c>
      <c r="AH56" s="115">
        <f>Calculations!AH319</f>
        <v>0.60532123859413645</v>
      </c>
      <c r="AI56" s="116">
        <f>Calculations!AI319</f>
        <v>0</v>
      </c>
      <c r="AJ56" s="110">
        <f>Calculations!AJ319</f>
        <v>0</v>
      </c>
      <c r="AK56" s="111">
        <f>Calculations!AK319</f>
        <v>0</v>
      </c>
      <c r="AL56" s="111">
        <f>Calculations!AL319</f>
        <v>0</v>
      </c>
      <c r="AM56" s="111">
        <f>Calculations!AM319</f>
        <v>0</v>
      </c>
      <c r="AN56" s="111">
        <f>Calculations!AN319</f>
        <v>0</v>
      </c>
      <c r="AO56" s="111">
        <f>Calculations!AO319</f>
        <v>0</v>
      </c>
      <c r="AP56" s="111">
        <f>Calculations!AP319</f>
        <v>0</v>
      </c>
      <c r="AQ56" s="111">
        <f>Calculations!AQ319</f>
        <v>0</v>
      </c>
      <c r="AR56" s="111">
        <f>Calculations!AR319</f>
        <v>0</v>
      </c>
      <c r="AS56" s="111">
        <f>Calculations!AS319</f>
        <v>0</v>
      </c>
      <c r="AT56" s="111">
        <f>Calculations!AT319</f>
        <v>0</v>
      </c>
      <c r="AU56" s="111">
        <f>Calculations!AU319</f>
        <v>0</v>
      </c>
      <c r="AV56" s="111">
        <f>Calculations!AV319</f>
        <v>0</v>
      </c>
      <c r="AW56" s="111">
        <f>Calculations!AW319</f>
        <v>0</v>
      </c>
      <c r="AX56" s="111">
        <f>Calculations!AX319</f>
        <v>0</v>
      </c>
      <c r="AY56" s="111">
        <f>Calculations!AY319</f>
        <v>0</v>
      </c>
      <c r="AZ56" s="111">
        <f>Calculations!AZ319</f>
        <v>0</v>
      </c>
      <c r="BA56" s="111">
        <f>Calculations!BA319</f>
        <v>0</v>
      </c>
      <c r="BB56" s="111">
        <f>Calculations!BB319</f>
        <v>0</v>
      </c>
      <c r="BC56" s="111">
        <f>Calculations!BC319</f>
        <v>0</v>
      </c>
      <c r="BD56" s="111">
        <f>Calculations!BD319</f>
        <v>0</v>
      </c>
      <c r="BE56" s="111">
        <f>Calculations!BE319</f>
        <v>0</v>
      </c>
      <c r="BF56" s="111">
        <f>Calculations!BF319</f>
        <v>0</v>
      </c>
      <c r="BG56" s="111">
        <f>Calculations!BG319</f>
        <v>0</v>
      </c>
      <c r="BH56" s="111">
        <f>Calculations!BH319</f>
        <v>0</v>
      </c>
      <c r="BI56" s="111">
        <f>Calculations!BI319</f>
        <v>0</v>
      </c>
      <c r="BJ56" s="111">
        <f>Calculations!BJ319</f>
        <v>0</v>
      </c>
      <c r="BK56" s="111">
        <f>Calculations!BK319</f>
        <v>0</v>
      </c>
      <c r="BL56" s="111">
        <f>Calculations!BL319</f>
        <v>0</v>
      </c>
      <c r="BM56" s="111">
        <f>Calculations!BM319</f>
        <v>0</v>
      </c>
      <c r="BN56" s="111">
        <f>Calculations!BN319</f>
        <v>0</v>
      </c>
      <c r="BO56" s="111">
        <f>Calculations!BO319</f>
        <v>0</v>
      </c>
      <c r="BP56" s="112">
        <f>Calculations!BP319</f>
        <v>0</v>
      </c>
      <c r="BQ56" s="110">
        <f>Calculations!BQ319</f>
        <v>0</v>
      </c>
      <c r="BR56" s="111">
        <f>Calculations!BR319</f>
        <v>0</v>
      </c>
      <c r="BS56" s="111">
        <v>0</v>
      </c>
      <c r="BT56" s="111">
        <f>Calculations!BS319</f>
        <v>0</v>
      </c>
      <c r="BU56" s="112">
        <f>Calculations!BT319</f>
        <v>0</v>
      </c>
      <c r="BV56" s="110">
        <f>Calculations!BU319</f>
        <v>0</v>
      </c>
      <c r="BW56" s="111">
        <f>Calculations!BV319</f>
        <v>0</v>
      </c>
      <c r="BX56" s="112">
        <f>Calculations!BW319</f>
        <v>0</v>
      </c>
      <c r="BY56" s="141">
        <f ca="1">Calculations!BX319+'Calculations 2'!CJ56</f>
        <v>13.497061083138696</v>
      </c>
      <c r="BZ56" s="142">
        <f ca="1">Calculations!BY319+'Calculations 2'!CK56</f>
        <v>70.934112309429295</v>
      </c>
      <c r="CA56" s="142">
        <f ca="1">Calculations!BZ319+Calculations!CA319</f>
        <v>10.466137386377268</v>
      </c>
      <c r="CB56" s="142">
        <f ca="1">Calculations!CB319+'Calculations 2'!CN56</f>
        <v>0</v>
      </c>
      <c r="CC56" s="115">
        <f>Calculations!CC319+'Calculations 2'!CO56</f>
        <v>0</v>
      </c>
      <c r="CD56" s="116">
        <f>Calculations!CD319</f>
        <v>129405.85466863023</v>
      </c>
      <c r="CE56" s="117">
        <f>Calculations!CE319</f>
        <v>5189.9998898448293</v>
      </c>
      <c r="CF56" s="117">
        <f t="shared" ca="1" si="1"/>
        <v>164500.61909758291</v>
      </c>
      <c r="CH56">
        <f ca="1"/>
        <v>0</v>
      </c>
      <c r="CJ56" s="34"/>
      <c r="CK56" s="34"/>
      <c r="CL56" s="34"/>
      <c r="CM56" s="34"/>
      <c r="CN56" s="34"/>
      <c r="CO56" s="34"/>
    </row>
    <row r="57" spans="1:93">
      <c r="A57" s="280"/>
      <c r="B57" s="44" t="s">
        <v>86</v>
      </c>
      <c r="C57" s="114">
        <f>Calculations!C320</f>
        <v>0</v>
      </c>
      <c r="D57" s="115">
        <f>Calculations!D320</f>
        <v>0</v>
      </c>
      <c r="E57" s="115">
        <f>Calculations!E320</f>
        <v>124.53197137555694</v>
      </c>
      <c r="F57" s="115">
        <f>Calculations!F320</f>
        <v>1.9763583921474857</v>
      </c>
      <c r="G57" s="115">
        <f>Calculations!G320</f>
        <v>2.0711289967407672E-2</v>
      </c>
      <c r="H57" s="115">
        <f>Calculations!H320</f>
        <v>11.931422825279867</v>
      </c>
      <c r="I57" s="115">
        <f>Calculations!I320</f>
        <v>31.869563671642425</v>
      </c>
      <c r="J57" s="115">
        <f>Calculations!J320</f>
        <v>0</v>
      </c>
      <c r="K57" s="115">
        <f>Calculations!K320</f>
        <v>35.325610805117471</v>
      </c>
      <c r="L57" s="115">
        <f>Calculations!L320</f>
        <v>14.666917956863252</v>
      </c>
      <c r="M57" s="115">
        <f>Calculations!M320</f>
        <v>285.36399297911566</v>
      </c>
      <c r="N57" s="115">
        <f>Calculations!N320</f>
        <v>665.34982243942204</v>
      </c>
      <c r="O57" s="115">
        <f>Calculations!O320</f>
        <v>937.64181898162383</v>
      </c>
      <c r="P57" s="115">
        <f>Calculations!P320</f>
        <v>138.33712805952695</v>
      </c>
      <c r="Q57" s="115">
        <f>Calculations!Q320</f>
        <v>42.58633465492747</v>
      </c>
      <c r="R57" s="115">
        <f>Calculations!R320</f>
        <v>239.91281551950544</v>
      </c>
      <c r="S57" s="115">
        <f>Calculations!S320</f>
        <v>8.8472112610363656</v>
      </c>
      <c r="T57" s="115">
        <f>Calculations!T320</f>
        <v>6843.1120314195596</v>
      </c>
      <c r="U57" s="115">
        <f>Calculations!U320</f>
        <v>201.37955638556292</v>
      </c>
      <c r="V57" s="115">
        <f>Calculations!V320</f>
        <v>0</v>
      </c>
      <c r="W57" s="115">
        <f>Calculations!W320</f>
        <v>0</v>
      </c>
      <c r="X57" s="115">
        <f>Calculations!X320</f>
        <v>0</v>
      </c>
      <c r="Y57" s="115">
        <f>Calculations!Y320</f>
        <v>0</v>
      </c>
      <c r="Z57" s="115">
        <f>Calculations!Z320</f>
        <v>842.32798646457945</v>
      </c>
      <c r="AA57" s="115">
        <f>Calculations!AA320</f>
        <v>0</v>
      </c>
      <c r="AB57" s="115">
        <f>Calculations!AB320</f>
        <v>0</v>
      </c>
      <c r="AC57" s="115">
        <f>Calculations!AC320</f>
        <v>276.01649045546816</v>
      </c>
      <c r="AD57" s="115">
        <f>Calculations!AD320</f>
        <v>122.0917259107859</v>
      </c>
      <c r="AE57" s="115">
        <f>Calculations!AE320</f>
        <v>60.309569759160006</v>
      </c>
      <c r="AF57" s="115">
        <f>Calculations!AF320</f>
        <v>8.429948675701052</v>
      </c>
      <c r="AG57" s="115">
        <f>Calculations!AG320</f>
        <v>40.092570487265547</v>
      </c>
      <c r="AH57" s="115">
        <f>Calculations!AH320</f>
        <v>50.746488085104637</v>
      </c>
      <c r="AI57" s="116">
        <f>Calculations!AI320</f>
        <v>0</v>
      </c>
      <c r="AJ57" s="110">
        <f>Calculations!AJ320</f>
        <v>0</v>
      </c>
      <c r="AK57" s="111">
        <f>Calculations!AK320</f>
        <v>0</v>
      </c>
      <c r="AL57" s="111">
        <f>Calculations!AL320</f>
        <v>0</v>
      </c>
      <c r="AM57" s="111">
        <f>Calculations!AM320</f>
        <v>0</v>
      </c>
      <c r="AN57" s="111">
        <f>Calculations!AN320</f>
        <v>0</v>
      </c>
      <c r="AO57" s="111">
        <f>Calculations!AO320</f>
        <v>0</v>
      </c>
      <c r="AP57" s="111">
        <f>Calculations!AP320</f>
        <v>0</v>
      </c>
      <c r="AQ57" s="111">
        <f>Calculations!AQ320</f>
        <v>0</v>
      </c>
      <c r="AR57" s="111">
        <f>Calculations!AR320</f>
        <v>0</v>
      </c>
      <c r="AS57" s="111">
        <f>Calculations!AS320</f>
        <v>0</v>
      </c>
      <c r="AT57" s="111">
        <f>Calculations!AT320</f>
        <v>0</v>
      </c>
      <c r="AU57" s="111">
        <f>Calculations!AU320</f>
        <v>0</v>
      </c>
      <c r="AV57" s="111">
        <f>Calculations!AV320</f>
        <v>0</v>
      </c>
      <c r="AW57" s="111">
        <f>Calculations!AW320</f>
        <v>0</v>
      </c>
      <c r="AX57" s="111">
        <f>Calculations!AX320</f>
        <v>0</v>
      </c>
      <c r="AY57" s="111">
        <f>Calculations!AY320</f>
        <v>0</v>
      </c>
      <c r="AZ57" s="111">
        <f>Calculations!AZ320</f>
        <v>0</v>
      </c>
      <c r="BA57" s="111">
        <f>Calculations!BA320</f>
        <v>0</v>
      </c>
      <c r="BB57" s="111">
        <f>Calculations!BB320</f>
        <v>0</v>
      </c>
      <c r="BC57" s="111">
        <f>Calculations!BC320</f>
        <v>0</v>
      </c>
      <c r="BD57" s="111">
        <f>Calculations!BD320</f>
        <v>0</v>
      </c>
      <c r="BE57" s="111">
        <f>Calculations!BE320</f>
        <v>0</v>
      </c>
      <c r="BF57" s="111">
        <f>Calculations!BF320</f>
        <v>0</v>
      </c>
      <c r="BG57" s="111">
        <f>Calculations!BG320</f>
        <v>0</v>
      </c>
      <c r="BH57" s="111">
        <f>Calculations!BH320</f>
        <v>0</v>
      </c>
      <c r="BI57" s="111">
        <f>Calculations!BI320</f>
        <v>0</v>
      </c>
      <c r="BJ57" s="111">
        <f>Calculations!BJ320</f>
        <v>0</v>
      </c>
      <c r="BK57" s="111">
        <f>Calculations!BK320</f>
        <v>0</v>
      </c>
      <c r="BL57" s="111">
        <f>Calculations!BL320</f>
        <v>0</v>
      </c>
      <c r="BM57" s="111">
        <f>Calculations!BM320</f>
        <v>0</v>
      </c>
      <c r="BN57" s="111">
        <f>Calculations!BN320</f>
        <v>0</v>
      </c>
      <c r="BO57" s="111">
        <f>Calculations!BO320</f>
        <v>0</v>
      </c>
      <c r="BP57" s="112">
        <f>Calculations!BP320</f>
        <v>0</v>
      </c>
      <c r="BQ57" s="110">
        <f>Calculations!BQ320</f>
        <v>0</v>
      </c>
      <c r="BR57" s="111">
        <f>Calculations!BR320</f>
        <v>0</v>
      </c>
      <c r="BS57" s="111">
        <v>0</v>
      </c>
      <c r="BT57" s="111">
        <f>Calculations!BS320</f>
        <v>0</v>
      </c>
      <c r="BU57" s="112">
        <f>Calculations!BT320</f>
        <v>0</v>
      </c>
      <c r="BV57" s="110">
        <f>Calculations!BU320</f>
        <v>0</v>
      </c>
      <c r="BW57" s="111">
        <f>Calculations!BV320</f>
        <v>0</v>
      </c>
      <c r="BX57" s="112">
        <f>Calculations!BW320</f>
        <v>0</v>
      </c>
      <c r="BY57" s="141">
        <f ca="1">Calculations!BX320+'Calculations 2'!CJ57</f>
        <v>3.3748911794284022</v>
      </c>
      <c r="BZ57" s="142">
        <f ca="1">Calculations!BY320+'Calculations 2'!CK57</f>
        <v>17.73681755450766</v>
      </c>
      <c r="CA57" s="142">
        <f ca="1">Calculations!BZ320+Calculations!CA320</f>
        <v>2.6170197000958111</v>
      </c>
      <c r="CB57" s="142">
        <f ca="1">Calculations!CB320+'Calculations 2'!CN57</f>
        <v>0</v>
      </c>
      <c r="CC57" s="115">
        <f>Calculations!CC320+'Calculations 2'!CO57</f>
        <v>0</v>
      </c>
      <c r="CD57" s="116">
        <f>Calculations!CD320</f>
        <v>40306.887845423233</v>
      </c>
      <c r="CE57" s="117">
        <f>Calculations!CE320</f>
        <v>16971.40369523162</v>
      </c>
      <c r="CF57" s="117">
        <f t="shared" ca="1" si="1"/>
        <v>68284.888316943805</v>
      </c>
      <c r="CH57">
        <f ca="1"/>
        <v>0</v>
      </c>
      <c r="CJ57" s="34"/>
      <c r="CK57" s="34"/>
      <c r="CL57" s="34"/>
      <c r="CM57" s="34"/>
      <c r="CN57" s="34"/>
      <c r="CO57" s="34"/>
    </row>
    <row r="58" spans="1:93">
      <c r="A58" s="280"/>
      <c r="B58" s="44" t="s">
        <v>87</v>
      </c>
      <c r="C58" s="114">
        <f>Calculations!C321</f>
        <v>0</v>
      </c>
      <c r="D58" s="115">
        <f>Calculations!D321</f>
        <v>0</v>
      </c>
      <c r="E58" s="115">
        <f>Calculations!E321</f>
        <v>0</v>
      </c>
      <c r="F58" s="115">
        <f>Calculations!F321</f>
        <v>0</v>
      </c>
      <c r="G58" s="115">
        <f>Calculations!G321</f>
        <v>0</v>
      </c>
      <c r="H58" s="115">
        <f>Calculations!H321</f>
        <v>0</v>
      </c>
      <c r="I58" s="115">
        <f>Calculations!I321</f>
        <v>1.3265466476407349E-2</v>
      </c>
      <c r="J58" s="115">
        <f>Calculations!J321</f>
        <v>0</v>
      </c>
      <c r="K58" s="115">
        <f>Calculations!K321</f>
        <v>0.16990156587429248</v>
      </c>
      <c r="L58" s="115">
        <f>Calculations!L321</f>
        <v>15.244195812808075</v>
      </c>
      <c r="M58" s="115">
        <f>Calculations!M321</f>
        <v>0</v>
      </c>
      <c r="N58" s="115">
        <f>Calculations!N321</f>
        <v>1.4777645710533323</v>
      </c>
      <c r="O58" s="115">
        <f>Calculations!O321</f>
        <v>467.54110226635294</v>
      </c>
      <c r="P58" s="115">
        <f>Calculations!P321</f>
        <v>284.26044978225582</v>
      </c>
      <c r="Q58" s="115">
        <f>Calculations!Q321</f>
        <v>217.21441187664448</v>
      </c>
      <c r="R58" s="115">
        <f>Calculations!R321</f>
        <v>2.6613348122640494</v>
      </c>
      <c r="S58" s="115">
        <f>Calculations!S321</f>
        <v>373.88934367224795</v>
      </c>
      <c r="T58" s="115">
        <f>Calculations!T321</f>
        <v>4921.8199828824982</v>
      </c>
      <c r="U58" s="115">
        <f>Calculations!U321</f>
        <v>22.310380842209476</v>
      </c>
      <c r="V58" s="115">
        <f>Calculations!V321</f>
        <v>46.162148109248839</v>
      </c>
      <c r="W58" s="115">
        <f>Calculations!W321</f>
        <v>0</v>
      </c>
      <c r="X58" s="115">
        <f>Calculations!X321</f>
        <v>0</v>
      </c>
      <c r="Y58" s="115">
        <f>Calculations!Y321</f>
        <v>0</v>
      </c>
      <c r="Z58" s="115">
        <f>Calculations!Z321</f>
        <v>0</v>
      </c>
      <c r="AA58" s="115">
        <f>Calculations!AA321</f>
        <v>1200.9764004256233</v>
      </c>
      <c r="AB58" s="115">
        <f>Calculations!AB321</f>
        <v>0</v>
      </c>
      <c r="AC58" s="115">
        <f>Calculations!AC321</f>
        <v>0</v>
      </c>
      <c r="AD58" s="115">
        <f>Calculations!AD321</f>
        <v>808.87255063610667</v>
      </c>
      <c r="AE58" s="115">
        <f>Calculations!AE321</f>
        <v>4.3134055090234087</v>
      </c>
      <c r="AF58" s="115">
        <f>Calculations!AF321</f>
        <v>0.14341083210589445</v>
      </c>
      <c r="AG58" s="115">
        <f>Calculations!AG321</f>
        <v>3.1342586139537754</v>
      </c>
      <c r="AH58" s="115">
        <f>Calculations!AH321</f>
        <v>0.69624755354770262</v>
      </c>
      <c r="AI58" s="116">
        <f>Calculations!AI321</f>
        <v>0</v>
      </c>
      <c r="AJ58" s="110">
        <f>Calculations!AJ321</f>
        <v>0</v>
      </c>
      <c r="AK58" s="111">
        <f>Calculations!AK321</f>
        <v>0</v>
      </c>
      <c r="AL58" s="111">
        <f>Calculations!AL321</f>
        <v>0</v>
      </c>
      <c r="AM58" s="111">
        <f>Calculations!AM321</f>
        <v>0</v>
      </c>
      <c r="AN58" s="111">
        <f>Calculations!AN321</f>
        <v>0</v>
      </c>
      <c r="AO58" s="111">
        <f>Calculations!AO321</f>
        <v>0</v>
      </c>
      <c r="AP58" s="111">
        <f>Calculations!AP321</f>
        <v>0</v>
      </c>
      <c r="AQ58" s="111">
        <f>Calculations!AQ321</f>
        <v>0</v>
      </c>
      <c r="AR58" s="111">
        <f>Calculations!AR321</f>
        <v>0</v>
      </c>
      <c r="AS58" s="111">
        <f>Calculations!AS321</f>
        <v>0</v>
      </c>
      <c r="AT58" s="111">
        <f>Calculations!AT321</f>
        <v>0</v>
      </c>
      <c r="AU58" s="111">
        <f>Calculations!AU321</f>
        <v>0</v>
      </c>
      <c r="AV58" s="111">
        <f>Calculations!AV321</f>
        <v>0</v>
      </c>
      <c r="AW58" s="111">
        <f>Calculations!AW321</f>
        <v>0</v>
      </c>
      <c r="AX58" s="111">
        <f>Calculations!AX321</f>
        <v>0</v>
      </c>
      <c r="AY58" s="111">
        <f>Calculations!AY321</f>
        <v>0</v>
      </c>
      <c r="AZ58" s="111">
        <f>Calculations!AZ321</f>
        <v>0</v>
      </c>
      <c r="BA58" s="111">
        <f>Calculations!BA321</f>
        <v>0</v>
      </c>
      <c r="BB58" s="111">
        <f>Calculations!BB321</f>
        <v>0</v>
      </c>
      <c r="BC58" s="111">
        <f>Calculations!BC321</f>
        <v>0</v>
      </c>
      <c r="BD58" s="111">
        <f>Calculations!BD321</f>
        <v>0</v>
      </c>
      <c r="BE58" s="111">
        <f>Calculations!BE321</f>
        <v>0</v>
      </c>
      <c r="BF58" s="111">
        <f>Calculations!BF321</f>
        <v>0</v>
      </c>
      <c r="BG58" s="111">
        <f>Calculations!BG321</f>
        <v>0</v>
      </c>
      <c r="BH58" s="111">
        <f>Calculations!BH321</f>
        <v>0</v>
      </c>
      <c r="BI58" s="111">
        <f>Calculations!BI321</f>
        <v>0</v>
      </c>
      <c r="BJ58" s="111">
        <f>Calculations!BJ321</f>
        <v>0</v>
      </c>
      <c r="BK58" s="111">
        <f>Calculations!BK321</f>
        <v>0</v>
      </c>
      <c r="BL58" s="111">
        <f>Calculations!BL321</f>
        <v>0</v>
      </c>
      <c r="BM58" s="111">
        <f>Calculations!BM321</f>
        <v>0</v>
      </c>
      <c r="BN58" s="111">
        <f>Calculations!BN321</f>
        <v>0</v>
      </c>
      <c r="BO58" s="111">
        <f>Calculations!BO321</f>
        <v>0</v>
      </c>
      <c r="BP58" s="112">
        <f>Calculations!BP321</f>
        <v>0</v>
      </c>
      <c r="BQ58" s="110">
        <f>Calculations!BQ321</f>
        <v>0</v>
      </c>
      <c r="BR58" s="111">
        <f>Calculations!BR321</f>
        <v>0</v>
      </c>
      <c r="BS58" s="111">
        <v>0</v>
      </c>
      <c r="BT58" s="111">
        <f>Calculations!BS321</f>
        <v>0</v>
      </c>
      <c r="BU58" s="112">
        <f>Calculations!BT321</f>
        <v>0</v>
      </c>
      <c r="BV58" s="110">
        <f>Calculations!BU321</f>
        <v>0</v>
      </c>
      <c r="BW58" s="111">
        <f>Calculations!BV321</f>
        <v>0</v>
      </c>
      <c r="BX58" s="112">
        <f>Calculations!BW321</f>
        <v>0</v>
      </c>
      <c r="BY58" s="141">
        <f ca="1">Calculations!BX321+'Calculations 2'!CJ58</f>
        <v>134.55376452307095</v>
      </c>
      <c r="BZ58" s="142">
        <f ca="1">Calculations!BY321+'Calculations 2'!CK58</f>
        <v>218.40146218415205</v>
      </c>
      <c r="CA58" s="142">
        <f ca="1">Calculations!BZ321+Calculations!CA321</f>
        <v>16.125742156501602</v>
      </c>
      <c r="CB58" s="142">
        <f ca="1">Calculations!CB321+'Calculations 2'!CN58</f>
        <v>0</v>
      </c>
      <c r="CC58" s="115">
        <f>Calculations!CC321+'Calculations 2'!CO58</f>
        <v>0</v>
      </c>
      <c r="CD58" s="116">
        <f>Calculations!CD321</f>
        <v>127465.50584737753</v>
      </c>
      <c r="CE58" s="117">
        <f>Calculations!CE321</f>
        <v>8519.5669346308005</v>
      </c>
      <c r="CF58" s="117">
        <f t="shared" ca="1" si="1"/>
        <v>144725.05430610233</v>
      </c>
      <c r="CH58">
        <f ca="1"/>
        <v>0</v>
      </c>
      <c r="CJ58" s="34"/>
      <c r="CK58" s="34"/>
      <c r="CL58" s="34"/>
      <c r="CM58" s="34"/>
      <c r="CN58" s="34"/>
      <c r="CO58" s="34"/>
    </row>
    <row r="59" spans="1:93">
      <c r="A59" s="280"/>
      <c r="B59" s="44" t="s">
        <v>88</v>
      </c>
      <c r="C59" s="114">
        <f>Calculations!C322</f>
        <v>0</v>
      </c>
      <c r="D59" s="115">
        <f>Calculations!D322</f>
        <v>0</v>
      </c>
      <c r="E59" s="115">
        <f>Calculations!E322</f>
        <v>108.8621124484515</v>
      </c>
      <c r="F59" s="115">
        <f>Calculations!F322</f>
        <v>4.2760771921233713</v>
      </c>
      <c r="G59" s="115">
        <f>Calculations!G322</f>
        <v>2.2132698837119057E-2</v>
      </c>
      <c r="H59" s="115">
        <f>Calculations!H322</f>
        <v>5.370434031960758</v>
      </c>
      <c r="I59" s="115">
        <f>Calculations!I322</f>
        <v>9.7760438343851508</v>
      </c>
      <c r="J59" s="115">
        <f>Calculations!J322</f>
        <v>50.119072195723682</v>
      </c>
      <c r="K59" s="115">
        <f>Calculations!K322</f>
        <v>56.772518876648519</v>
      </c>
      <c r="L59" s="115">
        <f>Calculations!L322</f>
        <v>21.852723717009248</v>
      </c>
      <c r="M59" s="115">
        <f>Calculations!M322</f>
        <v>102.79118125281248</v>
      </c>
      <c r="N59" s="115">
        <f>Calculations!N322</f>
        <v>289.94171741785271</v>
      </c>
      <c r="O59" s="115">
        <f>Calculations!O322</f>
        <v>63.96054707997456</v>
      </c>
      <c r="P59" s="115">
        <f>Calculations!P322</f>
        <v>107.81758362668471</v>
      </c>
      <c r="Q59" s="115">
        <f>Calculations!Q322</f>
        <v>76.367425900560804</v>
      </c>
      <c r="R59" s="115">
        <f>Calculations!R322</f>
        <v>114.22084988221437</v>
      </c>
      <c r="S59" s="115">
        <f>Calculations!S322</f>
        <v>10.885020588384458</v>
      </c>
      <c r="T59" s="115">
        <f>Calculations!T322</f>
        <v>515.33658128204866</v>
      </c>
      <c r="U59" s="115">
        <f>Calculations!U322</f>
        <v>311.55667950037031</v>
      </c>
      <c r="V59" s="115">
        <f>Calculations!V322</f>
        <v>142.09715253135687</v>
      </c>
      <c r="W59" s="115">
        <f>Calculations!W322</f>
        <v>476.11031604443485</v>
      </c>
      <c r="X59" s="115">
        <f>Calculations!X322</f>
        <v>8.0254186491223471</v>
      </c>
      <c r="Y59" s="115">
        <f>Calculations!Y322</f>
        <v>1177.2064158885239</v>
      </c>
      <c r="Z59" s="115">
        <f>Calculations!Z322</f>
        <v>259.5918736918685</v>
      </c>
      <c r="AA59" s="115">
        <f>Calculations!AA322</f>
        <v>390.65680980919063</v>
      </c>
      <c r="AB59" s="115">
        <f>Calculations!AB322</f>
        <v>0</v>
      </c>
      <c r="AC59" s="115">
        <f>Calculations!AC322</f>
        <v>7.0111895100536694</v>
      </c>
      <c r="AD59" s="115">
        <f>Calculations!AD322</f>
        <v>684.94257877529799</v>
      </c>
      <c r="AE59" s="115">
        <f>Calculations!AE322</f>
        <v>3.5516160964531642</v>
      </c>
      <c r="AF59" s="115">
        <f>Calculations!AF322</f>
        <v>0.99362634796281157</v>
      </c>
      <c r="AG59" s="115">
        <f>Calculations!AG322</f>
        <v>22.374059953337671</v>
      </c>
      <c r="AH59" s="115">
        <f>Calculations!AH322</f>
        <v>147.53888513789909</v>
      </c>
      <c r="AI59" s="116">
        <f>Calculations!AI322</f>
        <v>0</v>
      </c>
      <c r="AJ59" s="110">
        <f>Calculations!AJ322</f>
        <v>0</v>
      </c>
      <c r="AK59" s="111">
        <f>Calculations!AK322</f>
        <v>0</v>
      </c>
      <c r="AL59" s="111">
        <f>Calculations!AL322</f>
        <v>0</v>
      </c>
      <c r="AM59" s="111">
        <f>Calculations!AM322</f>
        <v>0</v>
      </c>
      <c r="AN59" s="111">
        <f>Calculations!AN322</f>
        <v>0</v>
      </c>
      <c r="AO59" s="111">
        <f>Calculations!AO322</f>
        <v>0</v>
      </c>
      <c r="AP59" s="111">
        <f>Calculations!AP322</f>
        <v>0</v>
      </c>
      <c r="AQ59" s="111">
        <f>Calculations!AQ322</f>
        <v>0</v>
      </c>
      <c r="AR59" s="111">
        <f>Calculations!AR322</f>
        <v>0</v>
      </c>
      <c r="AS59" s="111">
        <f>Calculations!AS322</f>
        <v>0</v>
      </c>
      <c r="AT59" s="111">
        <f>Calculations!AT322</f>
        <v>0</v>
      </c>
      <c r="AU59" s="111">
        <f>Calculations!AU322</f>
        <v>0</v>
      </c>
      <c r="AV59" s="111">
        <f>Calculations!AV322</f>
        <v>0</v>
      </c>
      <c r="AW59" s="111">
        <f>Calculations!AW322</f>
        <v>0</v>
      </c>
      <c r="AX59" s="111">
        <f>Calculations!AX322</f>
        <v>0</v>
      </c>
      <c r="AY59" s="111">
        <f>Calculations!AY322</f>
        <v>0</v>
      </c>
      <c r="AZ59" s="111">
        <f>Calculations!AZ322</f>
        <v>0</v>
      </c>
      <c r="BA59" s="111">
        <f>Calculations!BA322</f>
        <v>0</v>
      </c>
      <c r="BB59" s="111">
        <f>Calculations!BB322</f>
        <v>0</v>
      </c>
      <c r="BC59" s="111">
        <f>Calculations!BC322</f>
        <v>0</v>
      </c>
      <c r="BD59" s="111">
        <f>Calculations!BD322</f>
        <v>0</v>
      </c>
      <c r="BE59" s="111">
        <f>Calculations!BE322</f>
        <v>0</v>
      </c>
      <c r="BF59" s="111">
        <f>Calculations!BF322</f>
        <v>0</v>
      </c>
      <c r="BG59" s="111">
        <f>Calculations!BG322</f>
        <v>0</v>
      </c>
      <c r="BH59" s="111">
        <f>Calculations!BH322</f>
        <v>0</v>
      </c>
      <c r="BI59" s="111">
        <f>Calculations!BI322</f>
        <v>0</v>
      </c>
      <c r="BJ59" s="111">
        <f>Calculations!BJ322</f>
        <v>0</v>
      </c>
      <c r="BK59" s="111">
        <f>Calculations!BK322</f>
        <v>0</v>
      </c>
      <c r="BL59" s="111">
        <f>Calculations!BL322</f>
        <v>0</v>
      </c>
      <c r="BM59" s="111">
        <f>Calculations!BM322</f>
        <v>0</v>
      </c>
      <c r="BN59" s="111">
        <f>Calculations!BN322</f>
        <v>0</v>
      </c>
      <c r="BO59" s="111">
        <f>Calculations!BO322</f>
        <v>0</v>
      </c>
      <c r="BP59" s="112">
        <f>Calculations!BP322</f>
        <v>0</v>
      </c>
      <c r="BQ59" s="110">
        <f>Calculations!BQ322</f>
        <v>0</v>
      </c>
      <c r="BR59" s="111">
        <f>Calculations!BR322</f>
        <v>0</v>
      </c>
      <c r="BS59" s="111">
        <v>0</v>
      </c>
      <c r="BT59" s="111">
        <f>Calculations!BS322</f>
        <v>0</v>
      </c>
      <c r="BU59" s="112">
        <f>Calculations!BT322</f>
        <v>0</v>
      </c>
      <c r="BV59" s="110">
        <f>Calculations!BU322</f>
        <v>0</v>
      </c>
      <c r="BW59" s="111">
        <f>Calculations!BV322</f>
        <v>0</v>
      </c>
      <c r="BX59" s="112">
        <f>Calculations!BW322</f>
        <v>0</v>
      </c>
      <c r="BY59" s="141">
        <f ca="1">Calculations!BX322+'Calculations 2'!CJ59</f>
        <v>80.858449344339988</v>
      </c>
      <c r="BZ59" s="142">
        <f ca="1">Calculations!BY322+'Calculations 2'!CK59</f>
        <v>411.2485567588123</v>
      </c>
      <c r="CA59" s="142">
        <f ca="1">Calculations!BZ322+Calculations!CA322</f>
        <v>53.396037687302375</v>
      </c>
      <c r="CB59" s="142">
        <f ca="1">Calculations!CB322+'Calculations 2'!CN59</f>
        <v>0</v>
      </c>
      <c r="CC59" s="115">
        <f>Calculations!CC322+'Calculations 2'!CO59</f>
        <v>0</v>
      </c>
      <c r="CD59" s="116">
        <f>Calculations!CD322</f>
        <v>32111.616276144228</v>
      </c>
      <c r="CE59" s="117">
        <f>Calculations!CE322</f>
        <v>13540.613431654505</v>
      </c>
      <c r="CF59" s="117">
        <f t="shared" ca="1" si="1"/>
        <v>51367.761395550733</v>
      </c>
      <c r="CH59">
        <f ca="1"/>
        <v>0</v>
      </c>
      <c r="CJ59" s="34"/>
      <c r="CK59" s="34"/>
      <c r="CL59" s="34"/>
      <c r="CM59" s="34"/>
      <c r="CN59" s="34"/>
      <c r="CO59" s="34"/>
    </row>
    <row r="60" spans="1:93">
      <c r="A60" s="280"/>
      <c r="B60" s="44" t="s">
        <v>89</v>
      </c>
      <c r="C60" s="114">
        <f>Calculations!C323</f>
        <v>0</v>
      </c>
      <c r="D60" s="115">
        <f>Calculations!D323</f>
        <v>43.836212145634725</v>
      </c>
      <c r="E60" s="115">
        <f>Calculations!E323</f>
        <v>84.357761163543756</v>
      </c>
      <c r="F60" s="115">
        <f>Calculations!F323</f>
        <v>37.635419123920322</v>
      </c>
      <c r="G60" s="115">
        <f>Calculations!G323</f>
        <v>0.90100513770996316</v>
      </c>
      <c r="H60" s="115">
        <f>Calculations!H323</f>
        <v>11.410638198028126</v>
      </c>
      <c r="I60" s="115">
        <f>Calculations!I323</f>
        <v>80.054425731284837</v>
      </c>
      <c r="J60" s="115">
        <f>Calculations!J323</f>
        <v>47.737613194956801</v>
      </c>
      <c r="K60" s="115">
        <f>Calculations!K323</f>
        <v>53.146659025120606</v>
      </c>
      <c r="L60" s="115">
        <f>Calculations!L323</f>
        <v>20.000170590060446</v>
      </c>
      <c r="M60" s="115">
        <f>Calculations!M323</f>
        <v>72.877999029885103</v>
      </c>
      <c r="N60" s="115">
        <f>Calculations!N323</f>
        <v>442.42015643056624</v>
      </c>
      <c r="O60" s="115">
        <f>Calculations!O323</f>
        <v>12.70391786781361</v>
      </c>
      <c r="P60" s="115">
        <f>Calculations!P323</f>
        <v>20.368926842903946</v>
      </c>
      <c r="Q60" s="115">
        <f>Calculations!Q323</f>
        <v>16.827822580278568</v>
      </c>
      <c r="R60" s="115">
        <f>Calculations!R323</f>
        <v>673.81103429410007</v>
      </c>
      <c r="S60" s="115">
        <f>Calculations!S323</f>
        <v>239.46691641713946</v>
      </c>
      <c r="T60" s="115">
        <f>Calculations!T323</f>
        <v>360.48846848961512</v>
      </c>
      <c r="U60" s="115">
        <f>Calculations!U323</f>
        <v>303.89617885648181</v>
      </c>
      <c r="V60" s="115">
        <f>Calculations!V323</f>
        <v>803.68960580865905</v>
      </c>
      <c r="W60" s="115">
        <f>Calculations!W323</f>
        <v>44.901193915484527</v>
      </c>
      <c r="X60" s="115">
        <f>Calculations!X323</f>
        <v>3.1068620601778489</v>
      </c>
      <c r="Y60" s="115">
        <f>Calculations!Y323</f>
        <v>1288.2261767467105</v>
      </c>
      <c r="Z60" s="115">
        <f>Calculations!Z323</f>
        <v>210.11503610536607</v>
      </c>
      <c r="AA60" s="115">
        <f>Calculations!AA323</f>
        <v>1918.9338027989381</v>
      </c>
      <c r="AB60" s="115">
        <f>Calculations!AB323</f>
        <v>225.68191162850573</v>
      </c>
      <c r="AC60" s="115">
        <f>Calculations!AC323</f>
        <v>59.687596587940796</v>
      </c>
      <c r="AD60" s="115">
        <f>Calculations!AD323</f>
        <v>487.62204518696711</v>
      </c>
      <c r="AE60" s="115">
        <f>Calculations!AE323</f>
        <v>279.99655182575276</v>
      </c>
      <c r="AF60" s="115">
        <f>Calculations!AF323</f>
        <v>24.025333305825498</v>
      </c>
      <c r="AG60" s="115">
        <f>Calculations!AG323</f>
        <v>187.07915337321188</v>
      </c>
      <c r="AH60" s="115">
        <f>Calculations!AH323</f>
        <v>41.441281260299448</v>
      </c>
      <c r="AI60" s="116">
        <f>Calculations!AI323</f>
        <v>0</v>
      </c>
      <c r="AJ60" s="110">
        <f>Calculations!AJ323</f>
        <v>0</v>
      </c>
      <c r="AK60" s="111">
        <f>Calculations!AK323</f>
        <v>0</v>
      </c>
      <c r="AL60" s="111">
        <f>Calculations!AL323</f>
        <v>0</v>
      </c>
      <c r="AM60" s="111">
        <f>Calculations!AM323</f>
        <v>0</v>
      </c>
      <c r="AN60" s="111">
        <f>Calculations!AN323</f>
        <v>0</v>
      </c>
      <c r="AO60" s="111">
        <f>Calculations!AO323</f>
        <v>0</v>
      </c>
      <c r="AP60" s="111">
        <f>Calculations!AP323</f>
        <v>0</v>
      </c>
      <c r="AQ60" s="111">
        <f>Calculations!AQ323</f>
        <v>0</v>
      </c>
      <c r="AR60" s="111">
        <f>Calculations!AR323</f>
        <v>0</v>
      </c>
      <c r="AS60" s="111">
        <f>Calculations!AS323</f>
        <v>0</v>
      </c>
      <c r="AT60" s="111">
        <f>Calculations!AT323</f>
        <v>0</v>
      </c>
      <c r="AU60" s="111">
        <f>Calculations!AU323</f>
        <v>0</v>
      </c>
      <c r="AV60" s="111">
        <f>Calculations!AV323</f>
        <v>0</v>
      </c>
      <c r="AW60" s="111">
        <f>Calculations!AW323</f>
        <v>0</v>
      </c>
      <c r="AX60" s="111">
        <f>Calculations!AX323</f>
        <v>0</v>
      </c>
      <c r="AY60" s="111">
        <f>Calculations!AY323</f>
        <v>0</v>
      </c>
      <c r="AZ60" s="111">
        <f>Calculations!AZ323</f>
        <v>0</v>
      </c>
      <c r="BA60" s="111">
        <f>Calculations!BA323</f>
        <v>0</v>
      </c>
      <c r="BB60" s="111">
        <f>Calculations!BB323</f>
        <v>0</v>
      </c>
      <c r="BC60" s="111">
        <f>Calculations!BC323</f>
        <v>0</v>
      </c>
      <c r="BD60" s="111">
        <f>Calculations!BD323</f>
        <v>0</v>
      </c>
      <c r="BE60" s="111">
        <f>Calculations!BE323</f>
        <v>0</v>
      </c>
      <c r="BF60" s="111">
        <f>Calculations!BF323</f>
        <v>0</v>
      </c>
      <c r="BG60" s="111">
        <f>Calculations!BG323</f>
        <v>0</v>
      </c>
      <c r="BH60" s="111">
        <f>Calculations!BH323</f>
        <v>0</v>
      </c>
      <c r="BI60" s="111">
        <f>Calculations!BI323</f>
        <v>0</v>
      </c>
      <c r="BJ60" s="111">
        <f>Calculations!BJ323</f>
        <v>0</v>
      </c>
      <c r="BK60" s="111">
        <f>Calculations!BK323</f>
        <v>0</v>
      </c>
      <c r="BL60" s="111">
        <f>Calculations!BL323</f>
        <v>0</v>
      </c>
      <c r="BM60" s="111">
        <f>Calculations!BM323</f>
        <v>0</v>
      </c>
      <c r="BN60" s="111">
        <f>Calculations!BN323</f>
        <v>0</v>
      </c>
      <c r="BO60" s="111">
        <f>Calculations!BO323</f>
        <v>0</v>
      </c>
      <c r="BP60" s="112">
        <f>Calculations!BP323</f>
        <v>0</v>
      </c>
      <c r="BQ60" s="110">
        <f>Calculations!BQ323</f>
        <v>0</v>
      </c>
      <c r="BR60" s="111">
        <f>Calculations!BR323</f>
        <v>0</v>
      </c>
      <c r="BS60" s="111">
        <v>0</v>
      </c>
      <c r="BT60" s="111">
        <f>Calculations!BS323</f>
        <v>0</v>
      </c>
      <c r="BU60" s="112">
        <f>Calculations!BT323</f>
        <v>0</v>
      </c>
      <c r="BV60" s="110">
        <f>Calculations!BU323</f>
        <v>0</v>
      </c>
      <c r="BW60" s="111">
        <f>Calculations!BV323</f>
        <v>0</v>
      </c>
      <c r="BX60" s="112">
        <f>Calculations!BW323</f>
        <v>0</v>
      </c>
      <c r="BY60" s="141">
        <f ca="1">Calculations!BX323+'Calculations 2'!CJ60</f>
        <v>150.09153296736145</v>
      </c>
      <c r="BZ60" s="142">
        <f ca="1">Calculations!BY323+'Calculations 2'!CK60</f>
        <v>243.62165100116553</v>
      </c>
      <c r="CA60" s="142">
        <f ca="1">Calculations!BZ323+Calculations!CA323</f>
        <v>17.987882903794436</v>
      </c>
      <c r="CB60" s="142">
        <f ca="1">Calculations!CB323+'Calculations 2'!CN60</f>
        <v>0</v>
      </c>
      <c r="CC60" s="115">
        <f>Calculations!CC323+'Calculations 2'!CO60</f>
        <v>0</v>
      </c>
      <c r="CD60" s="116">
        <f>Calculations!CD323</f>
        <v>45765.019005968468</v>
      </c>
      <c r="CE60" s="117">
        <f>Calculations!CE323</f>
        <v>6382.4035667759808</v>
      </c>
      <c r="CF60" s="117">
        <f t="shared" ca="1" si="1"/>
        <v>60655.571515339652</v>
      </c>
      <c r="CH60">
        <f ca="1"/>
        <v>0</v>
      </c>
      <c r="CJ60" s="34"/>
      <c r="CK60" s="34"/>
      <c r="CL60" s="34"/>
      <c r="CM60" s="34"/>
      <c r="CN60" s="34"/>
      <c r="CO60" s="34"/>
    </row>
    <row r="61" spans="1:93">
      <c r="A61" s="280"/>
      <c r="B61" s="44" t="s">
        <v>90</v>
      </c>
      <c r="C61" s="114">
        <f>Calculations!C324</f>
        <v>16.409150005054705</v>
      </c>
      <c r="D61" s="115">
        <f>Calculations!D324</f>
        <v>157.05696702114483</v>
      </c>
      <c r="E61" s="115">
        <f>Calculations!E324</f>
        <v>604.68767376255175</v>
      </c>
      <c r="F61" s="115">
        <f>Calculations!F324</f>
        <v>56.086127607908502</v>
      </c>
      <c r="G61" s="115">
        <f>Calculations!G324</f>
        <v>0.34445050764780394</v>
      </c>
      <c r="H61" s="115">
        <f>Calculations!H324</f>
        <v>25.085299636660217</v>
      </c>
      <c r="I61" s="115">
        <f>Calculations!I324</f>
        <v>192.33556631038635</v>
      </c>
      <c r="J61" s="115">
        <f>Calculations!J324</f>
        <v>241.64585703639705</v>
      </c>
      <c r="K61" s="115">
        <f>Calculations!K324</f>
        <v>147.96857935357662</v>
      </c>
      <c r="L61" s="115">
        <f>Calculations!L324</f>
        <v>176.60018378309925</v>
      </c>
      <c r="M61" s="115">
        <f>Calculations!M324</f>
        <v>289.01531720039793</v>
      </c>
      <c r="N61" s="115">
        <f>Calculations!N324</f>
        <v>2370.9832914234757</v>
      </c>
      <c r="O61" s="115">
        <f>Calculations!O324</f>
        <v>49.878249535881473</v>
      </c>
      <c r="P61" s="115">
        <f>Calculations!P324</f>
        <v>41.917906810961817</v>
      </c>
      <c r="Q61" s="115">
        <f>Calculations!Q324</f>
        <v>10.295644013501617</v>
      </c>
      <c r="R61" s="115">
        <f>Calculations!R324</f>
        <v>344.22981214554648</v>
      </c>
      <c r="S61" s="115">
        <f>Calculations!S324</f>
        <v>388.21793345209409</v>
      </c>
      <c r="T61" s="115">
        <f>Calculations!T324</f>
        <v>736.3690543816125</v>
      </c>
      <c r="U61" s="115">
        <f>Calculations!U324</f>
        <v>6479.2333866413364</v>
      </c>
      <c r="V61" s="115">
        <f>Calculations!V324</f>
        <v>2630.9081985470498</v>
      </c>
      <c r="W61" s="115">
        <f>Calculations!W324</f>
        <v>156.38259067307163</v>
      </c>
      <c r="X61" s="115">
        <f>Calculations!X324</f>
        <v>11.983668962028872</v>
      </c>
      <c r="Y61" s="115">
        <f>Calculations!Y324</f>
        <v>159.058517179544</v>
      </c>
      <c r="Z61" s="115">
        <f>Calculations!Z324</f>
        <v>1400.4379816006729</v>
      </c>
      <c r="AA61" s="115">
        <f>Calculations!AA324</f>
        <v>265.11002798475499</v>
      </c>
      <c r="AB61" s="115">
        <f>Calculations!AB324</f>
        <v>347.61047493799089</v>
      </c>
      <c r="AC61" s="115">
        <f>Calculations!AC324</f>
        <v>1335.2772265504886</v>
      </c>
      <c r="AD61" s="115">
        <f>Calculations!AD324</f>
        <v>906.68073372506194</v>
      </c>
      <c r="AE61" s="115">
        <f>Calculations!AE324</f>
        <v>2448.3662129703853</v>
      </c>
      <c r="AF61" s="115">
        <f>Calculations!AF324</f>
        <v>179.68657264634859</v>
      </c>
      <c r="AG61" s="115">
        <f>Calculations!AG324</f>
        <v>259.87707729170057</v>
      </c>
      <c r="AH61" s="115">
        <f>Calculations!AH324</f>
        <v>402.9521632750953</v>
      </c>
      <c r="AI61" s="116">
        <f>Calculations!AI324</f>
        <v>0</v>
      </c>
      <c r="AJ61" s="110">
        <f>Calculations!AJ324</f>
        <v>0</v>
      </c>
      <c r="AK61" s="111">
        <f>Calculations!AK324</f>
        <v>0</v>
      </c>
      <c r="AL61" s="111">
        <f>Calculations!AL324</f>
        <v>0</v>
      </c>
      <c r="AM61" s="111">
        <f>Calculations!AM324</f>
        <v>0</v>
      </c>
      <c r="AN61" s="111">
        <f>Calculations!AN324</f>
        <v>0</v>
      </c>
      <c r="AO61" s="111">
        <f>Calculations!AO324</f>
        <v>0</v>
      </c>
      <c r="AP61" s="111">
        <f>Calculations!AP324</f>
        <v>0</v>
      </c>
      <c r="AQ61" s="111">
        <f>Calculations!AQ324</f>
        <v>0</v>
      </c>
      <c r="AR61" s="111">
        <f>Calculations!AR324</f>
        <v>0</v>
      </c>
      <c r="AS61" s="111">
        <f>Calculations!AS324</f>
        <v>0</v>
      </c>
      <c r="AT61" s="111">
        <f>Calculations!AT324</f>
        <v>0</v>
      </c>
      <c r="AU61" s="111">
        <f>Calculations!AU324</f>
        <v>0</v>
      </c>
      <c r="AV61" s="111">
        <f>Calculations!AV324</f>
        <v>0</v>
      </c>
      <c r="AW61" s="111">
        <f>Calculations!AW324</f>
        <v>0</v>
      </c>
      <c r="AX61" s="111">
        <f>Calculations!AX324</f>
        <v>0</v>
      </c>
      <c r="AY61" s="111">
        <f>Calculations!AY324</f>
        <v>0</v>
      </c>
      <c r="AZ61" s="111">
        <f>Calculations!AZ324</f>
        <v>0</v>
      </c>
      <c r="BA61" s="111">
        <f>Calculations!BA324</f>
        <v>0</v>
      </c>
      <c r="BB61" s="111">
        <f>Calculations!BB324</f>
        <v>0</v>
      </c>
      <c r="BC61" s="111">
        <f>Calculations!BC324</f>
        <v>0</v>
      </c>
      <c r="BD61" s="111">
        <f>Calculations!BD324</f>
        <v>0</v>
      </c>
      <c r="BE61" s="111">
        <f>Calculations!BE324</f>
        <v>0</v>
      </c>
      <c r="BF61" s="111">
        <f>Calculations!BF324</f>
        <v>0</v>
      </c>
      <c r="BG61" s="111">
        <f>Calculations!BG324</f>
        <v>0</v>
      </c>
      <c r="BH61" s="111">
        <f>Calculations!BH324</f>
        <v>0</v>
      </c>
      <c r="BI61" s="111">
        <f>Calculations!BI324</f>
        <v>0</v>
      </c>
      <c r="BJ61" s="111">
        <f>Calculations!BJ324</f>
        <v>0</v>
      </c>
      <c r="BK61" s="111">
        <f>Calculations!BK324</f>
        <v>0</v>
      </c>
      <c r="BL61" s="111">
        <f>Calculations!BL324</f>
        <v>0</v>
      </c>
      <c r="BM61" s="111">
        <f>Calculations!BM324</f>
        <v>0</v>
      </c>
      <c r="BN61" s="111">
        <f>Calculations!BN324</f>
        <v>0</v>
      </c>
      <c r="BO61" s="111">
        <f>Calculations!BO324</f>
        <v>0</v>
      </c>
      <c r="BP61" s="112">
        <f>Calculations!BP324</f>
        <v>0</v>
      </c>
      <c r="BQ61" s="110">
        <f>Calculations!BQ324</f>
        <v>0</v>
      </c>
      <c r="BR61" s="111">
        <f>Calculations!BR324</f>
        <v>0</v>
      </c>
      <c r="BS61" s="111">
        <v>0</v>
      </c>
      <c r="BT61" s="111">
        <f>Calculations!BS324</f>
        <v>0</v>
      </c>
      <c r="BU61" s="112">
        <f>Calculations!BT324</f>
        <v>0</v>
      </c>
      <c r="BV61" s="110">
        <f>Calculations!BU324</f>
        <v>0</v>
      </c>
      <c r="BW61" s="111">
        <f>Calculations!BV324</f>
        <v>0</v>
      </c>
      <c r="BX61" s="112">
        <f>Calculations!BW324</f>
        <v>0</v>
      </c>
      <c r="BY61" s="141">
        <f ca="1">Calculations!BX324+'Calculations 2'!CJ61</f>
        <v>170.94424202233517</v>
      </c>
      <c r="BZ61" s="142">
        <f ca="1">Calculations!BY324+'Calculations 2'!CK61</f>
        <v>4437.1156734759816</v>
      </c>
      <c r="CA61" s="142">
        <f ca="1">Calculations!BZ324+Calculations!CA324</f>
        <v>607.49060574513373</v>
      </c>
      <c r="CB61" s="142">
        <f ca="1">Calculations!CB324+'Calculations 2'!CN61</f>
        <v>0</v>
      </c>
      <c r="CC61" s="115">
        <f>Calculations!CC324+'Calculations 2'!CO61</f>
        <v>4719.0733364380803</v>
      </c>
      <c r="CD61" s="116">
        <f>Calculations!CD324</f>
        <v>0</v>
      </c>
      <c r="CE61" s="117">
        <f>Calculations!CE324</f>
        <v>0</v>
      </c>
      <c r="CF61" s="117">
        <f t="shared" ca="1" si="1"/>
        <v>32767.315754654959</v>
      </c>
      <c r="CH61">
        <f ca="1"/>
        <v>0</v>
      </c>
      <c r="CJ61" s="34"/>
      <c r="CK61" s="34"/>
      <c r="CL61" s="34"/>
      <c r="CM61" s="34"/>
      <c r="CN61" s="34"/>
      <c r="CO61" s="34"/>
    </row>
    <row r="62" spans="1:93">
      <c r="A62" s="280"/>
      <c r="B62" s="44" t="s">
        <v>91</v>
      </c>
      <c r="C62" s="114">
        <f>Calculations!C325</f>
        <v>0</v>
      </c>
      <c r="D62" s="115">
        <f>Calculations!D325</f>
        <v>98.378507421628584</v>
      </c>
      <c r="E62" s="115">
        <f>Calculations!E325</f>
        <v>84.246232863902193</v>
      </c>
      <c r="F62" s="115">
        <f>Calculations!F325</f>
        <v>52.472508825843803</v>
      </c>
      <c r="G62" s="115">
        <f>Calculations!G325</f>
        <v>0.61928201889320733</v>
      </c>
      <c r="H62" s="115">
        <f>Calculations!H325</f>
        <v>4.7809193286657674</v>
      </c>
      <c r="I62" s="115">
        <f>Calculations!I325</f>
        <v>24.428285483568299</v>
      </c>
      <c r="J62" s="115">
        <f>Calculations!J325</f>
        <v>1.5757930179361619E-3</v>
      </c>
      <c r="K62" s="115">
        <f>Calculations!K325</f>
        <v>14.838817168875128</v>
      </c>
      <c r="L62" s="115">
        <f>Calculations!L325</f>
        <v>15.603037679737835</v>
      </c>
      <c r="M62" s="115">
        <f>Calculations!M325</f>
        <v>33.727772418762392</v>
      </c>
      <c r="N62" s="115">
        <f>Calculations!N325</f>
        <v>156.22110267781628</v>
      </c>
      <c r="O62" s="115">
        <f>Calculations!O325</f>
        <v>0</v>
      </c>
      <c r="P62" s="115">
        <f>Calculations!P325</f>
        <v>10.823508320353993</v>
      </c>
      <c r="Q62" s="115">
        <f>Calculations!Q325</f>
        <v>0</v>
      </c>
      <c r="R62" s="115">
        <f>Calculations!R325</f>
        <v>668.28235903001962</v>
      </c>
      <c r="S62" s="115">
        <f>Calculations!S325</f>
        <v>253.74372426550963</v>
      </c>
      <c r="T62" s="115">
        <f>Calculations!T325</f>
        <v>14178.059875435005</v>
      </c>
      <c r="U62" s="115">
        <f>Calculations!U325</f>
        <v>2674.4312130159137</v>
      </c>
      <c r="V62" s="115">
        <f>Calculations!V325</f>
        <v>2228.0177929223128</v>
      </c>
      <c r="W62" s="115">
        <f>Calculations!W325</f>
        <v>260.62140222906976</v>
      </c>
      <c r="X62" s="115">
        <f>Calculations!X325</f>
        <v>58.017067840485595</v>
      </c>
      <c r="Y62" s="115">
        <f>Calculations!Y325</f>
        <v>549.17032161449958</v>
      </c>
      <c r="Z62" s="115">
        <f>Calculations!Z325</f>
        <v>709.84728891642135</v>
      </c>
      <c r="AA62" s="115">
        <f>Calculations!AA325</f>
        <v>186.13952984216579</v>
      </c>
      <c r="AB62" s="115">
        <f>Calculations!AB325</f>
        <v>335.91183128506339</v>
      </c>
      <c r="AC62" s="115">
        <f>Calculations!AC325</f>
        <v>3570.500690326418</v>
      </c>
      <c r="AD62" s="115">
        <f>Calculations!AD325</f>
        <v>2389.4092862303037</v>
      </c>
      <c r="AE62" s="115">
        <f>Calculations!AE325</f>
        <v>1531.2473396920543</v>
      </c>
      <c r="AF62" s="115">
        <f>Calculations!AF325</f>
        <v>291.04564142638111</v>
      </c>
      <c r="AG62" s="115">
        <f>Calculations!AG325</f>
        <v>294.11548811733036</v>
      </c>
      <c r="AH62" s="115">
        <f>Calculations!AH325</f>
        <v>533.5816022838419</v>
      </c>
      <c r="AI62" s="116">
        <f>Calculations!AI325</f>
        <v>0</v>
      </c>
      <c r="AJ62" s="110">
        <f>Calculations!AJ325</f>
        <v>0</v>
      </c>
      <c r="AK62" s="111">
        <f>Calculations!AK325</f>
        <v>0</v>
      </c>
      <c r="AL62" s="111">
        <f>Calculations!AL325</f>
        <v>0</v>
      </c>
      <c r="AM62" s="111">
        <f>Calculations!AM325</f>
        <v>0</v>
      </c>
      <c r="AN62" s="111">
        <f>Calculations!AN325</f>
        <v>0</v>
      </c>
      <c r="AO62" s="111">
        <f>Calculations!AO325</f>
        <v>0</v>
      </c>
      <c r="AP62" s="111">
        <f>Calculations!AP325</f>
        <v>0</v>
      </c>
      <c r="AQ62" s="111">
        <f>Calculations!AQ325</f>
        <v>0</v>
      </c>
      <c r="AR62" s="111">
        <f>Calculations!AR325</f>
        <v>0</v>
      </c>
      <c r="AS62" s="111">
        <f>Calculations!AS325</f>
        <v>0</v>
      </c>
      <c r="AT62" s="111">
        <f>Calculations!AT325</f>
        <v>0</v>
      </c>
      <c r="AU62" s="111">
        <f>Calculations!AU325</f>
        <v>0</v>
      </c>
      <c r="AV62" s="111">
        <f>Calculations!AV325</f>
        <v>0</v>
      </c>
      <c r="AW62" s="111">
        <f>Calculations!AW325</f>
        <v>0</v>
      </c>
      <c r="AX62" s="111">
        <f>Calculations!AX325</f>
        <v>0</v>
      </c>
      <c r="AY62" s="111">
        <f>Calculations!AY325</f>
        <v>0</v>
      </c>
      <c r="AZ62" s="111">
        <f>Calculations!AZ325</f>
        <v>0</v>
      </c>
      <c r="BA62" s="111">
        <f>Calculations!BA325</f>
        <v>0</v>
      </c>
      <c r="BB62" s="111">
        <f>Calculations!BB325</f>
        <v>0</v>
      </c>
      <c r="BC62" s="111">
        <f>Calculations!BC325</f>
        <v>0</v>
      </c>
      <c r="BD62" s="111">
        <f>Calculations!BD325</f>
        <v>0</v>
      </c>
      <c r="BE62" s="111">
        <f>Calculations!BE325</f>
        <v>0</v>
      </c>
      <c r="BF62" s="111">
        <f>Calculations!BF325</f>
        <v>0</v>
      </c>
      <c r="BG62" s="111">
        <f>Calculations!BG325</f>
        <v>0</v>
      </c>
      <c r="BH62" s="111">
        <f>Calculations!BH325</f>
        <v>0</v>
      </c>
      <c r="BI62" s="111">
        <f>Calculations!BI325</f>
        <v>0</v>
      </c>
      <c r="BJ62" s="111">
        <f>Calculations!BJ325</f>
        <v>0</v>
      </c>
      <c r="BK62" s="111">
        <f>Calculations!BK325</f>
        <v>0</v>
      </c>
      <c r="BL62" s="111">
        <f>Calculations!BL325</f>
        <v>0</v>
      </c>
      <c r="BM62" s="111">
        <f>Calculations!BM325</f>
        <v>0</v>
      </c>
      <c r="BN62" s="111">
        <f>Calculations!BN325</f>
        <v>0</v>
      </c>
      <c r="BO62" s="111">
        <f>Calculations!BO325</f>
        <v>0</v>
      </c>
      <c r="BP62" s="112">
        <f>Calculations!BP325</f>
        <v>0</v>
      </c>
      <c r="BQ62" s="110">
        <f>Calculations!BQ325</f>
        <v>0</v>
      </c>
      <c r="BR62" s="111">
        <f>Calculations!BR325</f>
        <v>0</v>
      </c>
      <c r="BS62" s="111">
        <v>0</v>
      </c>
      <c r="BT62" s="111">
        <f>Calculations!BS325</f>
        <v>0</v>
      </c>
      <c r="BU62" s="112">
        <f>Calculations!BT325</f>
        <v>0</v>
      </c>
      <c r="BV62" s="110">
        <f>Calculations!BU325</f>
        <v>0</v>
      </c>
      <c r="BW62" s="111">
        <f>Calculations!BV325</f>
        <v>0</v>
      </c>
      <c r="BX62" s="112">
        <f>Calculations!BW325</f>
        <v>0</v>
      </c>
      <c r="BY62" s="141">
        <f ca="1">Calculations!BX325+'Calculations 2'!CJ62</f>
        <v>201.44618340506113</v>
      </c>
      <c r="BZ62" s="142">
        <f ca="1">Calculations!BY325+'Calculations 2'!CK62</f>
        <v>326.9781500579162</v>
      </c>
      <c r="CA62" s="142">
        <f ca="1">Calculations!BZ325+Calculations!CA325</f>
        <v>24.142536803155416</v>
      </c>
      <c r="CB62" s="142">
        <f ca="1">Calculations!CB325+'Calculations 2'!CN62</f>
        <v>0</v>
      </c>
      <c r="CC62" s="115">
        <f>Calculations!CC325+'Calculations 2'!CO62</f>
        <v>0</v>
      </c>
      <c r="CD62" s="116">
        <f>Calculations!CD325</f>
        <v>10439.045282394723</v>
      </c>
      <c r="CE62" s="117">
        <f>Calculations!CE325</f>
        <v>49004.880244682296</v>
      </c>
      <c r="CF62" s="117">
        <f t="shared" ca="1" si="1"/>
        <v>91204.776401817013</v>
      </c>
      <c r="CH62">
        <f ca="1"/>
        <v>0</v>
      </c>
      <c r="CJ62" s="34"/>
      <c r="CK62" s="34"/>
      <c r="CL62" s="34"/>
      <c r="CM62" s="34"/>
      <c r="CN62" s="34"/>
      <c r="CO62" s="34"/>
    </row>
    <row r="63" spans="1:93">
      <c r="A63" s="280"/>
      <c r="B63" s="51" t="s">
        <v>92</v>
      </c>
      <c r="C63" s="114">
        <f>Calculations!C326</f>
        <v>88.54025218109922</v>
      </c>
      <c r="D63" s="115">
        <f>Calculations!D326</f>
        <v>260.01631390653125</v>
      </c>
      <c r="E63" s="115">
        <f>Calculations!E326</f>
        <v>3028.2862245571669</v>
      </c>
      <c r="F63" s="115">
        <f>Calculations!F326</f>
        <v>439.62475947746543</v>
      </c>
      <c r="G63" s="115">
        <f>Calculations!G326</f>
        <v>2.326258131886322</v>
      </c>
      <c r="H63" s="115">
        <f>Calculations!H326</f>
        <v>325.97222034939301</v>
      </c>
      <c r="I63" s="115">
        <f>Calculations!I326</f>
        <v>1017.5385411269967</v>
      </c>
      <c r="J63" s="115">
        <f>Calculations!J326</f>
        <v>405.65728375083006</v>
      </c>
      <c r="K63" s="115">
        <f>Calculations!K326</f>
        <v>1070.5264745219904</v>
      </c>
      <c r="L63" s="115">
        <f>Calculations!L326</f>
        <v>589.92886253078768</v>
      </c>
      <c r="M63" s="115">
        <f>Calculations!M326</f>
        <v>923.60090921937729</v>
      </c>
      <c r="N63" s="115">
        <f>Calculations!N326</f>
        <v>3531.2651127708446</v>
      </c>
      <c r="O63" s="115">
        <f>Calculations!O326</f>
        <v>586.00437138108668</v>
      </c>
      <c r="P63" s="115">
        <f>Calculations!P326</f>
        <v>577.34934058897625</v>
      </c>
      <c r="Q63" s="115">
        <f>Calculations!Q326</f>
        <v>136.11344586788476</v>
      </c>
      <c r="R63" s="115">
        <f>Calculations!R326</f>
        <v>1268.6555225920929</v>
      </c>
      <c r="S63" s="115">
        <f>Calculations!S326</f>
        <v>66.527298180444092</v>
      </c>
      <c r="T63" s="115">
        <f>Calculations!T326</f>
        <v>8050.4725896804875</v>
      </c>
      <c r="U63" s="115">
        <f>Calculations!U326</f>
        <v>12044.242094311774</v>
      </c>
      <c r="V63" s="115">
        <f>Calculations!V326</f>
        <v>4242.8136348794596</v>
      </c>
      <c r="W63" s="115">
        <f>Calculations!W326</f>
        <v>1833.7366625830207</v>
      </c>
      <c r="X63" s="115">
        <f>Calculations!X326</f>
        <v>128.5134975156445</v>
      </c>
      <c r="Y63" s="115">
        <f>Calculations!Y326</f>
        <v>6410.1026786132661</v>
      </c>
      <c r="Z63" s="115">
        <f>Calculations!Z326</f>
        <v>3945.727147543626</v>
      </c>
      <c r="AA63" s="115">
        <f>Calculations!AA326</f>
        <v>1334.5401110790353</v>
      </c>
      <c r="AB63" s="115">
        <f>Calculations!AB326</f>
        <v>38.306032553693854</v>
      </c>
      <c r="AC63" s="115">
        <f>Calculations!AC326</f>
        <v>49.136494347897056</v>
      </c>
      <c r="AD63" s="115">
        <f>Calculations!AD326</f>
        <v>5971.404221724596</v>
      </c>
      <c r="AE63" s="115">
        <f>Calculations!AE326</f>
        <v>439.73007358244854</v>
      </c>
      <c r="AF63" s="115">
        <f>Calculations!AF326</f>
        <v>243.77675354203103</v>
      </c>
      <c r="AG63" s="115">
        <f>Calculations!AG326</f>
        <v>286.04726808732272</v>
      </c>
      <c r="AH63" s="115">
        <f>Calculations!AH326</f>
        <v>427.82116722346154</v>
      </c>
      <c r="AI63" s="116">
        <f>Calculations!AI326</f>
        <v>0</v>
      </c>
      <c r="AJ63" s="110">
        <f>Calculations!AJ326</f>
        <v>0</v>
      </c>
      <c r="AK63" s="111">
        <f>Calculations!AK326</f>
        <v>0</v>
      </c>
      <c r="AL63" s="111">
        <f>Calculations!AL326</f>
        <v>0</v>
      </c>
      <c r="AM63" s="111">
        <f>Calculations!AM326</f>
        <v>0</v>
      </c>
      <c r="AN63" s="111">
        <f>Calculations!AN326</f>
        <v>0</v>
      </c>
      <c r="AO63" s="111">
        <f>Calculations!AO326</f>
        <v>0</v>
      </c>
      <c r="AP63" s="111">
        <f>Calculations!AP326</f>
        <v>0</v>
      </c>
      <c r="AQ63" s="111">
        <f>Calculations!AQ326</f>
        <v>0</v>
      </c>
      <c r="AR63" s="111">
        <f>Calculations!AR326</f>
        <v>0</v>
      </c>
      <c r="AS63" s="111">
        <f>Calculations!AS326</f>
        <v>0</v>
      </c>
      <c r="AT63" s="111">
        <f>Calculations!AT326</f>
        <v>0</v>
      </c>
      <c r="AU63" s="111">
        <f>Calculations!AU326</f>
        <v>0</v>
      </c>
      <c r="AV63" s="111">
        <f>Calculations!AV326</f>
        <v>0</v>
      </c>
      <c r="AW63" s="111">
        <f>Calculations!AW326</f>
        <v>0</v>
      </c>
      <c r="AX63" s="111">
        <f>Calculations!AX326</f>
        <v>0</v>
      </c>
      <c r="AY63" s="111">
        <f>Calculations!AY326</f>
        <v>0</v>
      </c>
      <c r="AZ63" s="111">
        <f>Calculations!AZ326</f>
        <v>0</v>
      </c>
      <c r="BA63" s="111">
        <f>Calculations!BA326</f>
        <v>0</v>
      </c>
      <c r="BB63" s="111">
        <f>Calculations!BB326</f>
        <v>0</v>
      </c>
      <c r="BC63" s="111">
        <f>Calculations!BC326</f>
        <v>0</v>
      </c>
      <c r="BD63" s="111">
        <f>Calculations!BD326</f>
        <v>0</v>
      </c>
      <c r="BE63" s="111">
        <f>Calculations!BE326</f>
        <v>0</v>
      </c>
      <c r="BF63" s="111">
        <f>Calculations!BF326</f>
        <v>0</v>
      </c>
      <c r="BG63" s="111">
        <f>Calculations!BG326</f>
        <v>0</v>
      </c>
      <c r="BH63" s="111">
        <f>Calculations!BH326</f>
        <v>0</v>
      </c>
      <c r="BI63" s="111">
        <f>Calculations!BI326</f>
        <v>0</v>
      </c>
      <c r="BJ63" s="111">
        <f>Calculations!BJ326</f>
        <v>0</v>
      </c>
      <c r="BK63" s="111">
        <f>Calculations!BK326</f>
        <v>0</v>
      </c>
      <c r="BL63" s="111">
        <f>Calculations!BL326</f>
        <v>0</v>
      </c>
      <c r="BM63" s="111">
        <f>Calculations!BM326</f>
        <v>0</v>
      </c>
      <c r="BN63" s="111">
        <f>Calculations!BN326</f>
        <v>0</v>
      </c>
      <c r="BO63" s="111">
        <f>Calculations!BO326</f>
        <v>0</v>
      </c>
      <c r="BP63" s="112">
        <f>Calculations!BP326</f>
        <v>0</v>
      </c>
      <c r="BQ63" s="110">
        <f>Calculations!BQ326</f>
        <v>0</v>
      </c>
      <c r="BR63" s="111">
        <f>Calculations!BR326</f>
        <v>0</v>
      </c>
      <c r="BS63" s="111">
        <v>0</v>
      </c>
      <c r="BT63" s="111">
        <f>Calculations!BS326</f>
        <v>0</v>
      </c>
      <c r="BU63" s="112">
        <f>Calculations!BT326</f>
        <v>0</v>
      </c>
      <c r="BV63" s="110">
        <f>Calculations!BU326</f>
        <v>0</v>
      </c>
      <c r="BW63" s="111">
        <f>Calculations!BV326</f>
        <v>0</v>
      </c>
      <c r="BX63" s="112">
        <f>Calculations!BW326</f>
        <v>0</v>
      </c>
      <c r="BY63" s="141">
        <f ca="1">Calculations!BX326+'Calculations 2'!CJ63</f>
        <v>1813.0646182242203</v>
      </c>
      <c r="BZ63" s="142">
        <f ca="1">Calculations!BY326+'Calculations 2'!CK63</f>
        <v>2942.8828324355504</v>
      </c>
      <c r="CA63" s="142">
        <f ca="1">Calculations!BZ326+Calculations!CA326</f>
        <v>217.28869980108757</v>
      </c>
      <c r="CB63" s="142">
        <f ca="1">Calculations!CB326+'Calculations 2'!CN63</f>
        <v>0</v>
      </c>
      <c r="CC63" s="115">
        <f>Calculations!CC326+'Calculations 2'!CO63</f>
        <v>0</v>
      </c>
      <c r="CD63" s="116">
        <f>Calculations!CD326</f>
        <v>120060.02418812897</v>
      </c>
      <c r="CE63" s="117">
        <f>Calculations!CE326</f>
        <v>7765.5932500341778</v>
      </c>
      <c r="CF63" s="117">
        <f t="shared" ca="1" si="1"/>
        <v>192563.15720702661</v>
      </c>
      <c r="CH63">
        <f ca="1"/>
        <v>0</v>
      </c>
      <c r="CJ63" s="34"/>
      <c r="CK63" s="34"/>
      <c r="CL63" s="34"/>
      <c r="CM63" s="34"/>
      <c r="CN63" s="34"/>
      <c r="CO63" s="34"/>
    </row>
    <row r="64" spans="1:93">
      <c r="A64" s="280"/>
      <c r="B64" s="44" t="s">
        <v>93</v>
      </c>
      <c r="C64" s="114">
        <f>Calculations!C327</f>
        <v>0</v>
      </c>
      <c r="D64" s="115">
        <f>Calculations!D327</f>
        <v>0</v>
      </c>
      <c r="E64" s="115">
        <f>Calculations!E327</f>
        <v>0</v>
      </c>
      <c r="F64" s="115">
        <f>Calculations!F327</f>
        <v>0</v>
      </c>
      <c r="G64" s="115">
        <f>Calculations!G327</f>
        <v>0</v>
      </c>
      <c r="H64" s="115">
        <f>Calculations!H327</f>
        <v>0</v>
      </c>
      <c r="I64" s="115">
        <f>Calculations!I327</f>
        <v>0</v>
      </c>
      <c r="J64" s="115">
        <f>Calculations!J327</f>
        <v>0</v>
      </c>
      <c r="K64" s="115">
        <f>Calculations!K327</f>
        <v>0</v>
      </c>
      <c r="L64" s="115">
        <f>Calculations!L327</f>
        <v>0</v>
      </c>
      <c r="M64" s="115">
        <f>Calculations!M327</f>
        <v>0</v>
      </c>
      <c r="N64" s="115">
        <f>Calculations!N327</f>
        <v>0</v>
      </c>
      <c r="O64" s="115">
        <f>Calculations!O327</f>
        <v>0</v>
      </c>
      <c r="P64" s="115">
        <f>Calculations!P327</f>
        <v>0</v>
      </c>
      <c r="Q64" s="115">
        <f>Calculations!Q327</f>
        <v>0</v>
      </c>
      <c r="R64" s="115">
        <f>Calculations!R327</f>
        <v>0</v>
      </c>
      <c r="S64" s="115">
        <f>Calculations!S327</f>
        <v>16.376989715250673</v>
      </c>
      <c r="T64" s="115">
        <f>Calculations!T327</f>
        <v>0</v>
      </c>
      <c r="U64" s="115">
        <f>Calculations!U327</f>
        <v>0</v>
      </c>
      <c r="V64" s="115">
        <f>Calculations!V327</f>
        <v>0</v>
      </c>
      <c r="W64" s="115">
        <f>Calculations!W327</f>
        <v>0</v>
      </c>
      <c r="X64" s="115">
        <f>Calculations!X327</f>
        <v>0</v>
      </c>
      <c r="Y64" s="115">
        <f>Calculations!Y327</f>
        <v>1085.5702318945271</v>
      </c>
      <c r="Z64" s="115">
        <f>Calculations!Z327</f>
        <v>299.35888967297092</v>
      </c>
      <c r="AA64" s="115">
        <f>Calculations!AA327</f>
        <v>0</v>
      </c>
      <c r="AB64" s="115">
        <f>Calculations!AB327</f>
        <v>0</v>
      </c>
      <c r="AC64" s="115">
        <f>Calculations!AC327</f>
        <v>0</v>
      </c>
      <c r="AD64" s="115">
        <f>Calculations!AD327</f>
        <v>0</v>
      </c>
      <c r="AE64" s="115">
        <f>Calculations!AE327</f>
        <v>2558.348511895821</v>
      </c>
      <c r="AF64" s="115">
        <f>Calculations!AF327</f>
        <v>14.908059966147182</v>
      </c>
      <c r="AG64" s="115">
        <f>Calculations!AG327</f>
        <v>27.544715812863711</v>
      </c>
      <c r="AH64" s="115">
        <f>Calculations!AH327</f>
        <v>4.1447383928700381</v>
      </c>
      <c r="AI64" s="116">
        <f>Calculations!AI327</f>
        <v>0</v>
      </c>
      <c r="AJ64" s="110">
        <f>Calculations!AJ327</f>
        <v>0</v>
      </c>
      <c r="AK64" s="111">
        <f>Calculations!AK327</f>
        <v>0</v>
      </c>
      <c r="AL64" s="111">
        <f>Calculations!AL327</f>
        <v>0</v>
      </c>
      <c r="AM64" s="111">
        <f>Calculations!AM327</f>
        <v>0</v>
      </c>
      <c r="AN64" s="111">
        <f>Calculations!AN327</f>
        <v>0</v>
      </c>
      <c r="AO64" s="111">
        <f>Calculations!AO327</f>
        <v>0</v>
      </c>
      <c r="AP64" s="111">
        <f>Calculations!AP327</f>
        <v>0</v>
      </c>
      <c r="AQ64" s="111">
        <f>Calculations!AQ327</f>
        <v>0</v>
      </c>
      <c r="AR64" s="111">
        <f>Calculations!AR327</f>
        <v>0</v>
      </c>
      <c r="AS64" s="111">
        <f>Calculations!AS327</f>
        <v>0</v>
      </c>
      <c r="AT64" s="111">
        <f>Calculations!AT327</f>
        <v>0</v>
      </c>
      <c r="AU64" s="111">
        <f>Calculations!AU327</f>
        <v>0</v>
      </c>
      <c r="AV64" s="111">
        <f>Calculations!AV327</f>
        <v>0</v>
      </c>
      <c r="AW64" s="111">
        <f>Calculations!AW327</f>
        <v>0</v>
      </c>
      <c r="AX64" s="111">
        <f>Calculations!AX327</f>
        <v>0</v>
      </c>
      <c r="AY64" s="111">
        <f>Calculations!AY327</f>
        <v>0</v>
      </c>
      <c r="AZ64" s="111">
        <f>Calculations!AZ327</f>
        <v>0</v>
      </c>
      <c r="BA64" s="111">
        <f>Calculations!BA327</f>
        <v>0</v>
      </c>
      <c r="BB64" s="111">
        <f>Calculations!BB327</f>
        <v>0</v>
      </c>
      <c r="BC64" s="111">
        <f>Calculations!BC327</f>
        <v>0</v>
      </c>
      <c r="BD64" s="111">
        <f>Calculations!BD327</f>
        <v>0</v>
      </c>
      <c r="BE64" s="111">
        <f>Calculations!BE327</f>
        <v>0</v>
      </c>
      <c r="BF64" s="111">
        <f>Calculations!BF327</f>
        <v>0</v>
      </c>
      <c r="BG64" s="111">
        <f>Calculations!BG327</f>
        <v>0</v>
      </c>
      <c r="BH64" s="111">
        <f>Calculations!BH327</f>
        <v>0</v>
      </c>
      <c r="BI64" s="111">
        <f>Calculations!BI327</f>
        <v>0</v>
      </c>
      <c r="BJ64" s="111">
        <f>Calculations!BJ327</f>
        <v>0</v>
      </c>
      <c r="BK64" s="111">
        <f>Calculations!BK327</f>
        <v>0</v>
      </c>
      <c r="BL64" s="111">
        <f>Calculations!BL327</f>
        <v>0</v>
      </c>
      <c r="BM64" s="111">
        <f>Calculations!BM327</f>
        <v>0</v>
      </c>
      <c r="BN64" s="111">
        <f>Calculations!BN327</f>
        <v>0</v>
      </c>
      <c r="BO64" s="111">
        <f>Calculations!BO327</f>
        <v>0</v>
      </c>
      <c r="BP64" s="112">
        <f>Calculations!BP327</f>
        <v>0</v>
      </c>
      <c r="BQ64" s="110">
        <f>Calculations!BQ327</f>
        <v>0</v>
      </c>
      <c r="BR64" s="111">
        <f>Calculations!BR327</f>
        <v>0</v>
      </c>
      <c r="BS64" s="111">
        <v>0</v>
      </c>
      <c r="BT64" s="111">
        <f>Calculations!BS327</f>
        <v>0</v>
      </c>
      <c r="BU64" s="112">
        <f>Calculations!BT327</f>
        <v>0</v>
      </c>
      <c r="BV64" s="110">
        <f>Calculations!BU327</f>
        <v>0</v>
      </c>
      <c r="BW64" s="111">
        <f>Calculations!BV327</f>
        <v>0</v>
      </c>
      <c r="BX64" s="112">
        <f>Calculations!BW327</f>
        <v>0</v>
      </c>
      <c r="BY64" s="141">
        <f ca="1">Calculations!BX327+'Calculations 2'!CJ64</f>
        <v>525.67289549427733</v>
      </c>
      <c r="BZ64" s="142">
        <f ca="1">Calculations!BY327+'Calculations 2'!CK64</f>
        <v>3791.3609564359776</v>
      </c>
      <c r="CA64" s="142">
        <f ca="1">Calculations!BZ327+Calculations!CA327</f>
        <v>1542.9026148752503</v>
      </c>
      <c r="CB64" s="142">
        <f ca="1">Calculations!CB327+'Calculations 2'!CN64</f>
        <v>0</v>
      </c>
      <c r="CC64" s="115">
        <f>Calculations!CC327+'Calculations 2'!CO64</f>
        <v>0</v>
      </c>
      <c r="CD64" s="116">
        <f>Calculations!CD327</f>
        <v>53293.127960201848</v>
      </c>
      <c r="CE64" s="113">
        <f>Calculations!CE327</f>
        <v>0</v>
      </c>
      <c r="CF64" s="117">
        <f t="shared" ca="1" si="1"/>
        <v>63159.316564357803</v>
      </c>
      <c r="CH64">
        <f ca="1"/>
        <v>0</v>
      </c>
      <c r="CJ64" s="34"/>
      <c r="CK64" s="34"/>
      <c r="CL64" s="34"/>
      <c r="CM64" s="34"/>
      <c r="CN64" s="34"/>
      <c r="CO64" s="34"/>
    </row>
    <row r="65" spans="1:93">
      <c r="A65" s="280"/>
      <c r="B65" s="44" t="s">
        <v>94</v>
      </c>
      <c r="C65" s="114">
        <f>Calculations!C328</f>
        <v>13.68140336836537</v>
      </c>
      <c r="D65" s="115">
        <f>Calculations!D328</f>
        <v>2.88033319345837</v>
      </c>
      <c r="E65" s="115">
        <f>Calculations!E328</f>
        <v>62.151318318010382</v>
      </c>
      <c r="F65" s="115">
        <f>Calculations!F328</f>
        <v>1.4984045111068256</v>
      </c>
      <c r="G65" s="115">
        <f>Calculations!G328</f>
        <v>0</v>
      </c>
      <c r="H65" s="115">
        <f>Calculations!H328</f>
        <v>14.428877805528678</v>
      </c>
      <c r="I65" s="115">
        <f>Calculations!I328</f>
        <v>18.948799086713887</v>
      </c>
      <c r="J65" s="115">
        <f>Calculations!J328</f>
        <v>0</v>
      </c>
      <c r="K65" s="115">
        <f>Calculations!K328</f>
        <v>18.31771991896083</v>
      </c>
      <c r="L65" s="115">
        <f>Calculations!L328</f>
        <v>21.286462548178921</v>
      </c>
      <c r="M65" s="115">
        <f>Calculations!M328</f>
        <v>58.582723225913867</v>
      </c>
      <c r="N65" s="115">
        <f>Calculations!N328</f>
        <v>100.66553304237203</v>
      </c>
      <c r="O65" s="115">
        <f>Calculations!O328</f>
        <v>26.406362957761367</v>
      </c>
      <c r="P65" s="115">
        <f>Calculations!P328</f>
        <v>21.318321430744966</v>
      </c>
      <c r="Q65" s="115">
        <f>Calculations!Q328</f>
        <v>1.1586852397340299</v>
      </c>
      <c r="R65" s="115">
        <f>Calculations!R328</f>
        <v>12.353387398511469</v>
      </c>
      <c r="S65" s="115">
        <f>Calculations!S328</f>
        <v>187.94143881093908</v>
      </c>
      <c r="T65" s="115">
        <f>Calculations!T328</f>
        <v>28.575483628247792</v>
      </c>
      <c r="U65" s="115">
        <f>Calculations!U328</f>
        <v>1953.406715234783</v>
      </c>
      <c r="V65" s="115">
        <f>Calculations!V328</f>
        <v>112.24328685950543</v>
      </c>
      <c r="W65" s="115">
        <f>Calculations!W328</f>
        <v>185.41289004841721</v>
      </c>
      <c r="X65" s="115">
        <f>Calculations!X328</f>
        <v>7.092513595869427</v>
      </c>
      <c r="Y65" s="115">
        <f>Calculations!Y328</f>
        <v>740.11001209489359</v>
      </c>
      <c r="Z65" s="115">
        <f>Calculations!Z328</f>
        <v>3460.7102076608626</v>
      </c>
      <c r="AA65" s="115">
        <f>Calculations!AA328</f>
        <v>613.08775995533233</v>
      </c>
      <c r="AB65" s="115">
        <f>Calculations!AB328</f>
        <v>31.148576784458509</v>
      </c>
      <c r="AC65" s="115">
        <f>Calculations!AC328</f>
        <v>1.988139417933495</v>
      </c>
      <c r="AD65" s="115">
        <f>Calculations!AD328</f>
        <v>172.51206487743136</v>
      </c>
      <c r="AE65" s="115">
        <f>Calculations!AE328</f>
        <v>570.03949619464095</v>
      </c>
      <c r="AF65" s="115">
        <f>Calculations!AF328</f>
        <v>535.2178495867056</v>
      </c>
      <c r="AG65" s="115">
        <f>Calculations!AG328</f>
        <v>135.35469451727337</v>
      </c>
      <c r="AH65" s="115">
        <f>Calculations!AH328</f>
        <v>27.621808484518432</v>
      </c>
      <c r="AI65" s="116">
        <f>Calculations!AI328</f>
        <v>0</v>
      </c>
      <c r="AJ65" s="110">
        <f>Calculations!AJ328</f>
        <v>0</v>
      </c>
      <c r="AK65" s="111">
        <f>Calculations!AK328</f>
        <v>0</v>
      </c>
      <c r="AL65" s="111">
        <f>Calculations!AL328</f>
        <v>0</v>
      </c>
      <c r="AM65" s="111">
        <f>Calculations!AM328</f>
        <v>0</v>
      </c>
      <c r="AN65" s="111">
        <f>Calculations!AN328</f>
        <v>0</v>
      </c>
      <c r="AO65" s="111">
        <f>Calculations!AO328</f>
        <v>0</v>
      </c>
      <c r="AP65" s="111">
        <f>Calculations!AP328</f>
        <v>0</v>
      </c>
      <c r="AQ65" s="111">
        <f>Calculations!AQ328</f>
        <v>0</v>
      </c>
      <c r="AR65" s="111">
        <f>Calculations!AR328</f>
        <v>0</v>
      </c>
      <c r="AS65" s="111">
        <f>Calculations!AS328</f>
        <v>0</v>
      </c>
      <c r="AT65" s="111">
        <f>Calculations!AT328</f>
        <v>0</v>
      </c>
      <c r="AU65" s="111">
        <f>Calculations!AU328</f>
        <v>0</v>
      </c>
      <c r="AV65" s="111">
        <f>Calculations!AV328</f>
        <v>0</v>
      </c>
      <c r="AW65" s="111">
        <f>Calculations!AW328</f>
        <v>0</v>
      </c>
      <c r="AX65" s="111">
        <f>Calculations!AX328</f>
        <v>0</v>
      </c>
      <c r="AY65" s="111">
        <f>Calculations!AY328</f>
        <v>0</v>
      </c>
      <c r="AZ65" s="111">
        <f>Calculations!AZ328</f>
        <v>0</v>
      </c>
      <c r="BA65" s="111">
        <f>Calculations!BA328</f>
        <v>0</v>
      </c>
      <c r="BB65" s="111">
        <f>Calculations!BB328</f>
        <v>0</v>
      </c>
      <c r="BC65" s="111">
        <f>Calculations!BC328</f>
        <v>0</v>
      </c>
      <c r="BD65" s="111">
        <f>Calculations!BD328</f>
        <v>0</v>
      </c>
      <c r="BE65" s="111">
        <f>Calculations!BE328</f>
        <v>0</v>
      </c>
      <c r="BF65" s="111">
        <f>Calculations!BF328</f>
        <v>0</v>
      </c>
      <c r="BG65" s="111">
        <f>Calculations!BG328</f>
        <v>0</v>
      </c>
      <c r="BH65" s="111">
        <f>Calculations!BH328</f>
        <v>0</v>
      </c>
      <c r="BI65" s="111">
        <f>Calculations!BI328</f>
        <v>0</v>
      </c>
      <c r="BJ65" s="111">
        <f>Calculations!BJ328</f>
        <v>0</v>
      </c>
      <c r="BK65" s="111">
        <f>Calculations!BK328</f>
        <v>0</v>
      </c>
      <c r="BL65" s="111">
        <f>Calculations!BL328</f>
        <v>0</v>
      </c>
      <c r="BM65" s="111">
        <f>Calculations!BM328</f>
        <v>0</v>
      </c>
      <c r="BN65" s="111">
        <f>Calculations!BN328</f>
        <v>0</v>
      </c>
      <c r="BO65" s="111">
        <f>Calculations!BO328</f>
        <v>0</v>
      </c>
      <c r="BP65" s="112">
        <f>Calculations!BP328</f>
        <v>0</v>
      </c>
      <c r="BQ65" s="110">
        <f>Calculations!BQ328</f>
        <v>0</v>
      </c>
      <c r="BR65" s="111">
        <f>Calculations!BR328</f>
        <v>0</v>
      </c>
      <c r="BS65" s="111">
        <v>0</v>
      </c>
      <c r="BT65" s="111">
        <f>Calculations!BS328</f>
        <v>0</v>
      </c>
      <c r="BU65" s="112">
        <f>Calculations!BT328</f>
        <v>0</v>
      </c>
      <c r="BV65" s="110">
        <f>Calculations!BU328</f>
        <v>0</v>
      </c>
      <c r="BW65" s="111">
        <f>Calculations!BV328</f>
        <v>0</v>
      </c>
      <c r="BX65" s="112">
        <f>Calculations!BW328</f>
        <v>0</v>
      </c>
      <c r="BY65" s="141">
        <f ca="1">Calculations!BX328+'Calculations 2'!CJ65</f>
        <v>154.97125679140566</v>
      </c>
      <c r="BZ65" s="142">
        <f ca="1">Calculations!BY328+'Calculations 2'!CK65</f>
        <v>788.18857165019347</v>
      </c>
      <c r="CA65" s="142">
        <f ca="1">Calculations!BZ328+Calculations!CA328</f>
        <v>102.3374939190785</v>
      </c>
      <c r="CB65" s="142">
        <f ca="1">Calculations!CB328+'Calculations 2'!CN65</f>
        <v>0</v>
      </c>
      <c r="CC65" s="115">
        <f>Calculations!CC328+'Calculations 2'!CO65</f>
        <v>0</v>
      </c>
      <c r="CD65" s="116">
        <f>Calculations!CD328</f>
        <v>5980.5938984171889</v>
      </c>
      <c r="CE65" s="113">
        <f>Calculations!CE328</f>
        <v>0</v>
      </c>
      <c r="CF65" s="117">
        <f t="shared" ca="1" si="1"/>
        <v>16162.232490575036</v>
      </c>
      <c r="CH65">
        <f ca="1"/>
        <v>0</v>
      </c>
      <c r="CJ65" s="34"/>
      <c r="CK65" s="34"/>
      <c r="CL65" s="34"/>
      <c r="CM65" s="34"/>
      <c r="CN65" s="34"/>
      <c r="CO65" s="34"/>
    </row>
    <row r="66" spans="1:93">
      <c r="A66" s="280"/>
      <c r="B66" s="44" t="s">
        <v>95</v>
      </c>
      <c r="C66" s="114">
        <f>Calculations!C329</f>
        <v>0</v>
      </c>
      <c r="D66" s="115">
        <f>Calculations!D329</f>
        <v>0</v>
      </c>
      <c r="E66" s="115">
        <f>Calculations!E329</f>
        <v>0</v>
      </c>
      <c r="F66" s="115">
        <f>Calculations!F329</f>
        <v>0</v>
      </c>
      <c r="G66" s="115">
        <f>Calculations!G329</f>
        <v>0</v>
      </c>
      <c r="H66" s="115">
        <f>Calculations!H329</f>
        <v>0</v>
      </c>
      <c r="I66" s="115">
        <f>Calculations!I329</f>
        <v>0</v>
      </c>
      <c r="J66" s="115">
        <f>Calculations!J329</f>
        <v>0</v>
      </c>
      <c r="K66" s="115">
        <f>Calculations!K329</f>
        <v>0</v>
      </c>
      <c r="L66" s="115">
        <f>Calculations!L329</f>
        <v>0</v>
      </c>
      <c r="M66" s="115">
        <f>Calculations!M329</f>
        <v>0</v>
      </c>
      <c r="N66" s="115">
        <f>Calculations!N329</f>
        <v>0</v>
      </c>
      <c r="O66" s="115">
        <f>Calculations!O329</f>
        <v>0</v>
      </c>
      <c r="P66" s="115">
        <f>Calculations!P329</f>
        <v>0</v>
      </c>
      <c r="Q66" s="115">
        <f>Calculations!Q329</f>
        <v>0</v>
      </c>
      <c r="R66" s="115">
        <f>Calculations!R329</f>
        <v>0</v>
      </c>
      <c r="S66" s="115">
        <f>Calculations!S329</f>
        <v>0</v>
      </c>
      <c r="T66" s="115">
        <f>Calculations!T329</f>
        <v>0</v>
      </c>
      <c r="U66" s="115">
        <f>Calculations!U329</f>
        <v>935.66990277178718</v>
      </c>
      <c r="V66" s="115">
        <f>Calculations!V329</f>
        <v>0</v>
      </c>
      <c r="W66" s="115">
        <f>Calculations!W329</f>
        <v>0</v>
      </c>
      <c r="X66" s="115">
        <f>Calculations!X329</f>
        <v>0</v>
      </c>
      <c r="Y66" s="115">
        <f>Calculations!Y329</f>
        <v>0</v>
      </c>
      <c r="Z66" s="115">
        <f>Calculations!Z329</f>
        <v>0</v>
      </c>
      <c r="AA66" s="115">
        <f>Calculations!AA329</f>
        <v>0</v>
      </c>
      <c r="AB66" s="115">
        <f>Calculations!AB329</f>
        <v>0</v>
      </c>
      <c r="AC66" s="115">
        <f>Calculations!AC329</f>
        <v>0</v>
      </c>
      <c r="AD66" s="115">
        <f>Calculations!AD329</f>
        <v>0</v>
      </c>
      <c r="AE66" s="115">
        <f>Calculations!AE329</f>
        <v>0</v>
      </c>
      <c r="AF66" s="115">
        <f>Calculations!AF329</f>
        <v>0</v>
      </c>
      <c r="AG66" s="115">
        <f>Calculations!AG329</f>
        <v>0</v>
      </c>
      <c r="AH66" s="115">
        <f>Calculations!AH329</f>
        <v>0</v>
      </c>
      <c r="AI66" s="116">
        <f>Calculations!AI329</f>
        <v>0</v>
      </c>
      <c r="AJ66" s="110">
        <f>Calculations!AJ329</f>
        <v>0</v>
      </c>
      <c r="AK66" s="111">
        <f>Calculations!AK329</f>
        <v>0</v>
      </c>
      <c r="AL66" s="111">
        <f>Calculations!AL329</f>
        <v>0</v>
      </c>
      <c r="AM66" s="111">
        <f>Calculations!AM329</f>
        <v>0</v>
      </c>
      <c r="AN66" s="111">
        <f>Calculations!AN329</f>
        <v>0</v>
      </c>
      <c r="AO66" s="111">
        <f>Calculations!AO329</f>
        <v>0</v>
      </c>
      <c r="AP66" s="111">
        <f>Calculations!AP329</f>
        <v>0</v>
      </c>
      <c r="AQ66" s="111">
        <f>Calculations!AQ329</f>
        <v>0</v>
      </c>
      <c r="AR66" s="111">
        <f>Calculations!AR329</f>
        <v>0</v>
      </c>
      <c r="AS66" s="111">
        <f>Calculations!AS329</f>
        <v>0</v>
      </c>
      <c r="AT66" s="111">
        <f>Calculations!AT329</f>
        <v>0</v>
      </c>
      <c r="AU66" s="111">
        <f>Calculations!AU329</f>
        <v>0</v>
      </c>
      <c r="AV66" s="111">
        <f>Calculations!AV329</f>
        <v>0</v>
      </c>
      <c r="AW66" s="111">
        <f>Calculations!AW329</f>
        <v>0</v>
      </c>
      <c r="AX66" s="111">
        <f>Calculations!AX329</f>
        <v>0</v>
      </c>
      <c r="AY66" s="111">
        <f>Calculations!AY329</f>
        <v>0</v>
      </c>
      <c r="AZ66" s="111">
        <f>Calculations!AZ329</f>
        <v>0</v>
      </c>
      <c r="BA66" s="111">
        <f>Calculations!BA329</f>
        <v>0</v>
      </c>
      <c r="BB66" s="111">
        <f>Calculations!BB329</f>
        <v>0</v>
      </c>
      <c r="BC66" s="111">
        <f>Calculations!BC329</f>
        <v>0</v>
      </c>
      <c r="BD66" s="111">
        <f>Calculations!BD329</f>
        <v>0</v>
      </c>
      <c r="BE66" s="111">
        <f>Calculations!BE329</f>
        <v>0</v>
      </c>
      <c r="BF66" s="111">
        <f>Calculations!BF329</f>
        <v>0</v>
      </c>
      <c r="BG66" s="111">
        <f>Calculations!BG329</f>
        <v>0</v>
      </c>
      <c r="BH66" s="111">
        <f>Calculations!BH329</f>
        <v>0</v>
      </c>
      <c r="BI66" s="111">
        <f>Calculations!BI329</f>
        <v>0</v>
      </c>
      <c r="BJ66" s="111">
        <f>Calculations!BJ329</f>
        <v>0</v>
      </c>
      <c r="BK66" s="111">
        <f>Calculations!BK329</f>
        <v>0</v>
      </c>
      <c r="BL66" s="111">
        <f>Calculations!BL329</f>
        <v>0</v>
      </c>
      <c r="BM66" s="111">
        <f>Calculations!BM329</f>
        <v>0</v>
      </c>
      <c r="BN66" s="111">
        <f>Calculations!BN329</f>
        <v>0</v>
      </c>
      <c r="BO66" s="111">
        <f>Calculations!BO329</f>
        <v>0</v>
      </c>
      <c r="BP66" s="112">
        <f>Calculations!BP329</f>
        <v>0</v>
      </c>
      <c r="BQ66" s="110">
        <f>Calculations!BQ329</f>
        <v>0</v>
      </c>
      <c r="BR66" s="111">
        <f>Calculations!BR329</f>
        <v>0</v>
      </c>
      <c r="BS66" s="111">
        <v>0</v>
      </c>
      <c r="BT66" s="111">
        <f>Calculations!BS329</f>
        <v>0</v>
      </c>
      <c r="BU66" s="112">
        <f>Calculations!BT329</f>
        <v>0</v>
      </c>
      <c r="BV66" s="110">
        <f>Calculations!BU329</f>
        <v>0</v>
      </c>
      <c r="BW66" s="111">
        <f>Calculations!BV329</f>
        <v>0</v>
      </c>
      <c r="BX66" s="112">
        <f>Calculations!BW329</f>
        <v>0</v>
      </c>
      <c r="BY66" s="141">
        <f ca="1">Calculations!BX329+'Calculations 2'!CJ66</f>
        <v>202.42545031603208</v>
      </c>
      <c r="BZ66" s="142">
        <f ca="1">Calculations!BY329+'Calculations 2'!CK66</f>
        <v>1029.5420573700142</v>
      </c>
      <c r="CA66" s="142">
        <f ca="1">Calculations!BZ329+Calculations!CA329</f>
        <v>133.67455178264066</v>
      </c>
      <c r="CB66" s="142">
        <f ca="1">Calculations!CB329+'Calculations 2'!CN66</f>
        <v>0</v>
      </c>
      <c r="CC66" s="115">
        <f>Calculations!CC329+'Calculations 2'!CO66</f>
        <v>0</v>
      </c>
      <c r="CD66" s="116">
        <f>Calculations!CD329</f>
        <v>0</v>
      </c>
      <c r="CE66" s="113">
        <f>Calculations!CE329</f>
        <v>0</v>
      </c>
      <c r="CF66" s="117">
        <f t="shared" ca="1" si="1"/>
        <v>2301.3119622404743</v>
      </c>
      <c r="CH66">
        <f ca="1"/>
        <v>0</v>
      </c>
      <c r="CJ66" s="34"/>
      <c r="CK66" s="34"/>
      <c r="CL66" s="34"/>
      <c r="CM66" s="34"/>
      <c r="CN66" s="34"/>
      <c r="CO66" s="34"/>
    </row>
    <row r="67" spans="1:93">
      <c r="A67" s="280"/>
      <c r="B67" s="44" t="s">
        <v>96</v>
      </c>
      <c r="C67" s="114">
        <f>Calculations!C330</f>
        <v>0</v>
      </c>
      <c r="D67" s="115">
        <f>Calculations!D330</f>
        <v>9.3829953046411525</v>
      </c>
      <c r="E67" s="115">
        <f>Calculations!E330</f>
        <v>128.3933892855984</v>
      </c>
      <c r="F67" s="115">
        <f>Calculations!F330</f>
        <v>22.209036581435733</v>
      </c>
      <c r="G67" s="115">
        <f>Calculations!G330</f>
        <v>0.20494068770605006</v>
      </c>
      <c r="H67" s="115">
        <f>Calculations!H330</f>
        <v>9.3084874503627901</v>
      </c>
      <c r="I67" s="115">
        <f>Calculations!I330</f>
        <v>27.025863405594048</v>
      </c>
      <c r="J67" s="115">
        <f>Calculations!J330</f>
        <v>9.4866058272631228</v>
      </c>
      <c r="K67" s="115">
        <f>Calculations!K330</f>
        <v>793.12033719371539</v>
      </c>
      <c r="L67" s="115">
        <f>Calculations!L330</f>
        <v>22.457161585866931</v>
      </c>
      <c r="M67" s="115">
        <f>Calculations!M330</f>
        <v>239.49492844877824</v>
      </c>
      <c r="N67" s="115">
        <f>Calculations!N330</f>
        <v>671.70538179434095</v>
      </c>
      <c r="O67" s="115">
        <f>Calculations!O330</f>
        <v>179.70086194858393</v>
      </c>
      <c r="P67" s="115">
        <f>Calculations!P330</f>
        <v>114.70164177198711</v>
      </c>
      <c r="Q67" s="115">
        <f>Calculations!Q330</f>
        <v>40.136263469800177</v>
      </c>
      <c r="R67" s="115">
        <f>Calculations!R330</f>
        <v>166.17672816060076</v>
      </c>
      <c r="S67" s="115">
        <f>Calculations!S330</f>
        <v>3.6760305603529888</v>
      </c>
      <c r="T67" s="115">
        <f>Calculations!T330</f>
        <v>505.06266050122781</v>
      </c>
      <c r="U67" s="115">
        <f>Calculations!U330</f>
        <v>4298.7938333868942</v>
      </c>
      <c r="V67" s="115">
        <f>Calculations!V330</f>
        <v>8.3257778577276262</v>
      </c>
      <c r="W67" s="115">
        <f>Calculations!W330</f>
        <v>9.1194250396881316</v>
      </c>
      <c r="X67" s="115">
        <f>Calculations!X330</f>
        <v>201.58934142370074</v>
      </c>
      <c r="Y67" s="115">
        <f>Calculations!Y330</f>
        <v>0</v>
      </c>
      <c r="Z67" s="115">
        <f>Calculations!Z330</f>
        <v>4257.8451593183572</v>
      </c>
      <c r="AA67" s="115">
        <f>Calculations!AA330</f>
        <v>1791.4008674267616</v>
      </c>
      <c r="AB67" s="115">
        <f>Calculations!AB330</f>
        <v>0</v>
      </c>
      <c r="AC67" s="115">
        <f>Calculations!AC330</f>
        <v>1.1296791549604801</v>
      </c>
      <c r="AD67" s="115">
        <f>Calculations!AD330</f>
        <v>358.88025113381298</v>
      </c>
      <c r="AE67" s="115">
        <f>Calculations!AE330</f>
        <v>298.98595671695733</v>
      </c>
      <c r="AF67" s="115">
        <f>Calculations!AF330</f>
        <v>27.415409493039409</v>
      </c>
      <c r="AG67" s="115">
        <f>Calculations!AG330</f>
        <v>48.186267854419711</v>
      </c>
      <c r="AH67" s="115">
        <f>Calculations!AH330</f>
        <v>21.951779410894122</v>
      </c>
      <c r="AI67" s="116">
        <f>Calculations!AI330</f>
        <v>0</v>
      </c>
      <c r="AJ67" s="110">
        <f>Calculations!AJ330</f>
        <v>0</v>
      </c>
      <c r="AK67" s="111">
        <f>Calculations!AK330</f>
        <v>0</v>
      </c>
      <c r="AL67" s="111">
        <f>Calculations!AL330</f>
        <v>0</v>
      </c>
      <c r="AM67" s="111">
        <f>Calculations!AM330</f>
        <v>0</v>
      </c>
      <c r="AN67" s="111">
        <f>Calculations!AN330</f>
        <v>0</v>
      </c>
      <c r="AO67" s="111">
        <f>Calculations!AO330</f>
        <v>0</v>
      </c>
      <c r="AP67" s="111">
        <f>Calculations!AP330</f>
        <v>0</v>
      </c>
      <c r="AQ67" s="111">
        <f>Calculations!AQ330</f>
        <v>0</v>
      </c>
      <c r="AR67" s="111">
        <f>Calculations!AR330</f>
        <v>0</v>
      </c>
      <c r="AS67" s="111">
        <f>Calculations!AS330</f>
        <v>0</v>
      </c>
      <c r="AT67" s="111">
        <f>Calculations!AT330</f>
        <v>0</v>
      </c>
      <c r="AU67" s="111">
        <f>Calculations!AU330</f>
        <v>0</v>
      </c>
      <c r="AV67" s="111">
        <f>Calculations!AV330</f>
        <v>0</v>
      </c>
      <c r="AW67" s="111">
        <f>Calculations!AW330</f>
        <v>0</v>
      </c>
      <c r="AX67" s="111">
        <f>Calculations!AX330</f>
        <v>0</v>
      </c>
      <c r="AY67" s="111">
        <f>Calculations!AY330</f>
        <v>0</v>
      </c>
      <c r="AZ67" s="111">
        <f>Calculations!AZ330</f>
        <v>0</v>
      </c>
      <c r="BA67" s="111">
        <f>Calculations!BA330</f>
        <v>0</v>
      </c>
      <c r="BB67" s="111">
        <f>Calculations!BB330</f>
        <v>0</v>
      </c>
      <c r="BC67" s="111">
        <f>Calculations!BC330</f>
        <v>0</v>
      </c>
      <c r="BD67" s="111">
        <f>Calculations!BD330</f>
        <v>0</v>
      </c>
      <c r="BE67" s="111">
        <f>Calculations!BE330</f>
        <v>0</v>
      </c>
      <c r="BF67" s="111">
        <f>Calculations!BF330</f>
        <v>0</v>
      </c>
      <c r="BG67" s="111">
        <f>Calculations!BG330</f>
        <v>0</v>
      </c>
      <c r="BH67" s="111">
        <f>Calculations!BH330</f>
        <v>0</v>
      </c>
      <c r="BI67" s="111">
        <f>Calculations!BI330</f>
        <v>0</v>
      </c>
      <c r="BJ67" s="111">
        <f>Calculations!BJ330</f>
        <v>0</v>
      </c>
      <c r="BK67" s="111">
        <f>Calculations!BK330</f>
        <v>0</v>
      </c>
      <c r="BL67" s="111">
        <f>Calculations!BL330</f>
        <v>0</v>
      </c>
      <c r="BM67" s="111">
        <f>Calculations!BM330</f>
        <v>0</v>
      </c>
      <c r="BN67" s="111">
        <f>Calculations!BN330</f>
        <v>0</v>
      </c>
      <c r="BO67" s="111">
        <f>Calculations!BO330</f>
        <v>0</v>
      </c>
      <c r="BP67" s="112">
        <f>Calculations!BP330</f>
        <v>0</v>
      </c>
      <c r="BQ67" s="110">
        <f>Calculations!BQ330</f>
        <v>0</v>
      </c>
      <c r="BR67" s="111">
        <f>Calculations!BR330</f>
        <v>0</v>
      </c>
      <c r="BS67" s="111">
        <v>0</v>
      </c>
      <c r="BT67" s="111">
        <f>Calculations!BS330</f>
        <v>0</v>
      </c>
      <c r="BU67" s="112">
        <f>Calculations!BT330</f>
        <v>0</v>
      </c>
      <c r="BV67" s="110">
        <f>Calculations!BU330</f>
        <v>0</v>
      </c>
      <c r="BW67" s="111">
        <f>Calculations!BV330</f>
        <v>0</v>
      </c>
      <c r="BX67" s="112">
        <f>Calculations!BW330</f>
        <v>0</v>
      </c>
      <c r="BY67" s="141">
        <f ca="1">Calculations!BX330+'Calculations 2'!CJ67</f>
        <v>471.93497426443167</v>
      </c>
      <c r="BZ67" s="142">
        <f ca="1">Calculations!BY330+'Calculations 2'!CK67</f>
        <v>2400.2757735774007</v>
      </c>
      <c r="CA67" s="142">
        <f ca="1">Calculations!BZ330+Calculations!CA330</f>
        <v>311.64903453028688</v>
      </c>
      <c r="CB67" s="142">
        <f ca="1">Calculations!CB330+'Calculations 2'!CN67</f>
        <v>0</v>
      </c>
      <c r="CC67" s="115">
        <f>Calculations!CC330+'Calculations 2'!CO67</f>
        <v>0</v>
      </c>
      <c r="CD67" s="116">
        <f>Calculations!CD330</f>
        <v>86575.175357681437</v>
      </c>
      <c r="CE67" s="113">
        <f>Calculations!CE330</f>
        <v>0</v>
      </c>
      <c r="CF67" s="117">
        <f t="shared" ca="1" si="1"/>
        <v>104024.90220224863</v>
      </c>
      <c r="CH67">
        <f ca="1"/>
        <v>0</v>
      </c>
      <c r="CJ67" s="34"/>
      <c r="CK67" s="34"/>
      <c r="CL67" s="34"/>
      <c r="CM67" s="34"/>
      <c r="CN67" s="34"/>
      <c r="CO67" s="34"/>
    </row>
    <row r="68" spans="1:93">
      <c r="A68" s="280"/>
      <c r="B68" s="44" t="s">
        <v>97</v>
      </c>
      <c r="C68" s="114">
        <f>Calculations!C331</f>
        <v>0</v>
      </c>
      <c r="D68" s="115">
        <f>Calculations!D331</f>
        <v>0</v>
      </c>
      <c r="E68" s="115">
        <f>Calculations!E331</f>
        <v>474.49559512592595</v>
      </c>
      <c r="F68" s="115">
        <f>Calculations!F331</f>
        <v>23.925352059763153</v>
      </c>
      <c r="G68" s="115">
        <f>Calculations!G331</f>
        <v>1.6074259320518136</v>
      </c>
      <c r="H68" s="115">
        <f>Calculations!H331</f>
        <v>19.364831972058152</v>
      </c>
      <c r="I68" s="115">
        <f>Calculations!I331</f>
        <v>99.849376068054951</v>
      </c>
      <c r="J68" s="115">
        <f>Calculations!J331</f>
        <v>8.8716261451902891</v>
      </c>
      <c r="K68" s="115">
        <f>Calculations!K331</f>
        <v>280.75122958334015</v>
      </c>
      <c r="L68" s="115">
        <f>Calculations!L331</f>
        <v>140.48851630692897</v>
      </c>
      <c r="M68" s="115">
        <f>Calculations!M331</f>
        <v>215.54271596592432</v>
      </c>
      <c r="N68" s="115">
        <f>Calculations!N331</f>
        <v>412.29372349502404</v>
      </c>
      <c r="O68" s="115">
        <f>Calculations!O331</f>
        <v>135.17580203009715</v>
      </c>
      <c r="P68" s="115">
        <f>Calculations!P331</f>
        <v>39.934124386254418</v>
      </c>
      <c r="Q68" s="115">
        <f>Calculations!Q331</f>
        <v>14.750844037103636</v>
      </c>
      <c r="R68" s="115">
        <f>Calculations!R331</f>
        <v>115.08846254579852</v>
      </c>
      <c r="S68" s="115">
        <f>Calculations!S331</f>
        <v>2.1253760085069757</v>
      </c>
      <c r="T68" s="115">
        <f>Calculations!T331</f>
        <v>213.87711414136177</v>
      </c>
      <c r="U68" s="115">
        <f>Calculations!U331</f>
        <v>15895.031436475829</v>
      </c>
      <c r="V68" s="115">
        <f>Calculations!V331</f>
        <v>154.7090321710879</v>
      </c>
      <c r="W68" s="115">
        <f>Calculations!W331</f>
        <v>162.18595942603193</v>
      </c>
      <c r="X68" s="115">
        <f>Calculations!X331</f>
        <v>1045.8785023014213</v>
      </c>
      <c r="Y68" s="115">
        <f>Calculations!Y331</f>
        <v>9037.6494858266778</v>
      </c>
      <c r="Z68" s="115">
        <f>Calculations!Z331</f>
        <v>12274.138281955116</v>
      </c>
      <c r="AA68" s="115">
        <f>Calculations!AA331</f>
        <v>2493.7286333687362</v>
      </c>
      <c r="AB68" s="115">
        <f>Calculations!AB331</f>
        <v>0</v>
      </c>
      <c r="AC68" s="115">
        <f>Calculations!AC331</f>
        <v>0.72950730220640714</v>
      </c>
      <c r="AD68" s="115">
        <f>Calculations!AD331</f>
        <v>737.62804223133435</v>
      </c>
      <c r="AE68" s="115">
        <f>Calculations!AE331</f>
        <v>0</v>
      </c>
      <c r="AF68" s="115">
        <f>Calculations!AF331</f>
        <v>5.4044961936968807</v>
      </c>
      <c r="AG68" s="115">
        <f>Calculations!AG331</f>
        <v>13.654251274105956</v>
      </c>
      <c r="AH68" s="115">
        <f>Calculations!AH331</f>
        <v>1.364856038082209</v>
      </c>
      <c r="AI68" s="116">
        <f>Calculations!AI331</f>
        <v>0</v>
      </c>
      <c r="AJ68" s="110">
        <f>Calculations!AJ331</f>
        <v>0</v>
      </c>
      <c r="AK68" s="111">
        <f>Calculations!AK331</f>
        <v>0</v>
      </c>
      <c r="AL68" s="111">
        <f>Calculations!AL331</f>
        <v>0</v>
      </c>
      <c r="AM68" s="111">
        <f>Calculations!AM331</f>
        <v>0</v>
      </c>
      <c r="AN68" s="111">
        <f>Calculations!AN331</f>
        <v>0</v>
      </c>
      <c r="AO68" s="111">
        <f>Calculations!AO331</f>
        <v>0</v>
      </c>
      <c r="AP68" s="111">
        <f>Calculations!AP331</f>
        <v>0</v>
      </c>
      <c r="AQ68" s="111">
        <f>Calculations!AQ331</f>
        <v>0</v>
      </c>
      <c r="AR68" s="111">
        <f>Calculations!AR331</f>
        <v>0</v>
      </c>
      <c r="AS68" s="111">
        <f>Calculations!AS331</f>
        <v>0</v>
      </c>
      <c r="AT68" s="111">
        <f>Calculations!AT331</f>
        <v>0</v>
      </c>
      <c r="AU68" s="111">
        <f>Calculations!AU331</f>
        <v>0</v>
      </c>
      <c r="AV68" s="111">
        <f>Calculations!AV331</f>
        <v>0</v>
      </c>
      <c r="AW68" s="111">
        <f>Calculations!AW331</f>
        <v>0</v>
      </c>
      <c r="AX68" s="111">
        <f>Calculations!AX331</f>
        <v>0</v>
      </c>
      <c r="AY68" s="111">
        <f>Calculations!AY331</f>
        <v>0</v>
      </c>
      <c r="AZ68" s="111">
        <f>Calculations!AZ331</f>
        <v>0</v>
      </c>
      <c r="BA68" s="111">
        <f>Calculations!BA331</f>
        <v>0</v>
      </c>
      <c r="BB68" s="111">
        <f>Calculations!BB331</f>
        <v>0</v>
      </c>
      <c r="BC68" s="111">
        <f>Calculations!BC331</f>
        <v>0</v>
      </c>
      <c r="BD68" s="111">
        <f>Calculations!BD331</f>
        <v>0</v>
      </c>
      <c r="BE68" s="111">
        <f>Calculations!BE331</f>
        <v>0</v>
      </c>
      <c r="BF68" s="111">
        <f>Calculations!BF331</f>
        <v>0</v>
      </c>
      <c r="BG68" s="111">
        <f>Calculations!BG331</f>
        <v>0</v>
      </c>
      <c r="BH68" s="111">
        <f>Calculations!BH331</f>
        <v>0</v>
      </c>
      <c r="BI68" s="111">
        <f>Calculations!BI331</f>
        <v>0</v>
      </c>
      <c r="BJ68" s="111">
        <f>Calculations!BJ331</f>
        <v>0</v>
      </c>
      <c r="BK68" s="111">
        <f>Calculations!BK331</f>
        <v>0</v>
      </c>
      <c r="BL68" s="111">
        <f>Calculations!BL331</f>
        <v>0</v>
      </c>
      <c r="BM68" s="111">
        <f>Calculations!BM331</f>
        <v>0</v>
      </c>
      <c r="BN68" s="111">
        <f>Calculations!BN331</f>
        <v>0</v>
      </c>
      <c r="BO68" s="111">
        <f>Calculations!BO331</f>
        <v>0</v>
      </c>
      <c r="BP68" s="112">
        <f>Calculations!BP331</f>
        <v>0</v>
      </c>
      <c r="BQ68" s="110">
        <f>Calculations!BQ331</f>
        <v>0</v>
      </c>
      <c r="BR68" s="111">
        <f>Calculations!BR331</f>
        <v>0</v>
      </c>
      <c r="BS68" s="111">
        <v>0</v>
      </c>
      <c r="BT68" s="111">
        <f>Calculations!BS331</f>
        <v>0</v>
      </c>
      <c r="BU68" s="112">
        <f>Calculations!BT331</f>
        <v>0</v>
      </c>
      <c r="BV68" s="110">
        <f>Calculations!BU331</f>
        <v>0</v>
      </c>
      <c r="BW68" s="111">
        <f>Calculations!BV331</f>
        <v>0</v>
      </c>
      <c r="BX68" s="112">
        <f>Calculations!BW331</f>
        <v>0</v>
      </c>
      <c r="BY68" s="141">
        <f ca="1">Calculations!BX331+'Calculations 2'!CJ68</f>
        <v>208.2449012956306</v>
      </c>
      <c r="BZ68" s="142">
        <f ca="1">Calculations!BY331+'Calculations 2'!CK68</f>
        <v>1059.1399637841823</v>
      </c>
      <c r="CA68" s="142">
        <f ca="1">Calculations!BZ331+Calculations!CA331</f>
        <v>137.51750977089947</v>
      </c>
      <c r="CB68" s="142">
        <f ca="1">Calculations!CB331+'Calculations 2'!CN68</f>
        <v>0</v>
      </c>
      <c r="CC68" s="115">
        <f>Calculations!CC331+'Calculations 2'!CO68</f>
        <v>0</v>
      </c>
      <c r="CD68" s="116">
        <f>Calculations!CD331</f>
        <v>6757.0071099840179</v>
      </c>
      <c r="CE68" s="113">
        <f>Calculations!CE331</f>
        <v>0</v>
      </c>
      <c r="CF68" s="117">
        <f t="shared" ca="1" si="1"/>
        <v>52182.154085202441</v>
      </c>
      <c r="CH68">
        <f ca="1"/>
        <v>0</v>
      </c>
      <c r="CJ68" s="34"/>
      <c r="CK68" s="34"/>
      <c r="CL68" s="34"/>
      <c r="CM68" s="34"/>
      <c r="CN68" s="34"/>
      <c r="CO68" s="34"/>
    </row>
    <row r="69" spans="1:93">
      <c r="A69" s="280"/>
      <c r="B69" s="44" t="s">
        <v>98</v>
      </c>
      <c r="C69" s="114">
        <f>Calculations!C332</f>
        <v>1.0128464575299647</v>
      </c>
      <c r="D69" s="115">
        <f>Calculations!D332</f>
        <v>28.1189012272635</v>
      </c>
      <c r="E69" s="115">
        <f>Calculations!E332</f>
        <v>23.354667597971332</v>
      </c>
      <c r="F69" s="115">
        <f>Calculations!F332</f>
        <v>4.8220632758133206</v>
      </c>
      <c r="G69" s="115">
        <f>Calculations!G332</f>
        <v>0.13579393073841184</v>
      </c>
      <c r="H69" s="115">
        <f>Calculations!H332</f>
        <v>3.1411354891616501</v>
      </c>
      <c r="I69" s="115">
        <f>Calculations!I332</f>
        <v>42.671726189633354</v>
      </c>
      <c r="J69" s="115">
        <f>Calculations!J332</f>
        <v>0.49986986693006819</v>
      </c>
      <c r="K69" s="115">
        <f>Calculations!K332</f>
        <v>26.262400466414491</v>
      </c>
      <c r="L69" s="115">
        <f>Calculations!L332</f>
        <v>4.7919710352459344</v>
      </c>
      <c r="M69" s="115">
        <f>Calculations!M332</f>
        <v>10.09941884361254</v>
      </c>
      <c r="N69" s="115">
        <f>Calculations!N332</f>
        <v>47.517862971977465</v>
      </c>
      <c r="O69" s="115">
        <f>Calculations!O332</f>
        <v>14.617501753667955</v>
      </c>
      <c r="P69" s="115">
        <f>Calculations!P332</f>
        <v>11.92953600570894</v>
      </c>
      <c r="Q69" s="115">
        <f>Calculations!Q332</f>
        <v>1.4295233323730525</v>
      </c>
      <c r="R69" s="115">
        <f>Calculations!R332</f>
        <v>43.010411797614324</v>
      </c>
      <c r="S69" s="115">
        <f>Calculations!S332</f>
        <v>55.480345571498368</v>
      </c>
      <c r="T69" s="115">
        <f>Calculations!T332</f>
        <v>141.42894240347232</v>
      </c>
      <c r="U69" s="115">
        <f>Calculations!U332</f>
        <v>1455.1109116899559</v>
      </c>
      <c r="V69" s="115">
        <f>Calculations!V332</f>
        <v>453.64041154636169</v>
      </c>
      <c r="W69" s="115">
        <f>Calculations!W332</f>
        <v>41.748711728870809</v>
      </c>
      <c r="X69" s="115">
        <f>Calculations!X332</f>
        <v>10.907013231567694</v>
      </c>
      <c r="Y69" s="115">
        <f>Calculations!Y332</f>
        <v>1628.164136025727</v>
      </c>
      <c r="Z69" s="115">
        <f>Calculations!Z332</f>
        <v>201.56349790420072</v>
      </c>
      <c r="AA69" s="115">
        <f>Calculations!AA332</f>
        <v>2238.2397882322375</v>
      </c>
      <c r="AB69" s="115">
        <f>Calculations!AB332</f>
        <v>3155.147270447118</v>
      </c>
      <c r="AC69" s="115">
        <f>Calculations!AC332</f>
        <v>297.17939903290664</v>
      </c>
      <c r="AD69" s="115">
        <f>Calculations!AD332</f>
        <v>5306.4631225035773</v>
      </c>
      <c r="AE69" s="115">
        <f>Calculations!AE332</f>
        <v>1111.3082069134564</v>
      </c>
      <c r="AF69" s="115">
        <f>Calculations!AF332</f>
        <v>95.192938974446662</v>
      </c>
      <c r="AG69" s="115">
        <f>Calculations!AG332</f>
        <v>285.80049085279103</v>
      </c>
      <c r="AH69" s="115">
        <f>Calculations!AH332</f>
        <v>256.81852650144583</v>
      </c>
      <c r="AI69" s="116">
        <f>Calculations!AI332</f>
        <v>0</v>
      </c>
      <c r="AJ69" s="110">
        <f>Calculations!AJ332</f>
        <v>0</v>
      </c>
      <c r="AK69" s="111">
        <f>Calculations!AK332</f>
        <v>0</v>
      </c>
      <c r="AL69" s="111">
        <f>Calculations!AL332</f>
        <v>0</v>
      </c>
      <c r="AM69" s="111">
        <f>Calculations!AM332</f>
        <v>0</v>
      </c>
      <c r="AN69" s="111">
        <f>Calculations!AN332</f>
        <v>0</v>
      </c>
      <c r="AO69" s="111">
        <f>Calculations!AO332</f>
        <v>0</v>
      </c>
      <c r="AP69" s="111">
        <f>Calculations!AP332</f>
        <v>0</v>
      </c>
      <c r="AQ69" s="111">
        <f>Calculations!AQ332</f>
        <v>0</v>
      </c>
      <c r="AR69" s="111">
        <f>Calculations!AR332</f>
        <v>0</v>
      </c>
      <c r="AS69" s="111">
        <f>Calculations!AS332</f>
        <v>0</v>
      </c>
      <c r="AT69" s="111">
        <f>Calculations!AT332</f>
        <v>0</v>
      </c>
      <c r="AU69" s="111">
        <f>Calculations!AU332</f>
        <v>0</v>
      </c>
      <c r="AV69" s="111">
        <f>Calculations!AV332</f>
        <v>0</v>
      </c>
      <c r="AW69" s="111">
        <f>Calculations!AW332</f>
        <v>0</v>
      </c>
      <c r="AX69" s="111">
        <f>Calculations!AX332</f>
        <v>0</v>
      </c>
      <c r="AY69" s="111">
        <f>Calculations!AY332</f>
        <v>0</v>
      </c>
      <c r="AZ69" s="111">
        <f>Calculations!AZ332</f>
        <v>0</v>
      </c>
      <c r="BA69" s="111">
        <f>Calculations!BA332</f>
        <v>0</v>
      </c>
      <c r="BB69" s="111">
        <f>Calculations!BB332</f>
        <v>0</v>
      </c>
      <c r="BC69" s="111">
        <f>Calculations!BC332</f>
        <v>0</v>
      </c>
      <c r="BD69" s="111">
        <f>Calculations!BD332</f>
        <v>0</v>
      </c>
      <c r="BE69" s="111">
        <f>Calculations!BE332</f>
        <v>0</v>
      </c>
      <c r="BF69" s="111">
        <f>Calculations!BF332</f>
        <v>0</v>
      </c>
      <c r="BG69" s="111">
        <f>Calculations!BG332</f>
        <v>0</v>
      </c>
      <c r="BH69" s="111">
        <f>Calculations!BH332</f>
        <v>0</v>
      </c>
      <c r="BI69" s="111">
        <f>Calculations!BI332</f>
        <v>0</v>
      </c>
      <c r="BJ69" s="111">
        <f>Calculations!BJ332</f>
        <v>0</v>
      </c>
      <c r="BK69" s="111">
        <f>Calculations!BK332</f>
        <v>0</v>
      </c>
      <c r="BL69" s="111">
        <f>Calculations!BL332</f>
        <v>0</v>
      </c>
      <c r="BM69" s="111">
        <f>Calculations!BM332</f>
        <v>0</v>
      </c>
      <c r="BN69" s="111">
        <f>Calculations!BN332</f>
        <v>0</v>
      </c>
      <c r="BO69" s="111">
        <f>Calculations!BO332</f>
        <v>0</v>
      </c>
      <c r="BP69" s="112">
        <f>Calculations!BP332</f>
        <v>0</v>
      </c>
      <c r="BQ69" s="110">
        <f>Calculations!BQ332</f>
        <v>0</v>
      </c>
      <c r="BR69" s="111">
        <f>Calculations!BR332</f>
        <v>0</v>
      </c>
      <c r="BS69" s="111">
        <v>0</v>
      </c>
      <c r="BT69" s="111">
        <f>Calculations!BS332</f>
        <v>0</v>
      </c>
      <c r="BU69" s="112">
        <f>Calculations!BT332</f>
        <v>0</v>
      </c>
      <c r="BV69" s="110">
        <f>Calculations!BU332</f>
        <v>0</v>
      </c>
      <c r="BW69" s="111">
        <f>Calculations!BV332</f>
        <v>0</v>
      </c>
      <c r="BX69" s="112">
        <f>Calculations!BW332</f>
        <v>0</v>
      </c>
      <c r="BY69" s="141">
        <f ca="1">Calculations!BX332+'Calculations 2'!CJ69</f>
        <v>561.32927797523075</v>
      </c>
      <c r="BZ69" s="142">
        <f ca="1">Calculations!BY332+'Calculations 2'!CK69</f>
        <v>3255.5869208382337</v>
      </c>
      <c r="CA69" s="142">
        <f ca="1">Calculations!BZ332+Calculations!CA332</f>
        <v>700.77397921986358</v>
      </c>
      <c r="CB69" s="142">
        <f ca="1">Calculations!CB332+'Calculations 2'!CN69</f>
        <v>0</v>
      </c>
      <c r="CC69" s="115">
        <f>Calculations!CC332+'Calculations 2'!CO69</f>
        <v>0</v>
      </c>
      <c r="CD69" s="116">
        <f>Calculations!CD332</f>
        <v>13336.454154241277</v>
      </c>
      <c r="CE69" s="113">
        <f>Calculations!CE332</f>
        <v>0</v>
      </c>
      <c r="CF69" s="117">
        <f t="shared" ca="1" si="1"/>
        <v>34851.753676075896</v>
      </c>
      <c r="CH69">
        <f ca="1"/>
        <v>0</v>
      </c>
      <c r="CJ69" s="34"/>
      <c r="CK69" s="34"/>
      <c r="CL69" s="34"/>
      <c r="CM69" s="34"/>
      <c r="CN69" s="34"/>
      <c r="CO69" s="34"/>
    </row>
    <row r="70" spans="1:93">
      <c r="A70" s="280"/>
      <c r="B70" s="44" t="s">
        <v>99</v>
      </c>
      <c r="C70" s="114">
        <f>Calculations!C333</f>
        <v>80.824755910255718</v>
      </c>
      <c r="D70" s="115">
        <f>Calculations!D333</f>
        <v>950.15692950465086</v>
      </c>
      <c r="E70" s="115">
        <f>Calculations!E333</f>
        <v>124.09327059405386</v>
      </c>
      <c r="F70" s="115">
        <f>Calculations!F333</f>
        <v>19.9912384361958</v>
      </c>
      <c r="G70" s="115">
        <f>Calculations!G333</f>
        <v>0.26959687087809858</v>
      </c>
      <c r="H70" s="115">
        <f>Calculations!H333</f>
        <v>30.717189816220088</v>
      </c>
      <c r="I70" s="115">
        <f>Calculations!I333</f>
        <v>64.758471670091453</v>
      </c>
      <c r="J70" s="115">
        <f>Calculations!J333</f>
        <v>624.91151971619331</v>
      </c>
      <c r="K70" s="115">
        <f>Calculations!K333</f>
        <v>54.800009955407106</v>
      </c>
      <c r="L70" s="115">
        <f>Calculations!L333</f>
        <v>153.17316833668335</v>
      </c>
      <c r="M70" s="115">
        <f>Calculations!M333</f>
        <v>443.04038222033034</v>
      </c>
      <c r="N70" s="115">
        <f>Calculations!N333</f>
        <v>505.77297124358012</v>
      </c>
      <c r="O70" s="115">
        <f>Calculations!O333</f>
        <v>83.819715664361482</v>
      </c>
      <c r="P70" s="115">
        <f>Calculations!P333</f>
        <v>53.847905760314283</v>
      </c>
      <c r="Q70" s="115">
        <f>Calculations!Q333</f>
        <v>9.861823545888873</v>
      </c>
      <c r="R70" s="115">
        <f>Calculations!R333</f>
        <v>310.7878306032074</v>
      </c>
      <c r="S70" s="115">
        <f>Calculations!S333</f>
        <v>668.8289263993745</v>
      </c>
      <c r="T70" s="115">
        <f>Calculations!T333</f>
        <v>2759.4034058498823</v>
      </c>
      <c r="U70" s="115">
        <f>Calculations!U333</f>
        <v>10110.687256448957</v>
      </c>
      <c r="V70" s="115">
        <f>Calculations!V333</f>
        <v>5241.894161583763</v>
      </c>
      <c r="W70" s="115">
        <f>Calculations!W333</f>
        <v>95.574695530239794</v>
      </c>
      <c r="X70" s="115">
        <f>Calculations!X333</f>
        <v>30.157077057257283</v>
      </c>
      <c r="Y70" s="115">
        <f>Calculations!Y333</f>
        <v>1141.3213515560838</v>
      </c>
      <c r="Z70" s="115">
        <f>Calculations!Z333</f>
        <v>316.02216305382797</v>
      </c>
      <c r="AA70" s="115">
        <f>Calculations!AA333</f>
        <v>617.00069658337361</v>
      </c>
      <c r="AB70" s="115">
        <f>Calculations!AB333</f>
        <v>7147.7901838376538</v>
      </c>
      <c r="AC70" s="115">
        <f>Calculations!AC333</f>
        <v>6210.0270666815231</v>
      </c>
      <c r="AD70" s="115">
        <f>Calculations!AD333</f>
        <v>6488.1542992922268</v>
      </c>
      <c r="AE70" s="115">
        <f>Calculations!AE333</f>
        <v>3754.8378961190492</v>
      </c>
      <c r="AF70" s="115">
        <f>Calculations!AF333</f>
        <v>776.63808960753011</v>
      </c>
      <c r="AG70" s="115">
        <f>Calculations!AG333</f>
        <v>752.08820890042682</v>
      </c>
      <c r="AH70" s="115">
        <f>Calculations!AH333</f>
        <v>1035.6187613327274</v>
      </c>
      <c r="AI70" s="116">
        <f>Calculations!AI333</f>
        <v>0</v>
      </c>
      <c r="AJ70" s="110">
        <f>Calculations!AJ333</f>
        <v>0</v>
      </c>
      <c r="AK70" s="111">
        <f>Calculations!AK333</f>
        <v>0</v>
      </c>
      <c r="AL70" s="111">
        <f>Calculations!AL333</f>
        <v>0</v>
      </c>
      <c r="AM70" s="111">
        <f>Calculations!AM333</f>
        <v>0</v>
      </c>
      <c r="AN70" s="111">
        <f>Calculations!AN333</f>
        <v>0</v>
      </c>
      <c r="AO70" s="111">
        <f>Calculations!AO333</f>
        <v>0</v>
      </c>
      <c r="AP70" s="111">
        <f>Calculations!AP333</f>
        <v>0</v>
      </c>
      <c r="AQ70" s="111">
        <f>Calculations!AQ333</f>
        <v>0</v>
      </c>
      <c r="AR70" s="111">
        <f>Calculations!AR333</f>
        <v>0</v>
      </c>
      <c r="AS70" s="111">
        <f>Calculations!AS333</f>
        <v>0</v>
      </c>
      <c r="AT70" s="111">
        <f>Calculations!AT333</f>
        <v>0</v>
      </c>
      <c r="AU70" s="111">
        <f>Calculations!AU333</f>
        <v>0</v>
      </c>
      <c r="AV70" s="111">
        <f>Calculations!AV333</f>
        <v>0</v>
      </c>
      <c r="AW70" s="111">
        <f>Calculations!AW333</f>
        <v>0</v>
      </c>
      <c r="AX70" s="111">
        <f>Calculations!AX333</f>
        <v>0</v>
      </c>
      <c r="AY70" s="111">
        <f>Calculations!AY333</f>
        <v>0</v>
      </c>
      <c r="AZ70" s="111">
        <f>Calculations!AZ333</f>
        <v>0</v>
      </c>
      <c r="BA70" s="111">
        <f>Calculations!BA333</f>
        <v>0</v>
      </c>
      <c r="BB70" s="111">
        <f>Calculations!BB333</f>
        <v>0</v>
      </c>
      <c r="BC70" s="111">
        <f>Calculations!BC333</f>
        <v>0</v>
      </c>
      <c r="BD70" s="111">
        <f>Calculations!BD333</f>
        <v>0</v>
      </c>
      <c r="BE70" s="111">
        <f>Calculations!BE333</f>
        <v>0</v>
      </c>
      <c r="BF70" s="111">
        <f>Calculations!BF333</f>
        <v>0</v>
      </c>
      <c r="BG70" s="111">
        <f>Calculations!BG333</f>
        <v>0</v>
      </c>
      <c r="BH70" s="111">
        <f>Calculations!BH333</f>
        <v>0</v>
      </c>
      <c r="BI70" s="111">
        <f>Calculations!BI333</f>
        <v>0</v>
      </c>
      <c r="BJ70" s="111">
        <f>Calculations!BJ333</f>
        <v>0</v>
      </c>
      <c r="BK70" s="111">
        <f>Calculations!BK333</f>
        <v>0</v>
      </c>
      <c r="BL70" s="111">
        <f>Calculations!BL333</f>
        <v>0</v>
      </c>
      <c r="BM70" s="111">
        <f>Calculations!BM333</f>
        <v>0</v>
      </c>
      <c r="BN70" s="111">
        <f>Calculations!BN333</f>
        <v>0</v>
      </c>
      <c r="BO70" s="111">
        <f>Calculations!BO333</f>
        <v>0</v>
      </c>
      <c r="BP70" s="112">
        <f>Calculations!BP333</f>
        <v>0</v>
      </c>
      <c r="BQ70" s="110">
        <f>Calculations!BQ333</f>
        <v>0</v>
      </c>
      <c r="BR70" s="111">
        <f>Calculations!BR333</f>
        <v>0</v>
      </c>
      <c r="BS70" s="111">
        <v>0</v>
      </c>
      <c r="BT70" s="111">
        <f>Calculations!BS333</f>
        <v>0</v>
      </c>
      <c r="BU70" s="112">
        <f>Calculations!BT333</f>
        <v>0</v>
      </c>
      <c r="BV70" s="110">
        <f>Calculations!BU333</f>
        <v>0</v>
      </c>
      <c r="BW70" s="111">
        <f>Calculations!BV333</f>
        <v>0</v>
      </c>
      <c r="BX70" s="112">
        <f>Calculations!BW333</f>
        <v>0</v>
      </c>
      <c r="BY70" s="141">
        <f ca="1">Calculations!BX333+'Calculations 2'!CJ70</f>
        <v>483.61197568069389</v>
      </c>
      <c r="BZ70" s="142">
        <f ca="1">Calculations!BY333+'Calculations 2'!CK70</f>
        <v>2541.6337664778439</v>
      </c>
      <c r="CA70" s="142">
        <f ca="1">Calculations!BZ333+Calculations!CA333</f>
        <v>375.01122266495946</v>
      </c>
      <c r="CB70" s="142">
        <f ca="1">Calculations!CB333+'Calculations 2'!CN70</f>
        <v>0</v>
      </c>
      <c r="CC70" s="115">
        <f>Calculations!CC333+'Calculations 2'!CO70</f>
        <v>0</v>
      </c>
      <c r="CD70" s="116">
        <f>Calculations!CD333</f>
        <v>14947.814660519402</v>
      </c>
      <c r="CE70" s="113">
        <f>Calculations!CE333</f>
        <v>0</v>
      </c>
      <c r="CF70" s="117">
        <f t="shared" ca="1" si="1"/>
        <v>69004.942645025105</v>
      </c>
      <c r="CH70">
        <f ca="1"/>
        <v>0</v>
      </c>
      <c r="CJ70" s="34"/>
      <c r="CK70" s="34"/>
      <c r="CL70" s="34"/>
      <c r="CM70" s="34"/>
      <c r="CN70" s="34"/>
      <c r="CO70" s="34"/>
    </row>
    <row r="71" spans="1:93">
      <c r="A71" s="280"/>
      <c r="B71" s="44" t="s">
        <v>100</v>
      </c>
      <c r="C71" s="114">
        <f>Calculations!C334</f>
        <v>0</v>
      </c>
      <c r="D71" s="115">
        <f>Calculations!D334</f>
        <v>0</v>
      </c>
      <c r="E71" s="115">
        <f>Calculations!E334</f>
        <v>102.68152644442898</v>
      </c>
      <c r="F71" s="115">
        <f>Calculations!F334</f>
        <v>63.954875125513333</v>
      </c>
      <c r="G71" s="115">
        <f>Calculations!G334</f>
        <v>0.75479722757780243</v>
      </c>
      <c r="H71" s="115">
        <f>Calculations!H334</f>
        <v>65.712185630424358</v>
      </c>
      <c r="I71" s="115">
        <f>Calculations!I334</f>
        <v>49.263899110178698</v>
      </c>
      <c r="J71" s="115">
        <f>Calculations!J334</f>
        <v>0.49114390733449959</v>
      </c>
      <c r="K71" s="115">
        <f>Calculations!K334</f>
        <v>17.420323082484138</v>
      </c>
      <c r="L71" s="115">
        <f>Calculations!L334</f>
        <v>19.017393082886834</v>
      </c>
      <c r="M71" s="115">
        <f>Calculations!M334</f>
        <v>41.108296926744416</v>
      </c>
      <c r="N71" s="115">
        <f>Calculations!N334</f>
        <v>190.406392552922</v>
      </c>
      <c r="O71" s="115">
        <f>Calculations!O334</f>
        <v>28.366437999088458</v>
      </c>
      <c r="P71" s="115">
        <f>Calculations!P334</f>
        <v>27.879826917755842</v>
      </c>
      <c r="Q71" s="115">
        <f>Calculations!Q334</f>
        <v>28.926767563028044</v>
      </c>
      <c r="R71" s="115">
        <f>Calculations!R334</f>
        <v>180.53110987852858</v>
      </c>
      <c r="S71" s="115">
        <f>Calculations!S334</f>
        <v>99.112796025806972</v>
      </c>
      <c r="T71" s="115">
        <f>Calculations!T334</f>
        <v>506.80039235342474</v>
      </c>
      <c r="U71" s="115">
        <f>Calculations!U334</f>
        <v>3628.0795909673711</v>
      </c>
      <c r="V71" s="115">
        <f>Calculations!V334</f>
        <v>736.7160956395295</v>
      </c>
      <c r="W71" s="115">
        <f>Calculations!W334</f>
        <v>52.348509865672824</v>
      </c>
      <c r="X71" s="115">
        <f>Calculations!X334</f>
        <v>24.584760165506207</v>
      </c>
      <c r="Y71" s="115">
        <f>Calculations!Y334</f>
        <v>656.06244526718967</v>
      </c>
      <c r="Z71" s="115">
        <f>Calculations!Z334</f>
        <v>545.76333968200731</v>
      </c>
      <c r="AA71" s="115">
        <f>Calculations!AA334</f>
        <v>620.07540998206696</v>
      </c>
      <c r="AB71" s="115">
        <f>Calculations!AB334</f>
        <v>330.66661018840597</v>
      </c>
      <c r="AC71" s="115">
        <f>Calculations!AC334</f>
        <v>2114.3099868104136</v>
      </c>
      <c r="AD71" s="115">
        <f>Calculations!AD334</f>
        <v>1561.897097615597</v>
      </c>
      <c r="AE71" s="115">
        <f>Calculations!AE334</f>
        <v>269.65535846726465</v>
      </c>
      <c r="AF71" s="115">
        <f>Calculations!AF334</f>
        <v>210.45317735520672</v>
      </c>
      <c r="AG71" s="115">
        <f>Calculations!AG334</f>
        <v>246.17056347855879</v>
      </c>
      <c r="AH71" s="115">
        <f>Calculations!AH334</f>
        <v>178.5834452438211</v>
      </c>
      <c r="AI71" s="116">
        <f>Calculations!AI334</f>
        <v>0</v>
      </c>
      <c r="AJ71" s="110">
        <f>Calculations!AJ334</f>
        <v>0</v>
      </c>
      <c r="AK71" s="111">
        <f>Calculations!AK334</f>
        <v>0</v>
      </c>
      <c r="AL71" s="111">
        <f>Calculations!AL334</f>
        <v>0</v>
      </c>
      <c r="AM71" s="111">
        <f>Calculations!AM334</f>
        <v>0</v>
      </c>
      <c r="AN71" s="111">
        <f>Calculations!AN334</f>
        <v>0</v>
      </c>
      <c r="AO71" s="111">
        <f>Calculations!AO334</f>
        <v>0</v>
      </c>
      <c r="AP71" s="111">
        <f>Calculations!AP334</f>
        <v>0</v>
      </c>
      <c r="AQ71" s="111">
        <f>Calculations!AQ334</f>
        <v>0</v>
      </c>
      <c r="AR71" s="111">
        <f>Calculations!AR334</f>
        <v>0</v>
      </c>
      <c r="AS71" s="111">
        <f>Calculations!AS334</f>
        <v>0</v>
      </c>
      <c r="AT71" s="111">
        <f>Calculations!AT334</f>
        <v>0</v>
      </c>
      <c r="AU71" s="111">
        <f>Calculations!AU334</f>
        <v>0</v>
      </c>
      <c r="AV71" s="111">
        <f>Calculations!AV334</f>
        <v>0</v>
      </c>
      <c r="AW71" s="111">
        <f>Calculations!AW334</f>
        <v>0</v>
      </c>
      <c r="AX71" s="111">
        <f>Calculations!AX334</f>
        <v>0</v>
      </c>
      <c r="AY71" s="111">
        <f>Calculations!AY334</f>
        <v>0</v>
      </c>
      <c r="AZ71" s="111">
        <f>Calculations!AZ334</f>
        <v>0</v>
      </c>
      <c r="BA71" s="111">
        <f>Calculations!BA334</f>
        <v>0</v>
      </c>
      <c r="BB71" s="111">
        <f>Calculations!BB334</f>
        <v>0</v>
      </c>
      <c r="BC71" s="111">
        <f>Calculations!BC334</f>
        <v>0</v>
      </c>
      <c r="BD71" s="111">
        <f>Calculations!BD334</f>
        <v>0</v>
      </c>
      <c r="BE71" s="111">
        <f>Calculations!BE334</f>
        <v>0</v>
      </c>
      <c r="BF71" s="111">
        <f>Calculations!BF334</f>
        <v>0</v>
      </c>
      <c r="BG71" s="111">
        <f>Calculations!BG334</f>
        <v>0</v>
      </c>
      <c r="BH71" s="111">
        <f>Calculations!BH334</f>
        <v>0</v>
      </c>
      <c r="BI71" s="111">
        <f>Calculations!BI334</f>
        <v>0</v>
      </c>
      <c r="BJ71" s="111">
        <f>Calculations!BJ334</f>
        <v>0</v>
      </c>
      <c r="BK71" s="111">
        <f>Calculations!BK334</f>
        <v>0</v>
      </c>
      <c r="BL71" s="111">
        <f>Calculations!BL334</f>
        <v>0</v>
      </c>
      <c r="BM71" s="111">
        <f>Calculations!BM334</f>
        <v>0</v>
      </c>
      <c r="BN71" s="111">
        <f>Calculations!BN334</f>
        <v>0</v>
      </c>
      <c r="BO71" s="111">
        <f>Calculations!BO334</f>
        <v>0</v>
      </c>
      <c r="BP71" s="112">
        <f>Calculations!BP334</f>
        <v>0</v>
      </c>
      <c r="BQ71" s="110">
        <f>Calculations!BQ334</f>
        <v>0</v>
      </c>
      <c r="BR71" s="111">
        <f>Calculations!BR334</f>
        <v>0</v>
      </c>
      <c r="BS71" s="111">
        <v>0</v>
      </c>
      <c r="BT71" s="111">
        <f>Calculations!BS334</f>
        <v>0</v>
      </c>
      <c r="BU71" s="112">
        <f>Calculations!BT334</f>
        <v>0</v>
      </c>
      <c r="BV71" s="110">
        <f>Calculations!BU334</f>
        <v>0</v>
      </c>
      <c r="BW71" s="111">
        <f>Calculations!BV334</f>
        <v>0</v>
      </c>
      <c r="BX71" s="112">
        <f>Calculations!BW334</f>
        <v>0</v>
      </c>
      <c r="BY71" s="141">
        <f ca="1">Calculations!BX334+'Calculations 2'!CJ71</f>
        <v>9533.4884321443878</v>
      </c>
      <c r="BZ71" s="142">
        <f ca="1">Calculations!BY334+'Calculations 2'!CK71</f>
        <v>25071.057526596978</v>
      </c>
      <c r="CA71" s="142">
        <f ca="1">Calculations!BZ334+Calculations!CA334</f>
        <v>5919.4626247775013</v>
      </c>
      <c r="CB71" s="142">
        <f ca="1">Calculations!CB334+'Calculations 2'!CN71</f>
        <v>0</v>
      </c>
      <c r="CC71" s="115">
        <f>Calculations!CC334+'Calculations 2'!CO71</f>
        <v>0</v>
      </c>
      <c r="CD71" s="116">
        <f>Calculations!CD334</f>
        <v>0</v>
      </c>
      <c r="CE71" s="113">
        <f>Calculations!CE334</f>
        <v>0</v>
      </c>
      <c r="CF71" s="117">
        <f t="shared" ca="1" si="1"/>
        <v>53121.803138075607</v>
      </c>
      <c r="CH71">
        <f ca="1"/>
        <v>0</v>
      </c>
      <c r="CJ71" s="34"/>
      <c r="CK71" s="34"/>
      <c r="CL71" s="34"/>
      <c r="CM71" s="34"/>
      <c r="CN71" s="34"/>
      <c r="CO71" s="34"/>
    </row>
    <row r="72" spans="1:93">
      <c r="A72" s="280"/>
      <c r="B72" s="44" t="s">
        <v>101</v>
      </c>
      <c r="C72" s="114">
        <f>Calculations!C335</f>
        <v>25.403330586668076</v>
      </c>
      <c r="D72" s="115">
        <f>Calculations!D335</f>
        <v>262.65744373672476</v>
      </c>
      <c r="E72" s="115">
        <f>Calculations!E335</f>
        <v>531.01346646037223</v>
      </c>
      <c r="F72" s="115">
        <f>Calculations!F335</f>
        <v>36.964144600848719</v>
      </c>
      <c r="G72" s="115">
        <f>Calculations!G335</f>
        <v>1.3361663977308427</v>
      </c>
      <c r="H72" s="115">
        <f>Calculations!H335</f>
        <v>20.610504656663004</v>
      </c>
      <c r="I72" s="115">
        <f>Calculations!I335</f>
        <v>237.46277769280277</v>
      </c>
      <c r="J72" s="115">
        <f>Calculations!J335</f>
        <v>7.9273486319145707</v>
      </c>
      <c r="K72" s="115">
        <f>Calculations!K335</f>
        <v>481.45466003233071</v>
      </c>
      <c r="L72" s="115">
        <f>Calculations!L335</f>
        <v>55.472885127093932</v>
      </c>
      <c r="M72" s="115">
        <f>Calculations!M335</f>
        <v>154.54546659084897</v>
      </c>
      <c r="N72" s="115">
        <f>Calculations!N335</f>
        <v>735.0075355755431</v>
      </c>
      <c r="O72" s="115">
        <f>Calculations!O335</f>
        <v>208.19965128082208</v>
      </c>
      <c r="P72" s="115">
        <f>Calculations!P335</f>
        <v>59.126284963352873</v>
      </c>
      <c r="Q72" s="115">
        <f>Calculations!Q335</f>
        <v>56.630531790905216</v>
      </c>
      <c r="R72" s="115">
        <f>Calculations!R335</f>
        <v>240.82096185202744</v>
      </c>
      <c r="S72" s="115">
        <f>Calculations!S335</f>
        <v>59.414812668869217</v>
      </c>
      <c r="T72" s="115">
        <f>Calculations!T335</f>
        <v>3090.9845935202438</v>
      </c>
      <c r="U72" s="115">
        <f>Calculations!U335</f>
        <v>17070.655412849112</v>
      </c>
      <c r="V72" s="115">
        <f>Calculations!V335</f>
        <v>3448.4935509613024</v>
      </c>
      <c r="W72" s="115">
        <f>Calculations!W335</f>
        <v>1122.8716427044208</v>
      </c>
      <c r="X72" s="115">
        <f>Calculations!X335</f>
        <v>188.34362930507166</v>
      </c>
      <c r="Y72" s="115">
        <f>Calculations!Y335</f>
        <v>15664.708724552256</v>
      </c>
      <c r="Z72" s="115">
        <f>Calculations!Z335</f>
        <v>946.78906447190013</v>
      </c>
      <c r="AA72" s="115">
        <f>Calculations!AA335</f>
        <v>4380.7892308026703</v>
      </c>
      <c r="AB72" s="115">
        <f>Calculations!AB335</f>
        <v>1758.8152277503309</v>
      </c>
      <c r="AC72" s="115">
        <f>Calculations!AC335</f>
        <v>3612.4163034236067</v>
      </c>
      <c r="AD72" s="115">
        <f>Calculations!AD335</f>
        <v>14671.077616264825</v>
      </c>
      <c r="AE72" s="115">
        <f>Calculations!AE335</f>
        <v>745.18929412413559</v>
      </c>
      <c r="AF72" s="115">
        <f>Calculations!AF335</f>
        <v>516.52435949631285</v>
      </c>
      <c r="AG72" s="115">
        <f>Calculations!AG335</f>
        <v>811.7572016440929</v>
      </c>
      <c r="AH72" s="115">
        <f>Calculations!AH335</f>
        <v>572.52287286737567</v>
      </c>
      <c r="AI72" s="116">
        <f>Calculations!AI335</f>
        <v>0</v>
      </c>
      <c r="AJ72" s="110">
        <f>Calculations!AJ335</f>
        <v>0</v>
      </c>
      <c r="AK72" s="111">
        <f>Calculations!AK335</f>
        <v>0</v>
      </c>
      <c r="AL72" s="111">
        <f>Calculations!AL335</f>
        <v>0</v>
      </c>
      <c r="AM72" s="111">
        <f>Calculations!AM335</f>
        <v>0</v>
      </c>
      <c r="AN72" s="111">
        <f>Calculations!AN335</f>
        <v>0</v>
      </c>
      <c r="AO72" s="111">
        <f>Calculations!AO335</f>
        <v>0</v>
      </c>
      <c r="AP72" s="111">
        <f>Calculations!AP335</f>
        <v>0</v>
      </c>
      <c r="AQ72" s="111">
        <f>Calculations!AQ335</f>
        <v>0</v>
      </c>
      <c r="AR72" s="111">
        <f>Calculations!AR335</f>
        <v>0</v>
      </c>
      <c r="AS72" s="111">
        <f>Calculations!AS335</f>
        <v>0</v>
      </c>
      <c r="AT72" s="111">
        <f>Calculations!AT335</f>
        <v>0</v>
      </c>
      <c r="AU72" s="111">
        <f>Calculations!AU335</f>
        <v>0</v>
      </c>
      <c r="AV72" s="111">
        <f>Calculations!AV335</f>
        <v>0</v>
      </c>
      <c r="AW72" s="111">
        <f>Calculations!AW335</f>
        <v>0</v>
      </c>
      <c r="AX72" s="111">
        <f>Calculations!AX335</f>
        <v>0</v>
      </c>
      <c r="AY72" s="111">
        <f>Calculations!AY335</f>
        <v>0</v>
      </c>
      <c r="AZ72" s="111">
        <f>Calculations!AZ335</f>
        <v>0</v>
      </c>
      <c r="BA72" s="111">
        <f>Calculations!BA335</f>
        <v>0</v>
      </c>
      <c r="BB72" s="111">
        <f>Calculations!BB335</f>
        <v>0</v>
      </c>
      <c r="BC72" s="111">
        <f>Calculations!BC335</f>
        <v>0</v>
      </c>
      <c r="BD72" s="111">
        <f>Calculations!BD335</f>
        <v>0</v>
      </c>
      <c r="BE72" s="111">
        <f>Calculations!BE335</f>
        <v>0</v>
      </c>
      <c r="BF72" s="111">
        <f>Calculations!BF335</f>
        <v>0</v>
      </c>
      <c r="BG72" s="111">
        <f>Calculations!BG335</f>
        <v>0</v>
      </c>
      <c r="BH72" s="111">
        <f>Calculations!BH335</f>
        <v>0</v>
      </c>
      <c r="BI72" s="111">
        <f>Calculations!BI335</f>
        <v>0</v>
      </c>
      <c r="BJ72" s="111">
        <f>Calculations!BJ335</f>
        <v>0</v>
      </c>
      <c r="BK72" s="111">
        <f>Calculations!BK335</f>
        <v>0</v>
      </c>
      <c r="BL72" s="111">
        <f>Calculations!BL335</f>
        <v>0</v>
      </c>
      <c r="BM72" s="111">
        <f>Calculations!BM335</f>
        <v>0</v>
      </c>
      <c r="BN72" s="111">
        <f>Calculations!BN335</f>
        <v>0</v>
      </c>
      <c r="BO72" s="111">
        <f>Calculations!BO335</f>
        <v>0</v>
      </c>
      <c r="BP72" s="112">
        <f>Calculations!BP335</f>
        <v>0</v>
      </c>
      <c r="BQ72" s="110">
        <f>Calculations!BQ335</f>
        <v>0</v>
      </c>
      <c r="BR72" s="111">
        <f>Calculations!BR335</f>
        <v>0</v>
      </c>
      <c r="BS72" s="111">
        <v>0</v>
      </c>
      <c r="BT72" s="111">
        <f>Calculations!BS335</f>
        <v>0</v>
      </c>
      <c r="BU72" s="112">
        <f>Calculations!BT335</f>
        <v>0</v>
      </c>
      <c r="BV72" s="110">
        <f>Calculations!BU335</f>
        <v>0</v>
      </c>
      <c r="BW72" s="111">
        <f>Calculations!BV335</f>
        <v>0</v>
      </c>
      <c r="BX72" s="112">
        <f>Calculations!BW335</f>
        <v>0</v>
      </c>
      <c r="BY72" s="141">
        <f ca="1">Calculations!BX335+'Calculations 2'!CJ72</f>
        <v>204.01639377898843</v>
      </c>
      <c r="BZ72" s="142">
        <f ca="1">Calculations!BY335+'Calculations 2'!CK72</f>
        <v>1072.2128098955131</v>
      </c>
      <c r="CA72" s="142">
        <f ca="1">Calculations!BZ335+Calculations!CA335</f>
        <v>158.20211475753277</v>
      </c>
      <c r="CB72" s="142">
        <f ca="1">Calculations!CB335+'Calculations 2'!CN72</f>
        <v>0</v>
      </c>
      <c r="CC72" s="115">
        <f>Calculations!CC335+'Calculations 2'!CO72</f>
        <v>0</v>
      </c>
      <c r="CD72" s="116">
        <f>Calculations!CD335</f>
        <v>20041.790776604397</v>
      </c>
      <c r="CE72" s="113">
        <f>Calculations!CE335</f>
        <v>0</v>
      </c>
      <c r="CF72" s="117">
        <f t="shared" ca="1" si="1"/>
        <v>93252.208792419624</v>
      </c>
      <c r="CH72">
        <f ca="1"/>
        <v>0</v>
      </c>
      <c r="CJ72" s="34"/>
      <c r="CK72" s="34"/>
      <c r="CL72" s="34"/>
      <c r="CM72" s="34"/>
      <c r="CN72" s="34"/>
      <c r="CO72" s="34"/>
    </row>
    <row r="73" spans="1:93">
      <c r="A73" s="280"/>
      <c r="B73" s="44" t="s">
        <v>102</v>
      </c>
      <c r="C73" s="114">
        <f>Calculations!C336</f>
        <v>0</v>
      </c>
      <c r="D73" s="115">
        <f>Calculations!D336</f>
        <v>16.158441759955451</v>
      </c>
      <c r="E73" s="115">
        <f>Calculations!E336</f>
        <v>29.313518339884322</v>
      </c>
      <c r="F73" s="115">
        <f>Calculations!F336</f>
        <v>16.93249915663332</v>
      </c>
      <c r="G73" s="115">
        <f>Calculations!G336</f>
        <v>9.7254387608382911E-2</v>
      </c>
      <c r="H73" s="115">
        <f>Calculations!H336</f>
        <v>25.550333283160583</v>
      </c>
      <c r="I73" s="115">
        <f>Calculations!I336</f>
        <v>36.021258350016694</v>
      </c>
      <c r="J73" s="115">
        <f>Calculations!J336</f>
        <v>4.2444644198018278</v>
      </c>
      <c r="K73" s="115">
        <f>Calculations!K336</f>
        <v>13.947234973629671</v>
      </c>
      <c r="L73" s="115">
        <f>Calculations!L336</f>
        <v>9.7528969768637683</v>
      </c>
      <c r="M73" s="115">
        <f>Calculations!M336</f>
        <v>26.371283228593651</v>
      </c>
      <c r="N73" s="115">
        <f>Calculations!N336</f>
        <v>10.492397520902712</v>
      </c>
      <c r="O73" s="115">
        <f>Calculations!O336</f>
        <v>34.772771100386016</v>
      </c>
      <c r="P73" s="115">
        <f>Calculations!P336</f>
        <v>24.445595830160077</v>
      </c>
      <c r="Q73" s="115">
        <f>Calculations!Q336</f>
        <v>11.247359145781909</v>
      </c>
      <c r="R73" s="115">
        <f>Calculations!R336</f>
        <v>119.76193044698435</v>
      </c>
      <c r="S73" s="115">
        <f>Calculations!S336</f>
        <v>243.82468391627586</v>
      </c>
      <c r="T73" s="115">
        <f>Calculations!T336</f>
        <v>772.02753096009451</v>
      </c>
      <c r="U73" s="115">
        <f>Calculations!U336</f>
        <v>1918.0240480257899</v>
      </c>
      <c r="V73" s="115">
        <f>Calculations!V336</f>
        <v>124.09615514533047</v>
      </c>
      <c r="W73" s="115">
        <f>Calculations!W336</f>
        <v>6.2317611233489556</v>
      </c>
      <c r="X73" s="115">
        <f>Calculations!X336</f>
        <v>1.1315947217384852</v>
      </c>
      <c r="Y73" s="115">
        <f>Calculations!Y336</f>
        <v>306.4268621493332</v>
      </c>
      <c r="Z73" s="115">
        <f>Calculations!Z336</f>
        <v>7.8298091368820613</v>
      </c>
      <c r="AA73" s="115">
        <f>Calculations!AA336</f>
        <v>398.75175609889351</v>
      </c>
      <c r="AB73" s="115">
        <f>Calculations!AB336</f>
        <v>50.076226811258614</v>
      </c>
      <c r="AC73" s="115">
        <f>Calculations!AC336</f>
        <v>182.32554137832699</v>
      </c>
      <c r="AD73" s="115">
        <f>Calculations!AD336</f>
        <v>2841.4111906484823</v>
      </c>
      <c r="AE73" s="115">
        <f>Calculations!AE336</f>
        <v>748.10864714835111</v>
      </c>
      <c r="AF73" s="115">
        <f>Calculations!AF336</f>
        <v>363.96825164287264</v>
      </c>
      <c r="AG73" s="115">
        <f>Calculations!AG336</f>
        <v>286.41179166556458</v>
      </c>
      <c r="AH73" s="115">
        <f>Calculations!AH336</f>
        <v>29.479708352504769</v>
      </c>
      <c r="AI73" s="116">
        <f>Calculations!AI336</f>
        <v>0</v>
      </c>
      <c r="AJ73" s="110">
        <f>Calculations!AJ336</f>
        <v>0</v>
      </c>
      <c r="AK73" s="111">
        <f>Calculations!AK336</f>
        <v>0</v>
      </c>
      <c r="AL73" s="111">
        <f>Calculations!AL336</f>
        <v>0</v>
      </c>
      <c r="AM73" s="111">
        <f>Calculations!AM336</f>
        <v>0</v>
      </c>
      <c r="AN73" s="111">
        <f>Calculations!AN336</f>
        <v>0</v>
      </c>
      <c r="AO73" s="111">
        <f>Calculations!AO336</f>
        <v>0</v>
      </c>
      <c r="AP73" s="111">
        <f>Calculations!AP336</f>
        <v>0</v>
      </c>
      <c r="AQ73" s="111">
        <f>Calculations!AQ336</f>
        <v>0</v>
      </c>
      <c r="AR73" s="111">
        <f>Calculations!AR336</f>
        <v>0</v>
      </c>
      <c r="AS73" s="111">
        <f>Calculations!AS336</f>
        <v>0</v>
      </c>
      <c r="AT73" s="111">
        <f>Calculations!AT336</f>
        <v>0</v>
      </c>
      <c r="AU73" s="111">
        <f>Calculations!AU336</f>
        <v>0</v>
      </c>
      <c r="AV73" s="111">
        <f>Calculations!AV336</f>
        <v>0</v>
      </c>
      <c r="AW73" s="111">
        <f>Calculations!AW336</f>
        <v>0</v>
      </c>
      <c r="AX73" s="111">
        <f>Calculations!AX336</f>
        <v>0</v>
      </c>
      <c r="AY73" s="111">
        <f>Calculations!AY336</f>
        <v>0</v>
      </c>
      <c r="AZ73" s="111">
        <f>Calculations!AZ336</f>
        <v>0</v>
      </c>
      <c r="BA73" s="111">
        <f>Calculations!BA336</f>
        <v>0</v>
      </c>
      <c r="BB73" s="111">
        <f>Calculations!BB336</f>
        <v>0</v>
      </c>
      <c r="BC73" s="111">
        <f>Calculations!BC336</f>
        <v>0</v>
      </c>
      <c r="BD73" s="111">
        <f>Calculations!BD336</f>
        <v>0</v>
      </c>
      <c r="BE73" s="111">
        <f>Calculations!BE336</f>
        <v>0</v>
      </c>
      <c r="BF73" s="111">
        <f>Calculations!BF336</f>
        <v>0</v>
      </c>
      <c r="BG73" s="111">
        <f>Calculations!BG336</f>
        <v>0</v>
      </c>
      <c r="BH73" s="111">
        <f>Calculations!BH336</f>
        <v>0</v>
      </c>
      <c r="BI73" s="111">
        <f>Calculations!BI336</f>
        <v>0</v>
      </c>
      <c r="BJ73" s="111">
        <f>Calculations!BJ336</f>
        <v>0</v>
      </c>
      <c r="BK73" s="111">
        <f>Calculations!BK336</f>
        <v>0</v>
      </c>
      <c r="BL73" s="111">
        <f>Calculations!BL336</f>
        <v>0</v>
      </c>
      <c r="BM73" s="111">
        <f>Calculations!BM336</f>
        <v>0</v>
      </c>
      <c r="BN73" s="111">
        <f>Calculations!BN336</f>
        <v>0</v>
      </c>
      <c r="BO73" s="111">
        <f>Calculations!BO336</f>
        <v>0</v>
      </c>
      <c r="BP73" s="112">
        <f>Calculations!BP336</f>
        <v>0</v>
      </c>
      <c r="BQ73" s="110">
        <f>Calculations!BQ336</f>
        <v>0</v>
      </c>
      <c r="BR73" s="111">
        <f>Calculations!BR336</f>
        <v>0</v>
      </c>
      <c r="BS73" s="111">
        <v>0</v>
      </c>
      <c r="BT73" s="111">
        <f>Calculations!BS336</f>
        <v>0</v>
      </c>
      <c r="BU73" s="112">
        <f>Calculations!BT336</f>
        <v>0</v>
      </c>
      <c r="BV73" s="110">
        <f>Calculations!BU336</f>
        <v>0</v>
      </c>
      <c r="BW73" s="111">
        <f>Calculations!BV336</f>
        <v>0</v>
      </c>
      <c r="BX73" s="112">
        <f>Calculations!BW336</f>
        <v>0</v>
      </c>
      <c r="BY73" s="141">
        <f ca="1">Calculations!BX336+'Calculations 2'!CJ73</f>
        <v>118.97775655263648</v>
      </c>
      <c r="BZ73" s="142">
        <f ca="1">Calculations!BY336+'Calculations 2'!CK73</f>
        <v>625.29031273125554</v>
      </c>
      <c r="CA73" s="142">
        <f ca="1">Calculations!BZ336+Calculations!CA336</f>
        <v>92.259902976838703</v>
      </c>
      <c r="CB73" s="142">
        <f ca="1">Calculations!CB336+'Calculations 2'!CN73</f>
        <v>0</v>
      </c>
      <c r="CC73" s="115">
        <f>Calculations!CC336+'Calculations 2'!CO73</f>
        <v>36354.283510240697</v>
      </c>
      <c r="CD73" s="116">
        <f>Calculations!CD336</f>
        <v>3714.1774867520612</v>
      </c>
      <c r="CE73" s="113">
        <f>Calculations!CE336</f>
        <v>0</v>
      </c>
      <c r="CF73" s="117">
        <f t="shared" ca="1" si="1"/>
        <v>49564.223767098898</v>
      </c>
      <c r="CH73">
        <f ca="1"/>
        <v>0</v>
      </c>
      <c r="CJ73" s="34"/>
      <c r="CK73" s="34"/>
      <c r="CL73" s="34"/>
      <c r="CM73" s="34"/>
      <c r="CN73" s="34"/>
      <c r="CO73" s="34"/>
    </row>
    <row r="74" spans="1:93">
      <c r="A74" s="280"/>
      <c r="B74" s="44" t="s">
        <v>103</v>
      </c>
      <c r="C74" s="114">
        <f>Calculations!C337</f>
        <v>0</v>
      </c>
      <c r="D74" s="115">
        <f>Calculations!D337</f>
        <v>9.6867224632302147</v>
      </c>
      <c r="E74" s="115">
        <f>Calculations!E337</f>
        <v>11.868728662024118</v>
      </c>
      <c r="F74" s="115">
        <f>Calculations!F337</f>
        <v>0</v>
      </c>
      <c r="G74" s="115">
        <f>Calculations!G337</f>
        <v>0</v>
      </c>
      <c r="H74" s="115">
        <f>Calculations!H337</f>
        <v>0.60962383422582089</v>
      </c>
      <c r="I74" s="115">
        <f>Calculations!I337</f>
        <v>4.7314668008204723</v>
      </c>
      <c r="J74" s="115">
        <f>Calculations!J337</f>
        <v>3.5250508336734598</v>
      </c>
      <c r="K74" s="115">
        <f>Calculations!K337</f>
        <v>6.8696171853024399</v>
      </c>
      <c r="L74" s="115">
        <f>Calculations!L337</f>
        <v>1.6075891706204011</v>
      </c>
      <c r="M74" s="115">
        <f>Calculations!M337</f>
        <v>4.1476718527025849</v>
      </c>
      <c r="N74" s="115">
        <f>Calculations!N337</f>
        <v>59.73007056746664</v>
      </c>
      <c r="O74" s="115">
        <f>Calculations!O337</f>
        <v>43.007639560460028</v>
      </c>
      <c r="P74" s="115">
        <f>Calculations!P337</f>
        <v>10.293722099582558</v>
      </c>
      <c r="Q74" s="115">
        <f>Calculations!Q337</f>
        <v>0.27674092819254398</v>
      </c>
      <c r="R74" s="115">
        <f>Calculations!R337</f>
        <v>50.064346538458508</v>
      </c>
      <c r="S74" s="115">
        <f>Calculations!S337</f>
        <v>143.78372499185397</v>
      </c>
      <c r="T74" s="115">
        <f>Calculations!T337</f>
        <v>70.440864258394981</v>
      </c>
      <c r="U74" s="115">
        <f>Calculations!U337</f>
        <v>0</v>
      </c>
      <c r="V74" s="115">
        <f>Calculations!V337</f>
        <v>0</v>
      </c>
      <c r="W74" s="115">
        <f>Calculations!W337</f>
        <v>0</v>
      </c>
      <c r="X74" s="115">
        <f>Calculations!X337</f>
        <v>0</v>
      </c>
      <c r="Y74" s="115">
        <f>Calculations!Y337</f>
        <v>0</v>
      </c>
      <c r="Z74" s="115">
        <f>Calculations!Z337</f>
        <v>40.221477022620064</v>
      </c>
      <c r="AA74" s="115">
        <f>Calculations!AA337</f>
        <v>13.757772941056045</v>
      </c>
      <c r="AB74" s="115">
        <f>Calculations!AB337</f>
        <v>0</v>
      </c>
      <c r="AC74" s="115">
        <f>Calculations!AC337</f>
        <v>235.84254058911685</v>
      </c>
      <c r="AD74" s="115">
        <f>Calculations!AD337</f>
        <v>639.6636883937291</v>
      </c>
      <c r="AE74" s="115">
        <f>Calculations!AE337</f>
        <v>281.66833760616868</v>
      </c>
      <c r="AF74" s="115">
        <f>Calculations!AF337</f>
        <v>47.974127706826486</v>
      </c>
      <c r="AG74" s="115">
        <f>Calculations!AG337</f>
        <v>0.14208993136254475</v>
      </c>
      <c r="AH74" s="115">
        <f>Calculations!AH337</f>
        <v>11.077181154816934</v>
      </c>
      <c r="AI74" s="116">
        <f>Calculations!AI337</f>
        <v>0</v>
      </c>
      <c r="AJ74" s="110">
        <f>Calculations!AJ337</f>
        <v>0</v>
      </c>
      <c r="AK74" s="111">
        <f>Calculations!AK337</f>
        <v>0</v>
      </c>
      <c r="AL74" s="111">
        <f>Calculations!AL337</f>
        <v>0</v>
      </c>
      <c r="AM74" s="111">
        <f>Calculations!AM337</f>
        <v>0</v>
      </c>
      <c r="AN74" s="111">
        <f>Calculations!AN337</f>
        <v>0</v>
      </c>
      <c r="AO74" s="111">
        <f>Calculations!AO337</f>
        <v>0</v>
      </c>
      <c r="AP74" s="111">
        <f>Calculations!AP337</f>
        <v>0</v>
      </c>
      <c r="AQ74" s="111">
        <f>Calculations!AQ337</f>
        <v>0</v>
      </c>
      <c r="AR74" s="111">
        <f>Calculations!AR337</f>
        <v>0</v>
      </c>
      <c r="AS74" s="111">
        <f>Calculations!AS337</f>
        <v>0</v>
      </c>
      <c r="AT74" s="111">
        <f>Calculations!AT337</f>
        <v>0</v>
      </c>
      <c r="AU74" s="111">
        <f>Calculations!AU337</f>
        <v>0</v>
      </c>
      <c r="AV74" s="111">
        <f>Calculations!AV337</f>
        <v>0</v>
      </c>
      <c r="AW74" s="111">
        <f>Calculations!AW337</f>
        <v>0</v>
      </c>
      <c r="AX74" s="111">
        <f>Calculations!AX337</f>
        <v>0</v>
      </c>
      <c r="AY74" s="111">
        <f>Calculations!AY337</f>
        <v>0</v>
      </c>
      <c r="AZ74" s="111">
        <f>Calculations!AZ337</f>
        <v>0</v>
      </c>
      <c r="BA74" s="111">
        <f>Calculations!BA337</f>
        <v>0</v>
      </c>
      <c r="BB74" s="111">
        <f>Calculations!BB337</f>
        <v>0</v>
      </c>
      <c r="BC74" s="111">
        <f>Calculations!BC337</f>
        <v>0</v>
      </c>
      <c r="BD74" s="111">
        <f>Calculations!BD337</f>
        <v>0</v>
      </c>
      <c r="BE74" s="111">
        <f>Calculations!BE337</f>
        <v>0</v>
      </c>
      <c r="BF74" s="111">
        <f>Calculations!BF337</f>
        <v>0</v>
      </c>
      <c r="BG74" s="111">
        <f>Calculations!BG337</f>
        <v>0</v>
      </c>
      <c r="BH74" s="111">
        <f>Calculations!BH337</f>
        <v>0</v>
      </c>
      <c r="BI74" s="111">
        <f>Calculations!BI337</f>
        <v>0</v>
      </c>
      <c r="BJ74" s="111">
        <f>Calculations!BJ337</f>
        <v>0</v>
      </c>
      <c r="BK74" s="111">
        <f>Calculations!BK337</f>
        <v>0</v>
      </c>
      <c r="BL74" s="111">
        <f>Calculations!BL337</f>
        <v>0</v>
      </c>
      <c r="BM74" s="111">
        <f>Calculations!BM337</f>
        <v>0</v>
      </c>
      <c r="BN74" s="111">
        <f>Calculations!BN337</f>
        <v>0</v>
      </c>
      <c r="BO74" s="111">
        <f>Calculations!BO337</f>
        <v>0</v>
      </c>
      <c r="BP74" s="112">
        <f>Calculations!BP337</f>
        <v>0</v>
      </c>
      <c r="BQ74" s="110">
        <f>Calculations!BQ337</f>
        <v>0</v>
      </c>
      <c r="BR74" s="111">
        <f>Calculations!BR337</f>
        <v>0</v>
      </c>
      <c r="BS74" s="111">
        <v>0</v>
      </c>
      <c r="BT74" s="111">
        <f>Calculations!BS337</f>
        <v>0</v>
      </c>
      <c r="BU74" s="112">
        <f>Calculations!BT337</f>
        <v>0</v>
      </c>
      <c r="BV74" s="110">
        <f>Calculations!BU337</f>
        <v>0</v>
      </c>
      <c r="BW74" s="111">
        <f>Calculations!BV337</f>
        <v>0</v>
      </c>
      <c r="BX74" s="112">
        <f>Calculations!BW337</f>
        <v>0</v>
      </c>
      <c r="BY74" s="141">
        <f ca="1">Calculations!BX337+'Calculations 2'!CJ74</f>
        <v>714.00931439748001</v>
      </c>
      <c r="BZ74" s="142">
        <f ca="1">Calculations!BY337+'Calculations 2'!CK74</f>
        <v>7902.2554223428888</v>
      </c>
      <c r="CA74" s="142">
        <f ca="1">Calculations!BZ337+Calculations!CA337</f>
        <v>8.1401648933052844</v>
      </c>
      <c r="CB74" s="142">
        <f ca="1">Calculations!CB337+'Calculations 2'!CN74</f>
        <v>0</v>
      </c>
      <c r="CC74" s="115">
        <f>Calculations!CC337+'Calculations 2'!CO74</f>
        <v>6481.659125895163</v>
      </c>
      <c r="CD74" s="116">
        <f>Calculations!CD337</f>
        <v>0</v>
      </c>
      <c r="CE74" s="113">
        <f>Calculations!CE337</f>
        <v>0</v>
      </c>
      <c r="CF74" s="117">
        <f t="shared" ca="1" si="1"/>
        <v>16797.054822621543</v>
      </c>
      <c r="CH74">
        <f ca="1"/>
        <v>0</v>
      </c>
      <c r="CJ74" s="34"/>
      <c r="CK74" s="34"/>
      <c r="CL74" s="34"/>
      <c r="CM74" s="34"/>
      <c r="CN74" s="34"/>
      <c r="CO74" s="34"/>
    </row>
    <row r="75" spans="1:93">
      <c r="A75" s="280"/>
      <c r="B75" s="44" t="s">
        <v>104</v>
      </c>
      <c r="C75" s="114">
        <f>Calculations!C338</f>
        <v>0</v>
      </c>
      <c r="D75" s="115">
        <f>Calculations!D338</f>
        <v>0</v>
      </c>
      <c r="E75" s="115">
        <f>Calculations!E338</f>
        <v>1.7613562511032008</v>
      </c>
      <c r="F75" s="115">
        <f>Calculations!F338</f>
        <v>0.13218532119561083</v>
      </c>
      <c r="G75" s="115">
        <f>Calculations!G338</f>
        <v>2.6053953538989073E-2</v>
      </c>
      <c r="H75" s="115">
        <f>Calculations!H338</f>
        <v>0.51660180151109814</v>
      </c>
      <c r="I75" s="115">
        <f>Calculations!I338</f>
        <v>0.92969730537578654</v>
      </c>
      <c r="J75" s="115">
        <f>Calculations!J338</f>
        <v>5.1971810460649623E-2</v>
      </c>
      <c r="K75" s="115">
        <f>Calculations!K338</f>
        <v>0.21500693177421751</v>
      </c>
      <c r="L75" s="115">
        <f>Calculations!L338</f>
        <v>0.41100771077110954</v>
      </c>
      <c r="M75" s="115">
        <f>Calculations!M338</f>
        <v>1.4665076718432655</v>
      </c>
      <c r="N75" s="115">
        <f>Calculations!N338</f>
        <v>9.4627750309894019</v>
      </c>
      <c r="O75" s="115">
        <f>Calculations!O338</f>
        <v>0.81535490668711352</v>
      </c>
      <c r="P75" s="115">
        <f>Calculations!P338</f>
        <v>0.22262931442463482</v>
      </c>
      <c r="Q75" s="115">
        <f>Calculations!Q338</f>
        <v>1.4520958047394665</v>
      </c>
      <c r="R75" s="115">
        <f>Calculations!R338</f>
        <v>14.293839695638901</v>
      </c>
      <c r="S75" s="115">
        <f>Calculations!S338</f>
        <v>0.18407815627779514</v>
      </c>
      <c r="T75" s="115">
        <f>Calculations!T338</f>
        <v>24.247881876540823</v>
      </c>
      <c r="U75" s="115">
        <f>Calculations!U338</f>
        <v>66.614070137425628</v>
      </c>
      <c r="V75" s="115">
        <f>Calculations!V338</f>
        <v>24.24192504691641</v>
      </c>
      <c r="W75" s="115">
        <f>Calculations!W338</f>
        <v>9.7121162076696876</v>
      </c>
      <c r="X75" s="115">
        <f>Calculations!X338</f>
        <v>5.6718173089010775E-2</v>
      </c>
      <c r="Y75" s="115">
        <f>Calculations!Y338</f>
        <v>0</v>
      </c>
      <c r="Z75" s="115">
        <f>Calculations!Z338</f>
        <v>4.6353968786181952</v>
      </c>
      <c r="AA75" s="115">
        <f>Calculations!AA338</f>
        <v>23.336307479111866</v>
      </c>
      <c r="AB75" s="115">
        <f>Calculations!AB338</f>
        <v>0</v>
      </c>
      <c r="AC75" s="115">
        <f>Calculations!AC338</f>
        <v>1.0960246218203051</v>
      </c>
      <c r="AD75" s="115">
        <f>Calculations!AD338</f>
        <v>37.775411485324305</v>
      </c>
      <c r="AE75" s="115">
        <f>Calculations!AE338</f>
        <v>0</v>
      </c>
      <c r="AF75" s="115">
        <f>Calculations!AF338</f>
        <v>1.3647556177141669</v>
      </c>
      <c r="AG75" s="115">
        <f>Calculations!AG338</f>
        <v>4.743435239009262</v>
      </c>
      <c r="AH75" s="115">
        <f>Calculations!AH338</f>
        <v>8.2029443689674473</v>
      </c>
      <c r="AI75" s="116">
        <f>Calculations!AI338</f>
        <v>0</v>
      </c>
      <c r="AJ75" s="110">
        <f>Calculations!AJ338</f>
        <v>0</v>
      </c>
      <c r="AK75" s="111">
        <f>Calculations!AK338</f>
        <v>0</v>
      </c>
      <c r="AL75" s="111">
        <f>Calculations!AL338</f>
        <v>0</v>
      </c>
      <c r="AM75" s="111">
        <f>Calculations!AM338</f>
        <v>0</v>
      </c>
      <c r="AN75" s="111">
        <f>Calculations!AN338</f>
        <v>0</v>
      </c>
      <c r="AO75" s="111">
        <f>Calculations!AO338</f>
        <v>0</v>
      </c>
      <c r="AP75" s="111">
        <f>Calculations!AP338</f>
        <v>0</v>
      </c>
      <c r="AQ75" s="111">
        <f>Calculations!AQ338</f>
        <v>0</v>
      </c>
      <c r="AR75" s="111">
        <f>Calculations!AR338</f>
        <v>0</v>
      </c>
      <c r="AS75" s="111">
        <f>Calculations!AS338</f>
        <v>0</v>
      </c>
      <c r="AT75" s="111">
        <f>Calculations!AT338</f>
        <v>0</v>
      </c>
      <c r="AU75" s="111">
        <f>Calculations!AU338</f>
        <v>0</v>
      </c>
      <c r="AV75" s="111">
        <f>Calculations!AV338</f>
        <v>0</v>
      </c>
      <c r="AW75" s="111">
        <f>Calculations!AW338</f>
        <v>0</v>
      </c>
      <c r="AX75" s="111">
        <f>Calculations!AX338</f>
        <v>0</v>
      </c>
      <c r="AY75" s="111">
        <f>Calculations!AY338</f>
        <v>0</v>
      </c>
      <c r="AZ75" s="111">
        <f>Calculations!AZ338</f>
        <v>0</v>
      </c>
      <c r="BA75" s="111">
        <f>Calculations!BA338</f>
        <v>0</v>
      </c>
      <c r="BB75" s="111">
        <f>Calculations!BB338</f>
        <v>0</v>
      </c>
      <c r="BC75" s="111">
        <f>Calculations!BC338</f>
        <v>0</v>
      </c>
      <c r="BD75" s="111">
        <f>Calculations!BD338</f>
        <v>0</v>
      </c>
      <c r="BE75" s="111">
        <f>Calculations!BE338</f>
        <v>0</v>
      </c>
      <c r="BF75" s="111">
        <f>Calculations!BF338</f>
        <v>0</v>
      </c>
      <c r="BG75" s="111">
        <f>Calculations!BG338</f>
        <v>0</v>
      </c>
      <c r="BH75" s="111">
        <f>Calculations!BH338</f>
        <v>0</v>
      </c>
      <c r="BI75" s="111">
        <f>Calculations!BI338</f>
        <v>0</v>
      </c>
      <c r="BJ75" s="111">
        <f>Calculations!BJ338</f>
        <v>0</v>
      </c>
      <c r="BK75" s="111">
        <f>Calculations!BK338</f>
        <v>0</v>
      </c>
      <c r="BL75" s="111">
        <f>Calculations!BL338</f>
        <v>0</v>
      </c>
      <c r="BM75" s="111">
        <f>Calculations!BM338</f>
        <v>0</v>
      </c>
      <c r="BN75" s="111">
        <f>Calculations!BN338</f>
        <v>0</v>
      </c>
      <c r="BO75" s="111">
        <f>Calculations!BO338</f>
        <v>0</v>
      </c>
      <c r="BP75" s="112">
        <f>Calculations!BP338</f>
        <v>0</v>
      </c>
      <c r="BQ75" s="110">
        <f>Calculations!BQ338</f>
        <v>0</v>
      </c>
      <c r="BR75" s="111">
        <f>Calculations!BR338</f>
        <v>0</v>
      </c>
      <c r="BS75" s="111">
        <v>0</v>
      </c>
      <c r="BT75" s="111">
        <f>Calculations!BS338</f>
        <v>0</v>
      </c>
      <c r="BU75" s="112">
        <f>Calculations!BT338</f>
        <v>0</v>
      </c>
      <c r="BV75" s="110">
        <f>Calculations!BU338</f>
        <v>0</v>
      </c>
      <c r="BW75" s="111">
        <f>Calculations!BV338</f>
        <v>0</v>
      </c>
      <c r="BX75" s="112">
        <f>Calculations!BW338</f>
        <v>0</v>
      </c>
      <c r="BY75" s="141">
        <f ca="1">Calculations!BX338+'Calculations 2'!CJ75</f>
        <v>88.318246038534483</v>
      </c>
      <c r="BZ75" s="142">
        <f ca="1">Calculations!BY338+'Calculations 2'!CK75</f>
        <v>522.89818542777812</v>
      </c>
      <c r="CA75" s="142">
        <f ca="1">Calculations!BZ338+Calculations!CA338</f>
        <v>29.689779233882412</v>
      </c>
      <c r="CB75" s="142">
        <f ca="1">Calculations!CB338+'Calculations 2'!CN75</f>
        <v>0</v>
      </c>
      <c r="CC75" s="115">
        <f>Calculations!CC338+'Calculations 2'!CO75</f>
        <v>6268.6283600417337</v>
      </c>
      <c r="CD75" s="116">
        <f>Calculations!CD338</f>
        <v>4894.6398789555178</v>
      </c>
      <c r="CE75" s="113">
        <f>Calculations!CE338</f>
        <v>0</v>
      </c>
      <c r="CF75" s="117">
        <f t="shared" ca="1" si="1"/>
        <v>12042.142598495986</v>
      </c>
      <c r="CH75">
        <f ca="1"/>
        <v>0</v>
      </c>
      <c r="CJ75" s="34"/>
      <c r="CK75" s="34"/>
      <c r="CL75" s="34"/>
      <c r="CM75" s="34"/>
      <c r="CN75" s="34"/>
      <c r="CO75" s="34"/>
    </row>
    <row r="76" spans="1:93">
      <c r="A76" s="280"/>
      <c r="B76" s="44" t="s">
        <v>105</v>
      </c>
      <c r="C76" s="114">
        <f>Calculations!C339</f>
        <v>0</v>
      </c>
      <c r="D76" s="115">
        <f>Calculations!D339</f>
        <v>2.5079417112793649</v>
      </c>
      <c r="E76" s="115">
        <f>Calculations!E339</f>
        <v>1.6531121315214412</v>
      </c>
      <c r="F76" s="115">
        <f>Calculations!F339</f>
        <v>0.87531765446333698</v>
      </c>
      <c r="G76" s="115">
        <f>Calculations!G339</f>
        <v>0</v>
      </c>
      <c r="H76" s="115">
        <f>Calculations!H339</f>
        <v>0</v>
      </c>
      <c r="I76" s="115">
        <f>Calculations!I339</f>
        <v>2.1394867906526214</v>
      </c>
      <c r="J76" s="115">
        <f>Calculations!J339</f>
        <v>0.39414836974546624</v>
      </c>
      <c r="K76" s="115">
        <f>Calculations!K339</f>
        <v>13.529115170048287</v>
      </c>
      <c r="L76" s="115">
        <f>Calculations!L339</f>
        <v>0.74804443404210996</v>
      </c>
      <c r="M76" s="115">
        <f>Calculations!M339</f>
        <v>0</v>
      </c>
      <c r="N76" s="115">
        <f>Calculations!N339</f>
        <v>7.3654646372801524</v>
      </c>
      <c r="O76" s="115">
        <f>Calculations!O339</f>
        <v>1.5234002948193344</v>
      </c>
      <c r="P76" s="115">
        <f>Calculations!P339</f>
        <v>3.1074453754925528</v>
      </c>
      <c r="Q76" s="115">
        <f>Calculations!Q339</f>
        <v>0.31420172415398401</v>
      </c>
      <c r="R76" s="115">
        <f>Calculations!R339</f>
        <v>4.2829436533748613</v>
      </c>
      <c r="S76" s="115">
        <f>Calculations!S339</f>
        <v>16.120567474951564</v>
      </c>
      <c r="T76" s="115">
        <f>Calculations!T339</f>
        <v>18.758050704491509</v>
      </c>
      <c r="U76" s="115">
        <f>Calculations!U339</f>
        <v>278.82358610340088</v>
      </c>
      <c r="V76" s="115">
        <f>Calculations!V339</f>
        <v>362.49676130076023</v>
      </c>
      <c r="W76" s="115">
        <f>Calculations!W339</f>
        <v>5.4448562776442424</v>
      </c>
      <c r="X76" s="115">
        <f>Calculations!X339</f>
        <v>1.911725307440197</v>
      </c>
      <c r="Y76" s="115">
        <f>Calculations!Y339</f>
        <v>0</v>
      </c>
      <c r="Z76" s="115">
        <f>Calculations!Z339</f>
        <v>14.384203011911064</v>
      </c>
      <c r="AA76" s="115">
        <f>Calculations!AA339</f>
        <v>8.5417375540628786</v>
      </c>
      <c r="AB76" s="115">
        <f>Calculations!AB339</f>
        <v>193.1538885848673</v>
      </c>
      <c r="AC76" s="115">
        <f>Calculations!AC339</f>
        <v>80.547519408485769</v>
      </c>
      <c r="AD76" s="115">
        <f>Calculations!AD339</f>
        <v>973.18734137752335</v>
      </c>
      <c r="AE76" s="115">
        <f>Calculations!AE339</f>
        <v>30.422943451601924</v>
      </c>
      <c r="AF76" s="115">
        <f>Calculations!AF339</f>
        <v>9.7073331292773357</v>
      </c>
      <c r="AG76" s="115">
        <f>Calculations!AG339</f>
        <v>119.52356780771191</v>
      </c>
      <c r="AH76" s="115">
        <f>Calculations!AH339</f>
        <v>101.93045289374001</v>
      </c>
      <c r="AI76" s="116">
        <f>Calculations!AI339</f>
        <v>0</v>
      </c>
      <c r="AJ76" s="110">
        <f>Calculations!AJ339</f>
        <v>0</v>
      </c>
      <c r="AK76" s="111">
        <f>Calculations!AK339</f>
        <v>0</v>
      </c>
      <c r="AL76" s="111">
        <f>Calculations!AL339</f>
        <v>0</v>
      </c>
      <c r="AM76" s="111">
        <f>Calculations!AM339</f>
        <v>0</v>
      </c>
      <c r="AN76" s="111">
        <f>Calculations!AN339</f>
        <v>0</v>
      </c>
      <c r="AO76" s="111">
        <f>Calculations!AO339</f>
        <v>0</v>
      </c>
      <c r="AP76" s="111">
        <f>Calculations!AP339</f>
        <v>0</v>
      </c>
      <c r="AQ76" s="111">
        <f>Calculations!AQ339</f>
        <v>0</v>
      </c>
      <c r="AR76" s="111">
        <f>Calculations!AR339</f>
        <v>0</v>
      </c>
      <c r="AS76" s="111">
        <f>Calculations!AS339</f>
        <v>0</v>
      </c>
      <c r="AT76" s="111">
        <f>Calculations!AT339</f>
        <v>0</v>
      </c>
      <c r="AU76" s="111">
        <f>Calculations!AU339</f>
        <v>0</v>
      </c>
      <c r="AV76" s="111">
        <f>Calculations!AV339</f>
        <v>0</v>
      </c>
      <c r="AW76" s="111">
        <f>Calculations!AW339</f>
        <v>0</v>
      </c>
      <c r="AX76" s="111">
        <f>Calculations!AX339</f>
        <v>0</v>
      </c>
      <c r="AY76" s="111">
        <f>Calculations!AY339</f>
        <v>0</v>
      </c>
      <c r="AZ76" s="111">
        <f>Calculations!AZ339</f>
        <v>0</v>
      </c>
      <c r="BA76" s="111">
        <f>Calculations!BA339</f>
        <v>0</v>
      </c>
      <c r="BB76" s="111">
        <f>Calculations!BB339</f>
        <v>0</v>
      </c>
      <c r="BC76" s="111">
        <f>Calculations!BC339</f>
        <v>0</v>
      </c>
      <c r="BD76" s="111">
        <f>Calculations!BD339</f>
        <v>0</v>
      </c>
      <c r="BE76" s="111">
        <f>Calculations!BE339</f>
        <v>0</v>
      </c>
      <c r="BF76" s="111">
        <f>Calculations!BF339</f>
        <v>0</v>
      </c>
      <c r="BG76" s="111">
        <f>Calculations!BG339</f>
        <v>0</v>
      </c>
      <c r="BH76" s="111">
        <f>Calculations!BH339</f>
        <v>0</v>
      </c>
      <c r="BI76" s="111">
        <f>Calculations!BI339</f>
        <v>0</v>
      </c>
      <c r="BJ76" s="111">
        <f>Calculations!BJ339</f>
        <v>0</v>
      </c>
      <c r="BK76" s="111">
        <f>Calculations!BK339</f>
        <v>0</v>
      </c>
      <c r="BL76" s="111">
        <f>Calculations!BL339</f>
        <v>0</v>
      </c>
      <c r="BM76" s="111">
        <f>Calculations!BM339</f>
        <v>0</v>
      </c>
      <c r="BN76" s="111">
        <f>Calculations!BN339</f>
        <v>0</v>
      </c>
      <c r="BO76" s="111">
        <f>Calculations!BO339</f>
        <v>0</v>
      </c>
      <c r="BP76" s="112">
        <f>Calculations!BP339</f>
        <v>0</v>
      </c>
      <c r="BQ76" s="110">
        <f>Calculations!BQ339</f>
        <v>0</v>
      </c>
      <c r="BR76" s="111">
        <f>Calculations!BR339</f>
        <v>0</v>
      </c>
      <c r="BS76" s="111">
        <v>0</v>
      </c>
      <c r="BT76" s="111">
        <f>Calculations!BS339</f>
        <v>0</v>
      </c>
      <c r="BU76" s="112">
        <f>Calculations!BT339</f>
        <v>0</v>
      </c>
      <c r="BV76" s="110">
        <f>Calculations!BU339</f>
        <v>0</v>
      </c>
      <c r="BW76" s="111">
        <f>Calculations!BV339</f>
        <v>0</v>
      </c>
      <c r="BX76" s="112">
        <f>Calculations!BW339</f>
        <v>0</v>
      </c>
      <c r="BY76" s="141">
        <f ca="1">Calculations!BX339+'Calculations 2'!CJ76</f>
        <v>329.04058873397429</v>
      </c>
      <c r="BZ76" s="142">
        <f ca="1">Calculations!BY339+'Calculations 2'!CK76</f>
        <v>1402.3227723678499</v>
      </c>
      <c r="CA76" s="142">
        <f ca="1">Calculations!BZ339+Calculations!CA339</f>
        <v>42.622977796899271</v>
      </c>
      <c r="CB76" s="142">
        <f ca="1">Calculations!CB339+'Calculations 2'!CN76</f>
        <v>0</v>
      </c>
      <c r="CC76" s="115">
        <f>Calculations!CC339+'Calculations 2'!CO76</f>
        <v>926.35566703432278</v>
      </c>
      <c r="CD76" s="116">
        <f>Calculations!CD339</f>
        <v>3516.9781825325385</v>
      </c>
      <c r="CE76" s="113">
        <f>Calculations!CE339</f>
        <v>0</v>
      </c>
      <c r="CF76" s="117">
        <f t="shared" ref="CF76:CF92" ca="1" si="2">SUM(C76:CE76)</f>
        <v>8470.7153448003282</v>
      </c>
      <c r="CH76">
        <f ca="1"/>
        <v>0</v>
      </c>
      <c r="CJ76" s="34"/>
      <c r="CK76" s="34"/>
      <c r="CL76" s="34"/>
      <c r="CM76" s="34"/>
      <c r="CN76" s="34"/>
      <c r="CO76" s="34"/>
    </row>
    <row r="77" spans="1:93" ht="15" thickBot="1">
      <c r="A77" s="280"/>
      <c r="B77" s="44" t="s">
        <v>106</v>
      </c>
      <c r="C77" s="114">
        <f>Calculations!C340</f>
        <v>0</v>
      </c>
      <c r="D77" s="115">
        <f>Calculations!D340</f>
        <v>0</v>
      </c>
      <c r="E77" s="115">
        <f>Calculations!E340</f>
        <v>0</v>
      </c>
      <c r="F77" s="115">
        <f>Calculations!F340</f>
        <v>0</v>
      </c>
      <c r="G77" s="115">
        <f>Calculations!G340</f>
        <v>0</v>
      </c>
      <c r="H77" s="115">
        <f>Calculations!H340</f>
        <v>0</v>
      </c>
      <c r="I77" s="115">
        <f>Calculations!I340</f>
        <v>0</v>
      </c>
      <c r="J77" s="115">
        <f>Calculations!J340</f>
        <v>0</v>
      </c>
      <c r="K77" s="115">
        <f>Calculations!K340</f>
        <v>0</v>
      </c>
      <c r="L77" s="115">
        <f>Calculations!L340</f>
        <v>0</v>
      </c>
      <c r="M77" s="115">
        <f>Calculations!M340</f>
        <v>0</v>
      </c>
      <c r="N77" s="115">
        <f>Calculations!N340</f>
        <v>0</v>
      </c>
      <c r="O77" s="115">
        <f>Calculations!O340</f>
        <v>0</v>
      </c>
      <c r="P77" s="115">
        <f>Calculations!P340</f>
        <v>0</v>
      </c>
      <c r="Q77" s="115">
        <f>Calculations!Q340</f>
        <v>0</v>
      </c>
      <c r="R77" s="115">
        <f>Calculations!R340</f>
        <v>0</v>
      </c>
      <c r="S77" s="115">
        <f>Calculations!S340</f>
        <v>0</v>
      </c>
      <c r="T77" s="115">
        <f>Calculations!T340</f>
        <v>0</v>
      </c>
      <c r="U77" s="115">
        <f>Calculations!U340</f>
        <v>0</v>
      </c>
      <c r="V77" s="115">
        <f>Calculations!V340</f>
        <v>0</v>
      </c>
      <c r="W77" s="115">
        <f>Calculations!W340</f>
        <v>0</v>
      </c>
      <c r="X77" s="115">
        <f>Calculations!X340</f>
        <v>0</v>
      </c>
      <c r="Y77" s="115">
        <f>Calculations!Y340</f>
        <v>0</v>
      </c>
      <c r="Z77" s="115">
        <f>Calculations!Z340</f>
        <v>0</v>
      </c>
      <c r="AA77" s="115">
        <f>Calculations!AA340</f>
        <v>0</v>
      </c>
      <c r="AB77" s="115">
        <f>Calculations!AB340</f>
        <v>0</v>
      </c>
      <c r="AC77" s="115">
        <f>Calculations!AC340</f>
        <v>0</v>
      </c>
      <c r="AD77" s="115">
        <f>Calculations!AD340</f>
        <v>0</v>
      </c>
      <c r="AE77" s="115">
        <f>Calculations!AE340</f>
        <v>0</v>
      </c>
      <c r="AF77" s="115">
        <f>Calculations!AF340</f>
        <v>0</v>
      </c>
      <c r="AG77" s="115">
        <f>Calculations!AG340</f>
        <v>0</v>
      </c>
      <c r="AH77" s="115">
        <f>Calculations!AH340</f>
        <v>0</v>
      </c>
      <c r="AI77" s="116">
        <f>Calculations!AI340</f>
        <v>0</v>
      </c>
      <c r="AJ77" s="110">
        <f>Calculations!AJ340</f>
        <v>0</v>
      </c>
      <c r="AK77" s="111">
        <f>Calculations!AK340</f>
        <v>0</v>
      </c>
      <c r="AL77" s="111">
        <f>Calculations!AL340</f>
        <v>0</v>
      </c>
      <c r="AM77" s="111">
        <f>Calculations!AM340</f>
        <v>0</v>
      </c>
      <c r="AN77" s="111">
        <f>Calculations!AN340</f>
        <v>0</v>
      </c>
      <c r="AO77" s="111">
        <f>Calculations!AO340</f>
        <v>0</v>
      </c>
      <c r="AP77" s="111">
        <f>Calculations!AP340</f>
        <v>0</v>
      </c>
      <c r="AQ77" s="111">
        <f>Calculations!AQ340</f>
        <v>0</v>
      </c>
      <c r="AR77" s="111">
        <f>Calculations!AR340</f>
        <v>0</v>
      </c>
      <c r="AS77" s="111">
        <f>Calculations!AS340</f>
        <v>0</v>
      </c>
      <c r="AT77" s="111">
        <f>Calculations!AT340</f>
        <v>0</v>
      </c>
      <c r="AU77" s="111">
        <f>Calculations!AU340</f>
        <v>0</v>
      </c>
      <c r="AV77" s="111">
        <f>Calculations!AV340</f>
        <v>0</v>
      </c>
      <c r="AW77" s="111">
        <f>Calculations!AW340</f>
        <v>0</v>
      </c>
      <c r="AX77" s="111">
        <f>Calculations!AX340</f>
        <v>0</v>
      </c>
      <c r="AY77" s="111">
        <f>Calculations!AY340</f>
        <v>0</v>
      </c>
      <c r="AZ77" s="111">
        <f>Calculations!AZ340</f>
        <v>0</v>
      </c>
      <c r="BA77" s="111">
        <f>Calculations!BA340</f>
        <v>0</v>
      </c>
      <c r="BB77" s="111">
        <f>Calculations!BB340</f>
        <v>0</v>
      </c>
      <c r="BC77" s="111">
        <f>Calculations!BC340</f>
        <v>0</v>
      </c>
      <c r="BD77" s="111">
        <f>Calculations!BD340</f>
        <v>0</v>
      </c>
      <c r="BE77" s="111">
        <f>Calculations!BE340</f>
        <v>0</v>
      </c>
      <c r="BF77" s="111">
        <f>Calculations!BF340</f>
        <v>0</v>
      </c>
      <c r="BG77" s="111">
        <f>Calculations!BG340</f>
        <v>0</v>
      </c>
      <c r="BH77" s="111">
        <f>Calculations!BH340</f>
        <v>0</v>
      </c>
      <c r="BI77" s="111">
        <f>Calculations!BI340</f>
        <v>0</v>
      </c>
      <c r="BJ77" s="111">
        <f>Calculations!BJ340</f>
        <v>0</v>
      </c>
      <c r="BK77" s="111">
        <f>Calculations!BK340</f>
        <v>0</v>
      </c>
      <c r="BL77" s="111">
        <f>Calculations!BL340</f>
        <v>0</v>
      </c>
      <c r="BM77" s="111">
        <f>Calculations!BM340</f>
        <v>0</v>
      </c>
      <c r="BN77" s="111">
        <f>Calculations!BN340</f>
        <v>0</v>
      </c>
      <c r="BO77" s="111">
        <f>Calculations!BO340</f>
        <v>0</v>
      </c>
      <c r="BP77" s="112">
        <f>Calculations!BP340</f>
        <v>0</v>
      </c>
      <c r="BQ77" s="110">
        <f>Calculations!BQ340</f>
        <v>0</v>
      </c>
      <c r="BR77" s="111">
        <f>Calculations!BR340</f>
        <v>0</v>
      </c>
      <c r="BS77" s="111">
        <v>0</v>
      </c>
      <c r="BT77" s="111">
        <f>Calculations!BS340</f>
        <v>0</v>
      </c>
      <c r="BU77" s="112">
        <f>Calculations!BT340</f>
        <v>0</v>
      </c>
      <c r="BV77" s="110">
        <f>Calculations!BU340</f>
        <v>0</v>
      </c>
      <c r="BW77" s="111">
        <f>Calculations!BV340</f>
        <v>0</v>
      </c>
      <c r="BX77" s="112">
        <f>Calculations!BW340</f>
        <v>0</v>
      </c>
      <c r="BY77" s="141">
        <f ca="1">Calculations!BX340+'Calculations 2'!CJ77</f>
        <v>709.20231916150044</v>
      </c>
      <c r="BZ77" s="142">
        <f ca="1">Calculations!BY340+'Calculations 2'!CK77</f>
        <v>1151.1444814515417</v>
      </c>
      <c r="CA77" s="142">
        <f ca="1">Calculations!BZ340+Calculations!CA340</f>
        <v>84.995122775850632</v>
      </c>
      <c r="CB77" s="142">
        <f ca="1">Calculations!CB340+'Calculations 2'!CN77</f>
        <v>0</v>
      </c>
      <c r="CC77" s="115">
        <f>Calculations!CC340+'Calculations 2'!CO77</f>
        <v>0</v>
      </c>
      <c r="CD77" s="116">
        <f>Calculations!CD340</f>
        <v>0</v>
      </c>
      <c r="CE77" s="113">
        <f>Calculations!CE340</f>
        <v>0</v>
      </c>
      <c r="CF77" s="117">
        <f t="shared" ca="1" si="2"/>
        <v>1945.3419233888926</v>
      </c>
      <c r="CH77">
        <f ca="1"/>
        <v>0</v>
      </c>
      <c r="CJ77" s="34"/>
      <c r="CK77" s="34"/>
      <c r="CL77" s="34"/>
      <c r="CM77" s="34"/>
      <c r="CN77" s="34"/>
      <c r="CO77" s="34"/>
    </row>
    <row r="78" spans="1:93">
      <c r="A78" s="259" t="s">
        <v>69</v>
      </c>
      <c r="B78" s="134" t="s">
        <v>297</v>
      </c>
      <c r="C78" s="152" cm="1">
        <f t="array" aca="1" ref="C78:AI81" ca="1">TRANSPOSE('Estimating non em split'!AA296:AD328)</f>
        <v>14.240860604754507</v>
      </c>
      <c r="D78" s="153">
        <f ca="1"/>
        <v>90.36473365562405</v>
      </c>
      <c r="E78" s="153">
        <f ca="1"/>
        <v>69.178651884330151</v>
      </c>
      <c r="F78" s="153">
        <f ca="1"/>
        <v>21.6592214082422</v>
      </c>
      <c r="G78" s="153">
        <f ca="1"/>
        <v>0.1931158784958236</v>
      </c>
      <c r="H78" s="153">
        <f ca="1"/>
        <v>16.314918473340981</v>
      </c>
      <c r="I78" s="153">
        <f ca="1"/>
        <v>33.47043771882548</v>
      </c>
      <c r="J78" s="153">
        <f ca="1"/>
        <v>6.6922626232696052</v>
      </c>
      <c r="K78" s="153">
        <f ca="1"/>
        <v>40.239677866678207</v>
      </c>
      <c r="L78" s="153">
        <f ca="1"/>
        <v>18.177603966620001</v>
      </c>
      <c r="M78" s="153">
        <f ca="1"/>
        <v>44.044585402310204</v>
      </c>
      <c r="N78" s="153">
        <f ca="1"/>
        <v>104.69835124567608</v>
      </c>
      <c r="O78" s="153">
        <f ca="1"/>
        <v>34.173652479162627</v>
      </c>
      <c r="P78" s="153">
        <f ca="1"/>
        <v>19.647828158439758</v>
      </c>
      <c r="Q78" s="153">
        <f ca="1"/>
        <v>7.7914024151849324</v>
      </c>
      <c r="R78" s="153">
        <f ca="1"/>
        <v>74.58780928839829</v>
      </c>
      <c r="S78" s="153">
        <f ca="1"/>
        <v>48.108216370243397</v>
      </c>
      <c r="T78" s="153">
        <f ca="1"/>
        <v>1047.764845876356</v>
      </c>
      <c r="U78" s="153">
        <f ca="1"/>
        <v>964.44286510162874</v>
      </c>
      <c r="V78" s="153">
        <f ca="1"/>
        <v>161.51725173174293</v>
      </c>
      <c r="W78" s="153">
        <f ca="1"/>
        <v>57.049090282828814</v>
      </c>
      <c r="X78" s="153">
        <f ca="1"/>
        <v>1.9528972935735414</v>
      </c>
      <c r="Y78" s="153">
        <f ca="1"/>
        <v>190.14758692186052</v>
      </c>
      <c r="Z78" s="153">
        <f ca="1"/>
        <v>120.23245711524216</v>
      </c>
      <c r="AA78" s="153">
        <f ca="1"/>
        <v>170.06176809459561</v>
      </c>
      <c r="AB78" s="153">
        <f ca="1"/>
        <v>1001.5208876216442</v>
      </c>
      <c r="AC78" s="153">
        <f ca="1"/>
        <v>129.87664871536109</v>
      </c>
      <c r="AD78" s="153">
        <f ca="1"/>
        <v>1671.9806048934861</v>
      </c>
      <c r="AE78" s="223">
        <f ca="1"/>
        <v>9787.3551065403699</v>
      </c>
      <c r="AF78" s="153">
        <f ca="1"/>
        <v>392.06383868580497</v>
      </c>
      <c r="AG78" s="153">
        <f ca="1"/>
        <v>380.6193652543476</v>
      </c>
      <c r="AH78" s="153">
        <f ca="1"/>
        <v>66.802582473212055</v>
      </c>
      <c r="AI78" s="153">
        <f ca="1"/>
        <v>147.79424060352491</v>
      </c>
      <c r="AJ78" s="110">
        <f>Calculations!AJ341</f>
        <v>0</v>
      </c>
      <c r="AK78" s="111">
        <f>Calculations!AK341</f>
        <v>0</v>
      </c>
      <c r="AL78" s="111">
        <f>Calculations!AL341</f>
        <v>0</v>
      </c>
      <c r="AM78" s="111">
        <f>Calculations!AM341</f>
        <v>0</v>
      </c>
      <c r="AN78" s="111">
        <f>Calculations!AN341</f>
        <v>0</v>
      </c>
      <c r="AO78" s="111">
        <f>Calculations!AO341</f>
        <v>0</v>
      </c>
      <c r="AP78" s="111">
        <f>Calculations!AP341</f>
        <v>0</v>
      </c>
      <c r="AQ78" s="111">
        <f>Calculations!AQ341</f>
        <v>0</v>
      </c>
      <c r="AR78" s="111">
        <f>Calculations!AR341</f>
        <v>0</v>
      </c>
      <c r="AS78" s="111">
        <f>Calculations!AS341</f>
        <v>0</v>
      </c>
      <c r="AT78" s="111">
        <f>Calculations!AT341</f>
        <v>0</v>
      </c>
      <c r="AU78" s="111">
        <f>Calculations!AU341</f>
        <v>0</v>
      </c>
      <c r="AV78" s="111">
        <f>Calculations!AV341</f>
        <v>0</v>
      </c>
      <c r="AW78" s="111">
        <f>Calculations!AW341</f>
        <v>0</v>
      </c>
      <c r="AX78" s="111">
        <f>Calculations!AX341</f>
        <v>0</v>
      </c>
      <c r="AY78" s="111">
        <f>Calculations!AY341</f>
        <v>0</v>
      </c>
      <c r="AZ78" s="111">
        <f>Calculations!AZ341</f>
        <v>0</v>
      </c>
      <c r="BA78" s="111">
        <f>Calculations!BA341</f>
        <v>0</v>
      </c>
      <c r="BB78" s="111">
        <f>Calculations!BB341</f>
        <v>0</v>
      </c>
      <c r="BC78" s="111">
        <f>Calculations!BC341</f>
        <v>0</v>
      </c>
      <c r="BD78" s="111">
        <f>Calculations!BD341</f>
        <v>0</v>
      </c>
      <c r="BE78" s="111">
        <f>Calculations!BE341</f>
        <v>0</v>
      </c>
      <c r="BF78" s="111">
        <f>Calculations!BF341</f>
        <v>0</v>
      </c>
      <c r="BG78" s="111">
        <f>Calculations!BG341</f>
        <v>0</v>
      </c>
      <c r="BH78" s="111">
        <f>Calculations!BH341</f>
        <v>0</v>
      </c>
      <c r="BI78" s="111">
        <f>Calculations!BI341</f>
        <v>0</v>
      </c>
      <c r="BJ78" s="111">
        <f>Calculations!BJ341</f>
        <v>0</v>
      </c>
      <c r="BK78" s="111">
        <f>Calculations!BK341</f>
        <v>0</v>
      </c>
      <c r="BL78" s="111">
        <f>Calculations!BL341</f>
        <v>0</v>
      </c>
      <c r="BM78" s="111">
        <f>Calculations!BM341</f>
        <v>0</v>
      </c>
      <c r="BN78" s="111">
        <f>Calculations!BN341</f>
        <v>0</v>
      </c>
      <c r="BO78" s="111">
        <f>Calculations!BO341</f>
        <v>0</v>
      </c>
      <c r="BP78" s="112">
        <f>Calculations!BP341</f>
        <v>0</v>
      </c>
      <c r="BQ78" s="157">
        <f>Calculations!BQ341</f>
        <v>0</v>
      </c>
      <c r="BR78" s="158">
        <f>Calculations!BR341</f>
        <v>0</v>
      </c>
      <c r="BS78" s="158">
        <v>0</v>
      </c>
      <c r="BT78" s="158">
        <f>Calculations!BS341</f>
        <v>0</v>
      </c>
      <c r="BU78" s="159">
        <f>Calculations!BT341</f>
        <v>0</v>
      </c>
      <c r="BV78" s="157">
        <f>Calculations!BU341</f>
        <v>0</v>
      </c>
      <c r="BW78" s="158">
        <f>Calculations!BV341</f>
        <v>0</v>
      </c>
      <c r="BX78" s="159">
        <f>Calculations!BW341</f>
        <v>0</v>
      </c>
      <c r="BY78" s="157">
        <f>Calculations!BX341</f>
        <v>0</v>
      </c>
      <c r="BZ78" s="158">
        <f>Calculations!BY341</f>
        <v>0</v>
      </c>
      <c r="CA78" s="158">
        <f>Calculations!BZ341+Calculations!CA341</f>
        <v>0</v>
      </c>
      <c r="CB78" s="158">
        <f>Calculations!CB341</f>
        <v>0</v>
      </c>
      <c r="CC78" s="158">
        <f>Calculations!CC341</f>
        <v>0</v>
      </c>
      <c r="CD78" s="159">
        <f>Calculations!CD341</f>
        <v>0</v>
      </c>
      <c r="CE78" s="160">
        <f>Calculations!CE341</f>
        <v>0</v>
      </c>
      <c r="CF78" s="135">
        <f t="shared" ca="1" si="2"/>
        <v>16934.765366645173</v>
      </c>
      <c r="CH78">
        <f ca="1"/>
        <v>0</v>
      </c>
    </row>
    <row r="79" spans="1:93">
      <c r="A79" s="260"/>
      <c r="B79" s="136" t="s">
        <v>570</v>
      </c>
      <c r="C79" s="152">
        <f ca="1"/>
        <v>23.695214501089801</v>
      </c>
      <c r="D79" s="153">
        <f ca="1"/>
        <v>650.11793256884937</v>
      </c>
      <c r="E79" s="153">
        <f ca="1"/>
        <v>861.60637587709584</v>
      </c>
      <c r="F79" s="153">
        <f ca="1"/>
        <v>269.76130579297063</v>
      </c>
      <c r="G79" s="153">
        <f ca="1"/>
        <v>2.4052201262293695</v>
      </c>
      <c r="H79" s="153">
        <f ca="1"/>
        <v>203.19906845972943</v>
      </c>
      <c r="I79" s="153">
        <f ca="1"/>
        <v>416.86764754990122</v>
      </c>
      <c r="J79" s="153">
        <f ca="1"/>
        <v>83.350803298693037</v>
      </c>
      <c r="K79" s="153">
        <f ca="1"/>
        <v>501.17719065670144</v>
      </c>
      <c r="L79" s="153">
        <f ca="1"/>
        <v>226.3984344063816</v>
      </c>
      <c r="M79" s="153">
        <f ca="1"/>
        <v>548.5665627765303</v>
      </c>
      <c r="N79" s="153">
        <f ca="1"/>
        <v>1303.9972023722537</v>
      </c>
      <c r="O79" s="153">
        <f ca="1"/>
        <v>425.62606060160988</v>
      </c>
      <c r="P79" s="153">
        <f ca="1"/>
        <v>244.70980849352847</v>
      </c>
      <c r="Q79" s="153">
        <f ca="1"/>
        <v>97.040366937894348</v>
      </c>
      <c r="R79" s="153">
        <f ca="1"/>
        <v>928.97634974504285</v>
      </c>
      <c r="S79" s="153">
        <f ca="1"/>
        <v>2299.7807553671419</v>
      </c>
      <c r="T79" s="153">
        <f ca="1"/>
        <v>5638.21659125519</v>
      </c>
      <c r="U79" s="153">
        <f ca="1"/>
        <v>32822.971513793796</v>
      </c>
      <c r="V79" s="153">
        <f ca="1"/>
        <v>9162.783823727952</v>
      </c>
      <c r="W79" s="153">
        <f ca="1"/>
        <v>2625.2029880392015</v>
      </c>
      <c r="X79" s="153">
        <f ca="1"/>
        <v>89.865619522866382</v>
      </c>
      <c r="Y79" s="153">
        <f ca="1"/>
        <v>8749.9382183733942</v>
      </c>
      <c r="Z79" s="153">
        <f ca="1"/>
        <v>5532.6842958917605</v>
      </c>
      <c r="AA79" s="153">
        <f ca="1"/>
        <v>2994.2459982927548</v>
      </c>
      <c r="AB79" s="153">
        <f ca="1"/>
        <v>7840.3078999054869</v>
      </c>
      <c r="AC79" s="153">
        <f ca="1"/>
        <v>4789.0262609570482</v>
      </c>
      <c r="AD79" s="153">
        <f ca="1"/>
        <v>24970.453195367012</v>
      </c>
      <c r="AE79" s="153">
        <f ca="1"/>
        <v>9677.64279508455</v>
      </c>
      <c r="AF79" s="153">
        <f ca="1"/>
        <v>4325.5945516202864</v>
      </c>
      <c r="AG79" s="153">
        <f ca="1"/>
        <v>3330.8359016111908</v>
      </c>
      <c r="AH79" s="153">
        <f ca="1"/>
        <v>1789.1050264442863</v>
      </c>
      <c r="AI79" s="153">
        <f ca="1"/>
        <v>1275.7364597126548</v>
      </c>
      <c r="AJ79" s="110">
        <f>Calculations!AJ342</f>
        <v>0</v>
      </c>
      <c r="AK79" s="111">
        <f>Calculations!AK342</f>
        <v>0</v>
      </c>
      <c r="AL79" s="111">
        <f>Calculations!AL342</f>
        <v>0</v>
      </c>
      <c r="AM79" s="111">
        <f>Calculations!AM342</f>
        <v>0</v>
      </c>
      <c r="AN79" s="111">
        <f>Calculations!AN342</f>
        <v>0</v>
      </c>
      <c r="AO79" s="111">
        <f>Calculations!AO342</f>
        <v>0</v>
      </c>
      <c r="AP79" s="111">
        <f>Calculations!AP342</f>
        <v>0</v>
      </c>
      <c r="AQ79" s="111">
        <f>Calculations!AQ342</f>
        <v>0</v>
      </c>
      <c r="AR79" s="111">
        <f>Calculations!AR342</f>
        <v>0</v>
      </c>
      <c r="AS79" s="111">
        <f>Calculations!AS342</f>
        <v>0</v>
      </c>
      <c r="AT79" s="111">
        <f>Calculations!AT342</f>
        <v>0</v>
      </c>
      <c r="AU79" s="111">
        <f>Calculations!AU342</f>
        <v>0</v>
      </c>
      <c r="AV79" s="111">
        <f>Calculations!AV342</f>
        <v>0</v>
      </c>
      <c r="AW79" s="111">
        <f>Calculations!AW342</f>
        <v>0</v>
      </c>
      <c r="AX79" s="111">
        <f>Calculations!AX342</f>
        <v>0</v>
      </c>
      <c r="AY79" s="111">
        <f>Calculations!AY342</f>
        <v>0</v>
      </c>
      <c r="AZ79" s="111">
        <f>Calculations!AZ342</f>
        <v>0</v>
      </c>
      <c r="BA79" s="111">
        <f>Calculations!BA342</f>
        <v>0</v>
      </c>
      <c r="BB79" s="111">
        <f>Calculations!BB342</f>
        <v>0</v>
      </c>
      <c r="BC79" s="111">
        <f>Calculations!BC342</f>
        <v>0</v>
      </c>
      <c r="BD79" s="111">
        <f>Calculations!BD342</f>
        <v>0</v>
      </c>
      <c r="BE79" s="111">
        <f>Calculations!BE342</f>
        <v>0</v>
      </c>
      <c r="BF79" s="111">
        <f>Calculations!BF342</f>
        <v>0</v>
      </c>
      <c r="BG79" s="111">
        <f>Calculations!BG342</f>
        <v>0</v>
      </c>
      <c r="BH79" s="111">
        <f>Calculations!BH342</f>
        <v>0</v>
      </c>
      <c r="BI79" s="111">
        <f>Calculations!BI342</f>
        <v>0</v>
      </c>
      <c r="BJ79" s="111">
        <f>Calculations!BJ342</f>
        <v>0</v>
      </c>
      <c r="BK79" s="111">
        <f>Calculations!BK342</f>
        <v>0</v>
      </c>
      <c r="BL79" s="111">
        <f>Calculations!BL342</f>
        <v>0</v>
      </c>
      <c r="BM79" s="111">
        <f>Calculations!BM342</f>
        <v>0</v>
      </c>
      <c r="BN79" s="111">
        <f>Calculations!BN342</f>
        <v>0</v>
      </c>
      <c r="BO79" s="111">
        <f>Calculations!BO342</f>
        <v>0</v>
      </c>
      <c r="BP79" s="112">
        <f>Calculations!BP342</f>
        <v>0</v>
      </c>
      <c r="BQ79" s="157">
        <f>Calculations!BQ342</f>
        <v>0</v>
      </c>
      <c r="BR79" s="158">
        <f>Calculations!BR342</f>
        <v>0</v>
      </c>
      <c r="BS79" s="158">
        <v>0</v>
      </c>
      <c r="BT79" s="158">
        <f>Calculations!BS342</f>
        <v>0</v>
      </c>
      <c r="BU79" s="159">
        <f>Calculations!BT342</f>
        <v>0</v>
      </c>
      <c r="BV79" s="157">
        <f>Calculations!BU342</f>
        <v>0</v>
      </c>
      <c r="BW79" s="158">
        <f>Calculations!BV342</f>
        <v>0</v>
      </c>
      <c r="BX79" s="159">
        <f>Calculations!BW342</f>
        <v>0</v>
      </c>
      <c r="BY79" s="157">
        <f>Calculations!BX342</f>
        <v>0</v>
      </c>
      <c r="BZ79" s="158">
        <f>Calculations!BY342</f>
        <v>0</v>
      </c>
      <c r="CA79" s="158">
        <f>Calculations!BZ342+Calculations!CA342</f>
        <v>0</v>
      </c>
      <c r="CB79" s="158">
        <f>Calculations!CB342</f>
        <v>0</v>
      </c>
      <c r="CC79" s="158">
        <f>Calculations!CC342</f>
        <v>0</v>
      </c>
      <c r="CD79" s="159">
        <f>Calculations!CD342</f>
        <v>0</v>
      </c>
      <c r="CE79" s="160">
        <f>Calculations!CE342</f>
        <v>0</v>
      </c>
      <c r="CF79" s="135">
        <f t="shared" ca="1" si="2"/>
        <v>134701.88743913104</v>
      </c>
      <c r="CH79">
        <f ca="1"/>
        <v>0</v>
      </c>
      <c r="CJ79" s="3"/>
    </row>
    <row r="80" spans="1:93">
      <c r="A80" s="260"/>
      <c r="B80" s="136" t="s">
        <v>571</v>
      </c>
      <c r="C80" s="152">
        <f ca="1"/>
        <v>132.08054157543083</v>
      </c>
      <c r="D80" s="153">
        <f ca="1"/>
        <v>167.09935859937389</v>
      </c>
      <c r="E80" s="153">
        <f ca="1"/>
        <v>994.8848820406522</v>
      </c>
      <c r="F80" s="153">
        <f ca="1"/>
        <v>311.48961631143487</v>
      </c>
      <c r="G80" s="153">
        <f ca="1"/>
        <v>2.7772737563062528</v>
      </c>
      <c r="H80" s="153">
        <f ca="1"/>
        <v>234.63113918933036</v>
      </c>
      <c r="I80" s="153">
        <f ca="1"/>
        <v>481.35128749926378</v>
      </c>
      <c r="J80" s="153">
        <f ca="1"/>
        <v>96.244009802947303</v>
      </c>
      <c r="K80" s="153">
        <f ca="1"/>
        <v>578.70234076035854</v>
      </c>
      <c r="L80" s="153">
        <f ca="1"/>
        <v>261.41914998868265</v>
      </c>
      <c r="M80" s="153">
        <f ca="1"/>
        <v>633.4221798592904</v>
      </c>
      <c r="N80" s="153">
        <f ca="1"/>
        <v>1505.707359824152</v>
      </c>
      <c r="O80" s="153">
        <f ca="1"/>
        <v>491.46447745577098</v>
      </c>
      <c r="P80" s="153">
        <f ca="1"/>
        <v>282.56298766045177</v>
      </c>
      <c r="Q80" s="153">
        <f ca="1"/>
        <v>112.05116746921782</v>
      </c>
      <c r="R80" s="153">
        <f ca="1"/>
        <v>1072.6760693087206</v>
      </c>
      <c r="S80" s="153">
        <f ca="1"/>
        <v>759.27219422762346</v>
      </c>
      <c r="T80" s="153">
        <f ca="1"/>
        <v>8232.4672955857586</v>
      </c>
      <c r="U80" s="153">
        <f ca="1"/>
        <v>4393.9919749108594</v>
      </c>
      <c r="V80" s="153">
        <f ca="1"/>
        <v>248.18614134016752</v>
      </c>
      <c r="W80" s="153">
        <f ca="1"/>
        <v>383.79382601622819</v>
      </c>
      <c r="X80" s="153">
        <f ca="1"/>
        <v>13.137981505789327</v>
      </c>
      <c r="Y80" s="153">
        <f ca="1"/>
        <v>1279.2047602731636</v>
      </c>
      <c r="Z80" s="153">
        <f ca="1"/>
        <v>808.85557112889637</v>
      </c>
      <c r="AA80" s="153">
        <f ca="1"/>
        <v>437.74640281983784</v>
      </c>
      <c r="AB80" s="153">
        <f ca="1"/>
        <v>78.442865169892684</v>
      </c>
      <c r="AC80" s="153">
        <f ca="1"/>
        <v>100.96980994696969</v>
      </c>
      <c r="AD80" s="153">
        <f ca="1"/>
        <v>526.46659302958869</v>
      </c>
      <c r="AE80" s="153">
        <f ca="1"/>
        <v>396.01314595093027</v>
      </c>
      <c r="AF80" s="153">
        <f ca="1"/>
        <v>42.307726178656594</v>
      </c>
      <c r="AG80" s="153">
        <f ca="1"/>
        <v>135.01981049144933</v>
      </c>
      <c r="AH80" s="153">
        <f ca="1"/>
        <v>61.040152724832524</v>
      </c>
      <c r="AI80" s="153">
        <f ca="1"/>
        <v>4.0321788411865782</v>
      </c>
      <c r="AJ80" s="110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  <c r="BB80" s="111">
        <v>0</v>
      </c>
      <c r="BC80" s="111">
        <v>0</v>
      </c>
      <c r="BD80" s="111">
        <v>0</v>
      </c>
      <c r="BE80" s="111">
        <v>0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0</v>
      </c>
      <c r="BM80" s="111">
        <v>0</v>
      </c>
      <c r="BN80" s="111">
        <v>0</v>
      </c>
      <c r="BO80" s="111">
        <v>0</v>
      </c>
      <c r="BP80" s="112">
        <v>0</v>
      </c>
      <c r="BQ80" s="157">
        <v>0</v>
      </c>
      <c r="BR80" s="158">
        <v>0</v>
      </c>
      <c r="BS80" s="158">
        <v>0</v>
      </c>
      <c r="BT80" s="158">
        <v>0</v>
      </c>
      <c r="BU80" s="159">
        <v>0</v>
      </c>
      <c r="BV80" s="157">
        <v>0</v>
      </c>
      <c r="BW80" s="158">
        <v>0</v>
      </c>
      <c r="BX80" s="159">
        <v>0</v>
      </c>
      <c r="BY80" s="157">
        <v>0</v>
      </c>
      <c r="BZ80" s="158">
        <v>0</v>
      </c>
      <c r="CA80" s="158">
        <f>Calculations!BZ343+Calculations!CA343</f>
        <v>0</v>
      </c>
      <c r="CB80" s="158">
        <v>0</v>
      </c>
      <c r="CC80" s="158">
        <v>0</v>
      </c>
      <c r="CD80" s="159">
        <v>0</v>
      </c>
      <c r="CE80" s="160">
        <v>0</v>
      </c>
      <c r="CF80" s="135">
        <f t="shared" ca="1" si="2"/>
        <v>25259.512271243209</v>
      </c>
      <c r="CH80">
        <f ca="1"/>
        <v>0</v>
      </c>
    </row>
    <row r="81" spans="1:86">
      <c r="A81" s="260"/>
      <c r="B81" s="136" t="s">
        <v>299</v>
      </c>
      <c r="C81" s="152">
        <f ca="1"/>
        <v>62.983383318724883</v>
      </c>
      <c r="D81" s="153">
        <f ca="1"/>
        <v>330.41797517615271</v>
      </c>
      <c r="E81" s="153">
        <f ca="1"/>
        <v>750.61809019792213</v>
      </c>
      <c r="F81" s="153">
        <f ca="1"/>
        <v>235.01185648735236</v>
      </c>
      <c r="G81" s="153">
        <f ca="1"/>
        <v>2.0953902389685548</v>
      </c>
      <c r="H81" s="153">
        <f ca="1"/>
        <v>177.02387387759921</v>
      </c>
      <c r="I81" s="153">
        <f ca="1"/>
        <v>363.16862723200984</v>
      </c>
      <c r="J81" s="153">
        <f ca="1"/>
        <v>72.613924275090056</v>
      </c>
      <c r="K81" s="153">
        <f ca="1"/>
        <v>436.61779071626165</v>
      </c>
      <c r="L81" s="153">
        <f ca="1"/>
        <v>197.23481163831573</v>
      </c>
      <c r="M81" s="153">
        <f ca="1"/>
        <v>477.90267196186898</v>
      </c>
      <c r="N81" s="153">
        <f ca="1"/>
        <v>1136.0220865579186</v>
      </c>
      <c r="O81" s="153">
        <f ca="1"/>
        <v>370.79880946345668</v>
      </c>
      <c r="P81" s="153">
        <f ca="1"/>
        <v>213.18737568757999</v>
      </c>
      <c r="Q81" s="153">
        <f ca="1"/>
        <v>84.540063177702962</v>
      </c>
      <c r="R81" s="153">
        <f ca="1"/>
        <v>809.30977165783884</v>
      </c>
      <c r="S81" s="153">
        <f ca="1"/>
        <v>1236.838834034992</v>
      </c>
      <c r="T81" s="153">
        <f ca="1"/>
        <v>5608.206451000121</v>
      </c>
      <c r="U81" s="153">
        <f ca="1"/>
        <v>15047.593646193718</v>
      </c>
      <c r="V81" s="153">
        <f ca="1"/>
        <v>3805.0512071963717</v>
      </c>
      <c r="W81" s="153">
        <f ca="1"/>
        <v>1216.6000956617415</v>
      </c>
      <c r="X81" s="153">
        <f ca="1"/>
        <v>41.646501677770779</v>
      </c>
      <c r="Y81" s="153">
        <f ca="1"/>
        <v>4054.9914344315812</v>
      </c>
      <c r="Z81" s="153">
        <f ca="1"/>
        <v>2564.0166758641026</v>
      </c>
      <c r="AA81" s="153">
        <f ca="1"/>
        <v>1387.6260233976552</v>
      </c>
      <c r="AB81" s="153">
        <f ca="1"/>
        <v>3201.7158985714782</v>
      </c>
      <c r="AC81" s="153">
        <f ca="1"/>
        <v>1977.1272803806219</v>
      </c>
      <c r="AD81" s="153">
        <f ca="1"/>
        <v>10308.935824972139</v>
      </c>
      <c r="AE81" s="153">
        <f ca="1"/>
        <v>4072.9889524241512</v>
      </c>
      <c r="AF81" s="153">
        <f ca="1"/>
        <v>1766.0338835152525</v>
      </c>
      <c r="AG81" s="153">
        <f ca="1"/>
        <v>1401.3176654749991</v>
      </c>
      <c r="AH81" s="153">
        <f ca="1"/>
        <v>748.05223835766924</v>
      </c>
      <c r="AI81" s="153">
        <f ca="1"/>
        <v>517.43712084263393</v>
      </c>
      <c r="AJ81" s="110">
        <f>Calculations!AJ343</f>
        <v>0</v>
      </c>
      <c r="AK81" s="111">
        <f>Calculations!AK343</f>
        <v>0</v>
      </c>
      <c r="AL81" s="111">
        <f>Calculations!AL343</f>
        <v>0</v>
      </c>
      <c r="AM81" s="111">
        <f>Calculations!AM343</f>
        <v>0</v>
      </c>
      <c r="AN81" s="111">
        <f>Calculations!AN343</f>
        <v>0</v>
      </c>
      <c r="AO81" s="111">
        <f>Calculations!AO343</f>
        <v>0</v>
      </c>
      <c r="AP81" s="111">
        <f>Calculations!AP343</f>
        <v>0</v>
      </c>
      <c r="AQ81" s="111">
        <f>Calculations!AQ343</f>
        <v>0</v>
      </c>
      <c r="AR81" s="111">
        <f>Calculations!AR343</f>
        <v>0</v>
      </c>
      <c r="AS81" s="111">
        <f>Calculations!AS343</f>
        <v>0</v>
      </c>
      <c r="AT81" s="111">
        <f>Calculations!AT343</f>
        <v>0</v>
      </c>
      <c r="AU81" s="111">
        <f>Calculations!AU343</f>
        <v>0</v>
      </c>
      <c r="AV81" s="111">
        <f>Calculations!AV343</f>
        <v>0</v>
      </c>
      <c r="AW81" s="111">
        <f>Calculations!AW343</f>
        <v>0</v>
      </c>
      <c r="AX81" s="111">
        <f>Calculations!AX343</f>
        <v>0</v>
      </c>
      <c r="AY81" s="111">
        <f>Calculations!AY343</f>
        <v>0</v>
      </c>
      <c r="AZ81" s="111">
        <f>Calculations!AZ343</f>
        <v>0</v>
      </c>
      <c r="BA81" s="111">
        <f>Calculations!BA343</f>
        <v>0</v>
      </c>
      <c r="BB81" s="111">
        <f>Calculations!BB343</f>
        <v>0</v>
      </c>
      <c r="BC81" s="111">
        <f>Calculations!BC343</f>
        <v>0</v>
      </c>
      <c r="BD81" s="111">
        <f>Calculations!BD343</f>
        <v>0</v>
      </c>
      <c r="BE81" s="111">
        <f>Calculations!BE343</f>
        <v>0</v>
      </c>
      <c r="BF81" s="111">
        <f>Calculations!BF343</f>
        <v>0</v>
      </c>
      <c r="BG81" s="111">
        <f>Calculations!BG343</f>
        <v>0</v>
      </c>
      <c r="BH81" s="111">
        <f>Calculations!BH343</f>
        <v>0</v>
      </c>
      <c r="BI81" s="111">
        <f>Calculations!BI343</f>
        <v>0</v>
      </c>
      <c r="BJ81" s="111">
        <f>Calculations!BJ343</f>
        <v>0</v>
      </c>
      <c r="BK81" s="111">
        <f>Calculations!BK343</f>
        <v>0</v>
      </c>
      <c r="BL81" s="111">
        <f>Calculations!BL343</f>
        <v>0</v>
      </c>
      <c r="BM81" s="111">
        <f>Calculations!BM343</f>
        <v>0</v>
      </c>
      <c r="BN81" s="111">
        <f>Calculations!BN343</f>
        <v>0</v>
      </c>
      <c r="BO81" s="111">
        <f>Calculations!BO343</f>
        <v>0</v>
      </c>
      <c r="BP81" s="112">
        <f>Calculations!BP343</f>
        <v>0</v>
      </c>
      <c r="BQ81" s="157">
        <f>Calculations!BQ343</f>
        <v>0</v>
      </c>
      <c r="BR81" s="158">
        <f>Calculations!BR343</f>
        <v>0</v>
      </c>
      <c r="BS81" s="158">
        <v>0</v>
      </c>
      <c r="BT81" s="158">
        <f>Calculations!BS343</f>
        <v>0</v>
      </c>
      <c r="BU81" s="159">
        <f>Calculations!BT343</f>
        <v>0</v>
      </c>
      <c r="BV81" s="157">
        <f>Calculations!BU343</f>
        <v>0</v>
      </c>
      <c r="BW81" s="158">
        <f>Calculations!BV343</f>
        <v>0</v>
      </c>
      <c r="BX81" s="159">
        <f>Calculations!BW343</f>
        <v>0</v>
      </c>
      <c r="BY81" s="157">
        <f>Calculations!BX343</f>
        <v>0</v>
      </c>
      <c r="BZ81" s="158">
        <f>Calculations!BY343</f>
        <v>0</v>
      </c>
      <c r="CA81" s="158">
        <f>Calculations!BZ344+Calculations!CA344</f>
        <v>0</v>
      </c>
      <c r="CB81" s="158">
        <f>Calculations!CB343</f>
        <v>0</v>
      </c>
      <c r="CC81" s="158">
        <f>Calculations!CC343</f>
        <v>0</v>
      </c>
      <c r="CD81" s="159">
        <f>Calculations!CD343</f>
        <v>0</v>
      </c>
      <c r="CE81" s="160">
        <f>Calculations!CE343</f>
        <v>0</v>
      </c>
      <c r="CF81" s="135">
        <f t="shared" ca="1" si="2"/>
        <v>64675.726235661765</v>
      </c>
      <c r="CH81">
        <f ca="1"/>
        <v>0</v>
      </c>
    </row>
    <row r="82" spans="1:86" ht="15" thickBot="1">
      <c r="A82" s="260"/>
      <c r="B82" s="28" t="s">
        <v>72</v>
      </c>
      <c r="C82" s="114">
        <f>Calculations!C344</f>
        <v>414.32236557237968</v>
      </c>
      <c r="D82" s="115">
        <f>Calculations!D344</f>
        <v>7222.3982615262066</v>
      </c>
      <c r="E82" s="115">
        <f>Calculations!E344</f>
        <v>3400.1650000000004</v>
      </c>
      <c r="F82" s="115">
        <f>Calculations!F344</f>
        <v>812.75200000000018</v>
      </c>
      <c r="G82" s="115">
        <f>Calculations!G344</f>
        <v>3.8130000000000006</v>
      </c>
      <c r="H82" s="115">
        <f>Calculations!H344</f>
        <v>307.87300000000005</v>
      </c>
      <c r="I82" s="115">
        <f>Calculations!I344</f>
        <v>879.57399999999961</v>
      </c>
      <c r="J82" s="115">
        <f>Calculations!J344</f>
        <v>1928.287</v>
      </c>
      <c r="K82" s="115">
        <f>Calculations!K344</f>
        <v>2437.259</v>
      </c>
      <c r="L82" s="115">
        <f>Calculations!L344</f>
        <v>1202.5650000000001</v>
      </c>
      <c r="M82" s="115">
        <f>Calculations!M344</f>
        <v>847.07500000000005</v>
      </c>
      <c r="N82" s="115">
        <f>Calculations!N344</f>
        <v>7323.4360000000015</v>
      </c>
      <c r="O82" s="115">
        <f>Calculations!O344</f>
        <v>982.25</v>
      </c>
      <c r="P82" s="115">
        <f>Calculations!P344</f>
        <v>685.34699999999998</v>
      </c>
      <c r="Q82" s="115">
        <f>Calculations!Q344</f>
        <v>614.31600000000003</v>
      </c>
      <c r="R82" s="115">
        <f>Calculations!R344</f>
        <v>2003.8069999999998</v>
      </c>
      <c r="S82" s="115">
        <f>Calculations!S344</f>
        <v>14343.292290434718</v>
      </c>
      <c r="T82" s="115">
        <f>Calculations!T344</f>
        <v>6345.6596327770749</v>
      </c>
      <c r="U82" s="115">
        <f>Calculations!U344</f>
        <v>54326.708782502654</v>
      </c>
      <c r="V82" s="115">
        <f>Calculations!V344</f>
        <v>14840.133197189909</v>
      </c>
      <c r="W82" s="115">
        <f>Calculations!W344</f>
        <v>4127.5230000000001</v>
      </c>
      <c r="X82" s="115">
        <f>Calculations!X344</f>
        <v>363.01099999999997</v>
      </c>
      <c r="Y82" s="115">
        <f>Calculations!Y344</f>
        <v>16945.328000000001</v>
      </c>
      <c r="Z82" s="115">
        <f>Calculations!Z344</f>
        <v>9873.7219999999979</v>
      </c>
      <c r="AA82" s="115">
        <f>Calculations!AA344</f>
        <v>9673.9790328041054</v>
      </c>
      <c r="AB82" s="115">
        <f>Calculations!AB344</f>
        <v>42425.425398966334</v>
      </c>
      <c r="AC82" s="115">
        <f>Calculations!AC344</f>
        <v>26572.158860166492</v>
      </c>
      <c r="AD82" s="115">
        <f>Calculations!AD344</f>
        <v>4521.020856125826</v>
      </c>
      <c r="AE82" s="115">
        <f>Calculations!AE344</f>
        <v>7398.0203187636944</v>
      </c>
      <c r="AF82" s="115">
        <f>Calculations!AF344</f>
        <v>1751.9120483821771</v>
      </c>
      <c r="AG82" s="115">
        <f>Calculations!AG344</f>
        <v>1148.211855200504</v>
      </c>
      <c r="AH82" s="115">
        <f>Calculations!AH344</f>
        <v>295.61847813004897</v>
      </c>
      <c r="AI82" s="116">
        <f>Calculations!AI344</f>
        <v>0.34192338889261009</v>
      </c>
      <c r="AJ82" s="110">
        <f>Calculations!AJ344</f>
        <v>0</v>
      </c>
      <c r="AK82" s="111">
        <f>Calculations!AK344</f>
        <v>0</v>
      </c>
      <c r="AL82" s="111">
        <f>Calculations!AL344</f>
        <v>0</v>
      </c>
      <c r="AM82" s="111">
        <f>Calculations!AM344</f>
        <v>0</v>
      </c>
      <c r="AN82" s="111">
        <f>Calculations!AN344</f>
        <v>0</v>
      </c>
      <c r="AO82" s="111">
        <f>Calculations!AO344</f>
        <v>0</v>
      </c>
      <c r="AP82" s="111">
        <f>Calculations!AP344</f>
        <v>0</v>
      </c>
      <c r="AQ82" s="111">
        <f>Calculations!AQ344</f>
        <v>0</v>
      </c>
      <c r="AR82" s="111">
        <f>Calculations!AR344</f>
        <v>0</v>
      </c>
      <c r="AS82" s="111">
        <f>Calculations!AS344</f>
        <v>0</v>
      </c>
      <c r="AT82" s="111">
        <f>Calculations!AT344</f>
        <v>0</v>
      </c>
      <c r="AU82" s="111">
        <f>Calculations!AU344</f>
        <v>0</v>
      </c>
      <c r="AV82" s="111">
        <f>Calculations!AV344</f>
        <v>0</v>
      </c>
      <c r="AW82" s="111">
        <f>Calculations!AW344</f>
        <v>0</v>
      </c>
      <c r="AX82" s="111">
        <f>Calculations!AX344</f>
        <v>0</v>
      </c>
      <c r="AY82" s="111">
        <f>Calculations!AY344</f>
        <v>0</v>
      </c>
      <c r="AZ82" s="111">
        <f>Calculations!AZ344</f>
        <v>0</v>
      </c>
      <c r="BA82" s="111">
        <f>Calculations!BA344</f>
        <v>0</v>
      </c>
      <c r="BB82" s="111">
        <f>Calculations!BB344</f>
        <v>0</v>
      </c>
      <c r="BC82" s="111">
        <f>Calculations!BC344</f>
        <v>0</v>
      </c>
      <c r="BD82" s="111">
        <f>Calculations!BD344</f>
        <v>0</v>
      </c>
      <c r="BE82" s="111">
        <f>Calculations!BE344</f>
        <v>0</v>
      </c>
      <c r="BF82" s="111">
        <f>Calculations!BF344</f>
        <v>0</v>
      </c>
      <c r="BG82" s="111">
        <f>Calculations!BG344</f>
        <v>0</v>
      </c>
      <c r="BH82" s="111">
        <f>Calculations!BH344</f>
        <v>0</v>
      </c>
      <c r="BI82" s="111">
        <f>Calculations!BI344</f>
        <v>0</v>
      </c>
      <c r="BJ82" s="111">
        <f>Calculations!BJ344</f>
        <v>0</v>
      </c>
      <c r="BK82" s="111">
        <f>Calculations!BK344</f>
        <v>0</v>
      </c>
      <c r="BL82" s="111">
        <f>Calculations!BL344</f>
        <v>0</v>
      </c>
      <c r="BM82" s="111">
        <f>Calculations!BM344</f>
        <v>0</v>
      </c>
      <c r="BN82" s="111">
        <f>Calculations!BN344</f>
        <v>0</v>
      </c>
      <c r="BO82" s="111">
        <f>Calculations!BO344</f>
        <v>0</v>
      </c>
      <c r="BP82" s="112">
        <f>Calculations!BP344</f>
        <v>0</v>
      </c>
      <c r="BQ82" s="110">
        <f>Calculations!BQ344</f>
        <v>0</v>
      </c>
      <c r="BR82" s="111">
        <f>Calculations!BR344</f>
        <v>0</v>
      </c>
      <c r="BS82" s="111">
        <v>0</v>
      </c>
      <c r="BT82" s="111">
        <f>Calculations!BS344</f>
        <v>0</v>
      </c>
      <c r="BU82" s="112">
        <f>Calculations!BT344</f>
        <v>0</v>
      </c>
      <c r="BV82" s="110">
        <f>Calculations!BU344</f>
        <v>0</v>
      </c>
      <c r="BW82" s="111">
        <f>Calculations!BV344</f>
        <v>0</v>
      </c>
      <c r="BX82" s="112">
        <f>Calculations!BW344</f>
        <v>0</v>
      </c>
      <c r="BY82" s="139">
        <f>Calculations!BX344</f>
        <v>0</v>
      </c>
      <c r="BZ82" s="140">
        <f>Calculations!BY344</f>
        <v>0</v>
      </c>
      <c r="CA82" s="140">
        <f>Calculations!BZ345+Calculations!CA345</f>
        <v>0</v>
      </c>
      <c r="CB82" s="140">
        <f>Calculations!CB344</f>
        <v>0</v>
      </c>
      <c r="CC82" s="111">
        <f>Calculations!CC344</f>
        <v>0</v>
      </c>
      <c r="CD82" s="112">
        <f>Calculations!CD344</f>
        <v>0</v>
      </c>
      <c r="CE82" s="113">
        <f>Calculations!CE344</f>
        <v>0</v>
      </c>
      <c r="CF82" s="117">
        <f t="shared" si="2"/>
        <v>246017.30630193106</v>
      </c>
      <c r="CH82">
        <f ca="1"/>
        <v>0</v>
      </c>
    </row>
    <row r="83" spans="1:86">
      <c r="A83" s="279" t="s">
        <v>70</v>
      </c>
      <c r="B83" s="14" t="s">
        <v>108</v>
      </c>
      <c r="C83" s="110">
        <f>Calculations!C345</f>
        <v>0</v>
      </c>
      <c r="D83" s="111">
        <f>Calculations!D345</f>
        <v>0</v>
      </c>
      <c r="E83" s="111">
        <f>Calculations!E345</f>
        <v>0</v>
      </c>
      <c r="F83" s="111">
        <f>Calculations!F345</f>
        <v>0</v>
      </c>
      <c r="G83" s="111">
        <f>Calculations!G345</f>
        <v>0</v>
      </c>
      <c r="H83" s="111">
        <f>Calculations!H345</f>
        <v>0</v>
      </c>
      <c r="I83" s="111">
        <f>Calculations!I345</f>
        <v>0</v>
      </c>
      <c r="J83" s="111">
        <f>Calculations!J345</f>
        <v>0</v>
      </c>
      <c r="K83" s="111">
        <f>Calculations!K345</f>
        <v>0</v>
      </c>
      <c r="L83" s="111">
        <f>Calculations!L345</f>
        <v>0</v>
      </c>
      <c r="M83" s="111">
        <f>Calculations!M345</f>
        <v>0</v>
      </c>
      <c r="N83" s="111">
        <f>Calculations!N345</f>
        <v>0</v>
      </c>
      <c r="O83" s="111">
        <f>Calculations!O345</f>
        <v>0</v>
      </c>
      <c r="P83" s="111">
        <f>Calculations!P345</f>
        <v>0</v>
      </c>
      <c r="Q83" s="111">
        <f>Calculations!Q345</f>
        <v>0</v>
      </c>
      <c r="R83" s="111">
        <f>Calculations!R345</f>
        <v>0</v>
      </c>
      <c r="S83" s="111">
        <f>Calculations!S345</f>
        <v>0</v>
      </c>
      <c r="T83" s="111">
        <f>Calculations!T345</f>
        <v>0</v>
      </c>
      <c r="U83" s="111">
        <f>Calculations!U345</f>
        <v>0</v>
      </c>
      <c r="V83" s="111">
        <f>Calculations!V345</f>
        <v>0</v>
      </c>
      <c r="W83" s="111">
        <f>Calculations!W345</f>
        <v>0</v>
      </c>
      <c r="X83" s="111">
        <f>Calculations!X345</f>
        <v>0</v>
      </c>
      <c r="Y83" s="111">
        <f>Calculations!Y345</f>
        <v>0</v>
      </c>
      <c r="Z83" s="111">
        <f>Calculations!Z345</f>
        <v>0</v>
      </c>
      <c r="AA83" s="111">
        <f>Calculations!AA345</f>
        <v>0</v>
      </c>
      <c r="AB83" s="111">
        <f>Calculations!AB345</f>
        <v>0</v>
      </c>
      <c r="AC83" s="111">
        <f>Calculations!AC345</f>
        <v>0</v>
      </c>
      <c r="AD83" s="111">
        <f>Calculations!AD345</f>
        <v>0</v>
      </c>
      <c r="AE83" s="111">
        <f>Calculations!AE345</f>
        <v>0</v>
      </c>
      <c r="AF83" s="111">
        <f>Calculations!AF345</f>
        <v>0</v>
      </c>
      <c r="AG83" s="111">
        <f>Calculations!AG345</f>
        <v>0</v>
      </c>
      <c r="AH83" s="111">
        <f>Calculations!AH345</f>
        <v>0</v>
      </c>
      <c r="AI83" s="112">
        <f>Calculations!AI345</f>
        <v>0</v>
      </c>
      <c r="AJ83" s="114">
        <f>Calculations!AJ345</f>
        <v>144.48319917074988</v>
      </c>
      <c r="AK83" s="115">
        <f>Calculations!AK345</f>
        <v>273.09907150285983</v>
      </c>
      <c r="AL83" s="115">
        <f>Calculations!AL345</f>
        <v>470.15579411139271</v>
      </c>
      <c r="AM83" s="115">
        <f>Calculations!AM345</f>
        <v>316.85345481780871</v>
      </c>
      <c r="AN83" s="115">
        <f>Calculations!AN345</f>
        <v>123.97176356046</v>
      </c>
      <c r="AO83" s="115">
        <f>Calculations!AO345</f>
        <v>25.615142863249726</v>
      </c>
      <c r="AP83" s="115">
        <f>Calculations!AP345</f>
        <v>76.334952436394971</v>
      </c>
      <c r="AQ83" s="115">
        <f>Calculations!AQ345</f>
        <v>110.92151011683221</v>
      </c>
      <c r="AR83" s="115">
        <f>Calculations!AR345</f>
        <v>341.30383999408031</v>
      </c>
      <c r="AS83" s="115">
        <f>Calculations!AS345</f>
        <v>117.91219445275921</v>
      </c>
      <c r="AT83" s="115">
        <f>Calculations!AT345</f>
        <v>78.717071856171785</v>
      </c>
      <c r="AU83" s="115">
        <f>Calculations!AU345</f>
        <v>767.68664665032475</v>
      </c>
      <c r="AV83" s="115">
        <f>Calculations!AV345</f>
        <v>552.83398678655647</v>
      </c>
      <c r="AW83" s="115">
        <f>Calculations!AW345</f>
        <v>901.72973205814549</v>
      </c>
      <c r="AX83" s="115">
        <f>Calculations!AX345</f>
        <v>798.31084508367542</v>
      </c>
      <c r="AY83" s="115">
        <f>Calculations!AY345</f>
        <v>364.30453778586281</v>
      </c>
      <c r="AZ83" s="115">
        <f>Calculations!AZ345</f>
        <v>251.03150737018399</v>
      </c>
      <c r="BA83" s="115">
        <f>Calculations!BA345</f>
        <v>1798.419359134663</v>
      </c>
      <c r="BB83" s="115">
        <f>Calculations!BB345</f>
        <v>2096.455468597982</v>
      </c>
      <c r="BC83" s="115">
        <f>Calculations!BC345</f>
        <v>1115.9617426456637</v>
      </c>
      <c r="BD83" s="115">
        <f>Calculations!BD345</f>
        <v>304.84349057504454</v>
      </c>
      <c r="BE83" s="115">
        <f>Calculations!BE345</f>
        <v>11.783962240474239</v>
      </c>
      <c r="BF83" s="115">
        <f>Calculations!BF345</f>
        <v>1717.8932022486185</v>
      </c>
      <c r="BG83" s="115">
        <f>Calculations!BG345</f>
        <v>230.70108520244324</v>
      </c>
      <c r="BH83" s="115">
        <f>Calculations!BH345</f>
        <v>873.73889883210711</v>
      </c>
      <c r="BI83" s="115">
        <f>Calculations!BI345</f>
        <v>646.64652197217947</v>
      </c>
      <c r="BJ83" s="115">
        <f>Calculations!BJ345</f>
        <v>1383.7912020421388</v>
      </c>
      <c r="BK83" s="115">
        <f>Calculations!BK345</f>
        <v>565.91719738690153</v>
      </c>
      <c r="BL83" s="115">
        <f>Calculations!BL345</f>
        <v>742.85724814210334</v>
      </c>
      <c r="BM83" s="115">
        <f>Calculations!BM345</f>
        <v>276.62232084941786</v>
      </c>
      <c r="BN83" s="115">
        <f>Calculations!BN345</f>
        <v>348.84260849367001</v>
      </c>
      <c r="BO83" s="115">
        <f>Calculations!BO345</f>
        <v>200.26044101909014</v>
      </c>
      <c r="BP83" s="116">
        <f>Calculations!BP345</f>
        <v>0</v>
      </c>
      <c r="BQ83" s="110">
        <f>Calculations!BQ345</f>
        <v>0</v>
      </c>
      <c r="BR83" s="111">
        <f>Calculations!BR345</f>
        <v>0</v>
      </c>
      <c r="BS83" s="111">
        <v>0</v>
      </c>
      <c r="BT83" s="111">
        <f>Calculations!BS345</f>
        <v>0</v>
      </c>
      <c r="BU83" s="112">
        <f>Calculations!BT345</f>
        <v>0</v>
      </c>
      <c r="BV83" s="110">
        <f>Calculations!BU345</f>
        <v>0</v>
      </c>
      <c r="BW83" s="111">
        <f>Calculations!BV345</f>
        <v>0</v>
      </c>
      <c r="BX83" s="112">
        <f>Calculations!BW345</f>
        <v>0</v>
      </c>
      <c r="BY83" s="139">
        <f>Calculations!BX345</f>
        <v>0</v>
      </c>
      <c r="BZ83" s="140">
        <f>Calculations!BY345</f>
        <v>0</v>
      </c>
      <c r="CA83" s="140">
        <f>Calculations!BZ346+Calculations!CA346</f>
        <v>0</v>
      </c>
      <c r="CB83" s="140">
        <f>Calculations!CB345</f>
        <v>0</v>
      </c>
      <c r="CC83" s="111">
        <f>Calculations!CC345</f>
        <v>0</v>
      </c>
      <c r="CD83" s="112">
        <f>Calculations!CD345</f>
        <v>0</v>
      </c>
      <c r="CE83" s="113">
        <f>Calculations!CE345</f>
        <v>0</v>
      </c>
      <c r="CF83" s="117">
        <f t="shared" si="2"/>
        <v>18030.000000000007</v>
      </c>
      <c r="CH83">
        <f ca="1"/>
        <v>0</v>
      </c>
    </row>
    <row r="84" spans="1:86">
      <c r="A84" s="280"/>
      <c r="B84" s="37" t="s">
        <v>109</v>
      </c>
      <c r="C84" s="110">
        <f>Calculations!C346</f>
        <v>0</v>
      </c>
      <c r="D84" s="111">
        <f>Calculations!D346</f>
        <v>0</v>
      </c>
      <c r="E84" s="111">
        <f>Calculations!E346</f>
        <v>0</v>
      </c>
      <c r="F84" s="111">
        <f>Calculations!F346</f>
        <v>0</v>
      </c>
      <c r="G84" s="111">
        <f>Calculations!G346</f>
        <v>0</v>
      </c>
      <c r="H84" s="111">
        <f>Calculations!H346</f>
        <v>0</v>
      </c>
      <c r="I84" s="111">
        <f>Calculations!I346</f>
        <v>0</v>
      </c>
      <c r="J84" s="111">
        <f>Calculations!J346</f>
        <v>0</v>
      </c>
      <c r="K84" s="111">
        <f>Calculations!K346</f>
        <v>0</v>
      </c>
      <c r="L84" s="111">
        <f>Calculations!L346</f>
        <v>0</v>
      </c>
      <c r="M84" s="111">
        <f>Calculations!M346</f>
        <v>0</v>
      </c>
      <c r="N84" s="111">
        <f>Calculations!N346</f>
        <v>0</v>
      </c>
      <c r="O84" s="111">
        <f>Calculations!O346</f>
        <v>0</v>
      </c>
      <c r="P84" s="111">
        <f>Calculations!P346</f>
        <v>0</v>
      </c>
      <c r="Q84" s="111">
        <f>Calculations!Q346</f>
        <v>0</v>
      </c>
      <c r="R84" s="111">
        <f>Calculations!R346</f>
        <v>0</v>
      </c>
      <c r="S84" s="111">
        <f>Calculations!S346</f>
        <v>0</v>
      </c>
      <c r="T84" s="111">
        <f>Calculations!T346</f>
        <v>0</v>
      </c>
      <c r="U84" s="111">
        <f>Calculations!U346</f>
        <v>0</v>
      </c>
      <c r="V84" s="111">
        <f>Calculations!V346</f>
        <v>0</v>
      </c>
      <c r="W84" s="111">
        <f>Calculations!W346</f>
        <v>0</v>
      </c>
      <c r="X84" s="111">
        <f>Calculations!X346</f>
        <v>0</v>
      </c>
      <c r="Y84" s="111">
        <f>Calculations!Y346</f>
        <v>0</v>
      </c>
      <c r="Z84" s="111">
        <f>Calculations!Z346</f>
        <v>0</v>
      </c>
      <c r="AA84" s="111">
        <f>Calculations!AA346</f>
        <v>0</v>
      </c>
      <c r="AB84" s="111">
        <f>Calculations!AB346</f>
        <v>0</v>
      </c>
      <c r="AC84" s="111">
        <f>Calculations!AC346</f>
        <v>0</v>
      </c>
      <c r="AD84" s="111">
        <f>Calculations!AD346</f>
        <v>0</v>
      </c>
      <c r="AE84" s="111">
        <f>Calculations!AE346</f>
        <v>0</v>
      </c>
      <c r="AF84" s="111">
        <f>Calculations!AF346</f>
        <v>0</v>
      </c>
      <c r="AG84" s="111">
        <f>Calculations!AG346</f>
        <v>0</v>
      </c>
      <c r="AH84" s="111">
        <f>Calculations!AH346</f>
        <v>0</v>
      </c>
      <c r="AI84" s="112">
        <f>Calculations!AI346</f>
        <v>0</v>
      </c>
      <c r="AJ84" s="110">
        <f>Calculations!AJ346</f>
        <v>0</v>
      </c>
      <c r="AK84" s="111">
        <f>Calculations!AK346</f>
        <v>0</v>
      </c>
      <c r="AL84" s="111">
        <f>Calculations!AL346</f>
        <v>0</v>
      </c>
      <c r="AM84" s="111">
        <f>Calculations!AM346</f>
        <v>0</v>
      </c>
      <c r="AN84" s="111">
        <f>Calculations!AN346</f>
        <v>0</v>
      </c>
      <c r="AO84" s="111">
        <f>Calculations!AO346</f>
        <v>0</v>
      </c>
      <c r="AP84" s="111">
        <f>Calculations!AP346</f>
        <v>0</v>
      </c>
      <c r="AQ84" s="111">
        <f>Calculations!AQ346</f>
        <v>0</v>
      </c>
      <c r="AR84" s="111">
        <f>Calculations!AR346</f>
        <v>0</v>
      </c>
      <c r="AS84" s="111">
        <f>Calculations!AS346</f>
        <v>0</v>
      </c>
      <c r="AT84" s="111">
        <f>Calculations!AT346</f>
        <v>0</v>
      </c>
      <c r="AU84" s="111">
        <f>Calculations!AU346</f>
        <v>0</v>
      </c>
      <c r="AV84" s="111">
        <f>Calculations!AV346</f>
        <v>0</v>
      </c>
      <c r="AW84" s="111">
        <f>Calculations!AW346</f>
        <v>0</v>
      </c>
      <c r="AX84" s="111">
        <f>Calculations!AX346</f>
        <v>0</v>
      </c>
      <c r="AY84" s="111">
        <f>Calculations!AY346</f>
        <v>0</v>
      </c>
      <c r="AZ84" s="111">
        <f>Calculations!AZ346</f>
        <v>0</v>
      </c>
      <c r="BA84" s="111">
        <f>Calculations!BA346</f>
        <v>0</v>
      </c>
      <c r="BB84" s="111">
        <f>Calculations!BB346</f>
        <v>0</v>
      </c>
      <c r="BC84" s="111">
        <f>Calculations!BC346</f>
        <v>0</v>
      </c>
      <c r="BD84" s="111">
        <f>Calculations!BD346</f>
        <v>0</v>
      </c>
      <c r="BE84" s="111">
        <f>Calculations!BE346</f>
        <v>0</v>
      </c>
      <c r="BF84" s="111">
        <f>Calculations!BF346</f>
        <v>0</v>
      </c>
      <c r="BG84" s="111">
        <f>Calculations!BG346</f>
        <v>0</v>
      </c>
      <c r="BH84" s="111">
        <f>Calculations!BH346</f>
        <v>0</v>
      </c>
      <c r="BI84" s="111">
        <f>Calculations!BI346</f>
        <v>0</v>
      </c>
      <c r="BJ84" s="111">
        <f>Calculations!BJ346</f>
        <v>0</v>
      </c>
      <c r="BK84" s="111">
        <f>Calculations!BK346</f>
        <v>0</v>
      </c>
      <c r="BL84" s="111">
        <f>Calculations!BL346</f>
        <v>0</v>
      </c>
      <c r="BM84" s="111">
        <f>Calculations!BM346</f>
        <v>0</v>
      </c>
      <c r="BN84" s="111">
        <f>Calculations!BN346</f>
        <v>0</v>
      </c>
      <c r="BO84" s="111">
        <f>Calculations!BO346</f>
        <v>0</v>
      </c>
      <c r="BP84" s="112">
        <f>Calculations!BP346</f>
        <v>0</v>
      </c>
      <c r="BQ84" s="110">
        <f>Calculations!BQ346</f>
        <v>0</v>
      </c>
      <c r="BR84" s="111">
        <f>Calculations!BR346</f>
        <v>0</v>
      </c>
      <c r="BS84" s="111">
        <v>0</v>
      </c>
      <c r="BT84" s="111">
        <f>Calculations!BS346</f>
        <v>0</v>
      </c>
      <c r="BU84" s="112">
        <f>Calculations!BT346</f>
        <v>0</v>
      </c>
      <c r="BV84" s="110">
        <f>Calculations!BU346</f>
        <v>0</v>
      </c>
      <c r="BW84" s="111">
        <f>Calculations!BV346</f>
        <v>0</v>
      </c>
      <c r="BX84" s="112">
        <f>Calculations!BW346</f>
        <v>0</v>
      </c>
      <c r="BY84" s="139">
        <f>Calculations!BX346</f>
        <v>0</v>
      </c>
      <c r="BZ84" s="140">
        <f>Calculations!BY346</f>
        <v>0</v>
      </c>
      <c r="CA84" s="140">
        <f>Calculations!BZ347+Calculations!CA347</f>
        <v>0</v>
      </c>
      <c r="CB84" s="140">
        <f>Calculations!CB346</f>
        <v>0</v>
      </c>
      <c r="CC84" s="111">
        <f>Calculations!CC346</f>
        <v>0</v>
      </c>
      <c r="CD84" s="112">
        <f>Calculations!CD346</f>
        <v>0</v>
      </c>
      <c r="CE84" s="113">
        <f>Calculations!CE346</f>
        <v>0</v>
      </c>
      <c r="CF84" s="117">
        <f t="shared" si="2"/>
        <v>0</v>
      </c>
      <c r="CH84">
        <f ca="1"/>
        <v>0</v>
      </c>
    </row>
    <row r="85" spans="1:86" ht="15" thickBot="1">
      <c r="A85" s="281"/>
      <c r="B85" s="55" t="s">
        <v>110</v>
      </c>
      <c r="C85" s="110">
        <f>Calculations!C347</f>
        <v>0</v>
      </c>
      <c r="D85" s="111">
        <f>Calculations!D347</f>
        <v>0</v>
      </c>
      <c r="E85" s="111">
        <f>Calculations!E347</f>
        <v>0</v>
      </c>
      <c r="F85" s="111">
        <f>Calculations!F347</f>
        <v>0</v>
      </c>
      <c r="G85" s="111">
        <f>Calculations!G347</f>
        <v>0</v>
      </c>
      <c r="H85" s="111">
        <f>Calculations!H347</f>
        <v>0</v>
      </c>
      <c r="I85" s="111">
        <f>Calculations!I347</f>
        <v>0</v>
      </c>
      <c r="J85" s="111">
        <f>Calculations!J347</f>
        <v>0</v>
      </c>
      <c r="K85" s="111">
        <f>Calculations!K347</f>
        <v>0</v>
      </c>
      <c r="L85" s="111">
        <f>Calculations!L347</f>
        <v>0</v>
      </c>
      <c r="M85" s="111">
        <f>Calculations!M347</f>
        <v>0</v>
      </c>
      <c r="N85" s="111">
        <f>Calculations!N347</f>
        <v>0</v>
      </c>
      <c r="O85" s="111">
        <f>Calculations!O347</f>
        <v>0</v>
      </c>
      <c r="P85" s="111">
        <f>Calculations!P347</f>
        <v>0</v>
      </c>
      <c r="Q85" s="111">
        <f>Calculations!Q347</f>
        <v>0</v>
      </c>
      <c r="R85" s="111">
        <f>Calculations!R347</f>
        <v>0</v>
      </c>
      <c r="S85" s="111">
        <f>Calculations!S347</f>
        <v>0</v>
      </c>
      <c r="T85" s="111">
        <f>Calculations!T347</f>
        <v>0</v>
      </c>
      <c r="U85" s="111">
        <f>Calculations!U347</f>
        <v>0</v>
      </c>
      <c r="V85" s="111">
        <f>Calculations!V347</f>
        <v>0</v>
      </c>
      <c r="W85" s="111">
        <f>Calculations!W347</f>
        <v>0</v>
      </c>
      <c r="X85" s="111">
        <f>Calculations!X347</f>
        <v>0</v>
      </c>
      <c r="Y85" s="111">
        <f>Calculations!Y347</f>
        <v>0</v>
      </c>
      <c r="Z85" s="111">
        <f>Calculations!Z347</f>
        <v>0</v>
      </c>
      <c r="AA85" s="111">
        <f>Calculations!AA347</f>
        <v>0</v>
      </c>
      <c r="AB85" s="111">
        <f>Calculations!AB347</f>
        <v>0</v>
      </c>
      <c r="AC85" s="111">
        <f>Calculations!AC347</f>
        <v>0</v>
      </c>
      <c r="AD85" s="111">
        <f>Calculations!AD347</f>
        <v>0</v>
      </c>
      <c r="AE85" s="111">
        <f>Calculations!AE347</f>
        <v>0</v>
      </c>
      <c r="AF85" s="111">
        <f>Calculations!AF347</f>
        <v>0</v>
      </c>
      <c r="AG85" s="111">
        <f>Calculations!AG347</f>
        <v>0</v>
      </c>
      <c r="AH85" s="111">
        <f>Calculations!AH347</f>
        <v>0</v>
      </c>
      <c r="AI85" s="112">
        <f>Calculations!AI347</f>
        <v>0</v>
      </c>
      <c r="AJ85" s="110">
        <f>Calculations!AJ347</f>
        <v>0</v>
      </c>
      <c r="AK85" s="111">
        <f>Calculations!AK347</f>
        <v>0</v>
      </c>
      <c r="AL85" s="111">
        <f>Calculations!AL347</f>
        <v>0</v>
      </c>
      <c r="AM85" s="111">
        <f>Calculations!AM347</f>
        <v>0</v>
      </c>
      <c r="AN85" s="111">
        <f>Calculations!AN347</f>
        <v>0</v>
      </c>
      <c r="AO85" s="111">
        <f>Calculations!AO347</f>
        <v>0</v>
      </c>
      <c r="AP85" s="111">
        <f>Calculations!AP347</f>
        <v>0</v>
      </c>
      <c r="AQ85" s="111">
        <f>Calculations!AQ347</f>
        <v>0</v>
      </c>
      <c r="AR85" s="111">
        <f>Calculations!AR347</f>
        <v>0</v>
      </c>
      <c r="AS85" s="111">
        <f>Calculations!AS347</f>
        <v>0</v>
      </c>
      <c r="AT85" s="111">
        <f>Calculations!AT347</f>
        <v>0</v>
      </c>
      <c r="AU85" s="111">
        <f>Calculations!AU347</f>
        <v>0</v>
      </c>
      <c r="AV85" s="111">
        <f>Calculations!AV347</f>
        <v>0</v>
      </c>
      <c r="AW85" s="111">
        <f>Calculations!AW347</f>
        <v>0</v>
      </c>
      <c r="AX85" s="111">
        <f>Calculations!AX347</f>
        <v>0</v>
      </c>
      <c r="AY85" s="111">
        <f>Calculations!AY347</f>
        <v>0</v>
      </c>
      <c r="AZ85" s="111">
        <f>Calculations!AZ347</f>
        <v>0</v>
      </c>
      <c r="BA85" s="111">
        <f>Calculations!BA347</f>
        <v>0</v>
      </c>
      <c r="BB85" s="111">
        <f>Calculations!BB347</f>
        <v>0</v>
      </c>
      <c r="BC85" s="111">
        <f>Calculations!BC347</f>
        <v>0</v>
      </c>
      <c r="BD85" s="111">
        <f>Calculations!BD347</f>
        <v>0</v>
      </c>
      <c r="BE85" s="111">
        <f>Calculations!BE347</f>
        <v>0</v>
      </c>
      <c r="BF85" s="111">
        <f>Calculations!BF347</f>
        <v>0</v>
      </c>
      <c r="BG85" s="111">
        <f>Calculations!BG347</f>
        <v>0</v>
      </c>
      <c r="BH85" s="111">
        <f>Calculations!BH347</f>
        <v>0</v>
      </c>
      <c r="BI85" s="111">
        <f>Calculations!BI347</f>
        <v>0</v>
      </c>
      <c r="BJ85" s="111">
        <f>Calculations!BJ347</f>
        <v>0</v>
      </c>
      <c r="BK85" s="111">
        <f>Calculations!BK347</f>
        <v>0</v>
      </c>
      <c r="BL85" s="111">
        <f>Calculations!BL347</f>
        <v>0</v>
      </c>
      <c r="BM85" s="111">
        <f>Calculations!BM347</f>
        <v>0</v>
      </c>
      <c r="BN85" s="111">
        <f>Calculations!BN347</f>
        <v>0</v>
      </c>
      <c r="BO85" s="111">
        <f>Calculations!BO347</f>
        <v>0</v>
      </c>
      <c r="BP85" s="112">
        <f>Calculations!BP347</f>
        <v>0</v>
      </c>
      <c r="BQ85" s="110">
        <f>Calculations!BQ347</f>
        <v>0</v>
      </c>
      <c r="BR85" s="111">
        <f>Calculations!BR347</f>
        <v>0</v>
      </c>
      <c r="BS85" s="111">
        <v>0</v>
      </c>
      <c r="BT85" s="111">
        <f>Calculations!BS347</f>
        <v>0</v>
      </c>
      <c r="BU85" s="112">
        <f>Calculations!BT347</f>
        <v>39520</v>
      </c>
      <c r="BV85" s="110">
        <f>Calculations!BU347</f>
        <v>0</v>
      </c>
      <c r="BW85" s="111">
        <f>Calculations!BV347</f>
        <v>0</v>
      </c>
      <c r="BX85" s="112">
        <f>Calculations!BW347</f>
        <v>0</v>
      </c>
      <c r="BY85" s="139">
        <f>Calculations!BX347</f>
        <v>0</v>
      </c>
      <c r="BZ85" s="140">
        <f>Calculations!BY347</f>
        <v>0</v>
      </c>
      <c r="CA85" s="140">
        <f>Calculations!BZ348+Calculations!CA348</f>
        <v>0</v>
      </c>
      <c r="CB85" s="140">
        <f>Calculations!CB347</f>
        <v>0</v>
      </c>
      <c r="CC85" s="111">
        <f>Calculations!CC347</f>
        <v>0</v>
      </c>
      <c r="CD85" s="112">
        <f>Calculations!CD347</f>
        <v>0</v>
      </c>
      <c r="CE85" s="113">
        <f>Calculations!CE347</f>
        <v>0</v>
      </c>
      <c r="CF85" s="117">
        <f t="shared" si="2"/>
        <v>39520</v>
      </c>
      <c r="CH85">
        <f ca="1"/>
        <v>0</v>
      </c>
    </row>
    <row r="86" spans="1:86">
      <c r="A86" s="259" t="s">
        <v>71</v>
      </c>
      <c r="B86" s="146" t="s">
        <v>300</v>
      </c>
      <c r="C86" s="110">
        <f>Calculations!C348</f>
        <v>0</v>
      </c>
      <c r="D86" s="111">
        <f>Calculations!D348</f>
        <v>0</v>
      </c>
      <c r="E86" s="111">
        <f>Calculations!E348</f>
        <v>0</v>
      </c>
      <c r="F86" s="111">
        <f>Calculations!F348</f>
        <v>0</v>
      </c>
      <c r="G86" s="111">
        <f>Calculations!G348</f>
        <v>0</v>
      </c>
      <c r="H86" s="111">
        <f>Calculations!H348</f>
        <v>0</v>
      </c>
      <c r="I86" s="111">
        <f>Calculations!I348</f>
        <v>0</v>
      </c>
      <c r="J86" s="111">
        <f>Calculations!J348</f>
        <v>0</v>
      </c>
      <c r="K86" s="111">
        <f>Calculations!K348</f>
        <v>0</v>
      </c>
      <c r="L86" s="111">
        <f>Calculations!L348</f>
        <v>0</v>
      </c>
      <c r="M86" s="111">
        <f>Calculations!M348</f>
        <v>0</v>
      </c>
      <c r="N86" s="111">
        <f>Calculations!N348</f>
        <v>0</v>
      </c>
      <c r="O86" s="111">
        <f>Calculations!O348</f>
        <v>0</v>
      </c>
      <c r="P86" s="111">
        <f>Calculations!P348</f>
        <v>0</v>
      </c>
      <c r="Q86" s="111">
        <f>Calculations!Q348</f>
        <v>0</v>
      </c>
      <c r="R86" s="111">
        <f>Calculations!R348</f>
        <v>0</v>
      </c>
      <c r="S86" s="111">
        <f>Calculations!S348</f>
        <v>0</v>
      </c>
      <c r="T86" s="111">
        <f>Calculations!T348</f>
        <v>0</v>
      </c>
      <c r="U86" s="111">
        <f>Calculations!U348</f>
        <v>0</v>
      </c>
      <c r="V86" s="111">
        <f>Calculations!V348</f>
        <v>0</v>
      </c>
      <c r="W86" s="111">
        <f>Calculations!W348</f>
        <v>0</v>
      </c>
      <c r="X86" s="111">
        <f>Calculations!X348</f>
        <v>0</v>
      </c>
      <c r="Y86" s="111">
        <f>Calculations!Y348</f>
        <v>0</v>
      </c>
      <c r="Z86" s="111">
        <f>Calculations!Z348</f>
        <v>0</v>
      </c>
      <c r="AA86" s="111">
        <f>Calculations!AA348</f>
        <v>0</v>
      </c>
      <c r="AB86" s="111">
        <f>Calculations!AB348</f>
        <v>0</v>
      </c>
      <c r="AC86" s="111">
        <f>Calculations!AC348</f>
        <v>0</v>
      </c>
      <c r="AD86" s="111">
        <f>Calculations!AD348</f>
        <v>0</v>
      </c>
      <c r="AE86" s="111">
        <f>Calculations!AE348</f>
        <v>0</v>
      </c>
      <c r="AF86" s="111">
        <f>Calculations!AF348</f>
        <v>0</v>
      </c>
      <c r="AG86" s="111">
        <f>Calculations!AG348</f>
        <v>0</v>
      </c>
      <c r="AH86" s="111">
        <f>Calculations!AH348</f>
        <v>0</v>
      </c>
      <c r="AI86" s="112">
        <f>Calculations!AI348</f>
        <v>0</v>
      </c>
      <c r="AJ86" s="110">
        <f>Calculations!AJ348</f>
        <v>0</v>
      </c>
      <c r="AK86" s="111">
        <f>Calculations!AK348</f>
        <v>0</v>
      </c>
      <c r="AL86" s="111">
        <f>Calculations!AL348</f>
        <v>0</v>
      </c>
      <c r="AM86" s="111">
        <f>Calculations!AM348</f>
        <v>0</v>
      </c>
      <c r="AN86" s="111">
        <f>Calculations!AN348</f>
        <v>0</v>
      </c>
      <c r="AO86" s="111">
        <f>Calculations!AO348</f>
        <v>0</v>
      </c>
      <c r="AP86" s="111">
        <f>Calculations!AP348</f>
        <v>0</v>
      </c>
      <c r="AQ86" s="111">
        <f>Calculations!AQ348</f>
        <v>0</v>
      </c>
      <c r="AR86" s="111">
        <f>Calculations!AR348</f>
        <v>0</v>
      </c>
      <c r="AS86" s="111">
        <f>Calculations!AS348</f>
        <v>0</v>
      </c>
      <c r="AT86" s="111">
        <f>Calculations!AT348</f>
        <v>0</v>
      </c>
      <c r="AU86" s="111">
        <f>Calculations!AU348</f>
        <v>0</v>
      </c>
      <c r="AV86" s="111">
        <f>Calculations!AV348</f>
        <v>0</v>
      </c>
      <c r="AW86" s="111">
        <f>Calculations!AW348</f>
        <v>0</v>
      </c>
      <c r="AX86" s="111">
        <f>Calculations!AX348</f>
        <v>0</v>
      </c>
      <c r="AY86" s="111">
        <f>Calculations!AY348</f>
        <v>0</v>
      </c>
      <c r="AZ86" s="111">
        <f>Calculations!AZ348</f>
        <v>0</v>
      </c>
      <c r="BA86" s="111">
        <f>Calculations!BA348</f>
        <v>0</v>
      </c>
      <c r="BB86" s="111">
        <f>Calculations!BB348</f>
        <v>0</v>
      </c>
      <c r="BC86" s="111">
        <f>Calculations!BC348</f>
        <v>0</v>
      </c>
      <c r="BD86" s="111">
        <f>Calculations!BD348</f>
        <v>0</v>
      </c>
      <c r="BE86" s="111">
        <f>Calculations!BE348</f>
        <v>0</v>
      </c>
      <c r="BF86" s="111">
        <f>Calculations!BF348</f>
        <v>0</v>
      </c>
      <c r="BG86" s="111">
        <f>Calculations!BG348</f>
        <v>0</v>
      </c>
      <c r="BH86" s="111">
        <f>Calculations!BH348</f>
        <v>0</v>
      </c>
      <c r="BI86" s="111">
        <f>Calculations!BI348</f>
        <v>0</v>
      </c>
      <c r="BJ86" s="111">
        <f>Calculations!BJ348</f>
        <v>0</v>
      </c>
      <c r="BK86" s="111">
        <f>Calculations!BK348</f>
        <v>0</v>
      </c>
      <c r="BL86" s="111">
        <f>Calculations!BL348</f>
        <v>0</v>
      </c>
      <c r="BM86" s="111">
        <f>Calculations!BM348</f>
        <v>0</v>
      </c>
      <c r="BN86" s="111">
        <f>Calculations!BN348</f>
        <v>0</v>
      </c>
      <c r="BO86" s="111">
        <f>Calculations!BO348</f>
        <v>0</v>
      </c>
      <c r="BP86" s="112">
        <f>Calculations!BP348</f>
        <v>0</v>
      </c>
      <c r="BQ86" s="220">
        <f ca="1">Calculations!BQ348</f>
        <v>16934.765366645173</v>
      </c>
      <c r="BR86" s="142">
        <f>Calculations!BR348</f>
        <v>0</v>
      </c>
      <c r="BS86" s="142"/>
      <c r="BT86" s="142">
        <f>Calculations!BS348</f>
        <v>0</v>
      </c>
      <c r="BU86" s="148">
        <f>Calculations!BT348</f>
        <v>185847.57567173796</v>
      </c>
      <c r="BV86" s="110">
        <f>Calculations!BU348</f>
        <v>0</v>
      </c>
      <c r="BW86" s="111">
        <f>Calculations!BV348</f>
        <v>0</v>
      </c>
      <c r="BX86" s="112">
        <f>Calculations!BW348</f>
        <v>0</v>
      </c>
      <c r="BY86" s="139">
        <f>Calculations!BX348</f>
        <v>0</v>
      </c>
      <c r="BZ86" s="140">
        <f>Calculations!BY348</f>
        <v>0</v>
      </c>
      <c r="CA86" s="140">
        <f>Calculations!BZ349+Calculations!CA349</f>
        <v>0</v>
      </c>
      <c r="CB86" s="140">
        <f>Calculations!CB348</f>
        <v>0</v>
      </c>
      <c r="CC86" s="221">
        <f ca="1">G3</f>
        <v>-2.6031075275948557E-11</v>
      </c>
      <c r="CD86" s="147">
        <f>Calculations!CD348</f>
        <v>0</v>
      </c>
      <c r="CE86" s="149">
        <f>Calculations!CE348</f>
        <v>0</v>
      </c>
      <c r="CF86" s="150">
        <f t="shared" ca="1" si="2"/>
        <v>202782.34103838311</v>
      </c>
      <c r="CH86">
        <f ca="1"/>
        <v>0</v>
      </c>
    </row>
    <row r="87" spans="1:86">
      <c r="A87" s="260"/>
      <c r="B87" s="151" t="s">
        <v>301</v>
      </c>
      <c r="C87" s="110">
        <f>Calculations!C349</f>
        <v>0</v>
      </c>
      <c r="D87" s="111">
        <f>Calculations!D349</f>
        <v>0</v>
      </c>
      <c r="E87" s="111">
        <f>Calculations!E349</f>
        <v>0</v>
      </c>
      <c r="F87" s="111">
        <f>Calculations!F349</f>
        <v>0</v>
      </c>
      <c r="G87" s="111">
        <f>Calculations!G349</f>
        <v>0</v>
      </c>
      <c r="H87" s="111">
        <f>Calculations!H349</f>
        <v>0</v>
      </c>
      <c r="I87" s="111">
        <f>Calculations!I349</f>
        <v>0</v>
      </c>
      <c r="J87" s="111">
        <f>Calculations!J349</f>
        <v>0</v>
      </c>
      <c r="K87" s="111">
        <f>Calculations!K349</f>
        <v>0</v>
      </c>
      <c r="L87" s="111">
        <f>Calculations!L349</f>
        <v>0</v>
      </c>
      <c r="M87" s="111">
        <f>Calculations!M349</f>
        <v>0</v>
      </c>
      <c r="N87" s="111">
        <f>Calculations!N349</f>
        <v>0</v>
      </c>
      <c r="O87" s="111">
        <f>Calculations!O349</f>
        <v>0</v>
      </c>
      <c r="P87" s="111">
        <f>Calculations!P349</f>
        <v>0</v>
      </c>
      <c r="Q87" s="111">
        <f>Calculations!Q349</f>
        <v>0</v>
      </c>
      <c r="R87" s="111">
        <f>Calculations!R349</f>
        <v>0</v>
      </c>
      <c r="S87" s="111">
        <f>Calculations!S349</f>
        <v>0</v>
      </c>
      <c r="T87" s="111">
        <f>Calculations!T349</f>
        <v>0</v>
      </c>
      <c r="U87" s="111">
        <f>Calculations!U349</f>
        <v>0</v>
      </c>
      <c r="V87" s="111">
        <f>Calculations!V349</f>
        <v>0</v>
      </c>
      <c r="W87" s="111">
        <f>Calculations!W349</f>
        <v>0</v>
      </c>
      <c r="X87" s="111">
        <f>Calculations!X349</f>
        <v>0</v>
      </c>
      <c r="Y87" s="111">
        <f>Calculations!Y349</f>
        <v>0</v>
      </c>
      <c r="Z87" s="111">
        <f>Calculations!Z349</f>
        <v>0</v>
      </c>
      <c r="AA87" s="111">
        <f>Calculations!AA349</f>
        <v>0</v>
      </c>
      <c r="AB87" s="111">
        <f>Calculations!AB349</f>
        <v>0</v>
      </c>
      <c r="AC87" s="111">
        <f>Calculations!AC349</f>
        <v>0</v>
      </c>
      <c r="AD87" s="111">
        <f>Calculations!AD349</f>
        <v>0</v>
      </c>
      <c r="AE87" s="111">
        <f>Calculations!AE349</f>
        <v>0</v>
      </c>
      <c r="AF87" s="111">
        <f>Calculations!AF349</f>
        <v>0</v>
      </c>
      <c r="AG87" s="111">
        <f>Calculations!AG349</f>
        <v>0</v>
      </c>
      <c r="AH87" s="111">
        <f>Calculations!AH349</f>
        <v>0</v>
      </c>
      <c r="AI87" s="112">
        <f>Calculations!AI349</f>
        <v>0</v>
      </c>
      <c r="AJ87" s="110">
        <f>Calculations!AJ349</f>
        <v>0</v>
      </c>
      <c r="AK87" s="111">
        <f>Calculations!AK349</f>
        <v>0</v>
      </c>
      <c r="AL87" s="111">
        <f>Calculations!AL349</f>
        <v>0</v>
      </c>
      <c r="AM87" s="111">
        <f>Calculations!AM349</f>
        <v>0</v>
      </c>
      <c r="AN87" s="111">
        <f>Calculations!AN349</f>
        <v>0</v>
      </c>
      <c r="AO87" s="111">
        <f>Calculations!AO349</f>
        <v>0</v>
      </c>
      <c r="AP87" s="111">
        <f>Calculations!AP349</f>
        <v>0</v>
      </c>
      <c r="AQ87" s="111">
        <f>Calculations!AQ349</f>
        <v>0</v>
      </c>
      <c r="AR87" s="111">
        <f>Calculations!AR349</f>
        <v>0</v>
      </c>
      <c r="AS87" s="111">
        <f>Calculations!AS349</f>
        <v>0</v>
      </c>
      <c r="AT87" s="111">
        <f>Calculations!AT349</f>
        <v>0</v>
      </c>
      <c r="AU87" s="111">
        <f>Calculations!AU349</f>
        <v>0</v>
      </c>
      <c r="AV87" s="111">
        <f>Calculations!AV349</f>
        <v>0</v>
      </c>
      <c r="AW87" s="111">
        <f>Calculations!AW349</f>
        <v>0</v>
      </c>
      <c r="AX87" s="111">
        <f>Calculations!AX349</f>
        <v>0</v>
      </c>
      <c r="AY87" s="111">
        <f>Calculations!AY349</f>
        <v>0</v>
      </c>
      <c r="AZ87" s="111">
        <f>Calculations!AZ349</f>
        <v>0</v>
      </c>
      <c r="BA87" s="111">
        <f>Calculations!BA349</f>
        <v>0</v>
      </c>
      <c r="BB87" s="111">
        <f>Calculations!BB349</f>
        <v>0</v>
      </c>
      <c r="BC87" s="111">
        <f>Calculations!BC349</f>
        <v>0</v>
      </c>
      <c r="BD87" s="111">
        <f>Calculations!BD349</f>
        <v>0</v>
      </c>
      <c r="BE87" s="111">
        <f>Calculations!BE349</f>
        <v>0</v>
      </c>
      <c r="BF87" s="111">
        <f>Calculations!BF349</f>
        <v>0</v>
      </c>
      <c r="BG87" s="111">
        <f>Calculations!BG349</f>
        <v>0</v>
      </c>
      <c r="BH87" s="111">
        <f>Calculations!BH349</f>
        <v>0</v>
      </c>
      <c r="BI87" s="111">
        <f>Calculations!BI349</f>
        <v>0</v>
      </c>
      <c r="BJ87" s="111">
        <f>Calculations!BJ349</f>
        <v>0</v>
      </c>
      <c r="BK87" s="111">
        <f>Calculations!BK349</f>
        <v>0</v>
      </c>
      <c r="BL87" s="111">
        <f>Calculations!BL349</f>
        <v>0</v>
      </c>
      <c r="BM87" s="111">
        <f>Calculations!BM349</f>
        <v>0</v>
      </c>
      <c r="BN87" s="111">
        <f>Calculations!BN349</f>
        <v>0</v>
      </c>
      <c r="BO87" s="111">
        <f>Calculations!BO349</f>
        <v>0</v>
      </c>
      <c r="BP87" s="112">
        <f>Calculations!BP349</f>
        <v>0</v>
      </c>
      <c r="BQ87" s="141">
        <f>Calculations!BQ349</f>
        <v>0</v>
      </c>
      <c r="BR87" s="142">
        <f ca="1">CF79</f>
        <v>134701.88743913104</v>
      </c>
      <c r="BS87" s="142"/>
      <c r="BT87" s="142">
        <f>Calculations!BS349</f>
        <v>0</v>
      </c>
      <c r="BU87" s="148">
        <f>Calculations!BT349</f>
        <v>20649.730630193109</v>
      </c>
      <c r="BV87" s="110">
        <f>Calculations!BU349</f>
        <v>0</v>
      </c>
      <c r="BW87" s="111">
        <f>Calculations!BV349</f>
        <v>0</v>
      </c>
      <c r="BX87" s="112">
        <f>Calculations!BW349</f>
        <v>0</v>
      </c>
      <c r="BY87" s="139">
        <f>Calculations!BX349</f>
        <v>0</v>
      </c>
      <c r="BZ87" s="140">
        <f>Calculations!BY349</f>
        <v>0</v>
      </c>
      <c r="CA87" s="140">
        <f>Calculations!BZ350+Calculations!CA350</f>
        <v>0</v>
      </c>
      <c r="CB87" s="140">
        <f>Calculations!CB349</f>
        <v>0</v>
      </c>
      <c r="CC87" s="140">
        <f>Calculations!CC349</f>
        <v>0</v>
      </c>
      <c r="CD87" s="147">
        <f>Calculations!CD349</f>
        <v>0</v>
      </c>
      <c r="CE87" s="149">
        <f>Calculations!CE349</f>
        <v>0</v>
      </c>
      <c r="CF87" s="150">
        <f t="shared" ca="1" si="2"/>
        <v>155351.61806932415</v>
      </c>
      <c r="CH87">
        <f ca="1"/>
        <v>0</v>
      </c>
    </row>
    <row r="88" spans="1:86">
      <c r="A88" s="260"/>
      <c r="B88" s="151" t="s">
        <v>521</v>
      </c>
      <c r="C88" s="110">
        <f>Calculations!C350</f>
        <v>0</v>
      </c>
      <c r="D88" s="111">
        <f>Calculations!D350</f>
        <v>0</v>
      </c>
      <c r="E88" s="111">
        <f>Calculations!E350</f>
        <v>0</v>
      </c>
      <c r="F88" s="111">
        <f>Calculations!F350</f>
        <v>0</v>
      </c>
      <c r="G88" s="111">
        <f>Calculations!G350</f>
        <v>0</v>
      </c>
      <c r="H88" s="111">
        <f>Calculations!H350</f>
        <v>0</v>
      </c>
      <c r="I88" s="111">
        <f>Calculations!I350</f>
        <v>0</v>
      </c>
      <c r="J88" s="111">
        <f>Calculations!J350</f>
        <v>0</v>
      </c>
      <c r="K88" s="111">
        <f>Calculations!K350</f>
        <v>0</v>
      </c>
      <c r="L88" s="111">
        <f>Calculations!L350</f>
        <v>0</v>
      </c>
      <c r="M88" s="111">
        <f>Calculations!M350</f>
        <v>0</v>
      </c>
      <c r="N88" s="111">
        <f>Calculations!N350</f>
        <v>0</v>
      </c>
      <c r="O88" s="111">
        <f>Calculations!O350</f>
        <v>0</v>
      </c>
      <c r="P88" s="111">
        <f>Calculations!P350</f>
        <v>0</v>
      </c>
      <c r="Q88" s="111">
        <f>Calculations!Q350</f>
        <v>0</v>
      </c>
      <c r="R88" s="111">
        <f>Calculations!R350</f>
        <v>0</v>
      </c>
      <c r="S88" s="111">
        <f>Calculations!S350</f>
        <v>0</v>
      </c>
      <c r="T88" s="111">
        <f>Calculations!T350</f>
        <v>0</v>
      </c>
      <c r="U88" s="111">
        <f>Calculations!U350</f>
        <v>0</v>
      </c>
      <c r="V88" s="111">
        <f>Calculations!V350</f>
        <v>0</v>
      </c>
      <c r="W88" s="111">
        <f>Calculations!W350</f>
        <v>0</v>
      </c>
      <c r="X88" s="111">
        <f>Calculations!X350</f>
        <v>0</v>
      </c>
      <c r="Y88" s="111">
        <f>Calculations!Y350</f>
        <v>0</v>
      </c>
      <c r="Z88" s="111">
        <f>Calculations!Z350</f>
        <v>0</v>
      </c>
      <c r="AA88" s="111">
        <f>Calculations!AA350</f>
        <v>0</v>
      </c>
      <c r="AB88" s="111">
        <f>Calculations!AB350</f>
        <v>0</v>
      </c>
      <c r="AC88" s="111">
        <f>Calculations!AC350</f>
        <v>0</v>
      </c>
      <c r="AD88" s="111">
        <f>Calculations!AD350</f>
        <v>0</v>
      </c>
      <c r="AE88" s="111">
        <f>Calculations!AE350</f>
        <v>0</v>
      </c>
      <c r="AF88" s="111">
        <f>Calculations!AF350</f>
        <v>0</v>
      </c>
      <c r="AG88" s="111">
        <f>Calculations!AG350</f>
        <v>0</v>
      </c>
      <c r="AH88" s="111">
        <f>Calculations!AH350</f>
        <v>0</v>
      </c>
      <c r="AI88" s="112">
        <f>Calculations!AI350</f>
        <v>0</v>
      </c>
      <c r="AJ88" s="110">
        <f>Calculations!AJ350</f>
        <v>0</v>
      </c>
      <c r="AK88" s="111">
        <f>Calculations!AK350</f>
        <v>0</v>
      </c>
      <c r="AL88" s="111">
        <f>Calculations!AL350</f>
        <v>0</v>
      </c>
      <c r="AM88" s="111">
        <f>Calculations!AM350</f>
        <v>0</v>
      </c>
      <c r="AN88" s="111">
        <f>Calculations!AN350</f>
        <v>0</v>
      </c>
      <c r="AO88" s="111">
        <f>Calculations!AO350</f>
        <v>0</v>
      </c>
      <c r="AP88" s="111">
        <f>Calculations!AP350</f>
        <v>0</v>
      </c>
      <c r="AQ88" s="111">
        <f>Calculations!AQ350</f>
        <v>0</v>
      </c>
      <c r="AR88" s="111">
        <f>Calculations!AR350</f>
        <v>0</v>
      </c>
      <c r="AS88" s="111">
        <f>Calculations!AS350</f>
        <v>0</v>
      </c>
      <c r="AT88" s="111">
        <f>Calculations!AT350</f>
        <v>0</v>
      </c>
      <c r="AU88" s="111">
        <f>Calculations!AU350</f>
        <v>0</v>
      </c>
      <c r="AV88" s="111">
        <f>Calculations!AV350</f>
        <v>0</v>
      </c>
      <c r="AW88" s="111">
        <f>Calculations!AW350</f>
        <v>0</v>
      </c>
      <c r="AX88" s="111">
        <f>Calculations!AX350</f>
        <v>0</v>
      </c>
      <c r="AY88" s="111">
        <f>Calculations!AY350</f>
        <v>0</v>
      </c>
      <c r="AZ88" s="111">
        <f>Calculations!AZ350</f>
        <v>0</v>
      </c>
      <c r="BA88" s="111">
        <f>Calculations!BA350</f>
        <v>0</v>
      </c>
      <c r="BB88" s="111">
        <f>Calculations!BB350</f>
        <v>0</v>
      </c>
      <c r="BC88" s="111">
        <f>Calculations!BC350</f>
        <v>0</v>
      </c>
      <c r="BD88" s="111">
        <f>Calculations!BD350</f>
        <v>0</v>
      </c>
      <c r="BE88" s="111">
        <f>Calculations!BE350</f>
        <v>0</v>
      </c>
      <c r="BF88" s="111">
        <f>Calculations!BF350</f>
        <v>0</v>
      </c>
      <c r="BG88" s="111">
        <f>Calculations!BG350</f>
        <v>0</v>
      </c>
      <c r="BH88" s="111">
        <f>Calculations!BH350</f>
        <v>0</v>
      </c>
      <c r="BI88" s="111">
        <f>Calculations!BI350</f>
        <v>0</v>
      </c>
      <c r="BJ88" s="111">
        <f>Calculations!BJ350</f>
        <v>0</v>
      </c>
      <c r="BK88" s="111">
        <f>Calculations!BK350</f>
        <v>0</v>
      </c>
      <c r="BL88" s="111">
        <f>Calculations!BL350</f>
        <v>0</v>
      </c>
      <c r="BM88" s="111">
        <f>Calculations!BM350</f>
        <v>0</v>
      </c>
      <c r="BN88" s="111">
        <f>Calculations!BN350</f>
        <v>0</v>
      </c>
      <c r="BO88" s="111">
        <f>Calculations!BO350</f>
        <v>0</v>
      </c>
      <c r="BP88" s="112">
        <f>Calculations!BP350</f>
        <v>0</v>
      </c>
      <c r="BQ88" s="141">
        <f>Calculations!BQ350</f>
        <v>0</v>
      </c>
      <c r="BS88" s="142">
        <f ca="1">CF80</f>
        <v>25259.512271243209</v>
      </c>
      <c r="BT88" s="142">
        <f>Calculations!BS350</f>
        <v>0</v>
      </c>
      <c r="BU88" s="148">
        <f>Calculations!BT350</f>
        <v>0</v>
      </c>
      <c r="BV88" s="110">
        <f>Calculations!BU350</f>
        <v>0</v>
      </c>
      <c r="BW88" s="111">
        <f>Calculations!BV350</f>
        <v>0</v>
      </c>
      <c r="BX88" s="112">
        <f>Calculations!BW350</f>
        <v>0</v>
      </c>
      <c r="BY88" s="139">
        <f>Calculations!BX350</f>
        <v>0</v>
      </c>
      <c r="BZ88" s="140">
        <f>Calculations!BY350</f>
        <v>0</v>
      </c>
      <c r="CA88" s="140">
        <f>Calculations!BZ351+Calculations!CA351</f>
        <v>0</v>
      </c>
      <c r="CB88" s="140">
        <f>Calculations!CB350</f>
        <v>0</v>
      </c>
      <c r="CC88" s="140">
        <f>Calculations!CC350</f>
        <v>0</v>
      </c>
      <c r="CD88" s="147">
        <f>Calculations!CD350</f>
        <v>0</v>
      </c>
      <c r="CE88" s="149">
        <f>Calculations!CE350</f>
        <v>0</v>
      </c>
      <c r="CF88" s="150">
        <f t="shared" ca="1" si="2"/>
        <v>25259.512271243209</v>
      </c>
      <c r="CH88">
        <f ca="1"/>
        <v>0</v>
      </c>
    </row>
    <row r="89" spans="1:86">
      <c r="A89" s="260"/>
      <c r="B89" s="151" t="s">
        <v>394</v>
      </c>
      <c r="C89" s="110">
        <f>Calculations!C352</f>
        <v>0</v>
      </c>
      <c r="D89" s="111">
        <f>Calculations!D352</f>
        <v>0</v>
      </c>
      <c r="E89" s="111">
        <f>Calculations!E352</f>
        <v>0</v>
      </c>
      <c r="F89" s="111">
        <f>Calculations!F352</f>
        <v>0</v>
      </c>
      <c r="G89" s="111">
        <f>Calculations!G352</f>
        <v>0</v>
      </c>
      <c r="H89" s="111">
        <f>Calculations!H352</f>
        <v>0</v>
      </c>
      <c r="I89" s="111">
        <f>Calculations!I352</f>
        <v>0</v>
      </c>
      <c r="J89" s="111">
        <f>Calculations!J352</f>
        <v>0</v>
      </c>
      <c r="K89" s="111">
        <f>Calculations!K352</f>
        <v>0</v>
      </c>
      <c r="L89" s="111">
        <f>Calculations!L352</f>
        <v>0</v>
      </c>
      <c r="M89" s="111">
        <f>Calculations!M352</f>
        <v>0</v>
      </c>
      <c r="N89" s="111">
        <f>Calculations!N352</f>
        <v>0</v>
      </c>
      <c r="O89" s="111">
        <f>Calculations!O352</f>
        <v>0</v>
      </c>
      <c r="P89" s="111">
        <f>Calculations!P352</f>
        <v>0</v>
      </c>
      <c r="Q89" s="111">
        <f>Calculations!Q352</f>
        <v>0</v>
      </c>
      <c r="R89" s="111">
        <f>Calculations!R352</f>
        <v>0</v>
      </c>
      <c r="S89" s="111">
        <f>Calculations!S352</f>
        <v>0</v>
      </c>
      <c r="T89" s="111">
        <f>Calculations!T352</f>
        <v>0</v>
      </c>
      <c r="U89" s="111">
        <f>Calculations!U352</f>
        <v>0</v>
      </c>
      <c r="V89" s="111">
        <f>Calculations!V352</f>
        <v>0</v>
      </c>
      <c r="W89" s="111">
        <f>Calculations!W352</f>
        <v>0</v>
      </c>
      <c r="X89" s="111">
        <f>Calculations!X352</f>
        <v>0</v>
      </c>
      <c r="Y89" s="111">
        <f>Calculations!Y352</f>
        <v>0</v>
      </c>
      <c r="Z89" s="111">
        <f>Calculations!Z352</f>
        <v>0</v>
      </c>
      <c r="AA89" s="111">
        <f>Calculations!AA352</f>
        <v>0</v>
      </c>
      <c r="AB89" s="111">
        <f>Calculations!AB352</f>
        <v>0</v>
      </c>
      <c r="AC89" s="111">
        <f>Calculations!AC352</f>
        <v>0</v>
      </c>
      <c r="AD89" s="111">
        <f>Calculations!AD352</f>
        <v>0</v>
      </c>
      <c r="AE89" s="111">
        <f>Calculations!AE352</f>
        <v>0</v>
      </c>
      <c r="AF89" s="111">
        <f>Calculations!AF352</f>
        <v>0</v>
      </c>
      <c r="AG89" s="111">
        <f>Calculations!AG352</f>
        <v>0</v>
      </c>
      <c r="AH89" s="111">
        <f>Calculations!AH352</f>
        <v>0</v>
      </c>
      <c r="AI89" s="112">
        <f>Calculations!AI352</f>
        <v>0</v>
      </c>
      <c r="AJ89" s="110">
        <f>Calculations!AJ352</f>
        <v>0</v>
      </c>
      <c r="AK89" s="111">
        <f>Calculations!AK352</f>
        <v>0</v>
      </c>
      <c r="AL89" s="111">
        <f>Calculations!AL352</f>
        <v>0</v>
      </c>
      <c r="AM89" s="111">
        <f>Calculations!AM352</f>
        <v>0</v>
      </c>
      <c r="AN89" s="111">
        <f>Calculations!AN352</f>
        <v>0</v>
      </c>
      <c r="AO89" s="111">
        <f>Calculations!AO352</f>
        <v>0</v>
      </c>
      <c r="AP89" s="111">
        <f>Calculations!AP352</f>
        <v>0</v>
      </c>
      <c r="AQ89" s="111">
        <f>Calculations!AQ352</f>
        <v>0</v>
      </c>
      <c r="AR89" s="111">
        <f>Calculations!AR352</f>
        <v>0</v>
      </c>
      <c r="AS89" s="111">
        <f>Calculations!AS352</f>
        <v>0</v>
      </c>
      <c r="AT89" s="111">
        <f>Calculations!AT352</f>
        <v>0</v>
      </c>
      <c r="AU89" s="111">
        <f>Calculations!AU352</f>
        <v>0</v>
      </c>
      <c r="AV89" s="111">
        <f>Calculations!AV352</f>
        <v>0</v>
      </c>
      <c r="AW89" s="111">
        <f>Calculations!AW352</f>
        <v>0</v>
      </c>
      <c r="AX89" s="111">
        <f>Calculations!AX352</f>
        <v>0</v>
      </c>
      <c r="AY89" s="111">
        <f>Calculations!AY352</f>
        <v>0</v>
      </c>
      <c r="AZ89" s="111">
        <f>Calculations!AZ352</f>
        <v>0</v>
      </c>
      <c r="BA89" s="111">
        <f>Calculations!BA352</f>
        <v>0</v>
      </c>
      <c r="BB89" s="111">
        <f>Calculations!BB352</f>
        <v>0</v>
      </c>
      <c r="BC89" s="111">
        <f>Calculations!BC352</f>
        <v>0</v>
      </c>
      <c r="BD89" s="111">
        <f>Calculations!BD352</f>
        <v>0</v>
      </c>
      <c r="BE89" s="111">
        <f>Calculations!BE352</f>
        <v>0</v>
      </c>
      <c r="BF89" s="111">
        <f>Calculations!BF352</f>
        <v>0</v>
      </c>
      <c r="BG89" s="111">
        <f>Calculations!BG352</f>
        <v>0</v>
      </c>
      <c r="BH89" s="111">
        <f>Calculations!BH352</f>
        <v>0</v>
      </c>
      <c r="BI89" s="111">
        <f>Calculations!BI352</f>
        <v>0</v>
      </c>
      <c r="BJ89" s="111">
        <f>Calculations!BJ352</f>
        <v>0</v>
      </c>
      <c r="BK89" s="111">
        <f>Calculations!BK352</f>
        <v>0</v>
      </c>
      <c r="BL89" s="111">
        <f>Calculations!BL352</f>
        <v>0</v>
      </c>
      <c r="BM89" s="111">
        <f>Calculations!BM352</f>
        <v>0</v>
      </c>
      <c r="BN89" s="111">
        <f>Calculations!BN352</f>
        <v>0</v>
      </c>
      <c r="BO89" s="111">
        <f>Calculations!BO352</f>
        <v>0</v>
      </c>
      <c r="BP89" s="112">
        <f>Calculations!BP352</f>
        <v>0</v>
      </c>
      <c r="BQ89" s="141">
        <f>Calculations!BQ352</f>
        <v>0</v>
      </c>
      <c r="BR89" s="142">
        <f>Calculations!BR352</f>
        <v>0</v>
      </c>
      <c r="BS89" s="142"/>
      <c r="BT89" s="142">
        <f ca="1">Calculations!BS352</f>
        <v>64675.726235661758</v>
      </c>
      <c r="BU89" s="148">
        <f>Calculations!BT352</f>
        <v>0</v>
      </c>
      <c r="BV89" s="110">
        <f>Calculations!BU352</f>
        <v>0</v>
      </c>
      <c r="BW89" s="111">
        <f>Calculations!BV352</f>
        <v>0</v>
      </c>
      <c r="BX89" s="112">
        <f>Calculations!BW352</f>
        <v>0</v>
      </c>
      <c r="BY89" s="139">
        <f>Calculations!BX352</f>
        <v>0</v>
      </c>
      <c r="BZ89" s="140">
        <f>Calculations!BY352</f>
        <v>0</v>
      </c>
      <c r="CA89" s="140">
        <f>Calculations!BZ353+Calculations!CA353</f>
        <v>0</v>
      </c>
      <c r="CB89" s="140">
        <f>Calculations!CB352</f>
        <v>0</v>
      </c>
      <c r="CC89" s="140">
        <f>Calculations!CC352</f>
        <v>0</v>
      </c>
      <c r="CD89" s="147">
        <f>Calculations!CD352</f>
        <v>0</v>
      </c>
      <c r="CE89" s="149">
        <f>Calculations!CE352</f>
        <v>0</v>
      </c>
      <c r="CF89" s="150">
        <f t="shared" ca="1" si="2"/>
        <v>64675.726235661758</v>
      </c>
      <c r="CH89">
        <f ca="1"/>
        <v>0</v>
      </c>
    </row>
    <row r="90" spans="1:86">
      <c r="A90" s="260"/>
      <c r="B90" s="37" t="s">
        <v>111</v>
      </c>
      <c r="C90" s="110">
        <f>Calculations!C353</f>
        <v>0</v>
      </c>
      <c r="D90" s="111">
        <f>Calculations!D353</f>
        <v>0</v>
      </c>
      <c r="E90" s="111">
        <f>Calculations!E353</f>
        <v>0</v>
      </c>
      <c r="F90" s="111">
        <f>Calculations!F353</f>
        <v>0</v>
      </c>
      <c r="G90" s="111">
        <f>Calculations!G353</f>
        <v>0</v>
      </c>
      <c r="H90" s="111">
        <f>Calculations!H353</f>
        <v>0</v>
      </c>
      <c r="I90" s="111">
        <f>Calculations!I353</f>
        <v>0</v>
      </c>
      <c r="J90" s="111">
        <f>Calculations!J353</f>
        <v>0</v>
      </c>
      <c r="K90" s="111">
        <f>Calculations!K353</f>
        <v>0</v>
      </c>
      <c r="L90" s="111">
        <f>Calculations!L353</f>
        <v>0</v>
      </c>
      <c r="M90" s="111">
        <f>Calculations!M353</f>
        <v>0</v>
      </c>
      <c r="N90" s="111">
        <f>Calculations!N353</f>
        <v>0</v>
      </c>
      <c r="O90" s="111">
        <f>Calculations!O353</f>
        <v>0</v>
      </c>
      <c r="P90" s="111">
        <f>Calculations!P353</f>
        <v>0</v>
      </c>
      <c r="Q90" s="111">
        <f>Calculations!Q353</f>
        <v>0</v>
      </c>
      <c r="R90" s="111">
        <f>Calculations!R353</f>
        <v>0</v>
      </c>
      <c r="S90" s="111">
        <f>Calculations!S353</f>
        <v>0</v>
      </c>
      <c r="T90" s="111">
        <f>Calculations!T353</f>
        <v>0</v>
      </c>
      <c r="U90" s="111">
        <f>Calculations!U353</f>
        <v>0</v>
      </c>
      <c r="V90" s="111">
        <f>Calculations!V353</f>
        <v>0</v>
      </c>
      <c r="W90" s="111">
        <f>Calculations!W353</f>
        <v>0</v>
      </c>
      <c r="X90" s="111">
        <f>Calculations!X353</f>
        <v>0</v>
      </c>
      <c r="Y90" s="111">
        <f>Calculations!Y353</f>
        <v>0</v>
      </c>
      <c r="Z90" s="111">
        <f>Calculations!Z353</f>
        <v>0</v>
      </c>
      <c r="AA90" s="111">
        <f>Calculations!AA353</f>
        <v>0</v>
      </c>
      <c r="AB90" s="111">
        <f>Calculations!AB353</f>
        <v>0</v>
      </c>
      <c r="AC90" s="111">
        <f>Calculations!AC353</f>
        <v>0</v>
      </c>
      <c r="AD90" s="111">
        <f>Calculations!AD353</f>
        <v>0</v>
      </c>
      <c r="AE90" s="111">
        <f>Calculations!AE353</f>
        <v>0</v>
      </c>
      <c r="AF90" s="111">
        <f>Calculations!AF353</f>
        <v>0</v>
      </c>
      <c r="AG90" s="111">
        <f>Calculations!AG353</f>
        <v>0</v>
      </c>
      <c r="AH90" s="111">
        <f>Calculations!AH353</f>
        <v>0</v>
      </c>
      <c r="AI90" s="112">
        <f>Calculations!AI353</f>
        <v>0</v>
      </c>
      <c r="AJ90" s="110">
        <f>Calculations!AJ353</f>
        <v>0</v>
      </c>
      <c r="AK90" s="111">
        <f>Calculations!AK353</f>
        <v>0</v>
      </c>
      <c r="AL90" s="111">
        <f>Calculations!AL353</f>
        <v>0</v>
      </c>
      <c r="AM90" s="111">
        <f>Calculations!AM353</f>
        <v>0</v>
      </c>
      <c r="AN90" s="111">
        <f>Calculations!AN353</f>
        <v>0</v>
      </c>
      <c r="AO90" s="111">
        <f>Calculations!AO353</f>
        <v>0</v>
      </c>
      <c r="AP90" s="111">
        <f>Calculations!AP353</f>
        <v>0</v>
      </c>
      <c r="AQ90" s="111">
        <f>Calculations!AQ353</f>
        <v>0</v>
      </c>
      <c r="AR90" s="111">
        <f>Calculations!AR353</f>
        <v>0</v>
      </c>
      <c r="AS90" s="111">
        <f>Calculations!AS353</f>
        <v>0</v>
      </c>
      <c r="AT90" s="111">
        <f>Calculations!AT353</f>
        <v>0</v>
      </c>
      <c r="AU90" s="111">
        <f>Calculations!AU353</f>
        <v>0</v>
      </c>
      <c r="AV90" s="111">
        <f>Calculations!AV353</f>
        <v>0</v>
      </c>
      <c r="AW90" s="111">
        <f>Calculations!AW353</f>
        <v>0</v>
      </c>
      <c r="AX90" s="111">
        <f>Calculations!AX353</f>
        <v>0</v>
      </c>
      <c r="AY90" s="111">
        <f>Calculations!AY353</f>
        <v>0</v>
      </c>
      <c r="AZ90" s="111">
        <f>Calculations!AZ353</f>
        <v>0</v>
      </c>
      <c r="BA90" s="111">
        <f>Calculations!BA353</f>
        <v>0</v>
      </c>
      <c r="BB90" s="111">
        <f>Calculations!BB353</f>
        <v>0</v>
      </c>
      <c r="BC90" s="111">
        <f>Calculations!BC353</f>
        <v>0</v>
      </c>
      <c r="BD90" s="111">
        <f>Calculations!BD353</f>
        <v>0</v>
      </c>
      <c r="BE90" s="111">
        <f>Calculations!BE353</f>
        <v>0</v>
      </c>
      <c r="BF90" s="111">
        <f>Calculations!BF353</f>
        <v>0</v>
      </c>
      <c r="BG90" s="111">
        <f>Calculations!BG353</f>
        <v>0</v>
      </c>
      <c r="BH90" s="111">
        <f>Calculations!BH353</f>
        <v>0</v>
      </c>
      <c r="BI90" s="111">
        <f>Calculations!BI353</f>
        <v>0</v>
      </c>
      <c r="BJ90" s="111">
        <f>Calculations!BJ353</f>
        <v>0</v>
      </c>
      <c r="BK90" s="111">
        <f>Calculations!BK353</f>
        <v>0</v>
      </c>
      <c r="BL90" s="111">
        <f>Calculations!BL353</f>
        <v>0</v>
      </c>
      <c r="BM90" s="111">
        <f>Calculations!BM353</f>
        <v>0</v>
      </c>
      <c r="BN90" s="111">
        <f>Calculations!BN353</f>
        <v>0</v>
      </c>
      <c r="BO90" s="111">
        <f>Calculations!BO353</f>
        <v>0</v>
      </c>
      <c r="BP90" s="112">
        <f>Calculations!BP353</f>
        <v>0</v>
      </c>
      <c r="BQ90" s="110">
        <f>Calculations!BQ353</f>
        <v>0</v>
      </c>
      <c r="BR90" s="111">
        <f>Calculations!BR353</f>
        <v>0</v>
      </c>
      <c r="BS90" s="111">
        <v>0</v>
      </c>
      <c r="BT90" s="111">
        <f>Calculations!BS353</f>
        <v>0</v>
      </c>
      <c r="BU90" s="112">
        <f>Calculations!BT353</f>
        <v>0</v>
      </c>
      <c r="BV90" s="119">
        <f>Calculations!BU353</f>
        <v>18030.000000000007</v>
      </c>
      <c r="BW90" s="115">
        <f>Calculations!BV353</f>
        <v>0</v>
      </c>
      <c r="BX90" s="118">
        <f>Calculations!BW353</f>
        <v>39520</v>
      </c>
      <c r="BY90" s="220" cm="1">
        <f t="array" aca="1" ref="BY90:CA90" ca="1">TRANSPOSE(F5:F7)</f>
        <v>-4.0826325544451844E-12</v>
      </c>
      <c r="BZ90" s="221">
        <f ca="1"/>
        <v>-1.0736459834296947E-11</v>
      </c>
      <c r="CA90" s="221">
        <f ca="1"/>
        <v>-2.5349577952235727E-12</v>
      </c>
      <c r="CB90" s="142">
        <f ca="1">5/8*$CC86*CB71/SUM($BY71:$CA71)</f>
        <v>0</v>
      </c>
      <c r="CC90" s="111">
        <f>Calculations!CC353</f>
        <v>0</v>
      </c>
      <c r="CD90" s="112">
        <f>Calculations!CD353</f>
        <v>0</v>
      </c>
      <c r="CE90" s="113">
        <f>Calculations!CE353</f>
        <v>0</v>
      </c>
      <c r="CF90" s="117">
        <f t="shared" ca="1" si="2"/>
        <v>57549.999999999993</v>
      </c>
      <c r="CH90">
        <f ca="1"/>
        <v>0</v>
      </c>
    </row>
    <row r="91" spans="1:86" ht="15" thickBot="1">
      <c r="A91" s="271"/>
      <c r="B91" s="55" t="s">
        <v>112</v>
      </c>
      <c r="C91" s="110">
        <f>Calculations!C354</f>
        <v>0</v>
      </c>
      <c r="D91" s="111">
        <f>Calculations!D354</f>
        <v>0</v>
      </c>
      <c r="E91" s="111">
        <f>Calculations!E354</f>
        <v>0</v>
      </c>
      <c r="F91" s="111">
        <f>Calculations!F354</f>
        <v>0</v>
      </c>
      <c r="G91" s="111">
        <f>Calculations!G354</f>
        <v>0</v>
      </c>
      <c r="H91" s="111">
        <f>Calculations!H354</f>
        <v>0</v>
      </c>
      <c r="I91" s="111">
        <f>Calculations!I354</f>
        <v>0</v>
      </c>
      <c r="J91" s="111">
        <f>Calculations!J354</f>
        <v>0</v>
      </c>
      <c r="K91" s="111">
        <f>Calculations!K354</f>
        <v>0</v>
      </c>
      <c r="L91" s="111">
        <f>Calculations!L354</f>
        <v>0</v>
      </c>
      <c r="M91" s="111">
        <f>Calculations!M354</f>
        <v>0</v>
      </c>
      <c r="N91" s="111">
        <f>Calculations!N354</f>
        <v>0</v>
      </c>
      <c r="O91" s="111">
        <f>Calculations!O354</f>
        <v>0</v>
      </c>
      <c r="P91" s="111">
        <f>Calculations!P354</f>
        <v>0</v>
      </c>
      <c r="Q91" s="111">
        <f>Calculations!Q354</f>
        <v>0</v>
      </c>
      <c r="R91" s="111">
        <f>Calculations!R354</f>
        <v>0</v>
      </c>
      <c r="S91" s="111">
        <f>Calculations!S354</f>
        <v>0</v>
      </c>
      <c r="T91" s="111">
        <f>Calculations!T354</f>
        <v>0</v>
      </c>
      <c r="U91" s="111">
        <f>Calculations!U354</f>
        <v>0</v>
      </c>
      <c r="V91" s="111">
        <f>Calculations!V354</f>
        <v>0</v>
      </c>
      <c r="W91" s="111">
        <f>Calculations!W354</f>
        <v>0</v>
      </c>
      <c r="X91" s="111">
        <f>Calculations!X354</f>
        <v>0</v>
      </c>
      <c r="Y91" s="111">
        <f>Calculations!Y354</f>
        <v>0</v>
      </c>
      <c r="Z91" s="111">
        <f>Calculations!Z354</f>
        <v>0</v>
      </c>
      <c r="AA91" s="111">
        <f>Calculations!AA354</f>
        <v>0</v>
      </c>
      <c r="AB91" s="111">
        <f>Calculations!AB354</f>
        <v>0</v>
      </c>
      <c r="AC91" s="111">
        <f>Calculations!AC354</f>
        <v>0</v>
      </c>
      <c r="AD91" s="111">
        <f>Calculations!AD354</f>
        <v>0</v>
      </c>
      <c r="AE91" s="111">
        <f>Calculations!AE354</f>
        <v>0</v>
      </c>
      <c r="AF91" s="111">
        <f>Calculations!AF354</f>
        <v>0</v>
      </c>
      <c r="AG91" s="111">
        <f>Calculations!AG354</f>
        <v>0</v>
      </c>
      <c r="AH91" s="111">
        <f>Calculations!AH354</f>
        <v>0</v>
      </c>
      <c r="AI91" s="112">
        <f>Calculations!AI354</f>
        <v>0</v>
      </c>
      <c r="AJ91" s="114">
        <f>Calculations!AJ354</f>
        <v>20212.322345294069</v>
      </c>
      <c r="AK91" s="115">
        <f>Calculations!AK354</f>
        <v>139101.67731938651</v>
      </c>
      <c r="AL91" s="115">
        <f>Calculations!AL354</f>
        <v>45768.126544050683</v>
      </c>
      <c r="AM91" s="115">
        <f>Calculations!AM354</f>
        <v>23000.706149199865</v>
      </c>
      <c r="AN91" s="115">
        <f>Calculations!AN354</f>
        <v>14693.35849147378</v>
      </c>
      <c r="AO91" s="115">
        <f>Calculations!AO354</f>
        <v>3866.5111998998036</v>
      </c>
      <c r="AP91" s="115">
        <f>Calculations!AP354</f>
        <v>7356.2079338081558</v>
      </c>
      <c r="AQ91" s="115">
        <f>Calculations!AQ354</f>
        <v>49018.083156429879</v>
      </c>
      <c r="AR91" s="115">
        <f>Calculations!AR354</f>
        <v>49743.805549618293</v>
      </c>
      <c r="AS91" s="115">
        <f>Calculations!AS354</f>
        <v>11822.602704625409</v>
      </c>
      <c r="AT91" s="115">
        <f>Calculations!AT354</f>
        <v>6108.863209811695</v>
      </c>
      <c r="AU91" s="115">
        <f>Calculations!AU354</f>
        <v>125029.42745093258</v>
      </c>
      <c r="AV91" s="115">
        <f>Calculations!AV354</f>
        <v>60620.707330157245</v>
      </c>
      <c r="AW91" s="115">
        <f>Calculations!AW354</f>
        <v>137577.64257404418</v>
      </c>
      <c r="AX91" s="115">
        <f>Calculations!AX354</f>
        <v>48554.678550467055</v>
      </c>
      <c r="AY91" s="115">
        <f>Calculations!AY354</f>
        <v>46547.766977553787</v>
      </c>
      <c r="AZ91" s="115">
        <f>Calculations!AZ354</f>
        <v>0</v>
      </c>
      <c r="BA91" s="115">
        <f>Calculations!BA354</f>
        <v>0</v>
      </c>
      <c r="BB91" s="115">
        <f>Calculations!BB354</f>
        <v>0</v>
      </c>
      <c r="BC91" s="115">
        <f>Calculations!BC354</f>
        <v>219.06403796676381</v>
      </c>
      <c r="BD91" s="115">
        <f>Calculations!BD354</f>
        <v>0</v>
      </c>
      <c r="BE91" s="115">
        <f>Calculations!BE354</f>
        <v>0</v>
      </c>
      <c r="BF91" s="115">
        <f>Calculations!BF354</f>
        <v>0</v>
      </c>
      <c r="BG91" s="115">
        <f>Calculations!BG354</f>
        <v>0</v>
      </c>
      <c r="BH91" s="115">
        <f>Calculations!BH354</f>
        <v>0</v>
      </c>
      <c r="BI91" s="115">
        <f>Calculations!BI354</f>
        <v>0</v>
      </c>
      <c r="BJ91" s="115">
        <f>Calculations!BJ354</f>
        <v>0</v>
      </c>
      <c r="BK91" s="115">
        <f>Calculations!BK354</f>
        <v>0</v>
      </c>
      <c r="BL91" s="115">
        <f>Calculations!BL354</f>
        <v>0</v>
      </c>
      <c r="BM91" s="115">
        <f>Calculations!BM354</f>
        <v>4022.6955282891304</v>
      </c>
      <c r="BN91" s="115">
        <f>Calculations!BN354</f>
        <v>38.399523500531849</v>
      </c>
      <c r="BO91" s="115">
        <f>Calculations!BO354</f>
        <v>449.6151779165022</v>
      </c>
      <c r="BP91" s="116">
        <f>Calculations!BP354</f>
        <v>0</v>
      </c>
      <c r="BQ91" s="110">
        <f>Calculations!BQ354</f>
        <v>0</v>
      </c>
      <c r="BR91" s="111">
        <f>Calculations!BR354</f>
        <v>0</v>
      </c>
      <c r="BS91" s="111">
        <v>0</v>
      </c>
      <c r="BT91" s="111">
        <f>Calculations!BS354</f>
        <v>0</v>
      </c>
      <c r="BU91" s="112">
        <f>Calculations!BT354</f>
        <v>0</v>
      </c>
      <c r="BV91" s="110">
        <f>Calculations!BU354</f>
        <v>0</v>
      </c>
      <c r="BW91" s="111">
        <f>Calculations!BV354</f>
        <v>0</v>
      </c>
      <c r="BX91" s="112">
        <f>Calculations!BW354</f>
        <v>0</v>
      </c>
      <c r="BY91" s="215">
        <f ca="1">CF86-SUM(BY92,BY12:BY90)</f>
        <v>113534.54076843671</v>
      </c>
      <c r="BZ91" s="275">
        <f ca="1">CF87-SUM(BZ92,BZ12:BZ90)</f>
        <v>70377.91696306497</v>
      </c>
      <c r="CA91" s="275">
        <f ca="1">CF88-SUM(CA92,CA12:CA90)</f>
        <v>11773.816032836106</v>
      </c>
      <c r="CB91" s="142">
        <f ca="1">Calculations!CB354</f>
        <v>64675.726235661758</v>
      </c>
      <c r="CC91" s="111">
        <f>Calculations!CC354</f>
        <v>0</v>
      </c>
      <c r="CD91" s="112">
        <f>Calculations!CD354</f>
        <v>0</v>
      </c>
      <c r="CE91" s="113">
        <f>Calculations!CE354</f>
        <v>0</v>
      </c>
      <c r="CF91" s="117">
        <f t="shared" ca="1" si="2"/>
        <v>1054114.2617544255</v>
      </c>
      <c r="CH91">
        <f ca="1"/>
        <v>0</v>
      </c>
    </row>
    <row r="92" spans="1:86" ht="15" thickBot="1">
      <c r="A92" s="61" t="s">
        <v>72</v>
      </c>
      <c r="B92" s="55" t="s">
        <v>113</v>
      </c>
      <c r="C92" s="120">
        <f>Calculations!C355</f>
        <v>0</v>
      </c>
      <c r="D92" s="121">
        <f>Calculations!D355</f>
        <v>0</v>
      </c>
      <c r="E92" s="121">
        <f>Calculations!E355</f>
        <v>0</v>
      </c>
      <c r="F92" s="121">
        <f>Calculations!F355</f>
        <v>0</v>
      </c>
      <c r="G92" s="121">
        <f>Calculations!G355</f>
        <v>0</v>
      </c>
      <c r="H92" s="121">
        <f>Calculations!H355</f>
        <v>0</v>
      </c>
      <c r="I92" s="121">
        <f>Calculations!I355</f>
        <v>0</v>
      </c>
      <c r="J92" s="121">
        <f>Calculations!J355</f>
        <v>0</v>
      </c>
      <c r="K92" s="121">
        <f>Calculations!K355</f>
        <v>0</v>
      </c>
      <c r="L92" s="121">
        <f>Calculations!L355</f>
        <v>0</v>
      </c>
      <c r="M92" s="121">
        <f>Calculations!M355</f>
        <v>0</v>
      </c>
      <c r="N92" s="121">
        <f>Calculations!N355</f>
        <v>0</v>
      </c>
      <c r="O92" s="121">
        <f>Calculations!O355</f>
        <v>0</v>
      </c>
      <c r="P92" s="121">
        <f>Calculations!P355</f>
        <v>0</v>
      </c>
      <c r="Q92" s="121">
        <f>Calculations!Q355</f>
        <v>0</v>
      </c>
      <c r="R92" s="121">
        <f>Calculations!R355</f>
        <v>0</v>
      </c>
      <c r="S92" s="121">
        <f>Calculations!S355</f>
        <v>0</v>
      </c>
      <c r="T92" s="121">
        <f>Calculations!T355</f>
        <v>0</v>
      </c>
      <c r="U92" s="121">
        <f>Calculations!U355</f>
        <v>0</v>
      </c>
      <c r="V92" s="121">
        <f>Calculations!V355</f>
        <v>0</v>
      </c>
      <c r="W92" s="121">
        <f>Calculations!W355</f>
        <v>0</v>
      </c>
      <c r="X92" s="121">
        <f>Calculations!X355</f>
        <v>0</v>
      </c>
      <c r="Y92" s="121">
        <f>Calculations!Y355</f>
        <v>0</v>
      </c>
      <c r="Z92" s="121">
        <f>Calculations!Z355</f>
        <v>0</v>
      </c>
      <c r="AA92" s="121">
        <f>Calculations!AA355</f>
        <v>0</v>
      </c>
      <c r="AB92" s="121">
        <f>Calculations!AB355</f>
        <v>0</v>
      </c>
      <c r="AC92" s="121">
        <f>Calculations!AC355</f>
        <v>0</v>
      </c>
      <c r="AD92" s="121">
        <f>Calculations!AD355</f>
        <v>0</v>
      </c>
      <c r="AE92" s="121">
        <f>Calculations!AE355</f>
        <v>0</v>
      </c>
      <c r="AF92" s="121">
        <f>Calculations!AF355</f>
        <v>0</v>
      </c>
      <c r="AG92" s="121">
        <f>Calculations!AG355</f>
        <v>0</v>
      </c>
      <c r="AH92" s="121">
        <f>Calculations!AH355</f>
        <v>0</v>
      </c>
      <c r="AI92" s="122">
        <f>Calculations!AI355</f>
        <v>0</v>
      </c>
      <c r="AJ92" s="120">
        <f>Calculations!AJ355</f>
        <v>0</v>
      </c>
      <c r="AK92" s="121">
        <f>Calculations!AK355</f>
        <v>0</v>
      </c>
      <c r="AL92" s="121">
        <f>Calculations!AL355</f>
        <v>0</v>
      </c>
      <c r="AM92" s="121">
        <f>Calculations!AM355</f>
        <v>0</v>
      </c>
      <c r="AN92" s="121">
        <f>Calculations!AN355</f>
        <v>0</v>
      </c>
      <c r="AO92" s="121">
        <f>Calculations!AO355</f>
        <v>0</v>
      </c>
      <c r="AP92" s="121">
        <f>Calculations!AP355</f>
        <v>0</v>
      </c>
      <c r="AQ92" s="121">
        <f>Calculations!AQ355</f>
        <v>0</v>
      </c>
      <c r="AR92" s="121">
        <f>Calculations!AR355</f>
        <v>0</v>
      </c>
      <c r="AS92" s="121">
        <f>Calculations!AS355</f>
        <v>0</v>
      </c>
      <c r="AT92" s="121">
        <f>Calculations!AT355</f>
        <v>0</v>
      </c>
      <c r="AU92" s="121">
        <f>Calculations!AU355</f>
        <v>0</v>
      </c>
      <c r="AV92" s="121">
        <f>Calculations!AV355</f>
        <v>0</v>
      </c>
      <c r="AW92" s="121">
        <f>Calculations!AW355</f>
        <v>0</v>
      </c>
      <c r="AX92" s="121">
        <f>Calculations!AX355</f>
        <v>0</v>
      </c>
      <c r="AY92" s="121">
        <f>Calculations!AY355</f>
        <v>0</v>
      </c>
      <c r="AZ92" s="121">
        <f>Calculations!AZ355</f>
        <v>0</v>
      </c>
      <c r="BA92" s="121">
        <f>Calculations!BA355</f>
        <v>0</v>
      </c>
      <c r="BB92" s="121">
        <f>Calculations!BB355</f>
        <v>0</v>
      </c>
      <c r="BC92" s="121">
        <f>Calculations!BC355</f>
        <v>0</v>
      </c>
      <c r="BD92" s="121">
        <f>Calculations!BD355</f>
        <v>0</v>
      </c>
      <c r="BE92" s="121">
        <f>Calculations!BE355</f>
        <v>0</v>
      </c>
      <c r="BF92" s="121">
        <f>Calculations!BF355</f>
        <v>0</v>
      </c>
      <c r="BG92" s="121">
        <f>Calculations!BG355</f>
        <v>0</v>
      </c>
      <c r="BH92" s="121">
        <f>Calculations!BH355</f>
        <v>0</v>
      </c>
      <c r="BI92" s="121">
        <f>Calculations!BI355</f>
        <v>0</v>
      </c>
      <c r="BJ92" s="121">
        <f>Calculations!BJ355</f>
        <v>0</v>
      </c>
      <c r="BK92" s="121">
        <f>Calculations!BK355</f>
        <v>0</v>
      </c>
      <c r="BL92" s="121">
        <f>Calculations!BL355</f>
        <v>0</v>
      </c>
      <c r="BM92" s="121">
        <f>Calculations!BM355</f>
        <v>0</v>
      </c>
      <c r="BN92" s="121">
        <f>Calculations!BN355</f>
        <v>0</v>
      </c>
      <c r="BO92" s="121">
        <f>Calculations!BO355</f>
        <v>0</v>
      </c>
      <c r="BP92" s="122">
        <f>Calculations!BP355</f>
        <v>0</v>
      </c>
      <c r="BQ92" s="120">
        <f>Calculations!BQ355</f>
        <v>0</v>
      </c>
      <c r="BR92" s="121">
        <f>Calculations!BR355</f>
        <v>0</v>
      </c>
      <c r="BS92" s="121">
        <v>0</v>
      </c>
      <c r="BT92" s="121">
        <f>Calculations!BS355</f>
        <v>0</v>
      </c>
      <c r="BU92" s="122">
        <f>Calculations!BT355</f>
        <v>0</v>
      </c>
      <c r="BV92" s="120">
        <f>Calculations!BU355</f>
        <v>0</v>
      </c>
      <c r="BW92" s="121">
        <f>Calculations!BV355</f>
        <v>0</v>
      </c>
      <c r="BX92" s="122">
        <f>Calculations!BW355</f>
        <v>0</v>
      </c>
      <c r="BY92" s="141">
        <f ca="1">Calculations!BX355</f>
        <v>69448.44641840391</v>
      </c>
      <c r="BZ92" s="143">
        <f ca="1">Calculations!BY355</f>
        <v>7716.4940464893298</v>
      </c>
      <c r="CA92" s="142">
        <f ca="1">Calculations!BZ355+Calculations!CA355</f>
        <v>0</v>
      </c>
      <c r="CB92" s="143">
        <f ca="1">Calculations!CB355</f>
        <v>0</v>
      </c>
      <c r="CC92" s="133">
        <f>Calculations!CC355</f>
        <v>2800.0000003500099</v>
      </c>
      <c r="CD92" s="123">
        <f>Calculations!CD355</f>
        <v>36587.752063971013</v>
      </c>
      <c r="CE92" s="124">
        <f>Calculations!CE355</f>
        <v>0</v>
      </c>
      <c r="CF92" s="125">
        <f t="shared" ca="1" si="2"/>
        <v>116552.69252921426</v>
      </c>
      <c r="CH92">
        <f ca="1"/>
        <v>0</v>
      </c>
    </row>
    <row r="93" spans="1:86" ht="15" thickBot="1">
      <c r="A93" s="69"/>
      <c r="B93" s="70" t="s">
        <v>114</v>
      </c>
      <c r="C93" s="126">
        <f t="shared" ref="C93:AH93" ca="1" si="3">SUM(C12:C92)</f>
        <v>1512.2992146246634</v>
      </c>
      <c r="D93" s="127">
        <f t="shared" ca="1" si="3"/>
        <v>11448.728531581437</v>
      </c>
      <c r="E93" s="127">
        <f t="shared" ca="1" si="3"/>
        <v>25557.718999999986</v>
      </c>
      <c r="F93" s="127">
        <f t="shared" ca="1" si="3"/>
        <v>3421.0370000000003</v>
      </c>
      <c r="G93" s="127">
        <f t="shared" ca="1" si="3"/>
        <v>29.598000000000013</v>
      </c>
      <c r="H93" s="127">
        <f t="shared" ca="1" si="3"/>
        <v>2673.8830000000003</v>
      </c>
      <c r="I93" s="127">
        <f t="shared" ca="1" si="3"/>
        <v>7097.443000000002</v>
      </c>
      <c r="J93" s="127">
        <f t="shared" ca="1" si="3"/>
        <v>28389.412000000011</v>
      </c>
      <c r="K93" s="127">
        <f t="shared" ca="1" si="3"/>
        <v>13147.266</v>
      </c>
      <c r="L93" s="127">
        <f t="shared" ca="1" si="3"/>
        <v>6406.5290000000023</v>
      </c>
      <c r="M93" s="127">
        <f t="shared" ca="1" si="3"/>
        <v>8147.143</v>
      </c>
      <c r="N93" s="127">
        <f t="shared" ca="1" si="3"/>
        <v>38703.505000000012</v>
      </c>
      <c r="O93" s="127">
        <f t="shared" ca="1" si="3"/>
        <v>7111.3469999999998</v>
      </c>
      <c r="P93" s="127">
        <f t="shared" ca="1" si="3"/>
        <v>6245.6820000000007</v>
      </c>
      <c r="Q93" s="127">
        <f t="shared" ca="1" si="3"/>
        <v>2014.7719999999999</v>
      </c>
      <c r="R93" s="127">
        <f t="shared" ca="1" si="3"/>
        <v>13743.499999999996</v>
      </c>
      <c r="S93" s="127">
        <f t="shared" ca="1" si="3"/>
        <v>32516.284247284777</v>
      </c>
      <c r="T93" s="127">
        <f t="shared" ca="1" si="3"/>
        <v>89406.357042682357</v>
      </c>
      <c r="U93" s="127">
        <f t="shared" ca="1" si="3"/>
        <v>190466.70173842867</v>
      </c>
      <c r="V93" s="127">
        <f t="shared" ca="1" si="3"/>
        <v>61824.290783745382</v>
      </c>
      <c r="W93" s="127">
        <f t="shared" ca="1" si="3"/>
        <v>15857.388999999996</v>
      </c>
      <c r="X93" s="127">
        <f t="shared" ca="1" si="3"/>
        <v>2289.5280000000002</v>
      </c>
      <c r="Y93" s="127">
        <f t="shared" ca="1" si="3"/>
        <v>102307.00899999999</v>
      </c>
      <c r="Z93" s="127">
        <f t="shared" ca="1" si="3"/>
        <v>51951.452999999994</v>
      </c>
      <c r="AA93" s="127">
        <f t="shared" ca="1" si="3"/>
        <v>33978.014777243785</v>
      </c>
      <c r="AB93" s="127">
        <f t="shared" ca="1" si="3"/>
        <v>68358.296123052933</v>
      </c>
      <c r="AC93" s="127">
        <f t="shared" ca="1" si="3"/>
        <v>51738.011936033472</v>
      </c>
      <c r="AD93" s="127">
        <f t="shared" ca="1" si="3"/>
        <v>92686.29159503273</v>
      </c>
      <c r="AE93" s="127">
        <f t="shared" ca="1" si="3"/>
        <v>48821.366518956798</v>
      </c>
      <c r="AF93" s="127">
        <f t="shared" ca="1" si="3"/>
        <v>12497.736973482995</v>
      </c>
      <c r="AG93" s="127">
        <f t="shared" ca="1" si="3"/>
        <v>11654.900466501786</v>
      </c>
      <c r="AH93" s="127">
        <f t="shared" ca="1" si="3"/>
        <v>7820.8397258647356</v>
      </c>
      <c r="AI93" s="128">
        <f t="shared" ref="AI93:BN93" ca="1" si="4">SUM(AI12:AI92)</f>
        <v>1945.3419233888928</v>
      </c>
      <c r="AJ93" s="126">
        <f t="shared" si="4"/>
        <v>21869.104759089481</v>
      </c>
      <c r="AK93" s="127">
        <f t="shared" si="4"/>
        <v>150823.50492247081</v>
      </c>
      <c r="AL93" s="127">
        <f t="shared" si="4"/>
        <v>71796.001338162067</v>
      </c>
      <c r="AM93" s="127">
        <f t="shared" si="4"/>
        <v>26738.596604017672</v>
      </c>
      <c r="AN93" s="127">
        <f t="shared" si="4"/>
        <v>14846.92825503424</v>
      </c>
      <c r="AO93" s="127">
        <f t="shared" si="4"/>
        <v>6566.0093427630527</v>
      </c>
      <c r="AP93" s="127">
        <f t="shared" si="4"/>
        <v>14529.985886244551</v>
      </c>
      <c r="AQ93" s="127">
        <f t="shared" si="4"/>
        <v>77518.41666654672</v>
      </c>
      <c r="AR93" s="127">
        <f t="shared" si="4"/>
        <v>63232.375389612367</v>
      </c>
      <c r="AS93" s="127">
        <f t="shared" si="4"/>
        <v>18347.043899078169</v>
      </c>
      <c r="AT93" s="127">
        <f t="shared" si="4"/>
        <v>14334.723281667866</v>
      </c>
      <c r="AU93" s="127">
        <f t="shared" si="4"/>
        <v>164500.61909758291</v>
      </c>
      <c r="AV93" s="127">
        <f t="shared" si="4"/>
        <v>68284.888316943805</v>
      </c>
      <c r="AW93" s="127">
        <f t="shared" si="4"/>
        <v>144725.05430610233</v>
      </c>
      <c r="AX93" s="127">
        <f t="shared" si="4"/>
        <v>51367.761395550733</v>
      </c>
      <c r="AY93" s="127">
        <f t="shared" si="4"/>
        <v>60655.571515339652</v>
      </c>
      <c r="AZ93" s="127">
        <f t="shared" si="4"/>
        <v>32767.315754654956</v>
      </c>
      <c r="BA93" s="127">
        <f t="shared" si="4"/>
        <v>91204.776401817013</v>
      </c>
      <c r="BB93" s="127">
        <f t="shared" si="4"/>
        <v>192563.15720702661</v>
      </c>
      <c r="BC93" s="127">
        <f t="shared" si="4"/>
        <v>63159.316564357796</v>
      </c>
      <c r="BD93" s="127">
        <f t="shared" si="4"/>
        <v>16162.232490575039</v>
      </c>
      <c r="BE93" s="127">
        <f t="shared" si="4"/>
        <v>2301.3119622404738</v>
      </c>
      <c r="BF93" s="127">
        <f t="shared" si="4"/>
        <v>104024.90220224863</v>
      </c>
      <c r="BG93" s="127">
        <f t="shared" si="4"/>
        <v>52182.154085202441</v>
      </c>
      <c r="BH93" s="127">
        <f t="shared" si="4"/>
        <v>34851.753676075889</v>
      </c>
      <c r="BI93" s="127">
        <f t="shared" si="4"/>
        <v>69004.94264502509</v>
      </c>
      <c r="BJ93" s="127">
        <f t="shared" si="4"/>
        <v>53121.8031380756</v>
      </c>
      <c r="BK93" s="127">
        <f t="shared" si="4"/>
        <v>93252.208792419609</v>
      </c>
      <c r="BL93" s="127">
        <f t="shared" si="4"/>
        <v>49564.223767098898</v>
      </c>
      <c r="BM93" s="127">
        <f t="shared" si="4"/>
        <v>16797.05482262154</v>
      </c>
      <c r="BN93" s="127">
        <f t="shared" si="4"/>
        <v>12042.142598495986</v>
      </c>
      <c r="BO93" s="127">
        <f t="shared" ref="BO93:CE93" si="5">SUM(BO12:BO92)</f>
        <v>8470.7153448003264</v>
      </c>
      <c r="BP93" s="128">
        <f t="shared" si="5"/>
        <v>1945.3419233888926</v>
      </c>
      <c r="BQ93" s="144">
        <f t="shared" ca="1" si="5"/>
        <v>16934.765366645173</v>
      </c>
      <c r="BR93" s="145">
        <f t="shared" ca="1" si="5"/>
        <v>134701.88743913104</v>
      </c>
      <c r="BS93" s="145">
        <f t="shared" ca="1" si="5"/>
        <v>25259.512271243209</v>
      </c>
      <c r="BT93" s="145">
        <f t="shared" ca="1" si="5"/>
        <v>64675.726235661758</v>
      </c>
      <c r="BU93" s="128">
        <f t="shared" si="5"/>
        <v>246017.30630193106</v>
      </c>
      <c r="BV93" s="126">
        <f t="shared" si="5"/>
        <v>18030.000000000007</v>
      </c>
      <c r="BW93" s="127">
        <f t="shared" si="5"/>
        <v>0</v>
      </c>
      <c r="BX93" s="128">
        <f t="shared" si="5"/>
        <v>39520</v>
      </c>
      <c r="BY93" s="144">
        <f t="shared" ca="1" si="5"/>
        <v>202782.34103838314</v>
      </c>
      <c r="BZ93" s="145">
        <f t="shared" ca="1" si="5"/>
        <v>155351.61806932415</v>
      </c>
      <c r="CA93" s="145">
        <f t="shared" ca="1" si="5"/>
        <v>25259.512271243209</v>
      </c>
      <c r="CB93" s="145">
        <f t="shared" ca="1" si="5"/>
        <v>64675.726235661758</v>
      </c>
      <c r="CC93" s="127">
        <f t="shared" ca="1" si="5"/>
        <v>57549.999999999978</v>
      </c>
      <c r="CD93" s="128">
        <f t="shared" si="5"/>
        <v>1054114.2617544257</v>
      </c>
      <c r="CE93" s="129">
        <f t="shared" si="5"/>
        <v>116552.6925292142</v>
      </c>
      <c r="CF93" s="130"/>
    </row>
    <row r="95" spans="1:86">
      <c r="AJ95" s="34"/>
    </row>
    <row r="96" spans="1:86">
      <c r="A96" t="s">
        <v>592</v>
      </c>
      <c r="C96" s="96" cm="1">
        <f t="array" aca="1" ref="C96:AI99" ca="1">TRANSPOSE('Estimating non em split'!AF296:AI328)</f>
        <v>294.7307032672029</v>
      </c>
      <c r="D96" s="96">
        <f ca="1"/>
        <v>417.67695061773355</v>
      </c>
      <c r="E96" s="96">
        <f ca="1"/>
        <v>600.03135035911112</v>
      </c>
      <c r="F96" s="96">
        <f ca="1"/>
        <v>187.86448388599558</v>
      </c>
      <c r="G96" s="96">
        <f ca="1"/>
        <v>1.6750192155274335</v>
      </c>
      <c r="H96" s="96">
        <f ca="1"/>
        <v>141.50987551048865</v>
      </c>
      <c r="I96" s="96">
        <f ca="1"/>
        <v>290.31083200935188</v>
      </c>
      <c r="J96" s="96">
        <f ca="1"/>
        <v>58.04633459457694</v>
      </c>
      <c r="K96" s="96">
        <f ca="1"/>
        <v>349.02484412481715</v>
      </c>
      <c r="L96" s="96">
        <f ca="1"/>
        <v>157.666164620518</v>
      </c>
      <c r="M96" s="96">
        <f ca="1"/>
        <v>382.02727736868547</v>
      </c>
      <c r="N96" s="96">
        <f ca="1"/>
        <v>908.11673264618241</v>
      </c>
      <c r="O96" s="96">
        <f ca="1"/>
        <v>296.41026564350994</v>
      </c>
      <c r="P96" s="96">
        <f ca="1"/>
        <v>170.41836042945357</v>
      </c>
      <c r="Q96" s="96">
        <f ca="1"/>
        <v>67.57989237546812</v>
      </c>
      <c r="R96" s="96">
        <f ca="1"/>
        <v>646.94848370109639</v>
      </c>
      <c r="S96" s="96">
        <f ca="1"/>
        <v>279.4069001968345</v>
      </c>
      <c r="T96" s="96">
        <f ca="1"/>
        <v>9011.4152256278303</v>
      </c>
      <c r="U96" s="96">
        <f ca="1"/>
        <v>7080.6770392722292</v>
      </c>
      <c r="V96" s="96">
        <f ca="1"/>
        <v>1219.5778761694744</v>
      </c>
      <c r="W96" s="96">
        <f ca="1"/>
        <v>302.68466677896703</v>
      </c>
      <c r="X96" s="96">
        <f ca="1"/>
        <v>10.36146345753448</v>
      </c>
      <c r="Y96" s="96">
        <f ca="1"/>
        <v>1008.8637249576983</v>
      </c>
      <c r="Z96" s="96">
        <f ca="1"/>
        <v>637.91588525304837</v>
      </c>
      <c r="AA96" s="96">
        <f ca="1"/>
        <v>902.29465377035513</v>
      </c>
      <c r="AB96" s="96">
        <f ca="1"/>
        <v>4552.0074015768914</v>
      </c>
      <c r="AC96" s="96">
        <f ca="1"/>
        <v>510.24277500646929</v>
      </c>
      <c r="AD96" s="96">
        <f ca="1"/>
        <v>6568.6636831934538</v>
      </c>
      <c r="AE96" s="96">
        <f ca="1"/>
        <v>51379.515557429542</v>
      </c>
      <c r="AF96" s="96">
        <f ca="1"/>
        <v>1852.9476546455385</v>
      </c>
      <c r="AG96" s="96">
        <f ca="1"/>
        <v>1871.831374019918</v>
      </c>
      <c r="AH96" s="96">
        <f ca="1"/>
        <v>785.0505993680938</v>
      </c>
      <c r="AI96" s="96">
        <f ca="1"/>
        <v>585.22455859127365</v>
      </c>
    </row>
    <row r="97" spans="1:35">
      <c r="C97" s="96">
        <f ca="1"/>
        <v>1109.1749210132925</v>
      </c>
      <c r="D97" s="96">
        <f ca="1"/>
        <v>4612.324467974493</v>
      </c>
      <c r="E97" s="96">
        <f ca="1"/>
        <v>10010.347046683744</v>
      </c>
      <c r="F97" s="96">
        <f ca="1"/>
        <v>3134.1507369643882</v>
      </c>
      <c r="G97" s="96">
        <f ca="1"/>
        <v>27.944414549537878</v>
      </c>
      <c r="H97" s="96">
        <f ca="1"/>
        <v>2360.8148634146382</v>
      </c>
      <c r="I97" s="96">
        <f ca="1"/>
        <v>4843.2670886708429</v>
      </c>
      <c r="J97" s="96">
        <f ca="1"/>
        <v>968.3893103836831</v>
      </c>
      <c r="K97" s="96">
        <f ca="1"/>
        <v>5822.7953138400817</v>
      </c>
      <c r="L97" s="96">
        <f ca="1"/>
        <v>2630.3507599093564</v>
      </c>
      <c r="M97" s="96">
        <f ca="1"/>
        <v>6373.3762769219356</v>
      </c>
      <c r="N97" s="96">
        <f ca="1"/>
        <v>15150.148013628694</v>
      </c>
      <c r="O97" s="96">
        <f ca="1"/>
        <v>4945.0243538805262</v>
      </c>
      <c r="P97" s="96">
        <f ca="1"/>
        <v>2843.0964185331623</v>
      </c>
      <c r="Q97" s="96">
        <f ca="1"/>
        <v>1127.4380163730066</v>
      </c>
      <c r="R97" s="96">
        <f ca="1"/>
        <v>10793.067382913267</v>
      </c>
      <c r="S97" s="96">
        <f ca="1"/>
        <v>20480.941545689286</v>
      </c>
      <c r="T97" s="96">
        <f ca="1"/>
        <v>61763.987348255236</v>
      </c>
      <c r="U97" s="96">
        <f ca="1"/>
        <v>504020.17888455937</v>
      </c>
      <c r="V97" s="96">
        <f ca="1"/>
        <v>162664.28351324657</v>
      </c>
      <c r="W97" s="96">
        <f ca="1"/>
        <v>26194.215919026614</v>
      </c>
      <c r="X97" s="96">
        <f ca="1"/>
        <v>896.67711936904584</v>
      </c>
      <c r="Y97" s="96">
        <f ca="1"/>
        <v>87306.682482983902</v>
      </c>
      <c r="Z97" s="96">
        <f ca="1"/>
        <v>55204.998121291013</v>
      </c>
      <c r="AA97" s="96">
        <f ca="1"/>
        <v>29876.517989660399</v>
      </c>
      <c r="AB97" s="96">
        <f ca="1"/>
        <v>83575.095386353831</v>
      </c>
      <c r="AC97" s="96">
        <f ca="1"/>
        <v>42529.997844634112</v>
      </c>
      <c r="AD97" s="96">
        <f ca="1"/>
        <v>221755.58374603011</v>
      </c>
      <c r="AE97" s="96">
        <f ca="1"/>
        <v>113842.64319932603</v>
      </c>
      <c r="AF97" s="96">
        <f ca="1"/>
        <v>48441.029606627199</v>
      </c>
      <c r="AG97" s="96">
        <f ca="1"/>
        <v>36593.818564684807</v>
      </c>
      <c r="AH97" s="96">
        <f ca="1"/>
        <v>49622.505202839267</v>
      </c>
      <c r="AI97" s="96">
        <f ca="1"/>
        <v>12096.736474930578</v>
      </c>
    </row>
    <row r="98" spans="1:35">
      <c r="C98" s="96">
        <f ca="1"/>
        <v>6689.9484607135655</v>
      </c>
      <c r="D98" s="96">
        <f ca="1"/>
        <v>4525.3537812357335</v>
      </c>
      <c r="E98" s="96">
        <f ca="1"/>
        <v>28943.605787838445</v>
      </c>
      <c r="F98" s="96">
        <f ca="1"/>
        <v>9061.9857485661705</v>
      </c>
      <c r="G98" s="96">
        <f ca="1"/>
        <v>80.797602812594135</v>
      </c>
      <c r="H98" s="96">
        <f ca="1"/>
        <v>6825.986814457021</v>
      </c>
      <c r="I98" s="96">
        <f ca="1"/>
        <v>14003.672243207464</v>
      </c>
      <c r="J98" s="96">
        <f ca="1"/>
        <v>2799.9707572374223</v>
      </c>
      <c r="K98" s="96">
        <f ca="1"/>
        <v>16835.84961859155</v>
      </c>
      <c r="L98" s="96">
        <f ca="1"/>
        <v>7605.3149874752189</v>
      </c>
      <c r="M98" s="96">
        <f ca="1"/>
        <v>18427.782087910709</v>
      </c>
      <c r="N98" s="96">
        <f ca="1"/>
        <v>43804.665514978522</v>
      </c>
      <c r="O98" s="96">
        <f ca="1"/>
        <v>14297.889371602541</v>
      </c>
      <c r="P98" s="96">
        <f ca="1"/>
        <v>8220.4401289030611</v>
      </c>
      <c r="Q98" s="96">
        <f ca="1"/>
        <v>3259.8393126874671</v>
      </c>
      <c r="R98" s="96">
        <f ca="1"/>
        <v>31206.739302813337</v>
      </c>
      <c r="S98" s="96">
        <f ca="1"/>
        <v>22498.586678474301</v>
      </c>
      <c r="T98" s="96">
        <f ca="1"/>
        <v>226827.7088269107</v>
      </c>
      <c r="U98" s="96">
        <f ca="1"/>
        <v>156971.50560032396</v>
      </c>
      <c r="V98" s="96">
        <f ca="1"/>
        <v>9238.0557155291608</v>
      </c>
      <c r="W98" s="96">
        <f ca="1"/>
        <v>12426.48965979378</v>
      </c>
      <c r="X98" s="96">
        <f ca="1"/>
        <v>425.3820183386606</v>
      </c>
      <c r="Y98" s="96">
        <f ca="1"/>
        <v>41418.136337110875</v>
      </c>
      <c r="Z98" s="96">
        <f ca="1"/>
        <v>26189.153259364619</v>
      </c>
      <c r="AA98" s="96">
        <f ca="1"/>
        <v>14173.368109434774</v>
      </c>
      <c r="AB98" s="96">
        <f ca="1"/>
        <v>3492.4699556937849</v>
      </c>
      <c r="AC98" s="96">
        <f ca="1"/>
        <v>3944.1118132450792</v>
      </c>
      <c r="AD98" s="96">
        <f ca="1"/>
        <v>20564.989100722596</v>
      </c>
      <c r="AE98" s="96">
        <f ca="1"/>
        <v>14086.223099254712</v>
      </c>
      <c r="AF98" s="96">
        <f ca="1"/>
        <v>1497.5349244387544</v>
      </c>
      <c r="AG98" s="96">
        <f ca="1"/>
        <v>4639.0071417008658</v>
      </c>
      <c r="AH98" s="96">
        <f ca="1"/>
        <v>2975.2227105893398</v>
      </c>
      <c r="AI98" s="96">
        <f ca="1"/>
        <v>162.21352804325215</v>
      </c>
    </row>
    <row r="99" spans="1:35">
      <c r="C99" s="96">
        <f ca="1"/>
        <v>3525.5280649842534</v>
      </c>
      <c r="D99" s="96">
        <f ca="1"/>
        <v>4130.6105237245083</v>
      </c>
      <c r="E99" s="96">
        <f ca="1"/>
        <v>17608.806430982884</v>
      </c>
      <c r="F99" s="96">
        <f ca="1"/>
        <v>5513.1608207223881</v>
      </c>
      <c r="G99" s="96">
        <f ca="1"/>
        <v>49.155913464766357</v>
      </c>
      <c r="H99" s="96">
        <f ca="1"/>
        <v>4152.8163560876565</v>
      </c>
      <c r="I99" s="96">
        <f ca="1"/>
        <v>8519.6002552379687</v>
      </c>
      <c r="J99" s="96">
        <f ca="1"/>
        <v>1703.4554432734903</v>
      </c>
      <c r="K99" s="96">
        <f ca="1"/>
        <v>10242.64968175351</v>
      </c>
      <c r="L99" s="96">
        <f ca="1"/>
        <v>4626.9465284715461</v>
      </c>
      <c r="M99" s="96">
        <f ca="1"/>
        <v>11211.154841350442</v>
      </c>
      <c r="N99" s="96">
        <f ca="1"/>
        <v>26650.027123304379</v>
      </c>
      <c r="O99" s="96">
        <f ca="1"/>
        <v>8698.5971462141442</v>
      </c>
      <c r="P99" s="96">
        <f ca="1"/>
        <v>5001.1785539067951</v>
      </c>
      <c r="Q99" s="96">
        <f ca="1"/>
        <v>1983.2317807295794</v>
      </c>
      <c r="R99" s="96">
        <f ca="1"/>
        <v>18985.659021803665</v>
      </c>
      <c r="S99" s="96">
        <f ca="1"/>
        <v>19428.53389511595</v>
      </c>
      <c r="T99" s="96">
        <f ca="1"/>
        <v>130455.44664298905</v>
      </c>
      <c r="U99" s="96">
        <f ca="1"/>
        <v>298795.72617515066</v>
      </c>
      <c r="V99" s="96">
        <f ca="1"/>
        <v>77707.005226695561</v>
      </c>
      <c r="W99" s="96">
        <f ca="1"/>
        <v>17458.164814604777</v>
      </c>
      <c r="X99" s="96">
        <f ca="1"/>
        <v>597.62570297040065</v>
      </c>
      <c r="Y99" s="96">
        <f ca="1"/>
        <v>58188.970631436969</v>
      </c>
      <c r="Z99" s="96">
        <f ca="1"/>
        <v>36793.54088568619</v>
      </c>
      <c r="AA99" s="96">
        <f ca="1"/>
        <v>19912.380161286015</v>
      </c>
      <c r="AB99" s="96">
        <f ca="1"/>
        <v>39358.159903257401</v>
      </c>
      <c r="AC99" s="96">
        <f ca="1"/>
        <v>21008.23001183636</v>
      </c>
      <c r="AD99" s="96">
        <f ca="1"/>
        <v>109538.97489247436</v>
      </c>
      <c r="AE99" s="96">
        <f ca="1"/>
        <v>57829.16699509912</v>
      </c>
      <c r="AF99" s="96">
        <f ca="1"/>
        <v>22574.307670500995</v>
      </c>
      <c r="AG99" s="96">
        <f ca="1"/>
        <v>18638.95172719784</v>
      </c>
      <c r="AH99" s="96">
        <f ca="1"/>
        <v>23776.360090374652</v>
      </c>
      <c r="AI99" s="96">
        <f ca="1"/>
        <v>5541.5551424644282</v>
      </c>
    </row>
    <row r="101" spans="1:35">
      <c r="A101" t="s">
        <v>593</v>
      </c>
      <c r="C101" s="96">
        <f t="shared" ref="C101:AH101" ca="1" si="6">C78/C96*10^6</f>
        <v>48318.212004684632</v>
      </c>
      <c r="D101" s="96">
        <f t="shared" ca="1" si="6"/>
        <v>216350.77904580781</v>
      </c>
      <c r="E101" s="96">
        <f t="shared" ca="1" si="6"/>
        <v>115291.72907870165</v>
      </c>
      <c r="F101" s="96">
        <f t="shared" ca="1" si="6"/>
        <v>115291.73029525882</v>
      </c>
      <c r="G101" s="96">
        <f t="shared" ca="1" si="6"/>
        <v>115291.7391667145</v>
      </c>
      <c r="H101" s="96">
        <f t="shared" ca="1" si="6"/>
        <v>115291.73080313907</v>
      </c>
      <c r="I101" s="96">
        <f t="shared" ca="1" si="6"/>
        <v>115291.72882445971</v>
      </c>
      <c r="J101" s="96">
        <f t="shared" ca="1" si="6"/>
        <v>115291.73495641943</v>
      </c>
      <c r="K101" s="96">
        <f t="shared" ca="1" si="6"/>
        <v>115291.72935405085</v>
      </c>
      <c r="L101" s="96">
        <f t="shared" ca="1" si="6"/>
        <v>115291.72419695205</v>
      </c>
      <c r="M101" s="96">
        <f t="shared" ca="1" si="6"/>
        <v>115291.72918143177</v>
      </c>
      <c r="N101" s="96">
        <f t="shared" ca="1" si="6"/>
        <v>115291.7323091197</v>
      </c>
      <c r="O101" s="96">
        <f t="shared" ca="1" si="6"/>
        <v>115291.73055113746</v>
      </c>
      <c r="P101" s="96">
        <f t="shared" ca="1" si="6"/>
        <v>115291.733290517</v>
      </c>
      <c r="Q101" s="96">
        <f t="shared" ca="1" si="6"/>
        <v>115291.72570883311</v>
      </c>
      <c r="R101" s="96">
        <f t="shared" ca="1" si="6"/>
        <v>115291.72904416204</v>
      </c>
      <c r="S101" s="96">
        <f t="shared" ca="1" si="6"/>
        <v>172179.77199687078</v>
      </c>
      <c r="T101" s="96">
        <f t="shared" ca="1" si="6"/>
        <v>116270.84310759386</v>
      </c>
      <c r="U101" s="96">
        <f t="shared" ca="1" si="6"/>
        <v>136207.71852076406</v>
      </c>
      <c r="V101" s="96">
        <f t="shared" ca="1" si="6"/>
        <v>132437.01356656806</v>
      </c>
      <c r="W101" s="96">
        <f t="shared" ca="1" si="6"/>
        <v>188476.97470083094</v>
      </c>
      <c r="X101" s="96">
        <f t="shared" ca="1" si="6"/>
        <v>188476.97543665662</v>
      </c>
      <c r="Y101" s="96">
        <f t="shared" ca="1" si="6"/>
        <v>188476.97882073559</v>
      </c>
      <c r="Z101" s="96">
        <f t="shared" ca="1" si="6"/>
        <v>188476.97618871549</v>
      </c>
      <c r="AA101" s="96">
        <f t="shared" ca="1" si="6"/>
        <v>188476.97632250228</v>
      </c>
      <c r="AB101" s="96">
        <f t="shared" ca="1" si="6"/>
        <v>220017.41193889547</v>
      </c>
      <c r="AC101" s="96">
        <f t="shared" ca="1" si="6"/>
        <v>254538.92750115748</v>
      </c>
      <c r="AD101" s="96">
        <f t="shared" ca="1" si="6"/>
        <v>254538.92687053021</v>
      </c>
      <c r="AE101" s="96">
        <f t="shared" ca="1" si="6"/>
        <v>190491.38553283043</v>
      </c>
      <c r="AF101" s="96">
        <f t="shared" ca="1" si="6"/>
        <v>211589.26843014636</v>
      </c>
      <c r="AG101" s="96">
        <f t="shared" ca="1" si="6"/>
        <v>203340.62701221582</v>
      </c>
      <c r="AH101" s="96">
        <f t="shared" ca="1" si="6"/>
        <v>85093.34624670443</v>
      </c>
      <c r="AI101" s="96">
        <f ca="1">AI78/AI96*10^6</f>
        <v>252542.78624138498</v>
      </c>
    </row>
    <row r="102" spans="1:35">
      <c r="C102" s="96">
        <f t="shared" ref="C102:AI102" ca="1" si="7">C79/C97*10^6</f>
        <v>21362.919456782267</v>
      </c>
      <c r="D102" s="96">
        <f t="shared" ca="1" si="7"/>
        <v>140952.3412940524</v>
      </c>
      <c r="E102" s="96">
        <f t="shared" ca="1" si="7"/>
        <v>86071.578923183421</v>
      </c>
      <c r="F102" s="96">
        <f t="shared" ca="1" si="7"/>
        <v>86071.579969459446</v>
      </c>
      <c r="G102" s="96">
        <f t="shared" ca="1" si="7"/>
        <v>86071.587650031652</v>
      </c>
      <c r="H102" s="96">
        <f t="shared" ca="1" si="7"/>
        <v>86071.581303849525</v>
      </c>
      <c r="I102" s="96">
        <f t="shared" ca="1" si="7"/>
        <v>86071.57935291648</v>
      </c>
      <c r="J102" s="96">
        <f t="shared" ca="1" si="7"/>
        <v>86071.58547182726</v>
      </c>
      <c r="K102" s="96">
        <f t="shared" ca="1" si="7"/>
        <v>86071.57965272518</v>
      </c>
      <c r="L102" s="96">
        <f t="shared" ca="1" si="7"/>
        <v>86071.575645745223</v>
      </c>
      <c r="M102" s="96">
        <f t="shared" ca="1" si="7"/>
        <v>86071.579480234941</v>
      </c>
      <c r="N102" s="96">
        <f t="shared" ca="1" si="7"/>
        <v>86071.581690106948</v>
      </c>
      <c r="O102" s="96">
        <f t="shared" ca="1" si="7"/>
        <v>86071.580267872065</v>
      </c>
      <c r="P102" s="96">
        <f t="shared" ca="1" si="7"/>
        <v>86071.582693555465</v>
      </c>
      <c r="Q102" s="96">
        <f t="shared" ca="1" si="7"/>
        <v>86071.57602337678</v>
      </c>
      <c r="R102" s="96">
        <f t="shared" ca="1" si="7"/>
        <v>86071.57880026997</v>
      </c>
      <c r="S102" s="96">
        <f t="shared" ca="1" si="7"/>
        <v>112288.81983949545</v>
      </c>
      <c r="T102" s="96">
        <f t="shared" ca="1" si="7"/>
        <v>91286.473450365142</v>
      </c>
      <c r="U102" s="96">
        <f t="shared" ca="1" si="7"/>
        <v>65122.336146211237</v>
      </c>
      <c r="V102" s="96">
        <f t="shared" ca="1" si="7"/>
        <v>56329.414336256435</v>
      </c>
      <c r="W102" s="96">
        <f t="shared" ca="1" si="7"/>
        <v>100220.71270063636</v>
      </c>
      <c r="X102" s="96">
        <f t="shared" ca="1" si="7"/>
        <v>100220.71220697708</v>
      </c>
      <c r="Y102" s="96">
        <f t="shared" ca="1" si="7"/>
        <v>100220.71586649465</v>
      </c>
      <c r="Z102" s="96">
        <f t="shared" ca="1" si="7"/>
        <v>100220.71341685201</v>
      </c>
      <c r="AA102" s="96">
        <f t="shared" ca="1" si="7"/>
        <v>100220.71512245828</v>
      </c>
      <c r="AB102" s="96">
        <f t="shared" ca="1" si="7"/>
        <v>93811.533970269986</v>
      </c>
      <c r="AC102" s="96">
        <f t="shared" ca="1" si="7"/>
        <v>112603.4917389789</v>
      </c>
      <c r="AD102" s="96">
        <f t="shared" ca="1" si="7"/>
        <v>112603.49242869532</v>
      </c>
      <c r="AE102" s="96">
        <f t="shared" ca="1" si="7"/>
        <v>85008.943249324017</v>
      </c>
      <c r="AF102" s="96">
        <f t="shared" ca="1" si="7"/>
        <v>89296.090251320813</v>
      </c>
      <c r="AG102" s="96">
        <f t="shared" ca="1" si="7"/>
        <v>91021.818226580057</v>
      </c>
      <c r="AH102" s="96">
        <f t="shared" ca="1" si="7"/>
        <v>36054.30679348125</v>
      </c>
      <c r="AI102" s="96">
        <f t="shared" ca="1" si="7"/>
        <v>105461.20950526667</v>
      </c>
    </row>
    <row r="103" spans="1:35">
      <c r="C103" s="96">
        <f t="shared" ref="C103:AI103" ca="1" si="8">C80/C98*10^6</f>
        <v>19743.132903200694</v>
      </c>
      <c r="D103" s="96">
        <f t="shared" ca="1" si="8"/>
        <v>36925.148104938715</v>
      </c>
      <c r="E103" s="96">
        <f t="shared" ca="1" si="8"/>
        <v>34373.218365856963</v>
      </c>
      <c r="F103" s="96">
        <f t="shared" ca="1" si="8"/>
        <v>34373.218514575594</v>
      </c>
      <c r="G103" s="96">
        <f t="shared" ca="1" si="8"/>
        <v>34373.219744501526</v>
      </c>
      <c r="H103" s="96">
        <f t="shared" ca="1" si="8"/>
        <v>34373.218930396411</v>
      </c>
      <c r="I103" s="96">
        <f t="shared" ca="1" si="8"/>
        <v>34373.218620047694</v>
      </c>
      <c r="J103" s="96">
        <f t="shared" ca="1" si="8"/>
        <v>34373.219632445733</v>
      </c>
      <c r="K103" s="96">
        <f t="shared" ca="1" si="8"/>
        <v>34373.218689320383</v>
      </c>
      <c r="L103" s="96">
        <f t="shared" ca="1" si="8"/>
        <v>34373.217995467603</v>
      </c>
      <c r="M103" s="96">
        <f t="shared" ca="1" si="8"/>
        <v>34373.218482697288</v>
      </c>
      <c r="N103" s="96">
        <f t="shared" ca="1" si="8"/>
        <v>34373.218973885145</v>
      </c>
      <c r="O103" s="96">
        <f t="shared" ca="1" si="8"/>
        <v>34373.218639660408</v>
      </c>
      <c r="P103" s="96">
        <f t="shared" ca="1" si="8"/>
        <v>34373.218858070693</v>
      </c>
      <c r="Q103" s="96">
        <f t="shared" ca="1" si="8"/>
        <v>34373.218039646541</v>
      </c>
      <c r="R103" s="96">
        <f t="shared" ca="1" si="8"/>
        <v>34373.218518604313</v>
      </c>
      <c r="S103" s="96">
        <f t="shared" ca="1" si="8"/>
        <v>33747.550682997477</v>
      </c>
      <c r="T103" s="96">
        <f t="shared" ca="1" si="8"/>
        <v>36293.922546596143</v>
      </c>
      <c r="U103" s="96">
        <f t="shared" ca="1" si="8"/>
        <v>27992.290435811374</v>
      </c>
      <c r="V103" s="96">
        <f t="shared" ca="1" si="8"/>
        <v>26865.625082014489</v>
      </c>
      <c r="W103" s="96">
        <f t="shared" ca="1" si="8"/>
        <v>30885.136231030938</v>
      </c>
      <c r="X103" s="96">
        <f t="shared" ca="1" si="8"/>
        <v>30885.136041010901</v>
      </c>
      <c r="Y103" s="96">
        <f t="shared" ca="1" si="8"/>
        <v>30885.135677314127</v>
      </c>
      <c r="Z103" s="96">
        <f t="shared" ca="1" si="8"/>
        <v>30885.136419585036</v>
      </c>
      <c r="AA103" s="96">
        <f t="shared" ca="1" si="8"/>
        <v>30885.136083387515</v>
      </c>
      <c r="AB103" s="96">
        <f t="shared" ca="1" si="8"/>
        <v>22460.56978729539</v>
      </c>
      <c r="AC103" s="96">
        <f t="shared" ca="1" si="8"/>
        <v>25600.138821595734</v>
      </c>
      <c r="AD103" s="96">
        <f t="shared" ca="1" si="8"/>
        <v>25600.139657311567</v>
      </c>
      <c r="AE103" s="96">
        <f t="shared" ca="1" si="8"/>
        <v>28113.508011376231</v>
      </c>
      <c r="AF103" s="96">
        <f t="shared" ca="1" si="8"/>
        <v>28251.578970362021</v>
      </c>
      <c r="AG103" s="96">
        <f t="shared" ca="1" si="8"/>
        <v>29105.324990283392</v>
      </c>
      <c r="AH103" s="96">
        <f t="shared" ca="1" si="8"/>
        <v>20516.162540565419</v>
      </c>
      <c r="AI103" s="96">
        <f t="shared" ca="1" si="8"/>
        <v>24857.229170870691</v>
      </c>
    </row>
    <row r="104" spans="1:35">
      <c r="C104" s="96">
        <f t="shared" ref="C104:AI104" ca="1" si="9">C81/C99*10^6</f>
        <v>17864.950202575168</v>
      </c>
      <c r="D104" s="96">
        <f t="shared" ca="1" si="9"/>
        <v>79992.527322140246</v>
      </c>
      <c r="E104" s="96">
        <f t="shared" ca="1" si="9"/>
        <v>42627.425836040849</v>
      </c>
      <c r="F104" s="96">
        <f t="shared" ca="1" si="9"/>
        <v>42627.426285845009</v>
      </c>
      <c r="G104" s="96">
        <f t="shared" ca="1" si="9"/>
        <v>42627.429565935636</v>
      </c>
      <c r="H104" s="96">
        <f t="shared" ca="1" si="9"/>
        <v>42627.426473626285</v>
      </c>
      <c r="I104" s="96">
        <f t="shared" ca="1" si="9"/>
        <v>42627.425742038628</v>
      </c>
      <c r="J104" s="96">
        <f t="shared" ca="1" si="9"/>
        <v>42627.428009240786</v>
      </c>
      <c r="K104" s="96">
        <f t="shared" ca="1" si="9"/>
        <v>42627.425937847169</v>
      </c>
      <c r="L104" s="96">
        <f t="shared" ca="1" si="9"/>
        <v>42627.424031085524</v>
      </c>
      <c r="M104" s="96">
        <f t="shared" ca="1" si="9"/>
        <v>42627.425874023793</v>
      </c>
      <c r="N104" s="96">
        <f t="shared" ca="1" si="9"/>
        <v>42627.427030440536</v>
      </c>
      <c r="O104" s="96">
        <f t="shared" ca="1" si="9"/>
        <v>42627.426380452387</v>
      </c>
      <c r="P104" s="96">
        <f t="shared" ca="1" si="9"/>
        <v>42627.427393297803</v>
      </c>
      <c r="Q104" s="96">
        <f t="shared" ca="1" si="9"/>
        <v>42627.424590081384</v>
      </c>
      <c r="R104" s="96">
        <f t="shared" ca="1" si="9"/>
        <v>42627.425823270329</v>
      </c>
      <c r="S104" s="96">
        <f t="shared" ca="1" si="9"/>
        <v>63660.945324645167</v>
      </c>
      <c r="T104" s="96">
        <f t="shared" ca="1" si="9"/>
        <v>42989.438887498669</v>
      </c>
      <c r="U104" s="96">
        <f t="shared" ca="1" si="9"/>
        <v>50360.806156152947</v>
      </c>
      <c r="V104" s="96">
        <f t="shared" ca="1" si="9"/>
        <v>48966.64330449811</v>
      </c>
      <c r="W104" s="96">
        <f t="shared" ca="1" si="9"/>
        <v>69686.596992370265</v>
      </c>
      <c r="X104" s="96">
        <f t="shared" ca="1" si="9"/>
        <v>69686.59726443101</v>
      </c>
      <c r="Y104" s="96">
        <f t="shared" ca="1" si="9"/>
        <v>69686.598515644568</v>
      </c>
      <c r="Z104" s="96">
        <f t="shared" ca="1" si="9"/>
        <v>69686.59754249375</v>
      </c>
      <c r="AA104" s="96">
        <f t="shared" ca="1" si="9"/>
        <v>69686.597591959449</v>
      </c>
      <c r="AB104" s="96">
        <f t="shared" ca="1" si="9"/>
        <v>81348.21105563156</v>
      </c>
      <c r="AC104" s="96">
        <f t="shared" ca="1" si="9"/>
        <v>94112.03510560756</v>
      </c>
      <c r="AD104" s="96">
        <f t="shared" ca="1" si="9"/>
        <v>94112.034872442397</v>
      </c>
      <c r="AE104" s="96">
        <f t="shared" ca="1" si="9"/>
        <v>70431.395852015776</v>
      </c>
      <c r="AF104" s="96">
        <f t="shared" ca="1" si="9"/>
        <v>78232.028609365487</v>
      </c>
      <c r="AG104" s="96">
        <f t="shared" ca="1" si="9"/>
        <v>75182.214428411506</v>
      </c>
      <c r="AH104" s="96">
        <f t="shared" ca="1" si="9"/>
        <v>31462.01670542928</v>
      </c>
      <c r="AI104" s="96">
        <f t="shared" ca="1" si="9"/>
        <v>93373.991152332092</v>
      </c>
    </row>
  </sheetData>
  <mergeCells count="6">
    <mergeCell ref="BV10:BX10"/>
    <mergeCell ref="A83:A85"/>
    <mergeCell ref="A12:A44"/>
    <mergeCell ref="A45:A77"/>
    <mergeCell ref="C10:AI10"/>
    <mergeCell ref="AJ10:BP10"/>
  </mergeCells>
  <conditionalFormatting sqref="C12">
    <cfRule type="cellIs" dxfId="1" priority="2" operator="equal">
      <formula>0</formula>
    </cfRule>
  </conditionalFormatting>
  <conditionalFormatting sqref="C101:AI1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517A-8152-4384-814D-45D30C460836}">
  <dimension ref="A1:CM362"/>
  <sheetViews>
    <sheetView topLeftCell="BC300" workbookViewId="0">
      <selection activeCell="CB348" sqref="CB348"/>
    </sheetView>
  </sheetViews>
  <sheetFormatPr defaultColWidth="8.81640625" defaultRowHeight="14.5" outlineLevelRow="1"/>
  <cols>
    <col min="2" max="2" width="33.81640625" bestFit="1" customWidth="1"/>
    <col min="3" max="35" width="23.453125" customWidth="1"/>
    <col min="37" max="37" width="11.1796875" bestFit="1" customWidth="1"/>
    <col min="71" max="71" width="10.1796875" customWidth="1"/>
    <col min="86" max="86" width="9.6328125" bestFit="1" customWidth="1"/>
  </cols>
  <sheetData>
    <row r="1" spans="1:84" s="99" customFormat="1" ht="49" customHeight="1" thickBot="1">
      <c r="C1" s="99" t="str" cm="1">
        <f t="array" ref="C1:AI1">'2022 SAM'!C3:AI3</f>
        <v>Agriculture, hunting, forestry, and fishing</v>
      </c>
      <c r="D1" s="99" t="str">
        <v>Mining and quarrying</v>
      </c>
      <c r="E1" s="99" t="str">
        <v>Food, beverages, and tobacco</v>
      </c>
      <c r="F1" s="99" t="str">
        <v>Textiles and textile products</v>
      </c>
      <c r="G1" s="99" t="str">
        <v>Leather, leather products, and footwear</v>
      </c>
      <c r="H1" s="99" t="str">
        <v>Wood and products of wood and cork</v>
      </c>
      <c r="I1" s="99" t="str">
        <v>Pulp, paper, paper products, printing, and publishing</v>
      </c>
      <c r="J1" s="99" t="str">
        <v>Coke, refined petroleum, and nuclear fuel</v>
      </c>
      <c r="K1" s="99" t="str">
        <v>Chemicals and chemical products</v>
      </c>
      <c r="L1" s="99" t="str">
        <v>Rubber and plastics</v>
      </c>
      <c r="M1" s="99" t="str">
        <v>Other nonmetallic minerals</v>
      </c>
      <c r="N1" s="99" t="str">
        <v>Basic metals and fabricated metal</v>
      </c>
      <c r="O1" s="99" t="str">
        <v>Machinery, nec</v>
      </c>
      <c r="P1" s="99" t="str">
        <v>Electrical and optical equipment</v>
      </c>
      <c r="Q1" s="99" t="str">
        <v>Transport equipment</v>
      </c>
      <c r="R1" s="99" t="str">
        <v>Manufacturing, nec; recycling</v>
      </c>
      <c r="S1" s="99" t="str">
        <v>Electricity, gas, and water supply</v>
      </c>
      <c r="T1" s="99" t="str">
        <v>Construction</v>
      </c>
      <c r="U1" s="99" t="str">
        <v>Wholesale and Retail Trade; Repair of Motor Vehicles and Motorcycles</v>
      </c>
      <c r="V1" s="99" t="str">
        <v>Hotels and restaurants</v>
      </c>
      <c r="W1" s="99" t="str">
        <v>Inland transport</v>
      </c>
      <c r="X1" s="99" t="str">
        <v>Water transport</v>
      </c>
      <c r="Y1" s="99" t="str">
        <v>Air transport</v>
      </c>
      <c r="Z1" s="99" t="str">
        <v>Other supporting and auxiliary transport activities; activities of travel agencies</v>
      </c>
      <c r="AA1" s="99" t="str">
        <v>Post and telecommunications</v>
      </c>
      <c r="AB1" s="99" t="str">
        <v>Financial intermediation</v>
      </c>
      <c r="AC1" s="99" t="str">
        <v>Real estate activities</v>
      </c>
      <c r="AD1" s="99" t="str">
        <v>Renting of M&amp;Eq and other business activities</v>
      </c>
      <c r="AE1" s="99" t="str">
        <v>Public administration and defense; compulsory social security</v>
      </c>
      <c r="AF1" s="99" t="str">
        <v>Education</v>
      </c>
      <c r="AG1" s="99" t="str">
        <v>Health and social work</v>
      </c>
      <c r="AH1" s="99" t="str">
        <v>Other community, social, and personal services</v>
      </c>
      <c r="AI1" s="99" t="str">
        <v>Private households with employed persons</v>
      </c>
      <c r="AJ1" s="19" t="s">
        <v>74</v>
      </c>
      <c r="AK1" s="20" t="s">
        <v>75</v>
      </c>
      <c r="AL1" s="20" t="s">
        <v>76</v>
      </c>
      <c r="AM1" s="20" t="s">
        <v>77</v>
      </c>
      <c r="AN1" s="20" t="s">
        <v>78</v>
      </c>
      <c r="AO1" s="20" t="s">
        <v>79</v>
      </c>
      <c r="AP1" s="20" t="s">
        <v>80</v>
      </c>
      <c r="AQ1" s="20" t="s">
        <v>81</v>
      </c>
      <c r="AR1" s="20" t="s">
        <v>82</v>
      </c>
      <c r="AS1" s="20" t="s">
        <v>83</v>
      </c>
      <c r="AT1" s="20" t="s">
        <v>84</v>
      </c>
      <c r="AU1" s="20" t="s">
        <v>85</v>
      </c>
      <c r="AV1" s="20" t="s">
        <v>86</v>
      </c>
      <c r="AW1" s="20" t="s">
        <v>87</v>
      </c>
      <c r="AX1" s="20" t="s">
        <v>88</v>
      </c>
      <c r="AY1" s="20" t="s">
        <v>89</v>
      </c>
      <c r="AZ1" s="20" t="s">
        <v>90</v>
      </c>
      <c r="BA1" s="20" t="s">
        <v>91</v>
      </c>
      <c r="BB1" s="21" t="s">
        <v>92</v>
      </c>
      <c r="BC1" s="20" t="s">
        <v>93</v>
      </c>
      <c r="BD1" s="20" t="s">
        <v>94</v>
      </c>
      <c r="BE1" s="20" t="s">
        <v>95</v>
      </c>
      <c r="BF1" s="20" t="s">
        <v>96</v>
      </c>
      <c r="BG1" s="20" t="s">
        <v>97</v>
      </c>
      <c r="BH1" s="20" t="s">
        <v>98</v>
      </c>
      <c r="BI1" s="20" t="s">
        <v>99</v>
      </c>
      <c r="BJ1" s="20" t="s">
        <v>100</v>
      </c>
      <c r="BK1" s="20" t="s">
        <v>101</v>
      </c>
      <c r="BL1" s="20" t="s">
        <v>102</v>
      </c>
      <c r="BM1" s="20" t="s">
        <v>103</v>
      </c>
      <c r="BN1" s="20" t="s">
        <v>104</v>
      </c>
      <c r="BO1" s="20" t="s">
        <v>105</v>
      </c>
      <c r="BP1" s="22" t="s">
        <v>106</v>
      </c>
      <c r="BQ1" s="19" t="s">
        <v>297</v>
      </c>
      <c r="BR1" s="20" t="s">
        <v>298</v>
      </c>
      <c r="BS1" s="20" t="s">
        <v>299</v>
      </c>
      <c r="BT1" s="22" t="s">
        <v>72</v>
      </c>
      <c r="BU1" s="23" t="s">
        <v>108</v>
      </c>
      <c r="BV1" s="24" t="s">
        <v>109</v>
      </c>
      <c r="BW1" s="25" t="s">
        <v>110</v>
      </c>
      <c r="BX1" s="137" t="s">
        <v>300</v>
      </c>
      <c r="BY1" s="138" t="s">
        <v>301</v>
      </c>
      <c r="BZ1" s="138" t="s">
        <v>183</v>
      </c>
      <c r="CA1" s="138" t="s">
        <v>181</v>
      </c>
      <c r="CB1" s="138" t="s">
        <v>426</v>
      </c>
      <c r="CC1" s="24" t="s">
        <v>111</v>
      </c>
      <c r="CD1" s="25" t="s">
        <v>112</v>
      </c>
      <c r="CE1" s="26" t="s">
        <v>113</v>
      </c>
      <c r="CF1" s="27" t="s">
        <v>114</v>
      </c>
    </row>
    <row r="2" spans="1:84" s="1" customFormat="1" ht="20" thickBot="1">
      <c r="A2"/>
      <c r="B2" s="1" t="s">
        <v>259</v>
      </c>
    </row>
    <row r="3" spans="1:84" ht="15" thickTop="1"/>
    <row r="4" spans="1:84" s="97" customFormat="1" ht="17.5" outlineLevel="1" thickBot="1">
      <c r="A4"/>
      <c r="B4"/>
      <c r="C4" s="97" t="s">
        <v>261</v>
      </c>
    </row>
    <row r="5" spans="1:84" ht="15" outlineLevel="1" thickTop="1"/>
    <row r="6" spans="1:84" outlineLevel="1">
      <c r="C6" s="96" cm="1">
        <f t="array" ref="C6:AI6">'2022 SAM'!C70:AI70</f>
        <v>233</v>
      </c>
      <c r="D6" s="96">
        <v>1238</v>
      </c>
      <c r="E6" s="96">
        <v>2676.288</v>
      </c>
      <c r="F6" s="96">
        <v>837.92200000000003</v>
      </c>
      <c r="G6" s="96">
        <v>7.4710000000000001</v>
      </c>
      <c r="H6" s="96">
        <v>631.16899999999998</v>
      </c>
      <c r="I6" s="96">
        <v>1294.8580000000002</v>
      </c>
      <c r="J6" s="96">
        <v>258.90100000000001</v>
      </c>
      <c r="K6" s="96">
        <v>1556.7369999999999</v>
      </c>
      <c r="L6" s="96">
        <v>703.23</v>
      </c>
      <c r="M6" s="96">
        <v>1703.9359999999999</v>
      </c>
      <c r="N6" s="96">
        <v>4050.4249999999997</v>
      </c>
      <c r="O6" s="96">
        <v>1322.0630000000001</v>
      </c>
      <c r="P6" s="96">
        <v>760.10799999999995</v>
      </c>
      <c r="Q6" s="96">
        <v>301.423</v>
      </c>
      <c r="R6" s="96">
        <v>2885.55</v>
      </c>
      <c r="S6" s="96">
        <v>4344</v>
      </c>
      <c r="T6" s="96">
        <v>20526.655183717427</v>
      </c>
      <c r="U6" s="96">
        <v>53229</v>
      </c>
      <c r="V6" s="96">
        <v>13377.538423996233</v>
      </c>
      <c r="W6" s="96">
        <v>4282.6459999999997</v>
      </c>
      <c r="X6" s="96">
        <v>146.60300000000001</v>
      </c>
      <c r="Y6" s="96">
        <v>14274.281999999999</v>
      </c>
      <c r="Z6" s="96">
        <v>9025.7890000000007</v>
      </c>
      <c r="AA6" s="96">
        <v>4989.6801926048429</v>
      </c>
      <c r="AB6" s="96">
        <v>12121.987551268501</v>
      </c>
      <c r="AC6" s="96">
        <v>6997</v>
      </c>
      <c r="AD6" s="96">
        <v>37477.836218262222</v>
      </c>
      <c r="AE6" s="96">
        <v>23934</v>
      </c>
      <c r="AF6" s="96">
        <v>6526</v>
      </c>
      <c r="AG6" s="96">
        <v>5247.7927428319872</v>
      </c>
      <c r="AH6" s="96">
        <v>2665</v>
      </c>
      <c r="AI6" s="96">
        <v>1945</v>
      </c>
    </row>
    <row r="7" spans="1:84" outlineLevel="1"/>
    <row r="8" spans="1:84" s="97" customFormat="1" ht="17.5" outlineLevel="1" thickBot="1">
      <c r="A8"/>
      <c r="B8"/>
      <c r="C8" s="97" t="s">
        <v>262</v>
      </c>
    </row>
    <row r="9" spans="1:84" ht="15" outlineLevel="1" thickTop="1"/>
    <row r="10" spans="1:84" outlineLevel="1">
      <c r="C10" t="s">
        <v>107</v>
      </c>
      <c r="D10" t="s">
        <v>72</v>
      </c>
    </row>
    <row r="11" spans="1:84" outlineLevel="1">
      <c r="C11" cm="1">
        <f t="array" ref="C11:D11">'2022 SAM'!BQ75:BR75</f>
        <v>241571.8913126812</v>
      </c>
      <c r="D11">
        <v>206497.30630193106</v>
      </c>
    </row>
    <row r="12" spans="1:84" outlineLevel="1">
      <c r="B12" t="s">
        <v>145</v>
      </c>
      <c r="C12" s="96">
        <f>SUM(_xlfn.ANCHORARRAY(C6))-C11</f>
        <v>0</v>
      </c>
    </row>
    <row r="13" spans="1:84" outlineLevel="1">
      <c r="C13" s="96"/>
    </row>
    <row r="14" spans="1:84" s="97" customFormat="1" ht="17.5" outlineLevel="1" thickBot="1">
      <c r="A14"/>
      <c r="B14"/>
      <c r="C14" s="97" t="s">
        <v>265</v>
      </c>
    </row>
    <row r="15" spans="1:84" ht="15" outlineLevel="1" thickTop="1"/>
    <row r="16" spans="1:84" outlineLevel="1">
      <c r="B16" t="s">
        <v>258</v>
      </c>
      <c r="C16" s="96" cm="1">
        <f t="array" aca="1" ref="C16:AI16" ca="1">'Labour force absolute size'!$H$17*TRANSPOSE('Emirati workforce distribution'!G82:G114)</f>
        <v>185.33616966545858</v>
      </c>
      <c r="D16" s="96">
        <f ca="1"/>
        <v>1176.042240240819</v>
      </c>
      <c r="E16" s="96">
        <f ca="1"/>
        <v>900.31822645475097</v>
      </c>
      <c r="F16" s="96">
        <f ca="1"/>
        <v>281.88163940032535</v>
      </c>
      <c r="G16" s="96">
        <f ca="1"/>
        <v>2.5132861148887735</v>
      </c>
      <c r="H16" s="96">
        <f ca="1"/>
        <v>212.32877577944481</v>
      </c>
      <c r="I16" s="96">
        <f ca="1"/>
        <v>435.59746113674851</v>
      </c>
      <c r="J16" s="96">
        <f ca="1"/>
        <v>87.095741993149289</v>
      </c>
      <c r="K16" s="96">
        <f ca="1"/>
        <v>523.69501895778399</v>
      </c>
      <c r="L16" s="96">
        <f ca="1"/>
        <v>236.57049853744243</v>
      </c>
      <c r="M16" s="96">
        <f ca="1"/>
        <v>573.21358445443934</v>
      </c>
      <c r="N16" s="96">
        <f ca="1"/>
        <v>1362.5855858517411</v>
      </c>
      <c r="O16" s="96">
        <f ca="1"/>
        <v>444.74937503790602</v>
      </c>
      <c r="P16" s="96">
        <f ca="1"/>
        <v>255.70457532002081</v>
      </c>
      <c r="Q16" s="96">
        <f ca="1"/>
        <v>101.40038021792515</v>
      </c>
      <c r="R16" s="96">
        <f ca="1"/>
        <v>970.71513168482124</v>
      </c>
      <c r="S16" s="96">
        <f ca="1"/>
        <v>626.09927861531276</v>
      </c>
      <c r="T16" s="96">
        <f ca="1"/>
        <v>13636.02443942263</v>
      </c>
      <c r="U16" s="96">
        <f ca="1"/>
        <v>12551.639359452729</v>
      </c>
      <c r="V16" s="96">
        <f ca="1"/>
        <v>2102.0491388602372</v>
      </c>
      <c r="W16" s="96">
        <f ca="1"/>
        <v>742.45933369984664</v>
      </c>
      <c r="X16" s="96">
        <f ca="1"/>
        <v>25.415774663233574</v>
      </c>
      <c r="Y16" s="96">
        <f ca="1"/>
        <v>2474.6555990767656</v>
      </c>
      <c r="Z16" s="96">
        <f ca="1"/>
        <v>1564.7525588282119</v>
      </c>
      <c r="AA16" s="96">
        <f ca="1"/>
        <v>2213.2508406595125</v>
      </c>
      <c r="AB16" s="96">
        <f ca="1"/>
        <v>13034.187350290795</v>
      </c>
      <c r="AC16" s="96">
        <f ca="1"/>
        <v>1690.2658673489821</v>
      </c>
      <c r="AD16" s="96">
        <f ca="1"/>
        <v>21759.814218140582</v>
      </c>
      <c r="AE16" s="96">
        <f ca="1"/>
        <v>509.50597915304246</v>
      </c>
      <c r="AF16" s="96">
        <f ca="1"/>
        <v>5102.4732383170431</v>
      </c>
      <c r="AG16" s="96">
        <f ca="1"/>
        <v>4953.5303528768009</v>
      </c>
      <c r="AH16" s="96">
        <f ca="1"/>
        <v>869.39512315796935</v>
      </c>
      <c r="AI16" s="96">
        <f ca="1"/>
        <v>1923.4524662735225</v>
      </c>
    </row>
    <row r="17" spans="1:35" outlineLevel="1">
      <c r="A17" t="s">
        <v>514</v>
      </c>
      <c r="B17" t="s">
        <v>263</v>
      </c>
      <c r="C17" s="96">
        <f ca="1">C16*'HES - 2014'!$F$2/10^6</f>
        <v>14.240860604754507</v>
      </c>
      <c r="D17" s="96">
        <f ca="1">D16*'HES - 2014'!$F$2/10^6</f>
        <v>90.36473365562405</v>
      </c>
      <c r="E17" s="96">
        <f ca="1">E16*'HES - 2014'!$F$2/10^6</f>
        <v>69.178651884330151</v>
      </c>
      <c r="F17" s="96">
        <f ca="1">F16*'HES - 2014'!$F$2/10^6</f>
        <v>21.6592214082422</v>
      </c>
      <c r="G17" s="96">
        <f ca="1">G16*'HES - 2014'!$F$2/10^6</f>
        <v>0.1931158784958236</v>
      </c>
      <c r="H17" s="96">
        <f ca="1">H16*'HES - 2014'!$F$2/10^6</f>
        <v>16.314918473340981</v>
      </c>
      <c r="I17" s="96">
        <f ca="1">I16*'HES - 2014'!$F$2/10^6</f>
        <v>33.47043771882548</v>
      </c>
      <c r="J17" s="96">
        <f ca="1">J16*'HES - 2014'!$F$2/10^6</f>
        <v>6.6922626232696052</v>
      </c>
      <c r="K17" s="96">
        <f ca="1">K16*'HES - 2014'!$F$2/10^6</f>
        <v>40.239677866678207</v>
      </c>
      <c r="L17" s="96">
        <f ca="1">L16*'HES - 2014'!$F$2/10^6</f>
        <v>18.177603966620001</v>
      </c>
      <c r="M17" s="96">
        <f ca="1">M16*'HES - 2014'!$F$2/10^6</f>
        <v>44.044585402310204</v>
      </c>
      <c r="N17" s="96">
        <f ca="1">N16*'HES - 2014'!$F$2/10^6</f>
        <v>104.69835124567608</v>
      </c>
      <c r="O17" s="96">
        <f ca="1">O16*'HES - 2014'!$F$2/10^6</f>
        <v>34.173652479162627</v>
      </c>
      <c r="P17" s="96">
        <f ca="1">P16*'HES - 2014'!$F$2/10^6</f>
        <v>19.647828158439758</v>
      </c>
      <c r="Q17" s="96">
        <f ca="1">Q16*'HES - 2014'!$F$2/10^6</f>
        <v>7.7914024151849324</v>
      </c>
      <c r="R17" s="96">
        <f ca="1">R16*'HES - 2014'!$F$2/10^6</f>
        <v>74.58780928839829</v>
      </c>
      <c r="S17" s="96">
        <f ca="1">S16*'HES - 2014'!$F$2/10^6</f>
        <v>48.108216370243397</v>
      </c>
      <c r="T17" s="96">
        <f ca="1">T16*'HES - 2014'!$F$2/10^6</f>
        <v>1047.764845876356</v>
      </c>
      <c r="U17" s="96">
        <f ca="1">U16*'HES - 2014'!$F$2/10^6</f>
        <v>964.44286510162874</v>
      </c>
      <c r="V17" s="96">
        <f ca="1">V16*'HES - 2014'!$F$2/10^6</f>
        <v>161.51725173174293</v>
      </c>
      <c r="W17" s="96">
        <f ca="1">W16*'HES - 2014'!$F$2/10^6</f>
        <v>57.049090282828814</v>
      </c>
      <c r="X17" s="96">
        <f ca="1">X16*'HES - 2014'!$F$2/10^6</f>
        <v>1.9528972935735414</v>
      </c>
      <c r="Y17" s="96">
        <f ca="1">Y16*'HES - 2014'!$F$2/10^6</f>
        <v>190.14758692186052</v>
      </c>
      <c r="Z17" s="96">
        <f ca="1">Z16*'HES - 2014'!$F$2/10^6</f>
        <v>120.23245711524216</v>
      </c>
      <c r="AA17" s="96">
        <f ca="1">AA16*'HES - 2014'!$F$2/10^6</f>
        <v>170.06176809459561</v>
      </c>
      <c r="AB17" s="96">
        <f ca="1">AB16*'HES - 2014'!$F$2/10^6</f>
        <v>1001.5208876216442</v>
      </c>
      <c r="AC17" s="96">
        <f ca="1">AC16*'HES - 2014'!$F$2/10^6</f>
        <v>129.87664871536109</v>
      </c>
      <c r="AD17" s="96">
        <f ca="1">AD16*'HES - 2014'!$F$2/10^6</f>
        <v>1671.9806048934861</v>
      </c>
      <c r="AE17" s="219">
        <f ca="1">AE16*'HES - 2014'!$F$2/10^6*250</f>
        <v>9787.3551065403699</v>
      </c>
      <c r="AF17" s="96">
        <f ca="1">AF16*'HES - 2014'!$F$2/10^6</f>
        <v>392.06383868580497</v>
      </c>
      <c r="AG17" s="96">
        <f ca="1">AG16*'HES - 2014'!$F$2/10^6</f>
        <v>380.6193652543476</v>
      </c>
      <c r="AH17" s="96">
        <f ca="1">AH16*'HES - 2014'!$F$2/10^6</f>
        <v>66.802582473212055</v>
      </c>
      <c r="AI17" s="96">
        <f ca="1">AI16*'HES - 2014'!$F$2/10^6</f>
        <v>147.79424060352491</v>
      </c>
    </row>
    <row r="18" spans="1:35" outlineLevel="1"/>
    <row r="19" spans="1:35" outlineLevel="1">
      <c r="B19" t="s">
        <v>264</v>
      </c>
      <c r="C19" s="11">
        <f t="shared" ref="C19:AI19" ca="1" si="0">C17/C6</f>
        <v>6.1119573410963551E-2</v>
      </c>
      <c r="D19" s="11">
        <f t="shared" ca="1" si="0"/>
        <v>7.2992515069163211E-2</v>
      </c>
      <c r="E19" s="11">
        <f t="shared" ca="1" si="0"/>
        <v>2.5848732230735312E-2</v>
      </c>
      <c r="F19" s="11">
        <f t="shared" ca="1" si="0"/>
        <v>2.5848732230735319E-2</v>
      </c>
      <c r="G19" s="11">
        <f t="shared" ca="1" si="0"/>
        <v>2.5848732230735322E-2</v>
      </c>
      <c r="H19" s="11">
        <f t="shared" ca="1" si="0"/>
        <v>2.5848732230735319E-2</v>
      </c>
      <c r="I19" s="11">
        <f t="shared" ca="1" si="0"/>
        <v>2.5848732230735319E-2</v>
      </c>
      <c r="J19" s="11">
        <f t="shared" ca="1" si="0"/>
        <v>2.5848732230735319E-2</v>
      </c>
      <c r="K19" s="11">
        <f t="shared" ca="1" si="0"/>
        <v>2.5848732230735319E-2</v>
      </c>
      <c r="L19" s="11">
        <f t="shared" ca="1" si="0"/>
        <v>2.5848732230735322E-2</v>
      </c>
      <c r="M19" s="11">
        <f t="shared" ca="1" si="0"/>
        <v>2.5848732230735312E-2</v>
      </c>
      <c r="N19" s="11">
        <f t="shared" ca="1" si="0"/>
        <v>2.5848732230735316E-2</v>
      </c>
      <c r="O19" s="11">
        <f t="shared" ca="1" si="0"/>
        <v>2.5848732230735316E-2</v>
      </c>
      <c r="P19" s="11">
        <f t="shared" ca="1" si="0"/>
        <v>2.5848732230735316E-2</v>
      </c>
      <c r="Q19" s="11">
        <f t="shared" ca="1" si="0"/>
        <v>2.5848732230735319E-2</v>
      </c>
      <c r="R19" s="11">
        <f t="shared" ca="1" si="0"/>
        <v>2.5848732230735316E-2</v>
      </c>
      <c r="S19" s="11">
        <f t="shared" ca="1" si="0"/>
        <v>1.1074635444347006E-2</v>
      </c>
      <c r="T19" s="11">
        <f t="shared" ca="1" si="0"/>
        <v>5.1044110036372881E-2</v>
      </c>
      <c r="U19" s="11">
        <f t="shared" ca="1" si="0"/>
        <v>1.8118748522452585E-2</v>
      </c>
      <c r="V19" s="11">
        <f t="shared" ca="1" si="0"/>
        <v>1.2073764740007627E-2</v>
      </c>
      <c r="W19" s="11">
        <f t="shared" ca="1" si="0"/>
        <v>1.3320991341060835E-2</v>
      </c>
      <c r="X19" s="11">
        <f t="shared" ca="1" si="0"/>
        <v>1.3320991341060833E-2</v>
      </c>
      <c r="Y19" s="11">
        <f t="shared" ca="1" si="0"/>
        <v>1.3320991341060835E-2</v>
      </c>
      <c r="Z19" s="11">
        <f t="shared" ca="1" si="0"/>
        <v>1.3320991341060837E-2</v>
      </c>
      <c r="AA19" s="11">
        <f t="shared" ca="1" si="0"/>
        <v>3.4082698996749837E-2</v>
      </c>
      <c r="AB19" s="11">
        <f t="shared" ca="1" si="0"/>
        <v>8.2620187769194692E-2</v>
      </c>
      <c r="AC19" s="11">
        <f t="shared" ca="1" si="0"/>
        <v>1.8561762000194524E-2</v>
      </c>
      <c r="AD19" s="11">
        <f t="shared" ca="1" si="0"/>
        <v>4.4612516986206434E-2</v>
      </c>
      <c r="AE19" s="11">
        <f t="shared" ca="1" si="0"/>
        <v>0.40893102308600193</v>
      </c>
      <c r="AF19" s="11">
        <f t="shared" ca="1" si="0"/>
        <v>6.0077204824671313E-2</v>
      </c>
      <c r="AG19" s="11">
        <f t="shared" ca="1" si="0"/>
        <v>7.2529420254685062E-2</v>
      </c>
      <c r="AH19" s="11">
        <f t="shared" ca="1" si="0"/>
        <v>2.5066635074376006E-2</v>
      </c>
      <c r="AI19" s="11">
        <f t="shared" ca="1" si="0"/>
        <v>7.5986756094357275E-2</v>
      </c>
    </row>
    <row r="20" spans="1:35" outlineLevel="1"/>
    <row r="21" spans="1:35" s="97" customFormat="1" ht="17.5" outlineLevel="1" thickBot="1">
      <c r="A21"/>
      <c r="B21"/>
      <c r="C21" s="97" t="s">
        <v>266</v>
      </c>
    </row>
    <row r="22" spans="1:35" ht="15" outlineLevel="1" thickTop="1"/>
    <row r="23" spans="1:35" outlineLevel="1">
      <c r="D23" t="s">
        <v>278</v>
      </c>
    </row>
    <row r="24" spans="1:35" outlineLevel="1"/>
    <row r="25" spans="1:35" outlineLevel="1">
      <c r="B25" t="s">
        <v>267</v>
      </c>
      <c r="C25" s="11" cm="1">
        <f t="array" ref="C25:AI29">TRANSPOSE('GTAP data'!P2:T34)</f>
        <v>5.5274848019041169E-3</v>
      </c>
      <c r="D25" s="11">
        <v>0.38814890727409868</v>
      </c>
      <c r="E25" s="11">
        <v>0.11727830172404707</v>
      </c>
      <c r="F25" s="11">
        <v>0.11727830584243898</v>
      </c>
      <c r="G25" s="11">
        <v>0.11727832510226531</v>
      </c>
      <c r="H25" s="11">
        <v>0.11727831113563919</v>
      </c>
      <c r="I25" s="11">
        <v>0.11727830749336011</v>
      </c>
      <c r="J25" s="11">
        <v>0.11727832284780043</v>
      </c>
      <c r="K25" s="11">
        <v>0.11727830982970151</v>
      </c>
      <c r="L25" s="11">
        <v>0.11727829712270142</v>
      </c>
      <c r="M25" s="11">
        <v>0.11727830528705713</v>
      </c>
      <c r="N25" s="11">
        <v>0.11727831390733606</v>
      </c>
      <c r="O25" s="11">
        <v>0.11727830942846854</v>
      </c>
      <c r="P25" s="11">
        <v>0.11727830915617118</v>
      </c>
      <c r="Q25" s="11">
        <v>0.11727830004447841</v>
      </c>
      <c r="R25" s="11">
        <v>0.11727830653210262</v>
      </c>
      <c r="S25" s="11">
        <v>0.19712715842232886</v>
      </c>
      <c r="T25" s="11">
        <v>0.15721796832195817</v>
      </c>
      <c r="U25" s="11">
        <v>0.10700637837265485</v>
      </c>
      <c r="V25" s="11">
        <v>0.14568524539552599</v>
      </c>
      <c r="W25" s="11">
        <v>0.23291133444706863</v>
      </c>
      <c r="X25" s="11">
        <v>0.23291132952341081</v>
      </c>
      <c r="Y25" s="11">
        <v>0.23291132280589563</v>
      </c>
      <c r="Z25" s="11">
        <v>0.23291134157497637</v>
      </c>
      <c r="AA25" s="11">
        <v>0.2329113292006483</v>
      </c>
      <c r="AB25" s="11">
        <v>0.24900806712483933</v>
      </c>
      <c r="AC25" s="11">
        <v>0.41809134816587457</v>
      </c>
      <c r="AD25" s="11">
        <v>0.41809136238859324</v>
      </c>
      <c r="AE25" s="11">
        <v>0.23581981873708585</v>
      </c>
      <c r="AF25" s="11">
        <v>0.30796195136151638</v>
      </c>
      <c r="AG25" s="11">
        <v>0.27949192705823478</v>
      </c>
      <c r="AH25" s="11">
        <v>1.5254677430069192E-2</v>
      </c>
      <c r="AI25" s="11">
        <v>0.38072037875000769</v>
      </c>
    </row>
    <row r="26" spans="1:35" outlineLevel="1">
      <c r="B26" t="s">
        <v>268</v>
      </c>
      <c r="C26" s="11">
        <v>2.5549028221884874E-3</v>
      </c>
      <c r="D26" s="11">
        <v>0.17122257432541307</v>
      </c>
      <c r="E26" s="11">
        <v>0.12678159008525972</v>
      </c>
      <c r="F26" s="11">
        <v>0.12678158431175371</v>
      </c>
      <c r="G26" s="11">
        <v>0.12678159946958151</v>
      </c>
      <c r="H26" s="11">
        <v>0.12678158675880763</v>
      </c>
      <c r="I26" s="11">
        <v>0.12678157956690672</v>
      </c>
      <c r="J26" s="11">
        <v>0.12678158759156963</v>
      </c>
      <c r="K26" s="11">
        <v>0.12678157619852978</v>
      </c>
      <c r="L26" s="11">
        <v>0.12678157214601271</v>
      </c>
      <c r="M26" s="11">
        <v>0.12678158017957641</v>
      </c>
      <c r="N26" s="11">
        <v>0.12678158567258291</v>
      </c>
      <c r="O26" s="11">
        <v>0.12678157790485386</v>
      </c>
      <c r="P26" s="11">
        <v>0.12678159678298165</v>
      </c>
      <c r="Q26" s="11">
        <v>0.12678157056820025</v>
      </c>
      <c r="R26" s="11">
        <v>0.1267815816006998</v>
      </c>
      <c r="S26" s="11">
        <v>0.2200185344166577</v>
      </c>
      <c r="T26" s="11">
        <v>6.8395922036273107E-2</v>
      </c>
      <c r="U26" s="11">
        <v>0.15212038596254837</v>
      </c>
      <c r="V26" s="11">
        <v>4.3141847655134347E-2</v>
      </c>
      <c r="W26" s="11">
        <v>0.2267348650404768</v>
      </c>
      <c r="X26" s="11">
        <v>0.22673489033152999</v>
      </c>
      <c r="Y26" s="11">
        <v>0.22673492462546044</v>
      </c>
      <c r="Z26" s="11">
        <v>0.22673486701065343</v>
      </c>
      <c r="AA26" s="11">
        <v>0.22673488668615444</v>
      </c>
      <c r="AB26" s="11">
        <v>0.23702442684128783</v>
      </c>
      <c r="AC26" s="11">
        <v>0.2940206293133657</v>
      </c>
      <c r="AD26" s="11">
        <v>0.29402059836695044</v>
      </c>
      <c r="AE26" s="11">
        <v>0.20118003044154453</v>
      </c>
      <c r="AF26" s="11">
        <v>0.24905580919953513</v>
      </c>
      <c r="AG26" s="11">
        <v>0.2565597318053951</v>
      </c>
      <c r="AH26" s="11">
        <v>2.2930647318039368E-2</v>
      </c>
      <c r="AI26" s="11">
        <v>0.41137093220985749</v>
      </c>
    </row>
    <row r="27" spans="1:35" outlineLevel="1">
      <c r="B27" t="s">
        <v>269</v>
      </c>
      <c r="C27" s="11">
        <v>3.2232692780137244E-3</v>
      </c>
      <c r="D27" s="11">
        <v>9.4645026937406715E-2</v>
      </c>
      <c r="E27" s="11">
        <v>7.0668612702546096E-2</v>
      </c>
      <c r="F27" s="11">
        <v>7.0668620847684507E-2</v>
      </c>
      <c r="G27" s="11">
        <v>7.0668618245654277E-2</v>
      </c>
      <c r="H27" s="11">
        <v>7.0668606743337595E-2</v>
      </c>
      <c r="I27" s="11">
        <v>7.0668610936315698E-2</v>
      </c>
      <c r="J27" s="11">
        <v>7.0668609022369808E-2</v>
      </c>
      <c r="K27" s="11">
        <v>7.0668613647672421E-2</v>
      </c>
      <c r="L27" s="11">
        <v>7.0668613472968891E-2</v>
      </c>
      <c r="M27" s="11">
        <v>7.0668620237603647E-2</v>
      </c>
      <c r="N27" s="11">
        <v>7.0668611398904901E-2</v>
      </c>
      <c r="O27" s="11">
        <v>7.066862260934853E-2</v>
      </c>
      <c r="P27" s="11">
        <v>7.0668618432789904E-2</v>
      </c>
      <c r="Q27" s="11">
        <v>7.0668618485326323E-2</v>
      </c>
      <c r="R27" s="11">
        <v>7.0668610537348575E-2</v>
      </c>
      <c r="S27" s="11">
        <v>0.20133883113954007</v>
      </c>
      <c r="T27" s="11">
        <v>6.007877021979724E-2</v>
      </c>
      <c r="U27" s="11">
        <v>0.13935392890896361</v>
      </c>
      <c r="V27" s="11">
        <v>8.8517632918624828E-2</v>
      </c>
      <c r="W27" s="11">
        <v>0.20425430095238042</v>
      </c>
      <c r="X27" s="11">
        <v>0.20425428075909494</v>
      </c>
      <c r="Y27" s="11">
        <v>0.20425429077218502</v>
      </c>
      <c r="Z27" s="11">
        <v>0.2042542881295267</v>
      </c>
      <c r="AA27" s="11">
        <v>0.20425430560679819</v>
      </c>
      <c r="AB27" s="11">
        <v>0.49147451081844823</v>
      </c>
      <c r="AC27" s="11">
        <v>0.17026178961950306</v>
      </c>
      <c r="AD27" s="11">
        <v>0.17026178291443703</v>
      </c>
      <c r="AE27" s="11">
        <v>0.22339387945470063</v>
      </c>
      <c r="AF27" s="11">
        <v>0.11178135396286938</v>
      </c>
      <c r="AG27" s="11">
        <v>0.11597641427119396</v>
      </c>
      <c r="AH27" s="11">
        <v>1.5116665098015809E-2</v>
      </c>
      <c r="AI27" s="11">
        <v>6.544438858938513E-2</v>
      </c>
    </row>
    <row r="28" spans="1:35" outlineLevel="1">
      <c r="B28" t="s">
        <v>270</v>
      </c>
      <c r="C28" s="11">
        <v>5.8491224988378651E-3</v>
      </c>
      <c r="D28" s="11">
        <v>0.10896436527265024</v>
      </c>
      <c r="E28" s="11">
        <v>6.4079172389975153E-2</v>
      </c>
      <c r="F28" s="11">
        <v>6.4079171764637316E-2</v>
      </c>
      <c r="G28" s="11">
        <v>6.4079178128861061E-2</v>
      </c>
      <c r="H28" s="11">
        <v>6.4079166203858756E-2</v>
      </c>
      <c r="I28" s="11">
        <v>6.4079166401959917E-2</v>
      </c>
      <c r="J28" s="11">
        <v>6.4079163077862267E-2</v>
      </c>
      <c r="K28" s="11">
        <v>6.4079167786137869E-2</v>
      </c>
      <c r="L28" s="11">
        <v>6.4079159987770917E-2</v>
      </c>
      <c r="M28" s="11">
        <v>6.4079166607432902E-2</v>
      </c>
      <c r="N28" s="11">
        <v>6.4079175130646204E-2</v>
      </c>
      <c r="O28" s="11">
        <v>6.4079170909396771E-2</v>
      </c>
      <c r="P28" s="11">
        <v>6.4079172900332756E-2</v>
      </c>
      <c r="Q28" s="11">
        <v>6.4079168985593002E-2</v>
      </c>
      <c r="R28" s="11">
        <v>6.4079173729663125E-2</v>
      </c>
      <c r="S28" s="11">
        <v>9.3804349018233618E-2</v>
      </c>
      <c r="T28" s="11">
        <v>2.6323405133358888E-2</v>
      </c>
      <c r="U28" s="11">
        <v>0.46466310584681908</v>
      </c>
      <c r="V28" s="11">
        <v>0.69208570638046785</v>
      </c>
      <c r="W28" s="11">
        <v>0.18824913044395</v>
      </c>
      <c r="X28" s="11">
        <v>0.18824913639670521</v>
      </c>
      <c r="Y28" s="11">
        <v>0.18824909680004098</v>
      </c>
      <c r="Z28" s="11">
        <v>0.18824913488800002</v>
      </c>
      <c r="AA28" s="11">
        <v>0.18824910524075247</v>
      </c>
      <c r="AB28" s="11">
        <v>1.1010323971593718E-2</v>
      </c>
      <c r="AC28" s="11">
        <v>9.3691466921701938E-2</v>
      </c>
      <c r="AD28" s="11">
        <v>9.3691486388860754E-2</v>
      </c>
      <c r="AE28" s="11">
        <v>0.29403736077700088</v>
      </c>
      <c r="AF28" s="11">
        <v>0.31997313044960962</v>
      </c>
      <c r="AG28" s="11">
        <v>0.30281408561636447</v>
      </c>
      <c r="AH28" s="11">
        <v>0.90845465734129094</v>
      </c>
      <c r="AI28" s="11">
        <v>0.13881210105796057</v>
      </c>
    </row>
    <row r="29" spans="1:35" outlineLevel="1">
      <c r="B29" t="s">
        <v>271</v>
      </c>
      <c r="C29" s="11">
        <v>0.98284522059905577</v>
      </c>
      <c r="D29" s="11">
        <v>0.23701912619043128</v>
      </c>
      <c r="E29" s="11">
        <v>0.62119232309817207</v>
      </c>
      <c r="F29" s="11">
        <v>0.62119231723348545</v>
      </c>
      <c r="G29" s="11">
        <v>0.62119227905363794</v>
      </c>
      <c r="H29" s="11">
        <v>0.62119232915835687</v>
      </c>
      <c r="I29" s="11">
        <v>0.62119233560145759</v>
      </c>
      <c r="J29" s="11">
        <v>0.62119231746039782</v>
      </c>
      <c r="K29" s="11">
        <v>0.62119233253795847</v>
      </c>
      <c r="L29" s="11">
        <v>0.62119235727054611</v>
      </c>
      <c r="M29" s="11">
        <v>0.62119232768832988</v>
      </c>
      <c r="N29" s="11">
        <v>0.62119231389052987</v>
      </c>
      <c r="O29" s="11">
        <v>0.62119231914793227</v>
      </c>
      <c r="P29" s="11">
        <v>0.62119230272772452</v>
      </c>
      <c r="Q29" s="11">
        <v>0.62119234191640205</v>
      </c>
      <c r="R29" s="11">
        <v>0.62119232760018583</v>
      </c>
      <c r="S29" s="11">
        <v>0.28771112700323975</v>
      </c>
      <c r="T29" s="11">
        <v>0.6879839342886126</v>
      </c>
      <c r="U29" s="11">
        <v>0.13685620090901418</v>
      </c>
      <c r="V29" s="11">
        <v>3.0569567650246984E-2</v>
      </c>
      <c r="W29" s="11">
        <v>0.14785036911612412</v>
      </c>
      <c r="X29" s="11">
        <v>0.14785036298925908</v>
      </c>
      <c r="Y29" s="11">
        <v>0.14785036499641796</v>
      </c>
      <c r="Z29" s="11">
        <v>0.1478503683968434</v>
      </c>
      <c r="AA29" s="11">
        <v>0.1478503732656466</v>
      </c>
      <c r="AB29" s="11">
        <v>1.1482671243830898E-2</v>
      </c>
      <c r="AC29" s="11">
        <v>2.3934765979554667E-2</v>
      </c>
      <c r="AD29" s="11">
        <v>2.3934769941158528E-2</v>
      </c>
      <c r="AE29" s="11">
        <v>4.5568910589668159E-2</v>
      </c>
      <c r="AF29" s="11">
        <v>1.12277550264694E-2</v>
      </c>
      <c r="AG29" s="11">
        <v>4.515784124881167E-2</v>
      </c>
      <c r="AH29" s="11">
        <v>3.8243352812584751E-2</v>
      </c>
      <c r="AI29" s="11">
        <v>3.6521993927890626E-3</v>
      </c>
    </row>
    <row r="30" spans="1:35" outlineLevel="1"/>
    <row r="31" spans="1:35" outlineLevel="1">
      <c r="D31" t="s">
        <v>279</v>
      </c>
    </row>
    <row r="32" spans="1:35" outlineLevel="1"/>
    <row r="33" spans="1:35" outlineLevel="1">
      <c r="B33" t="s">
        <v>267</v>
      </c>
      <c r="C33" s="2">
        <f ca="1">C25*(C$6-C$17)</f>
        <v>1.2091878182848437</v>
      </c>
      <c r="D33" s="2">
        <f t="shared" ref="D33:AI37" ca="1" si="1">D25*(D$6-D$17)</f>
        <v>445.4533745807887</v>
      </c>
      <c r="E33" s="2">
        <f t="shared" ca="1" si="1"/>
        <v>305.75735675589323</v>
      </c>
      <c r="F33" s="2">
        <f t="shared" ca="1" si="1"/>
        <v>95.729915795483237</v>
      </c>
      <c r="G33" s="2">
        <f t="shared" ca="1" si="1"/>
        <v>0.8535380600583814</v>
      </c>
      <c r="H33" s="2">
        <f t="shared" ca="1" si="1"/>
        <v>72.109048276301181</v>
      </c>
      <c r="I33" s="2">
        <f t="shared" ca="1" si="1"/>
        <v>147.93339839751155</v>
      </c>
      <c r="J33" s="2">
        <f t="shared" ca="1" si="1"/>
        <v>29.578617727104298</v>
      </c>
      <c r="K33" s="2">
        <f t="shared" ca="1" si="1"/>
        <v>177.85224280106436</v>
      </c>
      <c r="L33" s="2">
        <f t="shared" ca="1" si="1"/>
        <v>80.341778446621262</v>
      </c>
      <c r="M33" s="2">
        <f t="shared" ca="1" si="1"/>
        <v>194.66925206455295</v>
      </c>
      <c r="N33" s="2">
        <f t="shared" ca="1" si="1"/>
        <v>462.74816850515072</v>
      </c>
      <c r="O33" s="2">
        <f t="shared" ca="1" si="1"/>
        <v>151.04148540817721</v>
      </c>
      <c r="P33" s="2">
        <f t="shared" ca="1" si="1"/>
        <v>86.83991695106613</v>
      </c>
      <c r="Q33" s="2">
        <f t="shared" ca="1" si="1"/>
        <v>34.436614604091488</v>
      </c>
      <c r="R33" s="2">
        <f t="shared" ca="1" si="1"/>
        <v>329.66488545242601</v>
      </c>
      <c r="S33" s="2">
        <f t="shared" ca="1" si="1"/>
        <v>846.83694019676398</v>
      </c>
      <c r="T33" s="2">
        <f t="shared" ca="1" si="1"/>
        <v>3062.4315640815944</v>
      </c>
      <c r="U33" s="2">
        <f t="shared" ca="1" si="1"/>
        <v>5592.6409762561725</v>
      </c>
      <c r="V33" s="2">
        <f t="shared" ca="1" si="1"/>
        <v>1925.3792876338193</v>
      </c>
      <c r="W33" s="2">
        <f t="shared" ca="1" si="1"/>
        <v>984.18941507763566</v>
      </c>
      <c r="X33" s="2">
        <f t="shared" ca="1" si="1"/>
        <v>33.690647737051719</v>
      </c>
      <c r="Y33" s="2">
        <f t="shared" ca="1" si="1"/>
        <v>3280.3543767260658</v>
      </c>
      <c r="Z33" s="2">
        <f t="shared" ca="1" si="1"/>
        <v>2074.2051218750976</v>
      </c>
      <c r="AA33" s="2">
        <f t="shared" ca="1" si="1"/>
        <v>1122.5437334926162</v>
      </c>
      <c r="AB33" s="2">
        <f t="shared" ca="1" si="1"/>
        <v>2769.0859094409147</v>
      </c>
      <c r="AC33" s="2">
        <f t="shared" ca="1" si="1"/>
        <v>2871.0848599599535</v>
      </c>
      <c r="AD33" s="2">
        <f t="shared" ca="1" si="1"/>
        <v>14970.118954882595</v>
      </c>
      <c r="AE33" s="2">
        <f t="shared" ca="1" si="1"/>
        <v>3336.059234513571</v>
      </c>
      <c r="AF33" s="2">
        <f t="shared" ca="1" si="1"/>
        <v>1889.0189497652889</v>
      </c>
      <c r="AG33" s="2">
        <f t="shared" ca="1" si="1"/>
        <v>1360.3356666257118</v>
      </c>
      <c r="AH33" s="2">
        <f t="shared" ca="1" si="1"/>
        <v>39.63466350400995</v>
      </c>
      <c r="AI33" s="2">
        <f t="shared" ca="1" si="1"/>
        <v>684.23285740912115</v>
      </c>
    </row>
    <row r="34" spans="1:35" outlineLevel="1">
      <c r="B34" t="s">
        <v>268</v>
      </c>
      <c r="C34" s="2">
        <f t="shared" ref="C34:R37" ca="1" si="2">C26*(C$6-C$17)</f>
        <v>0.55890834262043743</v>
      </c>
      <c r="D34" s="2">
        <f t="shared" ca="1" si="2"/>
        <v>196.50106469011513</v>
      </c>
      <c r="E34" s="2">
        <f t="shared" ca="1" si="2"/>
        <v>330.53346868024954</v>
      </c>
      <c r="F34" s="2">
        <f t="shared" ca="1" si="2"/>
        <v>103.4870882845773</v>
      </c>
      <c r="G34" s="2">
        <f t="shared" ca="1" si="2"/>
        <v>0.92270178967856964</v>
      </c>
      <c r="H34" s="2">
        <f t="shared" ca="1" si="2"/>
        <v>77.952176081079102</v>
      </c>
      <c r="I34" s="2">
        <f t="shared" ca="1" si="2"/>
        <v>159.92070759205725</v>
      </c>
      <c r="J34" s="2">
        <f t="shared" ca="1" si="2"/>
        <v>31.975424129087127</v>
      </c>
      <c r="K34" s="2">
        <f t="shared" ca="1" si="2"/>
        <v>192.26392080091208</v>
      </c>
      <c r="L34" s="2">
        <f t="shared" ca="1" si="2"/>
        <v>86.852019771504843</v>
      </c>
      <c r="M34" s="2">
        <f t="shared" ca="1" si="2"/>
        <v>210.4436564692075</v>
      </c>
      <c r="N34" s="2">
        <f t="shared" ca="1" si="2"/>
        <v>500.24548115963978</v>
      </c>
      <c r="O34" s="2">
        <f t="shared" ca="1" si="2"/>
        <v>163.28064364554447</v>
      </c>
      <c r="P34" s="2">
        <f t="shared" ca="1" si="2"/>
        <v>93.876722940273979</v>
      </c>
      <c r="Q34" s="2">
        <f t="shared" ca="1" si="2"/>
        <v>37.227075110252613</v>
      </c>
      <c r="R34" s="2">
        <f t="shared" ca="1" si="2"/>
        <v>356.37823235818485</v>
      </c>
      <c r="S34" s="2">
        <f t="shared" ca="1" si="1"/>
        <v>945.17581424678065</v>
      </c>
      <c r="T34" s="2">
        <f t="shared" ca="1" si="1"/>
        <v>1332.2766649000912</v>
      </c>
      <c r="U34" s="2">
        <f t="shared" ca="1" si="1"/>
        <v>7950.5046035224013</v>
      </c>
      <c r="V34" s="2">
        <f t="shared" ca="1" si="1"/>
        <v>570.16357202086465</v>
      </c>
      <c r="W34" s="2">
        <f t="shared" ca="1" si="1"/>
        <v>958.09014504017853</v>
      </c>
      <c r="X34" s="2">
        <f t="shared" ca="1" si="1"/>
        <v>32.797225173586156</v>
      </c>
      <c r="Y34" s="2">
        <f t="shared" ca="1" si="1"/>
        <v>3193.3651545641251</v>
      </c>
      <c r="Z34" s="2">
        <f t="shared" ca="1" si="1"/>
        <v>2019.2001784068302</v>
      </c>
      <c r="AA34" s="2">
        <f t="shared" ca="1" si="1"/>
        <v>1092.7756373518332</v>
      </c>
      <c r="AB34" s="2">
        <f t="shared" ca="1" si="1"/>
        <v>2635.8222371585448</v>
      </c>
      <c r="AC34" s="2">
        <f t="shared" ca="1" si="1"/>
        <v>2019.0759293172184</v>
      </c>
      <c r="AD34" s="2">
        <f t="shared" ca="1" si="1"/>
        <v>10527.659092483307</v>
      </c>
      <c r="AE34" s="2">
        <f t="shared" ca="1" si="1"/>
        <v>2846.0224503119289</v>
      </c>
      <c r="AF34" s="2">
        <f t="shared" ca="1" si="1"/>
        <v>1527.6924342343973</v>
      </c>
      <c r="AG34" s="2">
        <f t="shared" ca="1" si="1"/>
        <v>1248.7206964016782</v>
      </c>
      <c r="AH34" s="2">
        <f t="shared" ca="1" si="1"/>
        <v>59.57834864394745</v>
      </c>
      <c r="AI34" s="2">
        <f t="shared" ca="1" si="1"/>
        <v>739.31820861585277</v>
      </c>
    </row>
    <row r="35" spans="1:35" outlineLevel="1">
      <c r="B35" t="s">
        <v>269</v>
      </c>
      <c r="C35" s="2">
        <f t="shared" ca="1" si="2"/>
        <v>0.70511961329741657</v>
      </c>
      <c r="D35" s="2">
        <f t="shared" ca="1" si="1"/>
        <v>108.61797069748138</v>
      </c>
      <c r="E35" s="2">
        <f t="shared" ca="1" si="1"/>
        <v>184.2408007951737</v>
      </c>
      <c r="F35" s="2">
        <f t="shared" ca="1" si="1"/>
        <v>57.684164812378384</v>
      </c>
      <c r="G35" s="2">
        <f t="shared" ca="1" si="1"/>
        <v>0.51431801461868765</v>
      </c>
      <c r="H35" s="2">
        <f t="shared" ca="1" si="1"/>
        <v>43.450881291943496</v>
      </c>
      <c r="I35" s="2">
        <f t="shared" ca="1" si="1"/>
        <v>89.140506878756028</v>
      </c>
      <c r="J35" s="2">
        <f t="shared" ca="1" si="1"/>
        <v>17.823240653701706</v>
      </c>
      <c r="K35" s="2">
        <f t="shared" ca="1" si="1"/>
        <v>107.16876335556954</v>
      </c>
      <c r="L35" s="2">
        <f t="shared" ca="1" si="1"/>
        <v>48.411702984014134</v>
      </c>
      <c r="M35" s="2">
        <f t="shared" ca="1" si="1"/>
        <v>117.30223601386284</v>
      </c>
      <c r="N35" s="2">
        <f t="shared" ca="1" si="1"/>
        <v>278.83902322712265</v>
      </c>
      <c r="O35" s="2">
        <f t="shared" ca="1" si="1"/>
        <v>91.013366262550178</v>
      </c>
      <c r="P35" s="2">
        <f t="shared" ca="1" si="1"/>
        <v>52.327297348549259</v>
      </c>
      <c r="Q35" s="2">
        <f t="shared" ca="1" si="1"/>
        <v>20.750539344958163</v>
      </c>
      <c r="R35" s="2">
        <f t="shared" ca="1" si="1"/>
        <v>198.64679229061036</v>
      </c>
      <c r="S35" s="2">
        <f t="shared" ca="1" si="1"/>
        <v>864.92983041796924</v>
      </c>
      <c r="T35" s="2">
        <f t="shared" ca="1" si="1"/>
        <v>1170.2677767437822</v>
      </c>
      <c r="U35" s="2">
        <f t="shared" ca="1" si="1"/>
        <v>7283.2713794350948</v>
      </c>
      <c r="V35" s="2">
        <f t="shared" ca="1" si="1"/>
        <v>1169.8509107712821</v>
      </c>
      <c r="W35" s="2">
        <f t="shared" ca="1" si="1"/>
        <v>863.09634290081976</v>
      </c>
      <c r="X35" s="2">
        <f t="shared" ca="1" si="1"/>
        <v>29.545402690030354</v>
      </c>
      <c r="Y35" s="2">
        <f t="shared" ca="1" si="1"/>
        <v>2876.7448856833994</v>
      </c>
      <c r="Z35" s="2">
        <f t="shared" ca="1" si="1"/>
        <v>1818.9981120641751</v>
      </c>
      <c r="AA35" s="2">
        <f t="shared" ca="1" si="1"/>
        <v>984.42781458807133</v>
      </c>
      <c r="AB35" s="2">
        <f t="shared" ca="1" si="1"/>
        <v>5465.4259135887005</v>
      </c>
      <c r="AC35" s="2">
        <f t="shared" ca="1" si="1"/>
        <v>1169.208711327602</v>
      </c>
      <c r="AD35" s="2">
        <f t="shared" ca="1" si="1"/>
        <v>6096.3688155090649</v>
      </c>
      <c r="AE35" s="2">
        <f t="shared" ca="1" si="1"/>
        <v>3160.2738840179768</v>
      </c>
      <c r="AF35" s="2">
        <f t="shared" ca="1" si="1"/>
        <v>685.65968923350636</v>
      </c>
      <c r="AG35" s="2">
        <f t="shared" ca="1" si="1"/>
        <v>564.47731596767062</v>
      </c>
      <c r="AH35" s="2">
        <f t="shared" ca="1" si="1"/>
        <v>39.276080219282001</v>
      </c>
      <c r="AI35" s="2">
        <f t="shared" ca="1" si="1"/>
        <v>117.61703209302391</v>
      </c>
    </row>
    <row r="36" spans="1:35" outlineLevel="1">
      <c r="B36" t="s">
        <v>270</v>
      </c>
      <c r="C36" s="2">
        <f t="shared" ca="1" si="2"/>
        <v>1.2795490040631392</v>
      </c>
      <c r="D36" s="2">
        <f t="shared" ca="1" si="1"/>
        <v>125.05134836172383</v>
      </c>
      <c r="E36" s="2">
        <f t="shared" ca="1" si="1"/>
        <v>167.06140935741976</v>
      </c>
      <c r="F36" s="2">
        <f t="shared" ca="1" si="1"/>
        <v>52.305442794461371</v>
      </c>
      <c r="G36" s="2">
        <f t="shared" ca="1" si="1"/>
        <v>0.46636083302307563</v>
      </c>
      <c r="H36" s="2">
        <f t="shared" ca="1" si="1"/>
        <v>39.399336881267701</v>
      </c>
      <c r="I36" s="2">
        <f t="shared" ca="1" si="1"/>
        <v>80.828663500777978</v>
      </c>
      <c r="J36" s="2">
        <f t="shared" ca="1" si="1"/>
        <v>16.161324812025242</v>
      </c>
      <c r="K36" s="2">
        <f t="shared" ca="1" si="1"/>
        <v>97.175886352209886</v>
      </c>
      <c r="L36" s="2">
        <f t="shared" ca="1" si="1"/>
        <v>43.897582085428759</v>
      </c>
      <c r="M36" s="2">
        <f t="shared" ca="1" si="1"/>
        <v>106.36445850625283</v>
      </c>
      <c r="N36" s="2">
        <f t="shared" ca="1" si="1"/>
        <v>252.83890894318606</v>
      </c>
      <c r="O36" s="2">
        <f t="shared" ca="1" si="1"/>
        <v>82.526881612179238</v>
      </c>
      <c r="P36" s="2">
        <f t="shared" ca="1" si="1"/>
        <v>47.448075377245438</v>
      </c>
      <c r="Q36" s="2">
        <f t="shared" ca="1" si="1"/>
        <v>18.815668761147009</v>
      </c>
      <c r="R36" s="2">
        <f t="shared" ca="1" si="1"/>
        <v>180.12413456612319</v>
      </c>
      <c r="S36" s="2">
        <f t="shared" ca="1" si="1"/>
        <v>402.97333221616788</v>
      </c>
      <c r="T36" s="2">
        <f t="shared" ca="1" si="1"/>
        <v>512.75072191126037</v>
      </c>
      <c r="U36" s="2">
        <f t="shared" ca="1" si="1"/>
        <v>24285.411444010406</v>
      </c>
      <c r="V36" s="2">
        <f t="shared" ca="1" si="1"/>
        <v>9146.619348545888</v>
      </c>
      <c r="W36" s="2">
        <f t="shared" ca="1" si="1"/>
        <v>795.46494386089978</v>
      </c>
      <c r="X36" s="2">
        <f t="shared" ca="1" si="1"/>
        <v>27.230256914179495</v>
      </c>
      <c r="Y36" s="2">
        <f t="shared" ca="1" si="1"/>
        <v>2651.3255824723346</v>
      </c>
      <c r="Z36" s="2">
        <f t="shared" ca="1" si="1"/>
        <v>1676.4633148942241</v>
      </c>
      <c r="AA36" s="2">
        <f t="shared" ca="1" si="1"/>
        <v>907.28885601589923</v>
      </c>
      <c r="AB36" s="2">
        <f t="shared" ca="1" si="1"/>
        <v>122.4399406820598</v>
      </c>
      <c r="AC36" s="2">
        <f t="shared" ca="1" si="1"/>
        <v>643.39086031413171</v>
      </c>
      <c r="AD36" s="2">
        <f t="shared" ca="1" si="1"/>
        <v>3354.7038338414504</v>
      </c>
      <c r="AE36" s="2">
        <f t="shared" ca="1" si="1"/>
        <v>4159.6421283223062</v>
      </c>
      <c r="AF36" s="2">
        <f t="shared" ca="1" si="1"/>
        <v>1962.6947555137647</v>
      </c>
      <c r="AG36" s="2">
        <f t="shared" ca="1" si="1"/>
        <v>1473.8486558674851</v>
      </c>
      <c r="AH36" s="2">
        <f t="shared" ca="1" si="1"/>
        <v>2360.3445446443252</v>
      </c>
      <c r="AI36" s="2">
        <f t="shared" ca="1" si="1"/>
        <v>249.47390749529228</v>
      </c>
    </row>
    <row r="37" spans="1:35" outlineLevel="1">
      <c r="B37" t="s">
        <v>271</v>
      </c>
      <c r="C37" s="2">
        <f t="shared" ca="1" si="2"/>
        <v>215.00637461697963</v>
      </c>
      <c r="D37" s="2">
        <f t="shared" ca="1" si="1"/>
        <v>272.01150801426684</v>
      </c>
      <c r="E37" s="2">
        <f t="shared" ca="1" si="1"/>
        <v>1619.5163125269339</v>
      </c>
      <c r="F37" s="2">
        <f t="shared" ca="1" si="1"/>
        <v>507.05616690485755</v>
      </c>
      <c r="G37" s="2">
        <f t="shared" ca="1" si="1"/>
        <v>4.5209654241254631</v>
      </c>
      <c r="H37" s="2">
        <f t="shared" ca="1" si="1"/>
        <v>381.94263899606756</v>
      </c>
      <c r="I37" s="2">
        <f t="shared" ca="1" si="1"/>
        <v>783.56428591207202</v>
      </c>
      <c r="J37" s="2">
        <f t="shared" ca="1" si="1"/>
        <v>156.67013005481201</v>
      </c>
      <c r="K37" s="2">
        <f t="shared" ca="1" si="1"/>
        <v>942.0365088235659</v>
      </c>
      <c r="L37" s="2">
        <f t="shared" ca="1" si="1"/>
        <v>425.54931274581105</v>
      </c>
      <c r="M37" s="2">
        <f t="shared" ca="1" si="1"/>
        <v>1031.1118115438135</v>
      </c>
      <c r="N37" s="2">
        <f t="shared" ca="1" si="1"/>
        <v>2451.0550669192244</v>
      </c>
      <c r="O37" s="2">
        <f t="shared" ca="1" si="1"/>
        <v>800.02697059238631</v>
      </c>
      <c r="P37" s="2">
        <f t="shared" ca="1" si="1"/>
        <v>459.96815922442539</v>
      </c>
      <c r="Q37" s="2">
        <f t="shared" ca="1" si="1"/>
        <v>182.40169976436584</v>
      </c>
      <c r="R37" s="2">
        <f t="shared" ca="1" si="1"/>
        <v>1746.1481460442576</v>
      </c>
      <c r="S37" s="2">
        <f t="shared" ca="1" si="1"/>
        <v>1235.9758665520751</v>
      </c>
      <c r="T37" s="2">
        <f t="shared" ca="1" si="1"/>
        <v>13401.163610204341</v>
      </c>
      <c r="U37" s="2">
        <f t="shared" ca="1" si="1"/>
        <v>7152.7287316743023</v>
      </c>
      <c r="V37" s="2">
        <f t="shared" ca="1" si="1"/>
        <v>404.00805329263579</v>
      </c>
      <c r="W37" s="2">
        <f t="shared" ca="1" si="1"/>
        <v>624.75606283763716</v>
      </c>
      <c r="X37" s="2">
        <f t="shared" ca="1" si="1"/>
        <v>21.386570191578762</v>
      </c>
      <c r="Y37" s="2">
        <f t="shared" ca="1" si="1"/>
        <v>2082.3444136322137</v>
      </c>
      <c r="Z37" s="2">
        <f t="shared" ca="1" si="1"/>
        <v>1316.6898156444306</v>
      </c>
      <c r="AA37" s="2">
        <f t="shared" ca="1" si="1"/>
        <v>712.58238306182773</v>
      </c>
      <c r="AB37" s="2">
        <f t="shared" ca="1" si="1"/>
        <v>127.6926627766379</v>
      </c>
      <c r="AC37" s="2">
        <f t="shared" ca="1" si="1"/>
        <v>164.36299036573303</v>
      </c>
      <c r="AD37" s="2">
        <f t="shared" ca="1" si="1"/>
        <v>857.00491665232039</v>
      </c>
      <c r="AE37" s="2">
        <f t="shared" ca="1" si="1"/>
        <v>644.64719629384751</v>
      </c>
      <c r="AF37" s="2">
        <f t="shared" ca="1" si="1"/>
        <v>68.870332567237881</v>
      </c>
      <c r="AG37" s="2">
        <f t="shared" ca="1" si="1"/>
        <v>219.79104271509354</v>
      </c>
      <c r="AH37" s="2">
        <f t="shared" ca="1" si="1"/>
        <v>99.363780515223525</v>
      </c>
      <c r="AI37" s="2">
        <f t="shared" ca="1" si="1"/>
        <v>6.5637537831848123</v>
      </c>
    </row>
    <row r="38" spans="1:35" outlineLevel="1"/>
    <row r="39" spans="1:35" s="97" customFormat="1" ht="17.5" outlineLevel="1" thickBot="1">
      <c r="A39"/>
      <c r="B39"/>
      <c r="C39" s="97" t="s">
        <v>272</v>
      </c>
    </row>
    <row r="40" spans="1:35" ht="15" outlineLevel="1" thickTop="1"/>
    <row r="41" spans="1:35" outlineLevel="1">
      <c r="D41" t="s">
        <v>273</v>
      </c>
      <c r="E41" t="s">
        <v>274</v>
      </c>
    </row>
    <row r="42" spans="1:35" outlineLevel="1"/>
    <row r="43" spans="1:35" outlineLevel="1">
      <c r="D43" t="str">
        <f>'ILO occupation by income'!E5</f>
        <v>Occupation (ISCO-08): 1. Managers</v>
      </c>
      <c r="E43" s="2">
        <f>'ILO occupation by income'!H18</f>
        <v>22038.627</v>
      </c>
    </row>
    <row r="44" spans="1:35" outlineLevel="1">
      <c r="D44" t="str">
        <f>'ILO occupation by income'!E6</f>
        <v>Occupation (ISCO-08): 2. Professionals</v>
      </c>
      <c r="E44" s="2">
        <f>'ILO occupation by income'!H19</f>
        <v>13688.694</v>
      </c>
    </row>
    <row r="45" spans="1:35" outlineLevel="1">
      <c r="D45" t="str">
        <f>'ILO occupation by income'!E7</f>
        <v>Occupation (ISCO-08): 3. Technicians and associate professionals</v>
      </c>
      <c r="E45" s="2">
        <f>'ILO occupation by income'!H20</f>
        <v>10221.388000000001</v>
      </c>
    </row>
    <row r="46" spans="1:35" outlineLevel="1">
      <c r="D46" t="str">
        <f>'ILO occupation by income'!E8</f>
        <v>Occupation (ISCO-08): 4. Clerical support workers</v>
      </c>
      <c r="E46" s="2">
        <f>'ILO occupation by income'!H21</f>
        <v>7144.6189999999997</v>
      </c>
    </row>
    <row r="47" spans="1:35" outlineLevel="1">
      <c r="D47" t="str">
        <f>'ILO occupation by income'!E9</f>
        <v>Occupation (ISCO-08): 5. Service and sales workers</v>
      </c>
      <c r="E47" s="2">
        <f>'ILO occupation by income'!H22</f>
        <v>3680.0210000000002</v>
      </c>
    </row>
    <row r="48" spans="1:35" outlineLevel="1">
      <c r="D48" t="str">
        <f>'ILO occupation by income'!E10</f>
        <v>Occupation (ISCO-08): 6. Skilled agricultural, forestry and fishery workers</v>
      </c>
      <c r="E48" s="2">
        <f>'ILO occupation by income'!H23</f>
        <v>1260.0340000000001</v>
      </c>
    </row>
    <row r="49" spans="1:11" outlineLevel="1">
      <c r="D49" t="str">
        <f>'ILO occupation by income'!E11</f>
        <v>Occupation (ISCO-08): 7. Craft and related trades workers</v>
      </c>
      <c r="E49" s="2">
        <f>'ILO occupation by income'!H24</f>
        <v>2392.5369999999998</v>
      </c>
    </row>
    <row r="50" spans="1:11" outlineLevel="1">
      <c r="D50" t="str">
        <f>'ILO occupation by income'!E12</f>
        <v>Occupation (ISCO-08): 8. Plant and machine operators, and assemblers</v>
      </c>
      <c r="E50" s="2">
        <f>'ILO occupation by income'!H25</f>
        <v>3198.739</v>
      </c>
    </row>
    <row r="51" spans="1:11" outlineLevel="1">
      <c r="D51" t="str">
        <f>'ILO occupation by income'!E13</f>
        <v>Occupation (ISCO-08): 9. Elementary occupations</v>
      </c>
      <c r="E51" s="2">
        <f>'ILO occupation by income'!H26</f>
        <v>1797.0909999999999</v>
      </c>
    </row>
    <row r="52" spans="1:11" outlineLevel="1">
      <c r="E52" s="2"/>
    </row>
    <row r="53" spans="1:11" outlineLevel="1">
      <c r="D53" t="s">
        <v>275</v>
      </c>
      <c r="E53" t="s">
        <v>274</v>
      </c>
      <c r="F53" t="s">
        <v>281</v>
      </c>
      <c r="G53" t="s">
        <v>284</v>
      </c>
      <c r="K53" t="s">
        <v>276</v>
      </c>
    </row>
    <row r="54" spans="1:11" outlineLevel="1"/>
    <row r="55" spans="1:11" outlineLevel="1">
      <c r="D55" t="s">
        <v>267</v>
      </c>
      <c r="E55" s="2">
        <f>AVERAGE(E43:E44)</f>
        <v>17863.660499999998</v>
      </c>
      <c r="F55">
        <f>E55/$E$55</f>
        <v>1</v>
      </c>
      <c r="G55">
        <f>1/F55</f>
        <v>1</v>
      </c>
    </row>
    <row r="56" spans="1:11" outlineLevel="1">
      <c r="D56" t="s">
        <v>268</v>
      </c>
      <c r="E56" s="2">
        <f>E45</f>
        <v>10221.388000000001</v>
      </c>
      <c r="F56">
        <f t="shared" ref="F56:F59" si="3">E56/$E$55</f>
        <v>0.57218888592290484</v>
      </c>
      <c r="G56">
        <f t="shared" ref="G56:G59" si="4">1/F56</f>
        <v>1.7476746308818329</v>
      </c>
    </row>
    <row r="57" spans="1:11" outlineLevel="1">
      <c r="D57" t="s">
        <v>269</v>
      </c>
      <c r="E57" s="2">
        <f>E46</f>
        <v>7144.6189999999997</v>
      </c>
      <c r="F57">
        <f t="shared" si="3"/>
        <v>0.39995268606901707</v>
      </c>
      <c r="G57">
        <f t="shared" si="4"/>
        <v>2.5002957470510321</v>
      </c>
    </row>
    <row r="58" spans="1:11" outlineLevel="1">
      <c r="D58" t="s">
        <v>270</v>
      </c>
      <c r="E58" s="2">
        <f>E47</f>
        <v>3680.0210000000002</v>
      </c>
      <c r="F58">
        <f t="shared" si="3"/>
        <v>0.20600598628707709</v>
      </c>
      <c r="G58">
        <f t="shared" si="4"/>
        <v>4.8542278698953067</v>
      </c>
    </row>
    <row r="59" spans="1:11" outlineLevel="1">
      <c r="D59" t="s">
        <v>271</v>
      </c>
      <c r="E59" s="2">
        <f>AVERAGE(E49:E51)</f>
        <v>2462.7890000000002</v>
      </c>
      <c r="F59">
        <f t="shared" si="3"/>
        <v>0.13786586461380637</v>
      </c>
      <c r="G59">
        <f t="shared" si="4"/>
        <v>7.2534271104832753</v>
      </c>
    </row>
    <row r="60" spans="1:11" outlineLevel="1"/>
    <row r="61" spans="1:11" s="97" customFormat="1" ht="17.5" outlineLevel="1" thickBot="1">
      <c r="A61"/>
      <c r="B61"/>
      <c r="C61" s="97" t="s">
        <v>293</v>
      </c>
    </row>
    <row r="62" spans="1:11" ht="15" outlineLevel="1" thickTop="1"/>
    <row r="63" spans="1:11" outlineLevel="1">
      <c r="D63" t="s">
        <v>280</v>
      </c>
      <c r="K63" s="98" t="s">
        <v>277</v>
      </c>
    </row>
    <row r="64" spans="1:11" outlineLevel="1"/>
    <row r="65" spans="1:35" s="100" customFormat="1" ht="15" outlineLevel="1" thickBot="1">
      <c r="A65"/>
      <c r="B65"/>
      <c r="C65"/>
      <c r="D65" s="100" t="s">
        <v>282</v>
      </c>
    </row>
    <row r="66" spans="1:35" outlineLevel="1"/>
    <row r="67" spans="1:35" outlineLevel="1">
      <c r="B67" t="s">
        <v>267</v>
      </c>
      <c r="C67" s="11">
        <f ca="1">(C$6-C$17)*C25/(SUM(_xlfn.ANCHORARRAY($C$6))-SUM($C$17:$AI$17))</f>
        <v>5.3828493985242831E-6</v>
      </c>
      <c r="D67" s="11">
        <f t="shared" ref="D67:AI71" ca="1" si="5">(D$6-D$17)*D25/(SUM(_xlfn.ANCHORARRAY($C$6))-SUM($C$17:$AI$17))</f>
        <v>1.9829908912198189E-3</v>
      </c>
      <c r="E67" s="11">
        <f t="shared" ca="1" si="5"/>
        <v>1.3611167587202148E-3</v>
      </c>
      <c r="F67" s="11">
        <f t="shared" ca="1" si="5"/>
        <v>4.2615358165898267E-4</v>
      </c>
      <c r="G67" s="11">
        <f t="shared" ca="1" si="5"/>
        <v>3.7996304326980423E-6</v>
      </c>
      <c r="H67" s="11">
        <f t="shared" ca="1" si="5"/>
        <v>3.2100236313397165E-4</v>
      </c>
      <c r="I67" s="11">
        <f t="shared" ca="1" si="5"/>
        <v>6.5854385277814317E-4</v>
      </c>
      <c r="J67" s="11">
        <f t="shared" ca="1" si="5"/>
        <v>1.3167288177560592E-4</v>
      </c>
      <c r="K67" s="11">
        <f t="shared" ca="1" si="5"/>
        <v>7.9173129576003099E-4</v>
      </c>
      <c r="L67" s="11">
        <f t="shared" ca="1" si="5"/>
        <v>3.5765138157047808E-4</v>
      </c>
      <c r="M67" s="11">
        <f t="shared" ca="1" si="5"/>
        <v>8.6659429622206721E-4</v>
      </c>
      <c r="N67" s="11">
        <f t="shared" ca="1" si="5"/>
        <v>2.0599808093000418E-3</v>
      </c>
      <c r="O67" s="11">
        <f t="shared" ca="1" si="5"/>
        <v>6.7237988721624543E-4</v>
      </c>
      <c r="P67" s="11">
        <f t="shared" ca="1" si="5"/>
        <v>3.8657865028030784E-4</v>
      </c>
      <c r="Q67" s="11">
        <f t="shared" ca="1" si="5"/>
        <v>1.5329885680768595E-4</v>
      </c>
      <c r="R67" s="11">
        <f t="shared" ca="1" si="5"/>
        <v>1.4675440849951959E-3</v>
      </c>
      <c r="S67" s="11">
        <f t="shared" ca="1" si="5"/>
        <v>3.7697995673261838E-3</v>
      </c>
      <c r="T67" s="11">
        <f t="shared" ca="1" si="5"/>
        <v>1.3632793560656907E-2</v>
      </c>
      <c r="U67" s="11">
        <f t="shared" ca="1" si="5"/>
        <v>2.489633426666827E-2</v>
      </c>
      <c r="V67" s="11">
        <f t="shared" ca="1" si="5"/>
        <v>8.5710644646350576E-3</v>
      </c>
      <c r="W67" s="11">
        <f t="shared" ca="1" si="5"/>
        <v>4.3812411280318144E-3</v>
      </c>
      <c r="X67" s="11">
        <f t="shared" ca="1" si="5"/>
        <v>1.4997809286940901E-4</v>
      </c>
      <c r="Y67" s="11">
        <f t="shared" ca="1" si="5"/>
        <v>1.460290396305238E-2</v>
      </c>
      <c r="Z67" s="11">
        <f t="shared" ca="1" si="5"/>
        <v>9.2335811061497394E-3</v>
      </c>
      <c r="AA67" s="11">
        <f t="shared" ca="1" si="5"/>
        <v>4.9971425193637937E-3</v>
      </c>
      <c r="AB67" s="11">
        <f t="shared" ca="1" si="5"/>
        <v>1.232692903178491E-2</v>
      </c>
      <c r="AC67" s="11">
        <f t="shared" ca="1" si="5"/>
        <v>1.2780989998285799E-2</v>
      </c>
      <c r="AD67" s="11">
        <f t="shared" ca="1" si="5"/>
        <v>6.664133941278623E-2</v>
      </c>
      <c r="AE67" s="11">
        <f t="shared" ca="1" si="5"/>
        <v>1.4850881039650515E-2</v>
      </c>
      <c r="AF67" s="11">
        <f t="shared" ca="1" si="5"/>
        <v>8.4092019153551804E-3</v>
      </c>
      <c r="AG67" s="11">
        <f t="shared" ca="1" si="5"/>
        <v>6.055702773514391E-3</v>
      </c>
      <c r="AH67" s="11">
        <f t="shared" ca="1" si="5"/>
        <v>1.764386155542752E-4</v>
      </c>
      <c r="AI67" s="11">
        <f t="shared" ca="1" si="5"/>
        <v>3.045947345201935E-3</v>
      </c>
    </row>
    <row r="68" spans="1:35" outlineLevel="1">
      <c r="B68" t="s">
        <v>268</v>
      </c>
      <c r="C68" s="11">
        <f t="shared" ref="C68:R71" ca="1" si="6">(C$6-C$17)*C26/(SUM(_xlfn.ANCHORARRAY($C$6))-SUM($C$17:$AI$17))</f>
        <v>2.4880497391811472E-6</v>
      </c>
      <c r="D68" s="11">
        <f t="shared" ca="1" si="6"/>
        <v>8.7474883709703476E-4</v>
      </c>
      <c r="E68" s="11">
        <f t="shared" ca="1" si="6"/>
        <v>1.4714106908563847E-3</v>
      </c>
      <c r="F68" s="11">
        <f t="shared" ca="1" si="6"/>
        <v>4.6068559615313869E-4</v>
      </c>
      <c r="G68" s="11">
        <f t="shared" ca="1" si="6"/>
        <v>4.1075213448921523E-6</v>
      </c>
      <c r="H68" s="11">
        <f t="shared" ca="1" si="6"/>
        <v>3.4701377055458479E-4</v>
      </c>
      <c r="I68" s="11">
        <f t="shared" ca="1" si="6"/>
        <v>7.1190684495524834E-4</v>
      </c>
      <c r="J68" s="11">
        <f t="shared" ca="1" si="6"/>
        <v>1.4234256245233701E-4</v>
      </c>
      <c r="K68" s="11">
        <f t="shared" ca="1" si="6"/>
        <v>8.558866660673852E-4</v>
      </c>
      <c r="L68" s="11">
        <f t="shared" ca="1" si="6"/>
        <v>3.8663252748510088E-4</v>
      </c>
      <c r="M68" s="11">
        <f t="shared" ca="1" si="6"/>
        <v>9.3681601197017554E-4</v>
      </c>
      <c r="N68" s="11">
        <f t="shared" ca="1" si="6"/>
        <v>2.226904742717428E-3</v>
      </c>
      <c r="O68" s="11">
        <f t="shared" ca="1" si="6"/>
        <v>7.2686401661303725E-4</v>
      </c>
      <c r="P68" s="11">
        <f t="shared" ca="1" si="6"/>
        <v>4.1790386404260592E-4</v>
      </c>
      <c r="Q68" s="11">
        <f t="shared" ca="1" si="6"/>
        <v>1.6572093750520818E-4</v>
      </c>
      <c r="R68" s="11">
        <f t="shared" ca="1" si="6"/>
        <v>1.5864618586858019E-3</v>
      </c>
      <c r="S68" s="11">
        <f t="shared" ca="1" si="5"/>
        <v>4.2075672499203793E-3</v>
      </c>
      <c r="T68" s="11">
        <f t="shared" ca="1" si="5"/>
        <v>5.9307946506586828E-3</v>
      </c>
      <c r="U68" s="11">
        <f t="shared" ca="1" si="5"/>
        <v>3.5392656356511301E-2</v>
      </c>
      <c r="V68" s="11">
        <f t="shared" ca="1" si="5"/>
        <v>2.538153787445774E-3</v>
      </c>
      <c r="W68" s="11">
        <f t="shared" ca="1" si="5"/>
        <v>4.2650569936081625E-3</v>
      </c>
      <c r="X68" s="11">
        <f t="shared" ca="1" si="5"/>
        <v>1.4600091162787112E-4</v>
      </c>
      <c r="Y68" s="11">
        <f t="shared" ca="1" si="5"/>
        <v>1.4215660662126076E-2</v>
      </c>
      <c r="Z68" s="11">
        <f t="shared" ca="1" si="5"/>
        <v>8.9887197848671618E-3</v>
      </c>
      <c r="AA68" s="11">
        <f t="shared" ca="1" si="5"/>
        <v>4.8646261509522155E-3</v>
      </c>
      <c r="AB68" s="11">
        <f t="shared" ca="1" si="5"/>
        <v>1.1733689282473021E-2</v>
      </c>
      <c r="AC68" s="11">
        <f t="shared" ca="1" si="5"/>
        <v>8.9881666746495659E-3</v>
      </c>
      <c r="AD68" s="11">
        <f t="shared" ca="1" si="5"/>
        <v>4.6865178888606057E-2</v>
      </c>
      <c r="AE68" s="11">
        <f t="shared" ca="1" si="5"/>
        <v>1.2669421576358759E-2</v>
      </c>
      <c r="AF68" s="11">
        <f t="shared" ca="1" si="5"/>
        <v>6.8007121610049034E-3</v>
      </c>
      <c r="AG68" s="11">
        <f t="shared" ca="1" si="5"/>
        <v>5.5588349038157439E-3</v>
      </c>
      <c r="AH68" s="11">
        <f t="shared" ca="1" si="5"/>
        <v>2.6522040109371682E-4</v>
      </c>
      <c r="AI68" s="11">
        <f t="shared" ca="1" si="5"/>
        <v>3.2911666114952753E-3</v>
      </c>
    </row>
    <row r="69" spans="1:35" outlineLevel="1">
      <c r="B69" t="s">
        <v>269</v>
      </c>
      <c r="C69" s="11">
        <f t="shared" ca="1" si="6"/>
        <v>3.1389273270296629E-6</v>
      </c>
      <c r="D69" s="11">
        <f t="shared" ca="1" si="5"/>
        <v>4.835263549604636E-4</v>
      </c>
      <c r="E69" s="11">
        <f t="shared" ca="1" si="5"/>
        <v>8.2017075325043723E-4</v>
      </c>
      <c r="F69" s="11">
        <f t="shared" ca="1" si="5"/>
        <v>2.567882070670531E-4</v>
      </c>
      <c r="G69" s="11">
        <f t="shared" ca="1" si="5"/>
        <v>2.2895503690794232E-6</v>
      </c>
      <c r="H69" s="11">
        <f t="shared" ca="1" si="5"/>
        <v>1.9342698188892242E-4</v>
      </c>
      <c r="I69" s="11">
        <f t="shared" ca="1" si="5"/>
        <v>3.9682001139994114E-4</v>
      </c>
      <c r="J69" s="11">
        <f t="shared" ca="1" si="5"/>
        <v>7.9342364173513042E-5</v>
      </c>
      <c r="K69" s="11">
        <f t="shared" ca="1" si="5"/>
        <v>4.7707502891269367E-4</v>
      </c>
      <c r="L69" s="11">
        <f t="shared" ca="1" si="5"/>
        <v>2.1551069432594125E-4</v>
      </c>
      <c r="M69" s="11">
        <f t="shared" ca="1" si="5"/>
        <v>5.2218543804750267E-4</v>
      </c>
      <c r="N69" s="11">
        <f t="shared" ca="1" si="5"/>
        <v>1.2412864616782331E-3</v>
      </c>
      <c r="O69" s="11">
        <f t="shared" ca="1" si="5"/>
        <v>4.0515727700511124E-4</v>
      </c>
      <c r="P69" s="11">
        <f t="shared" ca="1" si="5"/>
        <v>2.3294144780466834E-4</v>
      </c>
      <c r="Q69" s="11">
        <f t="shared" ca="1" si="5"/>
        <v>9.2373597007037073E-5</v>
      </c>
      <c r="R69" s="11">
        <f t="shared" ca="1" si="5"/>
        <v>8.8430080937881459E-4</v>
      </c>
      <c r="S69" s="11">
        <f t="shared" ca="1" si="5"/>
        <v>3.8503423099605942E-3</v>
      </c>
      <c r="T69" s="11">
        <f t="shared" ca="1" si="5"/>
        <v>5.2095920111839061E-3</v>
      </c>
      <c r="U69" s="11">
        <f t="shared" ca="1" si="5"/>
        <v>3.2422384985395229E-2</v>
      </c>
      <c r="V69" s="11">
        <f t="shared" ca="1" si="5"/>
        <v>5.2077362806551945E-3</v>
      </c>
      <c r="W69" s="11">
        <f t="shared" ca="1" si="5"/>
        <v>3.8421803130981968E-3</v>
      </c>
      <c r="X69" s="11">
        <f t="shared" ca="1" si="5"/>
        <v>1.3152502092253428E-4</v>
      </c>
      <c r="Y69" s="11">
        <f t="shared" ca="1" si="5"/>
        <v>1.2806186304103946E-2</v>
      </c>
      <c r="Z69" s="11">
        <f t="shared" ca="1" si="5"/>
        <v>8.0974954803381353E-3</v>
      </c>
      <c r="AA69" s="11">
        <f t="shared" ca="1" si="5"/>
        <v>4.38230239299161E-3</v>
      </c>
      <c r="AB69" s="11">
        <f t="shared" ca="1" si="5"/>
        <v>2.433002065251514E-2</v>
      </c>
      <c r="AC69" s="11">
        <f t="shared" ca="1" si="5"/>
        <v>5.2048774502593924E-3</v>
      </c>
      <c r="AD69" s="11">
        <f t="shared" ca="1" si="5"/>
        <v>2.7138741157922308E-2</v>
      </c>
      <c r="AE69" s="11">
        <f t="shared" ca="1" si="5"/>
        <v>1.4068350771088306E-2</v>
      </c>
      <c r="AF69" s="11">
        <f t="shared" ca="1" si="5"/>
        <v>3.0522990638609782E-3</v>
      </c>
      <c r="AG69" s="11">
        <f t="shared" ca="1" si="5"/>
        <v>2.5128407140646621E-3</v>
      </c>
      <c r="AH69" s="11">
        <f t="shared" ca="1" si="5"/>
        <v>1.7484233763174654E-4</v>
      </c>
      <c r="AI69" s="11">
        <f t="shared" ca="1" si="5"/>
        <v>5.2358679179895999E-4</v>
      </c>
    </row>
    <row r="70" spans="1:35" outlineLevel="1">
      <c r="B70" t="s">
        <v>270</v>
      </c>
      <c r="C70" s="11">
        <f t="shared" ca="1" si="6"/>
        <v>5.6960709351780164E-6</v>
      </c>
      <c r="D70" s="11">
        <f t="shared" ca="1" si="5"/>
        <v>5.5668157182426107E-4</v>
      </c>
      <c r="E70" s="11">
        <f t="shared" ca="1" si="5"/>
        <v>7.4369456363839197E-4</v>
      </c>
      <c r="F70" s="11">
        <f t="shared" ca="1" si="5"/>
        <v>2.3284415954923928E-4</v>
      </c>
      <c r="G70" s="11">
        <f t="shared" ca="1" si="5"/>
        <v>2.0760630330318073E-6</v>
      </c>
      <c r="H70" s="11">
        <f t="shared" ca="1" si="5"/>
        <v>1.7539102993479583E-4</v>
      </c>
      <c r="I70" s="11">
        <f t="shared" ca="1" si="5"/>
        <v>3.5981881071695708E-4</v>
      </c>
      <c r="J70" s="11">
        <f t="shared" ca="1" si="5"/>
        <v>7.1944139883216068E-5</v>
      </c>
      <c r="K70" s="11">
        <f t="shared" ca="1" si="5"/>
        <v>4.3259049875644419E-4</v>
      </c>
      <c r="L70" s="11">
        <f t="shared" ca="1" si="5"/>
        <v>1.9541552581995799E-4</v>
      </c>
      <c r="M70" s="11">
        <f t="shared" ca="1" si="5"/>
        <v>4.7349456621789438E-4</v>
      </c>
      <c r="N70" s="11">
        <f t="shared" ca="1" si="5"/>
        <v>1.1255437313773542E-3</v>
      </c>
      <c r="O70" s="11">
        <f t="shared" ca="1" si="5"/>
        <v>3.6737863905899709E-4</v>
      </c>
      <c r="P70" s="11">
        <f t="shared" ca="1" si="5"/>
        <v>2.1122098663532476E-4</v>
      </c>
      <c r="Q70" s="11">
        <f t="shared" ca="1" si="5"/>
        <v>8.3760280861441605E-5</v>
      </c>
      <c r="R70" s="11">
        <f t="shared" ca="1" si="5"/>
        <v>8.0184490345284218E-4</v>
      </c>
      <c r="S70" s="11">
        <f t="shared" ca="1" si="5"/>
        <v>1.7938857191084838E-3</v>
      </c>
      <c r="T70" s="11">
        <f t="shared" ca="1" si="5"/>
        <v>2.2825733713955952E-3</v>
      </c>
      <c r="U70" s="11">
        <f t="shared" ca="1" si="5"/>
        <v>0.10810951814725597</v>
      </c>
      <c r="V70" s="11">
        <f t="shared" ca="1" si="5"/>
        <v>4.0717309349582564E-2</v>
      </c>
      <c r="W70" s="11">
        <f t="shared" ca="1" si="5"/>
        <v>3.5411107603468546E-3</v>
      </c>
      <c r="X70" s="11">
        <f t="shared" ca="1" si="5"/>
        <v>1.2121886264125792E-4</v>
      </c>
      <c r="Y70" s="11">
        <f t="shared" ca="1" si="5"/>
        <v>1.1802704345092341E-2</v>
      </c>
      <c r="Z70" s="11">
        <f t="shared" ca="1" si="5"/>
        <v>7.4629841698426848E-3</v>
      </c>
      <c r="AA70" s="11">
        <f t="shared" ca="1" si="5"/>
        <v>4.0389087609403211E-3</v>
      </c>
      <c r="AB70" s="11">
        <f t="shared" ca="1" si="5"/>
        <v>5.4505656696958113E-4</v>
      </c>
      <c r="AC70" s="11">
        <f t="shared" ca="1" si="5"/>
        <v>2.8641341345717352E-3</v>
      </c>
      <c r="AD70" s="11">
        <f t="shared" ca="1" si="5"/>
        <v>1.4933879783733265E-2</v>
      </c>
      <c r="AE70" s="11">
        <f t="shared" ca="1" si="5"/>
        <v>1.8517162338168296E-2</v>
      </c>
      <c r="AF70" s="11">
        <f t="shared" ca="1" si="5"/>
        <v>8.7371788935069333E-3</v>
      </c>
      <c r="AG70" s="11">
        <f t="shared" ca="1" si="5"/>
        <v>6.5610199100461421E-3</v>
      </c>
      <c r="AH70" s="11">
        <f t="shared" ca="1" si="5"/>
        <v>1.0507366200951771E-2</v>
      </c>
      <c r="AI70" s="11">
        <f t="shared" ca="1" si="5"/>
        <v>1.1105640104887326E-3</v>
      </c>
    </row>
    <row r="71" spans="1:35" outlineLevel="1">
      <c r="B71" t="s">
        <v>271</v>
      </c>
      <c r="C71" s="11">
        <f t="shared" ca="1" si="6"/>
        <v>9.5712751715239643E-4</v>
      </c>
      <c r="D71" s="11">
        <f t="shared" ca="1" si="5"/>
        <v>1.210892931739215E-3</v>
      </c>
      <c r="E71" s="11">
        <f t="shared" ca="1" si="5"/>
        <v>7.2094775327386715E-3</v>
      </c>
      <c r="F71" s="11">
        <f t="shared" ca="1" si="5"/>
        <v>2.257223354195986E-3</v>
      </c>
      <c r="G71" s="11">
        <f t="shared" ca="1" si="5"/>
        <v>2.0125637759501617E-5</v>
      </c>
      <c r="H71" s="11">
        <f t="shared" ca="1" si="5"/>
        <v>1.7002649824135511E-3</v>
      </c>
      <c r="I71" s="11">
        <f t="shared" ca="1" si="5"/>
        <v>3.4881335069266582E-3</v>
      </c>
      <c r="J71" s="11">
        <f t="shared" ca="1" si="5"/>
        <v>6.9743649628266899E-4</v>
      </c>
      <c r="K71" s="11">
        <f t="shared" ca="1" si="5"/>
        <v>4.1935922428506713E-3</v>
      </c>
      <c r="L71" s="11">
        <f t="shared" ca="1" si="5"/>
        <v>1.894385493731965E-3</v>
      </c>
      <c r="M71" s="11">
        <f t="shared" ca="1" si="5"/>
        <v>4.5901219898598364E-3</v>
      </c>
      <c r="N71" s="11">
        <f t="shared" ca="1" si="5"/>
        <v>1.0911175330421716E-2</v>
      </c>
      <c r="O71" s="11">
        <f t="shared" ca="1" si="5"/>
        <v>3.5614191876038098E-3</v>
      </c>
      <c r="P71" s="11">
        <f t="shared" ca="1" si="5"/>
        <v>2.047605253527515E-3</v>
      </c>
      <c r="Q71" s="11">
        <f t="shared" ca="1" si="5"/>
        <v>8.1198376713644265E-4</v>
      </c>
      <c r="R71" s="11">
        <f t="shared" ca="1" si="5"/>
        <v>7.7731948300644223E-3</v>
      </c>
      <c r="S71" s="11">
        <f t="shared" ca="1" si="5"/>
        <v>5.5020997145814191E-3</v>
      </c>
      <c r="T71" s="11">
        <f t="shared" ca="1" si="5"/>
        <v>5.9656940293225026E-2</v>
      </c>
      <c r="U71" s="11">
        <f t="shared" ca="1" si="5"/>
        <v>3.1841258213891964E-2</v>
      </c>
      <c r="V71" s="11">
        <f t="shared" ca="1" si="5"/>
        <v>1.7984919081883623E-3</v>
      </c>
      <c r="W71" s="11">
        <f t="shared" ca="1" si="5"/>
        <v>2.7811790246449319E-3</v>
      </c>
      <c r="X71" s="11">
        <f t="shared" ca="1" si="5"/>
        <v>9.5204967128703394E-5</v>
      </c>
      <c r="Y71" s="11">
        <f t="shared" ca="1" si="5"/>
        <v>9.2698141719123033E-3</v>
      </c>
      <c r="Z71" s="11">
        <f t="shared" ca="1" si="5"/>
        <v>5.8614078598954985E-3</v>
      </c>
      <c r="AA71" s="11">
        <f t="shared" ca="1" si="5"/>
        <v>3.1721487713166768E-3</v>
      </c>
      <c r="AB71" s="11">
        <f t="shared" ca="1" si="5"/>
        <v>5.6843971021652568E-4</v>
      </c>
      <c r="AC71" s="11">
        <f t="shared" ca="1" si="5"/>
        <v>7.3168221714703342E-4</v>
      </c>
      <c r="AD71" s="11">
        <f t="shared" ca="1" si="5"/>
        <v>3.8150635743897311E-3</v>
      </c>
      <c r="AE71" s="11">
        <f t="shared" ca="1" si="5"/>
        <v>2.8697268698528017E-3</v>
      </c>
      <c r="AF71" s="11">
        <f t="shared" ca="1" si="5"/>
        <v>3.0658481885929406E-4</v>
      </c>
      <c r="AG71" s="11">
        <f t="shared" ca="1" si="5"/>
        <v>9.7842706003945824E-4</v>
      </c>
      <c r="AH71" s="11">
        <f t="shared" ca="1" si="5"/>
        <v>4.4233018071595799E-4</v>
      </c>
      <c r="AI71" s="11">
        <f t="shared" ca="1" si="5"/>
        <v>2.9219363253256745E-5</v>
      </c>
    </row>
    <row r="72" spans="1:35" outlineLevel="1"/>
    <row r="73" spans="1:35" outlineLevel="1">
      <c r="B73" t="s">
        <v>145</v>
      </c>
      <c r="C73" s="95">
        <f ca="1">1-SUM(C67:AI71)</f>
        <v>0</v>
      </c>
    </row>
    <row r="74" spans="1:35" outlineLevel="1"/>
    <row r="75" spans="1:35" s="100" customFormat="1" ht="15" outlineLevel="1" thickBot="1">
      <c r="A75"/>
      <c r="B75"/>
      <c r="C75"/>
      <c r="D75" s="100" t="s">
        <v>283</v>
      </c>
    </row>
    <row r="76" spans="1:35" outlineLevel="1"/>
    <row r="77" spans="1:35" outlineLevel="1">
      <c r="B77" t="s">
        <v>267</v>
      </c>
      <c r="C77" s="11">
        <f t="shared" ref="C77:AI77" ca="1" si="7">C67*$G55/SUMPRODUCT(C$67:C$71,$G$55:$G$59)*SUM(C$67:C$71)</f>
        <v>7.5017681554256346E-7</v>
      </c>
      <c r="D77" s="11">
        <f t="shared" ca="1" si="7"/>
        <v>6.2512132796535037E-4</v>
      </c>
      <c r="E77" s="11">
        <f t="shared" ca="1" si="7"/>
        <v>2.5525540952106855E-4</v>
      </c>
      <c r="F77" s="11">
        <f t="shared" ca="1" si="7"/>
        <v>7.9918204624556885E-5</v>
      </c>
      <c r="G77" s="11">
        <f t="shared" ca="1" si="7"/>
        <v>7.1255919758377868E-7</v>
      </c>
      <c r="H77" s="11">
        <f t="shared" ca="1" si="7"/>
        <v>6.0198795653412271E-5</v>
      </c>
      <c r="I77" s="11">
        <f t="shared" ca="1" si="7"/>
        <v>1.2349923571634852E-4</v>
      </c>
      <c r="J77" s="11">
        <f t="shared" ca="1" si="7"/>
        <v>2.4693117353904435E-5</v>
      </c>
      <c r="K77" s="11">
        <f t="shared" ca="1" si="7"/>
        <v>1.4847638427059463E-4</v>
      </c>
      <c r="L77" s="11">
        <f t="shared" ca="1" si="7"/>
        <v>6.707172375429522E-5</v>
      </c>
      <c r="M77" s="11">
        <f t="shared" ca="1" si="7"/>
        <v>1.6251572844555251E-4</v>
      </c>
      <c r="N77" s="11">
        <f t="shared" ca="1" si="7"/>
        <v>3.8631605030875862E-4</v>
      </c>
      <c r="O77" s="11">
        <f t="shared" ca="1" si="7"/>
        <v>1.2609396156430192E-4</v>
      </c>
      <c r="P77" s="11">
        <f t="shared" ca="1" si="7"/>
        <v>7.2496568076424827E-5</v>
      </c>
      <c r="Q77" s="11">
        <f t="shared" ca="1" si="7"/>
        <v>2.8748717917850422E-5</v>
      </c>
      <c r="R77" s="11">
        <f t="shared" ca="1" si="7"/>
        <v>2.7521413011713438E-4</v>
      </c>
      <c r="S77" s="11">
        <f t="shared" ca="1" si="7"/>
        <v>1.0392870283379401E-3</v>
      </c>
      <c r="T77" s="11">
        <f t="shared" ca="1" si="7"/>
        <v>2.4585796265880989E-3</v>
      </c>
      <c r="U77" s="11">
        <f t="shared" ca="1" si="7"/>
        <v>6.2718334968197001E-3</v>
      </c>
      <c r="V77" s="11">
        <f t="shared" ca="1" si="7"/>
        <v>2.1301559792700148E-3</v>
      </c>
      <c r="W77" s="11">
        <f t="shared" ca="1" si="7"/>
        <v>1.4015072760407644E-3</v>
      </c>
      <c r="X77" s="11">
        <f t="shared" ca="1" si="7"/>
        <v>4.7976220449829069E-5</v>
      </c>
      <c r="Y77" s="11">
        <f t="shared" ca="1" si="7"/>
        <v>4.6712966448085357E-3</v>
      </c>
      <c r="Z77" s="11">
        <f t="shared" ca="1" si="7"/>
        <v>2.9537135134240686E-3</v>
      </c>
      <c r="AA77" s="11">
        <f t="shared" ca="1" si="7"/>
        <v>1.5985268793082545E-3</v>
      </c>
      <c r="AB77" s="11">
        <f t="shared" ca="1" si="7"/>
        <v>6.075920782797054E-3</v>
      </c>
      <c r="AC77" s="11">
        <f t="shared" ca="1" si="7"/>
        <v>6.4353578680566691E-3</v>
      </c>
      <c r="AD77" s="11">
        <f t="shared" ca="1" si="7"/>
        <v>3.3554587993777155E-2</v>
      </c>
      <c r="AE77" s="11">
        <f t="shared" ca="1" si="7"/>
        <v>5.1142515665991463E-3</v>
      </c>
      <c r="AF77" s="11">
        <f t="shared" ca="1" si="7"/>
        <v>3.1644720544640381E-3</v>
      </c>
      <c r="AG77" s="11">
        <f t="shared" ca="1" si="7"/>
        <v>2.1509760248159646E-3</v>
      </c>
      <c r="AH77" s="11">
        <f t="shared" ca="1" si="7"/>
        <v>3.6909007285511904E-5</v>
      </c>
      <c r="AI77" s="11">
        <f t="shared" ca="1" si="7"/>
        <v>1.5511978895808686E-3</v>
      </c>
    </row>
    <row r="78" spans="1:35" outlineLevel="1">
      <c r="B78" t="s">
        <v>268</v>
      </c>
      <c r="C78" s="11">
        <f t="shared" ref="C78:AI78" ca="1" si="8">C68*$G56/SUMPRODUCT(C$67:C$71,$G$55:$G$59)*SUM(C$67:C$71)</f>
        <v>6.0599780207886329E-7</v>
      </c>
      <c r="D78" s="11">
        <f t="shared" ca="1" si="8"/>
        <v>4.8193398513479273E-4</v>
      </c>
      <c r="E78" s="11">
        <f t="shared" ca="1" si="8"/>
        <v>4.8225202805098684E-4</v>
      </c>
      <c r="F78" s="11">
        <f t="shared" ca="1" si="8"/>
        <v>1.5098882026509457E-4</v>
      </c>
      <c r="G78" s="11">
        <f t="shared" ca="1" si="8"/>
        <v>1.3462322922824372E-6</v>
      </c>
      <c r="H78" s="11">
        <f t="shared" ca="1" si="8"/>
        <v>1.1373309679552426E-4</v>
      </c>
      <c r="I78" s="11">
        <f t="shared" ca="1" si="8"/>
        <v>2.3332609924971517E-4</v>
      </c>
      <c r="J78" s="11">
        <f t="shared" ca="1" si="8"/>
        <v>4.6652502158745988E-5</v>
      </c>
      <c r="K78" s="11">
        <f t="shared" ca="1" si="8"/>
        <v>2.8051520935373694E-4</v>
      </c>
      <c r="L78" s="11">
        <f t="shared" ca="1" si="8"/>
        <v>1.2671806469580197E-4</v>
      </c>
      <c r="M78" s="11">
        <f t="shared" ca="1" si="8"/>
        <v>3.0703964815311457E-4</v>
      </c>
      <c r="N78" s="11">
        <f t="shared" ca="1" si="8"/>
        <v>7.2986375975977395E-4</v>
      </c>
      <c r="O78" s="11">
        <f t="shared" ca="1" si="8"/>
        <v>2.3822828658768452E-4</v>
      </c>
      <c r="P78" s="11">
        <f t="shared" ca="1" si="8"/>
        <v>1.3696719171826563E-4</v>
      </c>
      <c r="Q78" s="11">
        <f t="shared" ca="1" si="8"/>
        <v>5.4314717991820832E-5</v>
      </c>
      <c r="R78" s="11">
        <f t="shared" ca="1" si="8"/>
        <v>5.1995982503537082E-4</v>
      </c>
      <c r="S78" s="11">
        <f t="shared" ca="1" si="8"/>
        <v>2.027257401351647E-3</v>
      </c>
      <c r="T78" s="11">
        <f t="shared" ca="1" si="8"/>
        <v>1.869273673133982E-3</v>
      </c>
      <c r="U78" s="11">
        <f t="shared" ca="1" si="8"/>
        <v>1.5582346427991655E-2</v>
      </c>
      <c r="V78" s="11">
        <f t="shared" ca="1" si="8"/>
        <v>1.1024404981832066E-3</v>
      </c>
      <c r="W78" s="11">
        <f t="shared" ca="1" si="8"/>
        <v>2.3844247548770884E-3</v>
      </c>
      <c r="X78" s="11">
        <f t="shared" ca="1" si="8"/>
        <v>8.1623338544259156E-5</v>
      </c>
      <c r="Y78" s="11">
        <f t="shared" ca="1" si="8"/>
        <v>7.9474142100374474E-3</v>
      </c>
      <c r="Z78" s="11">
        <f t="shared" ca="1" si="8"/>
        <v>5.0252378894384822E-3</v>
      </c>
      <c r="AA78" s="11">
        <f t="shared" ca="1" si="8"/>
        <v>2.7196202097945952E-3</v>
      </c>
      <c r="AB78" s="11">
        <f t="shared" ca="1" si="8"/>
        <v>1.0107700686349308E-2</v>
      </c>
      <c r="AC78" s="11">
        <f t="shared" ca="1" si="8"/>
        <v>7.9093338488034504E-3</v>
      </c>
      <c r="AD78" s="11">
        <f t="shared" ca="1" si="8"/>
        <v>4.1240037785233573E-2</v>
      </c>
      <c r="AE78" s="11">
        <f t="shared" ca="1" si="8"/>
        <v>7.6251297359346444E-3</v>
      </c>
      <c r="AF78" s="11">
        <f t="shared" ca="1" si="8"/>
        <v>4.4726144245318556E-3</v>
      </c>
      <c r="AG78" s="11">
        <f t="shared" ca="1" si="8"/>
        <v>3.4507649375570158E-3</v>
      </c>
      <c r="AH78" s="11">
        <f t="shared" ca="1" si="8"/>
        <v>9.6963042137175923E-5</v>
      </c>
      <c r="AI78" s="11">
        <f t="shared" ca="1" si="8"/>
        <v>2.9292420797260646E-3</v>
      </c>
    </row>
    <row r="79" spans="1:35" outlineLevel="1">
      <c r="B79" t="s">
        <v>269</v>
      </c>
      <c r="C79" s="11">
        <f t="shared" ref="C79:AI79" ca="1" si="9">C69*$G57/SUMPRODUCT(C$67:C$71,$G$55:$G$59)*SUM(C$67:C$71)</f>
        <v>1.0937650750843753E-6</v>
      </c>
      <c r="D79" s="11">
        <f t="shared" ca="1" si="9"/>
        <v>3.8111419947900059E-4</v>
      </c>
      <c r="E79" s="11">
        <f t="shared" ca="1" si="9"/>
        <v>3.8456985113919149E-4</v>
      </c>
      <c r="F79" s="11">
        <f t="shared" ca="1" si="9"/>
        <v>1.2040541893522388E-4</v>
      </c>
      <c r="G79" s="11">
        <f t="shared" ca="1" si="9"/>
        <v>1.0735472831948714E-6</v>
      </c>
      <c r="H79" s="11">
        <f t="shared" ca="1" si="9"/>
        <v>9.0695974344225688E-5</v>
      </c>
      <c r="I79" s="11">
        <f t="shared" ca="1" si="9"/>
        <v>1.8606492712900063E-4</v>
      </c>
      <c r="J79" s="11">
        <f t="shared" ca="1" si="9"/>
        <v>3.7202840393525258E-5</v>
      </c>
      <c r="K79" s="11">
        <f t="shared" ca="1" si="9"/>
        <v>2.2369570118415232E-4</v>
      </c>
      <c r="L79" s="11">
        <f t="shared" ca="1" si="9"/>
        <v>1.0105080304248679E-4</v>
      </c>
      <c r="M79" s="11">
        <f t="shared" ca="1" si="9"/>
        <v>2.4484752107123599E-4</v>
      </c>
      <c r="N79" s="11">
        <f t="shared" ca="1" si="9"/>
        <v>5.8202679451351382E-4</v>
      </c>
      <c r="O79" s="11">
        <f t="shared" ca="1" si="9"/>
        <v>1.8997418989725071E-4</v>
      </c>
      <c r="P79" s="11">
        <f t="shared" ca="1" si="9"/>
        <v>1.0922391395912825E-4</v>
      </c>
      <c r="Q79" s="11">
        <f t="shared" ca="1" si="9"/>
        <v>4.331305359555998E-5</v>
      </c>
      <c r="R79" s="11">
        <f t="shared" ca="1" si="9"/>
        <v>4.1463979026840574E-4</v>
      </c>
      <c r="S79" s="11">
        <f t="shared" ca="1" si="9"/>
        <v>2.6540430941802062E-3</v>
      </c>
      <c r="T79" s="11">
        <f t="shared" ca="1" si="9"/>
        <v>2.3490621931427703E-3</v>
      </c>
      <c r="U79" s="11">
        <f t="shared" ca="1" si="9"/>
        <v>2.04218675151869E-2</v>
      </c>
      <c r="V79" s="11">
        <f t="shared" ca="1" si="9"/>
        <v>3.2360633109417298E-3</v>
      </c>
      <c r="W79" s="11">
        <f t="shared" ca="1" si="9"/>
        <v>3.0730337180395408E-3</v>
      </c>
      <c r="X79" s="11">
        <f t="shared" ca="1" si="9"/>
        <v>1.0519569478361555E-4</v>
      </c>
      <c r="Y79" s="11">
        <f t="shared" ca="1" si="9"/>
        <v>1.0242581215153652E-2</v>
      </c>
      <c r="Z79" s="11">
        <f t="shared" ca="1" si="9"/>
        <v>6.4764989292129798E-3</v>
      </c>
      <c r="AA79" s="11">
        <f t="shared" ca="1" si="9"/>
        <v>3.5050315512989384E-3</v>
      </c>
      <c r="AB79" s="11">
        <f t="shared" ca="1" si="9"/>
        <v>2.9984103408867879E-2</v>
      </c>
      <c r="AC79" s="11">
        <f t="shared" ca="1" si="9"/>
        <v>6.5525463021140632E-3</v>
      </c>
      <c r="AD79" s="11">
        <f t="shared" ca="1" si="9"/>
        <v>3.4165617491271241E-2</v>
      </c>
      <c r="AE79" s="11">
        <f t="shared" ca="1" si="9"/>
        <v>1.2113354802025916E-2</v>
      </c>
      <c r="AF79" s="11">
        <f t="shared" ca="1" si="9"/>
        <v>2.8718711433474804E-3</v>
      </c>
      <c r="AG79" s="11">
        <f t="shared" ca="1" si="9"/>
        <v>2.2316565659459401E-3</v>
      </c>
      <c r="AH79" s="11">
        <f t="shared" ca="1" si="9"/>
        <v>9.1448525963198988E-5</v>
      </c>
      <c r="AI79" s="11">
        <f t="shared" ca="1" si="9"/>
        <v>6.6669143875893811E-4</v>
      </c>
    </row>
    <row r="80" spans="1:35" outlineLevel="1">
      <c r="B80" t="s">
        <v>270</v>
      </c>
      <c r="C80" s="11">
        <f t="shared" ref="C80:AI80" ca="1" si="10">C70*$G58/SUMPRODUCT(C$67:C$71,$G$55:$G$59)*SUM(C$67:C$71)</f>
        <v>3.8534254129266376E-6</v>
      </c>
      <c r="D80" s="11">
        <f t="shared" ca="1" si="10"/>
        <v>8.5186465932305527E-4</v>
      </c>
      <c r="E80" s="11">
        <f t="shared" ca="1" si="10"/>
        <v>6.7700884019699357E-4</v>
      </c>
      <c r="F80" s="11">
        <f t="shared" ca="1" si="10"/>
        <v>2.1196545333564116E-4</v>
      </c>
      <c r="G80" s="11">
        <f t="shared" ca="1" si="10"/>
        <v>1.889906364272613E-6</v>
      </c>
      <c r="H80" s="11">
        <f t="shared" ca="1" si="10"/>
        <v>1.5966403884641039E-4</v>
      </c>
      <c r="I80" s="11">
        <f t="shared" ca="1" si="10"/>
        <v>3.2755451713338752E-4</v>
      </c>
      <c r="J80" s="11">
        <f t="shared" ca="1" si="10"/>
        <v>6.5493042170893708E-5</v>
      </c>
      <c r="K80" s="11">
        <f t="shared" ca="1" si="10"/>
        <v>3.9380090212752159E-4</v>
      </c>
      <c r="L80" s="11">
        <f t="shared" ca="1" si="10"/>
        <v>1.77892969975242E-4</v>
      </c>
      <c r="M80" s="11">
        <f t="shared" ca="1" si="10"/>
        <v>4.3103717865886223E-4</v>
      </c>
      <c r="N80" s="11">
        <f t="shared" ca="1" si="10"/>
        <v>1.0246183055479744E-3</v>
      </c>
      <c r="O80" s="11">
        <f t="shared" ca="1" si="10"/>
        <v>3.344364738603949E-4</v>
      </c>
      <c r="P80" s="11">
        <f t="shared" ca="1" si="10"/>
        <v>1.9228119335195116E-4</v>
      </c>
      <c r="Q80" s="11">
        <f t="shared" ca="1" si="10"/>
        <v>7.6249649149203488E-5</v>
      </c>
      <c r="R80" s="11">
        <f t="shared" ca="1" si="10"/>
        <v>7.2994494276443602E-4</v>
      </c>
      <c r="S80" s="11">
        <f t="shared" ca="1" si="10"/>
        <v>2.4006684138604246E-3</v>
      </c>
      <c r="T80" s="11">
        <f t="shared" ca="1" si="10"/>
        <v>1.9982247138287746E-3</v>
      </c>
      <c r="U80" s="11">
        <f t="shared" ca="1" si="10"/>
        <v>0.13220357671828506</v>
      </c>
      <c r="V80" s="11">
        <f t="shared" ca="1" si="10"/>
        <v>4.9121981242013099E-2</v>
      </c>
      <c r="W80" s="11">
        <f t="shared" ca="1" si="10"/>
        <v>5.4986727196358123E-3</v>
      </c>
      <c r="X80" s="11">
        <f t="shared" ca="1" si="10"/>
        <v>1.8822988150491904E-4</v>
      </c>
      <c r="Y80" s="11">
        <f t="shared" ca="1" si="10"/>
        <v>1.8327359806447948E-2</v>
      </c>
      <c r="Z80" s="11">
        <f t="shared" ca="1" si="10"/>
        <v>1.1588597563429741E-2</v>
      </c>
      <c r="AA80" s="11">
        <f t="shared" ca="1" si="10"/>
        <v>6.2716586023633981E-3</v>
      </c>
      <c r="AB80" s="11">
        <f t="shared" ca="1" si="10"/>
        <v>1.3041241674097818E-3</v>
      </c>
      <c r="AC80" s="11">
        <f t="shared" ca="1" si="10"/>
        <v>7.0003816942373117E-3</v>
      </c>
      <c r="AD80" s="11">
        <f t="shared" ca="1" si="10"/>
        <v>3.6500684061548716E-2</v>
      </c>
      <c r="AE80" s="11">
        <f t="shared" ca="1" si="10"/>
        <v>3.0954547584952214E-2</v>
      </c>
      <c r="AF80" s="11">
        <f t="shared" ca="1" si="10"/>
        <v>1.5960183178988133E-2</v>
      </c>
      <c r="AG80" s="11">
        <f t="shared" ca="1" si="10"/>
        <v>1.1312602670516298E-2</v>
      </c>
      <c r="AH80" s="11">
        <f t="shared" ca="1" si="10"/>
        <v>1.0669713325321807E-2</v>
      </c>
      <c r="AI80" s="11">
        <f t="shared" ca="1" si="10"/>
        <v>2.7454185798881261E-3</v>
      </c>
    </row>
    <row r="81" spans="1:37" outlineLevel="1">
      <c r="B81" t="s">
        <v>271</v>
      </c>
      <c r="C81" s="11">
        <f t="shared" ref="C81:AI81" ca="1" si="11">C71*$G59/SUMPRODUCT(C$67:C$71,$G$55:$G$59)*SUM(C$67:C$71)</f>
        <v>9.6753004944667698E-4</v>
      </c>
      <c r="D81" s="11">
        <f t="shared" ca="1" si="11"/>
        <v>2.7688064149385934E-3</v>
      </c>
      <c r="E81" s="11">
        <f t="shared" ca="1" si="11"/>
        <v>9.8067841702958597E-3</v>
      </c>
      <c r="F81" s="11">
        <f t="shared" ca="1" si="11"/>
        <v>3.070417001463883E-3</v>
      </c>
      <c r="G81" s="11">
        <f t="shared" ca="1" si="11"/>
        <v>2.7376157801869347E-5</v>
      </c>
      <c r="H81" s="11">
        <f t="shared" ca="1" si="11"/>
        <v>2.3128072222862533E-3</v>
      </c>
      <c r="I81" s="11">
        <f t="shared" ca="1" si="11"/>
        <v>4.7447782475484963E-3</v>
      </c>
      <c r="J81" s="11">
        <f t="shared" ca="1" si="11"/>
        <v>9.4869694249027166E-4</v>
      </c>
      <c r="K81" s="11">
        <f t="shared" ca="1" si="11"/>
        <v>5.7043875354112197E-3</v>
      </c>
      <c r="L81" s="11">
        <f t="shared" ca="1" si="11"/>
        <v>2.5768620614656174E-3</v>
      </c>
      <c r="M81" s="11">
        <f t="shared" ca="1" si="11"/>
        <v>6.2437722259887111E-3</v>
      </c>
      <c r="N81" s="11">
        <f t="shared" ca="1" si="11"/>
        <v>1.4842066165364752E-2</v>
      </c>
      <c r="O81" s="11">
        <f t="shared" ca="1" si="11"/>
        <v>4.8444660955875686E-3</v>
      </c>
      <c r="P81" s="11">
        <f t="shared" ca="1" si="11"/>
        <v>2.7852813351846523E-3</v>
      </c>
      <c r="Q81" s="11">
        <f t="shared" ca="1" si="11"/>
        <v>1.1045113006633808E-3</v>
      </c>
      <c r="R81" s="11">
        <f t="shared" ca="1" si="11"/>
        <v>1.0573587798391732E-2</v>
      </c>
      <c r="S81" s="11">
        <f t="shared" ca="1" si="11"/>
        <v>1.1002438623166843E-2</v>
      </c>
      <c r="T81" s="11">
        <f t="shared" ca="1" si="11"/>
        <v>7.8037553680426489E-2</v>
      </c>
      <c r="U81" s="11">
        <f t="shared" ca="1" si="11"/>
        <v>5.8182527811439406E-2</v>
      </c>
      <c r="V81" s="11">
        <f t="shared" ca="1" si="11"/>
        <v>3.2421147600989117E-3</v>
      </c>
      <c r="W81" s="11">
        <f t="shared" ca="1" si="11"/>
        <v>6.453129751136758E-3</v>
      </c>
      <c r="X81" s="11">
        <f t="shared" ca="1" si="11"/>
        <v>2.2090271990715294E-4</v>
      </c>
      <c r="Y81" s="11">
        <f t="shared" ca="1" si="11"/>
        <v>2.1508617569839458E-2</v>
      </c>
      <c r="Z81" s="11">
        <f t="shared" ca="1" si="11"/>
        <v>1.3600140505587952E-2</v>
      </c>
      <c r="AA81" s="11">
        <f t="shared" ca="1" si="11"/>
        <v>7.3602913527994317E-3</v>
      </c>
      <c r="AB81" s="11">
        <f t="shared" ca="1" si="11"/>
        <v>2.0322861985351643E-3</v>
      </c>
      <c r="AC81" s="11">
        <f t="shared" ca="1" si="11"/>
        <v>2.6722307617020342E-3</v>
      </c>
      <c r="AD81" s="11">
        <f t="shared" ca="1" si="11"/>
        <v>1.3933275485606904E-2</v>
      </c>
      <c r="AE81" s="11">
        <f t="shared" ca="1" si="11"/>
        <v>7.1682589056067487E-3</v>
      </c>
      <c r="AF81" s="11">
        <f t="shared" ca="1" si="11"/>
        <v>8.3683605125577923E-4</v>
      </c>
      <c r="AG81" s="11">
        <f t="shared" ca="1" si="11"/>
        <v>2.5208251626451764E-3</v>
      </c>
      <c r="AH81" s="11">
        <f t="shared" ca="1" si="11"/>
        <v>6.7116383523977232E-4</v>
      </c>
      <c r="AI81" s="11">
        <f t="shared" ca="1" si="11"/>
        <v>1.0793413428416242E-4</v>
      </c>
    </row>
    <row r="82" spans="1:37" outlineLevel="1"/>
    <row r="83" spans="1:37" outlineLevel="1">
      <c r="B83" t="s">
        <v>145</v>
      </c>
      <c r="C83" s="95">
        <f ca="1">1-SUM(C77:AI81)</f>
        <v>0</v>
      </c>
    </row>
    <row r="84" spans="1:37" outlineLevel="1"/>
    <row r="85" spans="1:37" s="100" customFormat="1" ht="15" outlineLevel="1" thickBot="1">
      <c r="A85"/>
      <c r="B85"/>
      <c r="C85"/>
      <c r="D85" s="100" t="s">
        <v>285</v>
      </c>
    </row>
    <row r="86" spans="1:37" outlineLevel="1">
      <c r="AK86" s="101" t="s">
        <v>162</v>
      </c>
    </row>
    <row r="87" spans="1:37" outlineLevel="1">
      <c r="B87" t="s">
        <v>267</v>
      </c>
      <c r="C87" s="96" cm="1">
        <f t="array" aca="1" ref="C87:AI91" ca="1">C77:AI81*'Labour force absolute size'!H23</f>
        <v>2.6270766590440617</v>
      </c>
      <c r="D87" s="96">
        <f ca="1"/>
        <v>2189.1394345220501</v>
      </c>
      <c r="E87" s="96">
        <f ca="1"/>
        <v>893.88996641083941</v>
      </c>
      <c r="F87" s="96">
        <f ca="1"/>
        <v>279.8690197457434</v>
      </c>
      <c r="G87" s="96">
        <f ca="1"/>
        <v>2.4953418945713874</v>
      </c>
      <c r="H87" s="96">
        <f ca="1"/>
        <v>210.81276798625561</v>
      </c>
      <c r="I87" s="96">
        <f ca="1"/>
        <v>432.48731877370551</v>
      </c>
      <c r="J87" s="96">
        <f ca="1"/>
        <v>86.47389641408823</v>
      </c>
      <c r="K87" s="96">
        <f ca="1"/>
        <v>519.95587634153549</v>
      </c>
      <c r="L87" s="96">
        <f ca="1"/>
        <v>234.88137237262134</v>
      </c>
      <c r="M87" s="96">
        <f ca="1"/>
        <v>569.12086335015545</v>
      </c>
      <c r="N87" s="96">
        <f ca="1"/>
        <v>1352.8568968720001</v>
      </c>
      <c r="O87" s="96">
        <f ca="1"/>
        <v>441.57390152399574</v>
      </c>
      <c r="P87" s="96">
        <f ca="1"/>
        <v>253.87886949909151</v>
      </c>
      <c r="Q87" s="96">
        <f ca="1"/>
        <v>100.67637956100165</v>
      </c>
      <c r="R87" s="96">
        <f ca="1"/>
        <v>963.78427390737863</v>
      </c>
      <c r="S87" s="96">
        <f ca="1"/>
        <v>3639.5242263241553</v>
      </c>
      <c r="T87" s="96">
        <f ca="1"/>
        <v>8609.8064050933026</v>
      </c>
      <c r="U87" s="96">
        <f ca="1"/>
        <v>21963.605176186473</v>
      </c>
      <c r="V87" s="96">
        <f ca="1"/>
        <v>7459.6854199180352</v>
      </c>
      <c r="W87" s="96">
        <f ca="1"/>
        <v>4907.9989891505966</v>
      </c>
      <c r="X87" s="96">
        <f ca="1"/>
        <v>168.01000287077954</v>
      </c>
      <c r="Y87" s="96">
        <f ca="1"/>
        <v>16358.615900668372</v>
      </c>
      <c r="Z87" s="96">
        <f ca="1"/>
        <v>10343.737193487199</v>
      </c>
      <c r="AA87" s="96">
        <f ca="1"/>
        <v>5597.9504651153684</v>
      </c>
      <c r="AB87" s="96">
        <f ca="1"/>
        <v>21277.529963575926</v>
      </c>
      <c r="AC87" s="96">
        <f ca="1"/>
        <v>22536.258249383354</v>
      </c>
      <c r="AD87" s="96">
        <f ca="1"/>
        <v>117506.26398462804</v>
      </c>
      <c r="AE87" s="96">
        <f ca="1"/>
        <v>17909.818912991774</v>
      </c>
      <c r="AF87" s="96">
        <f ca="1"/>
        <v>11081.801650277745</v>
      </c>
      <c r="AG87" s="96">
        <f ca="1"/>
        <v>7532.5960385359149</v>
      </c>
      <c r="AH87" s="96">
        <f ca="1"/>
        <v>129.25325008628459</v>
      </c>
      <c r="AI87" s="96">
        <f ca="1"/>
        <v>5432.2070275245587</v>
      </c>
      <c r="AK87" s="2">
        <f ca="1">SUM(C87:AI87)</f>
        <v>290989.18611165194</v>
      </c>
    </row>
    <row r="88" spans="1:37" outlineLevel="1">
      <c r="B88" t="s">
        <v>268</v>
      </c>
      <c r="C88" s="96">
        <f ca="1"/>
        <v>2.122169931527373</v>
      </c>
      <c r="D88" s="96">
        <f ca="1"/>
        <v>1687.7054813164473</v>
      </c>
      <c r="E88" s="96">
        <f ca="1"/>
        <v>1688.8192495700071</v>
      </c>
      <c r="F88" s="96">
        <f ca="1"/>
        <v>528.75428469239773</v>
      </c>
      <c r="G88" s="96">
        <f ca="1"/>
        <v>4.7144291311491635</v>
      </c>
      <c r="H88" s="96">
        <f ca="1"/>
        <v>398.28685419480053</v>
      </c>
      <c r="I88" s="96">
        <f ca="1"/>
        <v>817.09476564054989</v>
      </c>
      <c r="J88" s="96">
        <f ca="1"/>
        <v>163.37441649486769</v>
      </c>
      <c r="K88" s="96">
        <f ca="1"/>
        <v>982.34835272411669</v>
      </c>
      <c r="L88" s="96">
        <f ca="1"/>
        <v>443.75947529224698</v>
      </c>
      <c r="M88" s="96">
        <f ca="1"/>
        <v>1075.2354329702457</v>
      </c>
      <c r="N88" s="96">
        <f ca="1"/>
        <v>2555.9414898210152</v>
      </c>
      <c r="O88" s="96">
        <f ca="1"/>
        <v>834.26194765286823</v>
      </c>
      <c r="P88" s="96">
        <f ca="1"/>
        <v>479.6513368086795</v>
      </c>
      <c r="Q88" s="96">
        <f ca="1"/>
        <v>190.20706175206664</v>
      </c>
      <c r="R88" s="96">
        <f ca="1"/>
        <v>1820.8698158755005</v>
      </c>
      <c r="S88" s="96">
        <f ca="1"/>
        <v>7099.340436312189</v>
      </c>
      <c r="T88" s="96">
        <f ca="1"/>
        <v>6546.0903807113436</v>
      </c>
      <c r="U88" s="96">
        <f ca="1"/>
        <v>54568.493381801745</v>
      </c>
      <c r="V88" s="96">
        <f ca="1"/>
        <v>3860.6840957452719</v>
      </c>
      <c r="W88" s="96">
        <f ca="1"/>
        <v>8350.1202503225686</v>
      </c>
      <c r="X88" s="96">
        <f ca="1"/>
        <v>285.84030201971547</v>
      </c>
      <c r="Y88" s="96">
        <f ca="1"/>
        <v>27831.393797266555</v>
      </c>
      <c r="Z88" s="96">
        <f ca="1"/>
        <v>17598.098064307138</v>
      </c>
      <c r="AA88" s="96">
        <f ca="1"/>
        <v>9523.9557216235007</v>
      </c>
      <c r="AB88" s="96">
        <f ca="1"/>
        <v>35396.594508865237</v>
      </c>
      <c r="AC88" s="96">
        <f ca="1"/>
        <v>27698.038532090242</v>
      </c>
      <c r="AD88" s="96">
        <f ca="1"/>
        <v>144420.27324628143</v>
      </c>
      <c r="AE88" s="96">
        <f ca="1"/>
        <v>26702.771848485834</v>
      </c>
      <c r="AF88" s="96">
        <f ca="1"/>
        <v>15662.842034238742</v>
      </c>
      <c r="AG88" s="96">
        <f ca="1"/>
        <v>12084.383088735061</v>
      </c>
      <c r="AH88" s="96">
        <f ca="1"/>
        <v>339.55907395544921</v>
      </c>
      <c r="AI88" s="96">
        <f ca="1"/>
        <v>10258.039620662485</v>
      </c>
      <c r="AK88" s="2">
        <f t="shared" ref="AK88:AK91" ca="1" si="12">SUM(C88:AI88)</f>
        <v>421899.66494729294</v>
      </c>
    </row>
    <row r="89" spans="1:37" outlineLevel="1">
      <c r="B89" t="s">
        <v>269</v>
      </c>
      <c r="C89" s="96">
        <f ca="1"/>
        <v>3.8303032561111015</v>
      </c>
      <c r="D89" s="96">
        <f ca="1"/>
        <v>1334.6403103079344</v>
      </c>
      <c r="E89" s="96">
        <f ca="1"/>
        <v>1346.7418064221652</v>
      </c>
      <c r="F89" s="96">
        <f ca="1"/>
        <v>421.65294788319346</v>
      </c>
      <c r="G89" s="96">
        <f ca="1"/>
        <v>3.7595016956391056</v>
      </c>
      <c r="H89" s="96">
        <f ca="1"/>
        <v>317.61215800390954</v>
      </c>
      <c r="I89" s="96">
        <f ca="1"/>
        <v>651.58882146178235</v>
      </c>
      <c r="J89" s="96">
        <f ca="1"/>
        <v>130.282236964742</v>
      </c>
      <c r="K89" s="96">
        <f ca="1"/>
        <v>783.36965783773769</v>
      </c>
      <c r="L89" s="96">
        <f ca="1"/>
        <v>353.87418079373259</v>
      </c>
      <c r="M89" s="96">
        <f ca="1"/>
        <v>857.44213138048838</v>
      </c>
      <c r="N89" s="96">
        <f ca="1"/>
        <v>2038.224822635741</v>
      </c>
      <c r="O89" s="96">
        <f ca="1"/>
        <v>665.27883794824493</v>
      </c>
      <c r="P89" s="96">
        <f ca="1"/>
        <v>382.49595165632303</v>
      </c>
      <c r="Q89" s="96">
        <f ca="1"/>
        <v>151.67985703546989</v>
      </c>
      <c r="R89" s="96">
        <f ca="1"/>
        <v>1452.0450277275327</v>
      </c>
      <c r="S89" s="96">
        <f ca="1"/>
        <v>9294.3083821847358</v>
      </c>
      <c r="T89" s="96">
        <f ca="1"/>
        <v>8226.2825648443231</v>
      </c>
      <c r="U89" s="96">
        <f ca="1"/>
        <v>71516.221738251887</v>
      </c>
      <c r="V89" s="96">
        <f ca="1"/>
        <v>11332.510169906089</v>
      </c>
      <c r="W89" s="96">
        <f ca="1"/>
        <v>10761.589782374469</v>
      </c>
      <c r="X89" s="96">
        <f ca="1"/>
        <v>368.3893565786687</v>
      </c>
      <c r="Y89" s="96">
        <f ca="1"/>
        <v>35868.938470501984</v>
      </c>
      <c r="Z89" s="96">
        <f ca="1"/>
        <v>22680.331912088965</v>
      </c>
      <c r="AA89" s="96">
        <f ca="1"/>
        <v>12274.42169213239</v>
      </c>
      <c r="AB89" s="96">
        <f ca="1"/>
        <v>105002.62948119731</v>
      </c>
      <c r="AC89" s="96">
        <f ca="1"/>
        <v>22946.645498687296</v>
      </c>
      <c r="AD89" s="96">
        <f ca="1"/>
        <v>119646.05462810874</v>
      </c>
      <c r="AE89" s="96">
        <f ca="1"/>
        <v>42420.281464051768</v>
      </c>
      <c r="AF89" s="96">
        <f ca="1"/>
        <v>10057.129855464431</v>
      </c>
      <c r="AG89" s="96">
        <f ca="1"/>
        <v>7815.134717484967</v>
      </c>
      <c r="AH89" s="96">
        <f ca="1"/>
        <v>320.2475510898725</v>
      </c>
      <c r="AI89" s="96">
        <f ca="1"/>
        <v>2334.7156047223061</v>
      </c>
      <c r="AK89" s="2">
        <f t="shared" ca="1" si="12"/>
        <v>503760.35142268095</v>
      </c>
    </row>
    <row r="90" spans="1:37" outlineLevel="1">
      <c r="B90" t="s">
        <v>270</v>
      </c>
      <c r="C90" s="96">
        <f ca="1"/>
        <v>13.494477235137138</v>
      </c>
      <c r="D90" s="96">
        <f ca="1"/>
        <v>2983.181720370223</v>
      </c>
      <c r="E90" s="96">
        <f ca="1"/>
        <v>2370.846559369711</v>
      </c>
      <c r="F90" s="96">
        <f ca="1"/>
        <v>742.29099519560089</v>
      </c>
      <c r="G90" s="96">
        <f ca="1"/>
        <v>6.6183448948212744</v>
      </c>
      <c r="H90" s="96">
        <f ca="1"/>
        <v>559.13440811782914</v>
      </c>
      <c r="I90" s="96">
        <f ca="1"/>
        <v>1147.0773405643151</v>
      </c>
      <c r="J90" s="96">
        <f ca="1"/>
        <v>229.35291900817379</v>
      </c>
      <c r="K90" s="96">
        <f ca="1"/>
        <v>1379.0684234109192</v>
      </c>
      <c r="L90" s="96">
        <f ca="1"/>
        <v>622.97109101136778</v>
      </c>
      <c r="M90" s="96">
        <f ca="1"/>
        <v>1509.4677518338394</v>
      </c>
      <c r="N90" s="96">
        <f ca="1"/>
        <v>3588.1551911032579</v>
      </c>
      <c r="O90" s="96">
        <f ca="1"/>
        <v>1171.1775626872775</v>
      </c>
      <c r="P90" s="96">
        <f ca="1"/>
        <v>673.35783319657742</v>
      </c>
      <c r="Q90" s="96">
        <f ca="1"/>
        <v>267.02194654642187</v>
      </c>
      <c r="R90" s="96">
        <f ca="1"/>
        <v>2556.2257880987545</v>
      </c>
      <c r="S90" s="96">
        <f ca="1"/>
        <v>8407.004622764458</v>
      </c>
      <c r="T90" s="96">
        <f ca="1"/>
        <v>6997.669611300762</v>
      </c>
      <c r="U90" s="96">
        <f ca="1"/>
        <v>462969.4272643674</v>
      </c>
      <c r="V90" s="96">
        <f ca="1"/>
        <v>172022.39217904885</v>
      </c>
      <c r="W90" s="96">
        <f ca="1"/>
        <v>19256.039987092845</v>
      </c>
      <c r="X90" s="96">
        <f ca="1"/>
        <v>659.17036889304632</v>
      </c>
      <c r="Y90" s="96">
        <f ca="1"/>
        <v>64181.374539813296</v>
      </c>
      <c r="Z90" s="96">
        <f ca="1"/>
        <v>40582.611377988957</v>
      </c>
      <c r="AA90" s="96">
        <f ca="1"/>
        <v>21962.992705720273</v>
      </c>
      <c r="AB90" s="96">
        <f ca="1"/>
        <v>4566.9688661594237</v>
      </c>
      <c r="AC90" s="96">
        <f ca="1"/>
        <v>24514.939641302102</v>
      </c>
      <c r="AD90" s="96">
        <f ca="1"/>
        <v>127823.32531549108</v>
      </c>
      <c r="AE90" s="96">
        <f ca="1"/>
        <v>108401.0699436002</v>
      </c>
      <c r="AF90" s="96">
        <f ca="1"/>
        <v>55891.656253416208</v>
      </c>
      <c r="AG90" s="96">
        <f ca="1"/>
        <v>39616.092917052687</v>
      </c>
      <c r="AH90" s="96">
        <f ca="1"/>
        <v>37364.73089397142</v>
      </c>
      <c r="AI90" s="96">
        <f ca="1"/>
        <v>9614.3001504433632</v>
      </c>
      <c r="AK90" s="2">
        <f t="shared" ca="1" si="12"/>
        <v>1224651.2089910705</v>
      </c>
    </row>
    <row r="91" spans="1:37" outlineLevel="1">
      <c r="B91" t="s">
        <v>271</v>
      </c>
      <c r="C91" s="96">
        <f ca="1"/>
        <v>3388.2353562030298</v>
      </c>
      <c r="D91" s="96">
        <f ca="1"/>
        <v>9696.2030222646117</v>
      </c>
      <c r="E91" s="96">
        <f ca="1"/>
        <v>34342.801937212476</v>
      </c>
      <c r="F91" s="96">
        <f ca="1"/>
        <v>10752.426189343041</v>
      </c>
      <c r="G91" s="96">
        <f ca="1"/>
        <v>95.869751884537408</v>
      </c>
      <c r="H91" s="96">
        <f ca="1"/>
        <v>8099.3197132363412</v>
      </c>
      <c r="I91" s="96">
        <f ca="1"/>
        <v>16615.944305689369</v>
      </c>
      <c r="J91" s="96">
        <f ca="1"/>
        <v>3322.2828838293408</v>
      </c>
      <c r="K91" s="96">
        <f ca="1"/>
        <v>19976.441604079977</v>
      </c>
      <c r="L91" s="96">
        <f ca="1"/>
        <v>9024.0247832191162</v>
      </c>
      <c r="M91" s="96">
        <f ca="1"/>
        <v>21865.336197332617</v>
      </c>
      <c r="N91" s="96">
        <f ca="1"/>
        <v>51976.073889749612</v>
      </c>
      <c r="O91" s="96">
        <f ca="1"/>
        <v>16965.045495366056</v>
      </c>
      <c r="P91" s="96">
        <f ca="1"/>
        <v>9753.8972585317388</v>
      </c>
      <c r="Q91" s="96">
        <f ca="1"/>
        <v>3867.9359285778046</v>
      </c>
      <c r="R91" s="96">
        <f ca="1"/>
        <v>37028.104750768536</v>
      </c>
      <c r="S91" s="96">
        <f ca="1"/>
        <v>38529.91601530843</v>
      </c>
      <c r="T91" s="96">
        <f ca="1"/>
        <v>273283.08680730558</v>
      </c>
      <c r="U91" s="96">
        <f ca="1"/>
        <v>203751.91236357536</v>
      </c>
      <c r="V91" s="96">
        <f ca="1"/>
        <v>11353.702001624757</v>
      </c>
      <c r="W91" s="96">
        <f ca="1"/>
        <v>22598.494375933326</v>
      </c>
      <c r="X91" s="96">
        <f ca="1"/>
        <v>773.58879581970086</v>
      </c>
      <c r="Y91" s="96">
        <f ca="1"/>
        <v>75321.958790692966</v>
      </c>
      <c r="Z91" s="96">
        <f ca="1"/>
        <v>47626.920669508007</v>
      </c>
      <c r="AA91" s="96">
        <f ca="1"/>
        <v>25775.322852011202</v>
      </c>
      <c r="AB91" s="96">
        <f ca="1"/>
        <v>7116.9509988224827</v>
      </c>
      <c r="AC91" s="96">
        <f ca="1"/>
        <v>9358.0005622669614</v>
      </c>
      <c r="AD91" s="96">
        <f ca="1"/>
        <v>48793.540474581474</v>
      </c>
      <c r="AE91" s="96">
        <f ca="1"/>
        <v>25102.836113755846</v>
      </c>
      <c r="AF91" s="96">
        <f ca="1"/>
        <v>2930.5523873203774</v>
      </c>
      <c r="AG91" s="96">
        <f ca="1"/>
        <v>8827.7867418849237</v>
      </c>
      <c r="AH91" s="96">
        <f ca="1"/>
        <v>2350.3776835300769</v>
      </c>
      <c r="AI91" s="96">
        <f ca="1"/>
        <v>377.97921638910265</v>
      </c>
      <c r="AK91" s="2">
        <f t="shared" ca="1" si="12"/>
        <v>1060642.8699176188</v>
      </c>
    </row>
    <row r="92" spans="1:37" outlineLevel="1"/>
    <row r="93" spans="1:37" s="100" customFormat="1" ht="15" outlineLevel="1" thickBot="1">
      <c r="A93"/>
      <c r="B93"/>
      <c r="C93"/>
      <c r="D93" s="100" t="s">
        <v>287</v>
      </c>
    </row>
    <row r="94" spans="1:37" outlineLevel="1"/>
    <row r="95" spans="1:37" outlineLevel="1">
      <c r="D95" t="s">
        <v>288</v>
      </c>
    </row>
    <row r="96" spans="1:37" outlineLevel="1">
      <c r="B96" t="s">
        <v>267</v>
      </c>
      <c r="C96" s="90">
        <v>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90">
        <v>0</v>
      </c>
      <c r="Z96" s="90">
        <v>0</v>
      </c>
      <c r="AA96" s="90">
        <v>0</v>
      </c>
      <c r="AB96" s="90">
        <v>0</v>
      </c>
      <c r="AC96" s="90">
        <v>0</v>
      </c>
      <c r="AD96" s="90">
        <v>0</v>
      </c>
      <c r="AE96" s="90">
        <v>0</v>
      </c>
      <c r="AF96" s="90">
        <v>0</v>
      </c>
      <c r="AG96" s="90">
        <v>0</v>
      </c>
      <c r="AH96" s="90">
        <v>0</v>
      </c>
      <c r="AI96" s="90">
        <v>0</v>
      </c>
    </row>
    <row r="97" spans="2:35" outlineLevel="1">
      <c r="B97" t="s">
        <v>268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90">
        <v>0</v>
      </c>
      <c r="AH97" s="90">
        <v>0</v>
      </c>
      <c r="AI97" s="90">
        <v>0</v>
      </c>
    </row>
    <row r="98" spans="2:35" outlineLevel="1">
      <c r="B98" t="s">
        <v>269</v>
      </c>
      <c r="C98" s="90">
        <v>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90">
        <v>0</v>
      </c>
      <c r="Z98" s="90">
        <v>0</v>
      </c>
      <c r="AA98" s="90">
        <v>0</v>
      </c>
      <c r="AB98" s="90">
        <v>0</v>
      </c>
      <c r="AC98" s="90">
        <v>0</v>
      </c>
      <c r="AD98" s="90">
        <v>0</v>
      </c>
      <c r="AE98" s="90">
        <v>0</v>
      </c>
      <c r="AF98" s="90">
        <v>0</v>
      </c>
      <c r="AG98" s="90">
        <v>0</v>
      </c>
      <c r="AH98" s="90">
        <v>0</v>
      </c>
      <c r="AI98" s="90">
        <v>0</v>
      </c>
    </row>
    <row r="99" spans="2:35" outlineLevel="1">
      <c r="B99" t="s">
        <v>270</v>
      </c>
      <c r="C99" s="90">
        <v>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90">
        <v>0</v>
      </c>
      <c r="Z99" s="90">
        <v>0</v>
      </c>
      <c r="AA99" s="90">
        <v>0</v>
      </c>
      <c r="AB99" s="90">
        <v>0</v>
      </c>
      <c r="AC99" s="90">
        <v>0</v>
      </c>
      <c r="AD99" s="90">
        <v>0</v>
      </c>
      <c r="AE99" s="90">
        <v>0</v>
      </c>
      <c r="AF99" s="90">
        <v>0</v>
      </c>
      <c r="AG99" s="90">
        <v>0</v>
      </c>
      <c r="AH99" s="90">
        <v>0</v>
      </c>
      <c r="AI99" s="90">
        <v>0</v>
      </c>
    </row>
    <row r="100" spans="2:35" outlineLevel="1">
      <c r="B100" t="s">
        <v>271</v>
      </c>
      <c r="C100" s="90">
        <v>1</v>
      </c>
      <c r="D100" s="90">
        <v>1</v>
      </c>
      <c r="E100" s="90">
        <v>1</v>
      </c>
      <c r="F100" s="90">
        <v>1</v>
      </c>
      <c r="G100" s="90">
        <v>1</v>
      </c>
      <c r="H100" s="90">
        <v>1</v>
      </c>
      <c r="I100" s="90">
        <v>1</v>
      </c>
      <c r="J100" s="90">
        <v>1</v>
      </c>
      <c r="K100" s="90">
        <v>1</v>
      </c>
      <c r="L100" s="90">
        <v>1</v>
      </c>
      <c r="M100" s="90">
        <v>1</v>
      </c>
      <c r="N100" s="90">
        <v>1</v>
      </c>
      <c r="O100" s="90">
        <v>1</v>
      </c>
      <c r="P100" s="90">
        <v>1</v>
      </c>
      <c r="Q100" s="90">
        <v>1</v>
      </c>
      <c r="R100" s="90">
        <v>1</v>
      </c>
      <c r="S100" s="90">
        <v>1</v>
      </c>
      <c r="T100" s="90">
        <v>1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v>0</v>
      </c>
      <c r="AB100" s="90">
        <v>0</v>
      </c>
      <c r="AC100" s="90">
        <v>0</v>
      </c>
      <c r="AD100" s="90">
        <v>0</v>
      </c>
      <c r="AE100" s="90">
        <v>0</v>
      </c>
      <c r="AF100" s="90">
        <v>0</v>
      </c>
      <c r="AG100" s="90">
        <v>0</v>
      </c>
      <c r="AH100" s="90">
        <v>0</v>
      </c>
      <c r="AI100" s="90">
        <v>0</v>
      </c>
    </row>
    <row r="101" spans="2:35" outlineLevel="1"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</row>
    <row r="102" spans="2:35" outlineLevel="1">
      <c r="B102" s="102" t="s">
        <v>302</v>
      </c>
      <c r="C102" s="2">
        <f ca="1">SUMPRODUCT(C96:C100,C$33:C$37)</f>
        <v>215.00637461697963</v>
      </c>
      <c r="D102" s="2">
        <f t="shared" ref="D102:AI102" ca="1" si="13">SUMPRODUCT(D96:D100,D$33:D$37)</f>
        <v>272.01150801426684</v>
      </c>
      <c r="E102" s="2">
        <f t="shared" ca="1" si="13"/>
        <v>1619.5163125269339</v>
      </c>
      <c r="F102" s="2">
        <f t="shared" ca="1" si="13"/>
        <v>507.05616690485755</v>
      </c>
      <c r="G102" s="2">
        <f t="shared" ca="1" si="13"/>
        <v>4.5209654241254631</v>
      </c>
      <c r="H102" s="2">
        <f t="shared" ca="1" si="13"/>
        <v>381.94263899606756</v>
      </c>
      <c r="I102" s="2">
        <f t="shared" ca="1" si="13"/>
        <v>783.56428591207202</v>
      </c>
      <c r="J102" s="2">
        <f t="shared" ca="1" si="13"/>
        <v>156.67013005481201</v>
      </c>
      <c r="K102" s="2">
        <f t="shared" ca="1" si="13"/>
        <v>942.0365088235659</v>
      </c>
      <c r="L102" s="2">
        <f t="shared" ca="1" si="13"/>
        <v>425.54931274581105</v>
      </c>
      <c r="M102" s="2">
        <f t="shared" ca="1" si="13"/>
        <v>1031.1118115438135</v>
      </c>
      <c r="N102" s="2">
        <f t="shared" ca="1" si="13"/>
        <v>2451.0550669192244</v>
      </c>
      <c r="O102" s="2">
        <f t="shared" ca="1" si="13"/>
        <v>800.02697059238631</v>
      </c>
      <c r="P102" s="2">
        <f t="shared" ca="1" si="13"/>
        <v>459.96815922442539</v>
      </c>
      <c r="Q102" s="2">
        <f t="shared" ca="1" si="13"/>
        <v>182.40169976436584</v>
      </c>
      <c r="R102" s="2">
        <f t="shared" ca="1" si="13"/>
        <v>1746.1481460442576</v>
      </c>
      <c r="S102" s="2">
        <f t="shared" ca="1" si="13"/>
        <v>1235.9758665520751</v>
      </c>
      <c r="T102" s="2">
        <f t="shared" ca="1" si="13"/>
        <v>13401.163610204341</v>
      </c>
      <c r="U102" s="2">
        <f t="shared" ca="1" si="13"/>
        <v>0</v>
      </c>
      <c r="V102" s="2">
        <f t="shared" ca="1" si="13"/>
        <v>0</v>
      </c>
      <c r="W102" s="2">
        <f t="shared" ca="1" si="13"/>
        <v>0</v>
      </c>
      <c r="X102" s="2">
        <f t="shared" ca="1" si="13"/>
        <v>0</v>
      </c>
      <c r="Y102" s="2">
        <f t="shared" ca="1" si="13"/>
        <v>0</v>
      </c>
      <c r="Z102" s="2">
        <f t="shared" ca="1" si="13"/>
        <v>0</v>
      </c>
      <c r="AA102" s="2">
        <f t="shared" ca="1" si="13"/>
        <v>0</v>
      </c>
      <c r="AB102" s="2">
        <f t="shared" ca="1" si="13"/>
        <v>0</v>
      </c>
      <c r="AC102" s="2">
        <f t="shared" ca="1" si="13"/>
        <v>0</v>
      </c>
      <c r="AD102" s="2">
        <f t="shared" ca="1" si="13"/>
        <v>0</v>
      </c>
      <c r="AE102" s="2">
        <f t="shared" ca="1" si="13"/>
        <v>0</v>
      </c>
      <c r="AF102" s="2">
        <f t="shared" ca="1" si="13"/>
        <v>0</v>
      </c>
      <c r="AG102" s="2">
        <f t="shared" ca="1" si="13"/>
        <v>0</v>
      </c>
      <c r="AH102" s="2">
        <f t="shared" ca="1" si="13"/>
        <v>0</v>
      </c>
      <c r="AI102" s="2">
        <f t="shared" ca="1" si="13"/>
        <v>0</v>
      </c>
    </row>
    <row r="103" spans="2:35" outlineLevel="1">
      <c r="B103" s="102" t="s">
        <v>290</v>
      </c>
      <c r="C103" s="2">
        <f ca="1">SUMPRODUCT(C96:AI100,_xlfn.ANCHORARRAY($C$87))</f>
        <v>568582.9458899023</v>
      </c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</row>
    <row r="104" spans="2:35" outlineLevel="1">
      <c r="B104" s="102" t="s">
        <v>291</v>
      </c>
      <c r="C104" s="2">
        <f ca="1">SUMPRODUCT(C96:AI100,$C$33:$AI$37)</f>
        <v>26615.725534864381</v>
      </c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</row>
    <row r="105" spans="2:35" outlineLevel="1">
      <c r="B105" s="102" t="s">
        <v>434</v>
      </c>
      <c r="C105" s="2">
        <f ca="1">C104*10^6/C103</f>
        <v>46810.629350142561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</row>
    <row r="106" spans="2:35" outlineLevel="1">
      <c r="B106" s="102" t="s">
        <v>292</v>
      </c>
      <c r="C106" s="11">
        <f ca="1">C104/SUM($C$104,$C$117,$C$130)</f>
        <v>0.11848320006221147</v>
      </c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</row>
    <row r="107" spans="2:35" outlineLevel="1"/>
    <row r="108" spans="2:35" outlineLevel="1">
      <c r="D108" t="s">
        <v>289</v>
      </c>
    </row>
    <row r="109" spans="2:35" outlineLevel="1">
      <c r="B109" t="s">
        <v>267</v>
      </c>
      <c r="C109" s="90">
        <f t="shared" ref="C109:AI109" si="14">1-C96-C122</f>
        <v>0</v>
      </c>
      <c r="D109" s="90">
        <f t="shared" si="14"/>
        <v>0</v>
      </c>
      <c r="E109" s="90">
        <f t="shared" si="14"/>
        <v>0</v>
      </c>
      <c r="F109" s="90">
        <f t="shared" si="14"/>
        <v>0</v>
      </c>
      <c r="G109" s="90">
        <f t="shared" si="14"/>
        <v>0</v>
      </c>
      <c r="H109" s="90">
        <f t="shared" si="14"/>
        <v>0</v>
      </c>
      <c r="I109" s="90">
        <f t="shared" si="14"/>
        <v>0</v>
      </c>
      <c r="J109" s="90">
        <f t="shared" si="14"/>
        <v>0</v>
      </c>
      <c r="K109" s="90">
        <f t="shared" si="14"/>
        <v>0</v>
      </c>
      <c r="L109" s="90">
        <f t="shared" si="14"/>
        <v>0</v>
      </c>
      <c r="M109" s="90">
        <f t="shared" si="14"/>
        <v>0</v>
      </c>
      <c r="N109" s="90">
        <f t="shared" si="14"/>
        <v>0</v>
      </c>
      <c r="O109" s="90">
        <f t="shared" si="14"/>
        <v>0</v>
      </c>
      <c r="P109" s="90">
        <f t="shared" si="14"/>
        <v>0</v>
      </c>
      <c r="Q109" s="90">
        <f t="shared" si="14"/>
        <v>0</v>
      </c>
      <c r="R109" s="90">
        <f t="shared" si="14"/>
        <v>0</v>
      </c>
      <c r="S109" s="90">
        <f t="shared" si="14"/>
        <v>0</v>
      </c>
      <c r="T109" s="90">
        <f t="shared" si="14"/>
        <v>0</v>
      </c>
      <c r="U109" s="90">
        <f t="shared" si="14"/>
        <v>0</v>
      </c>
      <c r="V109" s="90">
        <f t="shared" si="14"/>
        <v>0</v>
      </c>
      <c r="W109" s="90">
        <f t="shared" si="14"/>
        <v>0</v>
      </c>
      <c r="X109" s="90">
        <f t="shared" si="14"/>
        <v>0</v>
      </c>
      <c r="Y109" s="90">
        <f t="shared" si="14"/>
        <v>0</v>
      </c>
      <c r="Z109" s="90">
        <f t="shared" si="14"/>
        <v>0</v>
      </c>
      <c r="AA109" s="90">
        <f t="shared" si="14"/>
        <v>0</v>
      </c>
      <c r="AB109" s="90">
        <f t="shared" si="14"/>
        <v>0</v>
      </c>
      <c r="AC109" s="90">
        <f t="shared" si="14"/>
        <v>0</v>
      </c>
      <c r="AD109" s="90">
        <f t="shared" si="14"/>
        <v>0</v>
      </c>
      <c r="AE109" s="90">
        <f t="shared" si="14"/>
        <v>0</v>
      </c>
      <c r="AF109" s="90">
        <f t="shared" si="14"/>
        <v>0</v>
      </c>
      <c r="AG109" s="90">
        <f t="shared" si="14"/>
        <v>0</v>
      </c>
      <c r="AH109" s="90">
        <f t="shared" si="14"/>
        <v>0</v>
      </c>
      <c r="AI109" s="90">
        <f t="shared" si="14"/>
        <v>0</v>
      </c>
    </row>
    <row r="110" spans="2:35" outlineLevel="1">
      <c r="B110" t="s">
        <v>268</v>
      </c>
      <c r="C110" s="90">
        <f t="shared" ref="C110:AI110" si="15">1-C97-C123</f>
        <v>0</v>
      </c>
      <c r="D110" s="90">
        <f t="shared" si="15"/>
        <v>0</v>
      </c>
      <c r="E110" s="90">
        <f t="shared" si="15"/>
        <v>0</v>
      </c>
      <c r="F110" s="90">
        <f t="shared" si="15"/>
        <v>0</v>
      </c>
      <c r="G110" s="90">
        <f t="shared" si="15"/>
        <v>0</v>
      </c>
      <c r="H110" s="90">
        <f t="shared" si="15"/>
        <v>0</v>
      </c>
      <c r="I110" s="90">
        <f t="shared" si="15"/>
        <v>0</v>
      </c>
      <c r="J110" s="90">
        <f t="shared" si="15"/>
        <v>0</v>
      </c>
      <c r="K110" s="90">
        <f t="shared" si="15"/>
        <v>0</v>
      </c>
      <c r="L110" s="90">
        <f t="shared" si="15"/>
        <v>0</v>
      </c>
      <c r="M110" s="90">
        <f t="shared" si="15"/>
        <v>0</v>
      </c>
      <c r="N110" s="90">
        <f t="shared" si="15"/>
        <v>0</v>
      </c>
      <c r="O110" s="90">
        <f t="shared" si="15"/>
        <v>0</v>
      </c>
      <c r="P110" s="90">
        <f t="shared" si="15"/>
        <v>0</v>
      </c>
      <c r="Q110" s="90">
        <f t="shared" si="15"/>
        <v>0</v>
      </c>
      <c r="R110" s="90">
        <f t="shared" si="15"/>
        <v>0</v>
      </c>
      <c r="S110" s="90">
        <f t="shared" si="15"/>
        <v>0</v>
      </c>
      <c r="T110" s="90">
        <f t="shared" si="15"/>
        <v>0</v>
      </c>
      <c r="U110" s="90">
        <f t="shared" si="15"/>
        <v>0</v>
      </c>
      <c r="V110" s="90">
        <f t="shared" si="15"/>
        <v>0</v>
      </c>
      <c r="W110" s="90">
        <f t="shared" si="15"/>
        <v>0</v>
      </c>
      <c r="X110" s="90">
        <f t="shared" si="15"/>
        <v>0</v>
      </c>
      <c r="Y110" s="90">
        <f t="shared" si="15"/>
        <v>0</v>
      </c>
      <c r="Z110" s="90">
        <f t="shared" si="15"/>
        <v>0</v>
      </c>
      <c r="AA110" s="90">
        <f t="shared" si="15"/>
        <v>0</v>
      </c>
      <c r="AB110" s="90">
        <f t="shared" si="15"/>
        <v>0</v>
      </c>
      <c r="AC110" s="90">
        <f t="shared" si="15"/>
        <v>0</v>
      </c>
      <c r="AD110" s="90">
        <f t="shared" si="15"/>
        <v>0</v>
      </c>
      <c r="AE110" s="90">
        <f t="shared" si="15"/>
        <v>0</v>
      </c>
      <c r="AF110" s="90">
        <f t="shared" si="15"/>
        <v>0</v>
      </c>
      <c r="AG110" s="90">
        <f t="shared" si="15"/>
        <v>0</v>
      </c>
      <c r="AH110" s="90">
        <f t="shared" si="15"/>
        <v>0</v>
      </c>
      <c r="AI110" s="90">
        <f t="shared" si="15"/>
        <v>0</v>
      </c>
    </row>
    <row r="111" spans="2:35" outlineLevel="1">
      <c r="B111" t="s">
        <v>269</v>
      </c>
      <c r="C111" s="90">
        <f t="shared" ref="C111:AI111" si="16">1-C98-C124</f>
        <v>0</v>
      </c>
      <c r="D111" s="90">
        <f t="shared" si="16"/>
        <v>0</v>
      </c>
      <c r="E111" s="90">
        <f t="shared" si="16"/>
        <v>0</v>
      </c>
      <c r="F111" s="90">
        <f t="shared" si="16"/>
        <v>0</v>
      </c>
      <c r="G111" s="90">
        <f t="shared" si="16"/>
        <v>0</v>
      </c>
      <c r="H111" s="90">
        <f t="shared" si="16"/>
        <v>0</v>
      </c>
      <c r="I111" s="90">
        <f t="shared" si="16"/>
        <v>0</v>
      </c>
      <c r="J111" s="90">
        <f t="shared" si="16"/>
        <v>0</v>
      </c>
      <c r="K111" s="90">
        <f t="shared" si="16"/>
        <v>0</v>
      </c>
      <c r="L111" s="90">
        <f t="shared" si="16"/>
        <v>0</v>
      </c>
      <c r="M111" s="90">
        <f t="shared" si="16"/>
        <v>0</v>
      </c>
      <c r="N111" s="90">
        <f t="shared" si="16"/>
        <v>0</v>
      </c>
      <c r="O111" s="90">
        <f t="shared" si="16"/>
        <v>0</v>
      </c>
      <c r="P111" s="90">
        <f t="shared" si="16"/>
        <v>0</v>
      </c>
      <c r="Q111" s="90">
        <f t="shared" si="16"/>
        <v>0</v>
      </c>
      <c r="R111" s="90">
        <f t="shared" si="16"/>
        <v>0</v>
      </c>
      <c r="S111" s="90">
        <f t="shared" si="16"/>
        <v>0</v>
      </c>
      <c r="T111" s="90">
        <f t="shared" si="16"/>
        <v>0</v>
      </c>
      <c r="U111" s="90">
        <f t="shared" si="16"/>
        <v>0</v>
      </c>
      <c r="V111" s="90">
        <f t="shared" si="16"/>
        <v>0</v>
      </c>
      <c r="W111" s="90">
        <f t="shared" si="16"/>
        <v>0</v>
      </c>
      <c r="X111" s="90">
        <f t="shared" si="16"/>
        <v>0</v>
      </c>
      <c r="Y111" s="90">
        <f t="shared" si="16"/>
        <v>0</v>
      </c>
      <c r="Z111" s="90">
        <f t="shared" si="16"/>
        <v>0</v>
      </c>
      <c r="AA111" s="90">
        <f t="shared" si="16"/>
        <v>0</v>
      </c>
      <c r="AB111" s="90">
        <f t="shared" si="16"/>
        <v>0</v>
      </c>
      <c r="AC111" s="90">
        <f t="shared" si="16"/>
        <v>0</v>
      </c>
      <c r="AD111" s="90">
        <f t="shared" si="16"/>
        <v>0</v>
      </c>
      <c r="AE111" s="90">
        <f t="shared" si="16"/>
        <v>0</v>
      </c>
      <c r="AF111" s="90">
        <f t="shared" si="16"/>
        <v>0</v>
      </c>
      <c r="AG111" s="90">
        <f t="shared" si="16"/>
        <v>0</v>
      </c>
      <c r="AH111" s="90">
        <f t="shared" si="16"/>
        <v>0</v>
      </c>
      <c r="AI111" s="90">
        <f t="shared" si="16"/>
        <v>0</v>
      </c>
    </row>
    <row r="112" spans="2:35" outlineLevel="1">
      <c r="B112" t="s">
        <v>270</v>
      </c>
      <c r="C112" s="90">
        <f t="shared" ref="C112:AI112" si="17">1-C99-C125</f>
        <v>1</v>
      </c>
      <c r="D112" s="90">
        <f t="shared" si="17"/>
        <v>1</v>
      </c>
      <c r="E112" s="90">
        <f t="shared" si="17"/>
        <v>1</v>
      </c>
      <c r="F112" s="90">
        <f t="shared" si="17"/>
        <v>1</v>
      </c>
      <c r="G112" s="90">
        <f t="shared" si="17"/>
        <v>1</v>
      </c>
      <c r="H112" s="90">
        <f t="shared" si="17"/>
        <v>1</v>
      </c>
      <c r="I112" s="90">
        <f t="shared" si="17"/>
        <v>1</v>
      </c>
      <c r="J112" s="90">
        <f t="shared" si="17"/>
        <v>1</v>
      </c>
      <c r="K112" s="90">
        <f t="shared" si="17"/>
        <v>1</v>
      </c>
      <c r="L112" s="90">
        <f t="shared" si="17"/>
        <v>1</v>
      </c>
      <c r="M112" s="90">
        <f t="shared" si="17"/>
        <v>1</v>
      </c>
      <c r="N112" s="90">
        <f t="shared" si="17"/>
        <v>1</v>
      </c>
      <c r="O112" s="90">
        <f t="shared" si="17"/>
        <v>1</v>
      </c>
      <c r="P112" s="90">
        <f t="shared" si="17"/>
        <v>1</v>
      </c>
      <c r="Q112" s="90">
        <f t="shared" si="17"/>
        <v>1</v>
      </c>
      <c r="R112" s="90">
        <f t="shared" si="17"/>
        <v>1</v>
      </c>
      <c r="S112" s="90">
        <f t="shared" si="17"/>
        <v>1</v>
      </c>
      <c r="T112" s="90">
        <f t="shared" si="17"/>
        <v>1</v>
      </c>
      <c r="U112" s="90">
        <f t="shared" si="17"/>
        <v>1</v>
      </c>
      <c r="V112" s="90">
        <f t="shared" si="17"/>
        <v>1</v>
      </c>
      <c r="W112" s="90">
        <f t="shared" si="17"/>
        <v>1</v>
      </c>
      <c r="X112" s="90">
        <f t="shared" si="17"/>
        <v>1</v>
      </c>
      <c r="Y112" s="90">
        <f t="shared" si="17"/>
        <v>1</v>
      </c>
      <c r="Z112" s="90">
        <f t="shared" si="17"/>
        <v>1</v>
      </c>
      <c r="AA112" s="90">
        <f t="shared" si="17"/>
        <v>1</v>
      </c>
      <c r="AB112" s="90">
        <f t="shared" si="17"/>
        <v>1</v>
      </c>
      <c r="AC112" s="90">
        <f t="shared" si="17"/>
        <v>1</v>
      </c>
      <c r="AD112" s="90">
        <f t="shared" si="17"/>
        <v>1</v>
      </c>
      <c r="AE112" s="90">
        <f t="shared" si="17"/>
        <v>1</v>
      </c>
      <c r="AF112" s="90">
        <f t="shared" si="17"/>
        <v>1</v>
      </c>
      <c r="AG112" s="90">
        <f t="shared" si="17"/>
        <v>1</v>
      </c>
      <c r="AH112" s="90">
        <f t="shared" si="17"/>
        <v>1</v>
      </c>
      <c r="AI112" s="90">
        <f t="shared" si="17"/>
        <v>1</v>
      </c>
    </row>
    <row r="113" spans="2:35" outlineLevel="1">
      <c r="B113" t="s">
        <v>271</v>
      </c>
      <c r="C113" s="90">
        <f t="shared" ref="C113:AI113" si="18">1-C100-C126</f>
        <v>0</v>
      </c>
      <c r="D113" s="90">
        <f t="shared" si="18"/>
        <v>0</v>
      </c>
      <c r="E113" s="90">
        <f t="shared" si="18"/>
        <v>0</v>
      </c>
      <c r="F113" s="90">
        <f t="shared" si="18"/>
        <v>0</v>
      </c>
      <c r="G113" s="90">
        <f t="shared" si="18"/>
        <v>0</v>
      </c>
      <c r="H113" s="90">
        <f t="shared" si="18"/>
        <v>0</v>
      </c>
      <c r="I113" s="90">
        <f t="shared" si="18"/>
        <v>0</v>
      </c>
      <c r="J113" s="90">
        <f t="shared" si="18"/>
        <v>0</v>
      </c>
      <c r="K113" s="90">
        <f t="shared" si="18"/>
        <v>0</v>
      </c>
      <c r="L113" s="90">
        <f t="shared" si="18"/>
        <v>0</v>
      </c>
      <c r="M113" s="90">
        <f t="shared" si="18"/>
        <v>0</v>
      </c>
      <c r="N113" s="90">
        <f t="shared" si="18"/>
        <v>0</v>
      </c>
      <c r="O113" s="90">
        <f t="shared" si="18"/>
        <v>0</v>
      </c>
      <c r="P113" s="90">
        <f t="shared" si="18"/>
        <v>0</v>
      </c>
      <c r="Q113" s="90">
        <f t="shared" si="18"/>
        <v>0</v>
      </c>
      <c r="R113" s="90">
        <f t="shared" si="18"/>
        <v>0</v>
      </c>
      <c r="S113" s="90">
        <f t="shared" si="18"/>
        <v>0</v>
      </c>
      <c r="T113" s="90">
        <f t="shared" si="18"/>
        <v>0</v>
      </c>
      <c r="U113" s="90">
        <f t="shared" si="18"/>
        <v>1</v>
      </c>
      <c r="V113" s="90">
        <f t="shared" si="18"/>
        <v>1</v>
      </c>
      <c r="W113" s="90">
        <f t="shared" si="18"/>
        <v>1</v>
      </c>
      <c r="X113" s="90">
        <f t="shared" si="18"/>
        <v>1</v>
      </c>
      <c r="Y113" s="90">
        <f t="shared" si="18"/>
        <v>1</v>
      </c>
      <c r="Z113" s="90">
        <f t="shared" si="18"/>
        <v>1</v>
      </c>
      <c r="AA113" s="90">
        <f t="shared" si="18"/>
        <v>1</v>
      </c>
      <c r="AB113" s="90">
        <f t="shared" si="18"/>
        <v>1</v>
      </c>
      <c r="AC113" s="90">
        <f t="shared" si="18"/>
        <v>1</v>
      </c>
      <c r="AD113" s="90">
        <f t="shared" si="18"/>
        <v>1</v>
      </c>
      <c r="AE113" s="90">
        <f t="shared" si="18"/>
        <v>1</v>
      </c>
      <c r="AF113" s="90">
        <f t="shared" si="18"/>
        <v>1</v>
      </c>
      <c r="AG113" s="90">
        <f t="shared" si="18"/>
        <v>1</v>
      </c>
      <c r="AH113" s="90">
        <f t="shared" si="18"/>
        <v>1</v>
      </c>
      <c r="AI113" s="90">
        <f t="shared" si="18"/>
        <v>1</v>
      </c>
    </row>
    <row r="114" spans="2:35" outlineLevel="1"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</row>
    <row r="115" spans="2:35" outlineLevel="1">
      <c r="B115" s="102" t="s">
        <v>302</v>
      </c>
      <c r="C115" s="2">
        <f ca="1">SUMPRODUCT(C109:C113,C$33:C$37)</f>
        <v>1.2795490040631392</v>
      </c>
      <c r="D115" s="2">
        <f t="shared" ref="D115:AI115" ca="1" si="19">SUMPRODUCT(D109:D113,D$33:D$37)</f>
        <v>125.05134836172383</v>
      </c>
      <c r="E115" s="2">
        <f t="shared" ca="1" si="19"/>
        <v>167.06140935741976</v>
      </c>
      <c r="F115" s="2">
        <f t="shared" ca="1" si="19"/>
        <v>52.305442794461371</v>
      </c>
      <c r="G115" s="2">
        <f t="shared" ca="1" si="19"/>
        <v>0.46636083302307563</v>
      </c>
      <c r="H115" s="2">
        <f t="shared" ca="1" si="19"/>
        <v>39.399336881267701</v>
      </c>
      <c r="I115" s="2">
        <f t="shared" ca="1" si="19"/>
        <v>80.828663500777978</v>
      </c>
      <c r="J115" s="2">
        <f t="shared" ca="1" si="19"/>
        <v>16.161324812025242</v>
      </c>
      <c r="K115" s="2">
        <f t="shared" ca="1" si="19"/>
        <v>97.175886352209886</v>
      </c>
      <c r="L115" s="2">
        <f t="shared" ca="1" si="19"/>
        <v>43.897582085428759</v>
      </c>
      <c r="M115" s="2">
        <f t="shared" ca="1" si="19"/>
        <v>106.36445850625283</v>
      </c>
      <c r="N115" s="2">
        <f t="shared" ca="1" si="19"/>
        <v>252.83890894318606</v>
      </c>
      <c r="O115" s="2">
        <f t="shared" ca="1" si="19"/>
        <v>82.526881612179238</v>
      </c>
      <c r="P115" s="2">
        <f t="shared" ca="1" si="19"/>
        <v>47.448075377245438</v>
      </c>
      <c r="Q115" s="2">
        <f t="shared" ca="1" si="19"/>
        <v>18.815668761147009</v>
      </c>
      <c r="R115" s="2">
        <f t="shared" ca="1" si="19"/>
        <v>180.12413456612319</v>
      </c>
      <c r="S115" s="2">
        <f t="shared" ca="1" si="19"/>
        <v>402.97333221616788</v>
      </c>
      <c r="T115" s="2">
        <f t="shared" ca="1" si="19"/>
        <v>512.75072191126037</v>
      </c>
      <c r="U115" s="2">
        <f t="shared" ca="1" si="19"/>
        <v>31438.140175684708</v>
      </c>
      <c r="V115" s="2">
        <f t="shared" ca="1" si="19"/>
        <v>9550.6274018385229</v>
      </c>
      <c r="W115" s="2">
        <f t="shared" ca="1" si="19"/>
        <v>1420.2210066985369</v>
      </c>
      <c r="X115" s="2">
        <f t="shared" ca="1" si="19"/>
        <v>48.616827105758261</v>
      </c>
      <c r="Y115" s="2">
        <f t="shared" ca="1" si="19"/>
        <v>4733.6699961045488</v>
      </c>
      <c r="Z115" s="2">
        <f t="shared" ca="1" si="19"/>
        <v>2993.1531305386548</v>
      </c>
      <c r="AA115" s="2">
        <f t="shared" ca="1" si="19"/>
        <v>1619.8712390777268</v>
      </c>
      <c r="AB115" s="2">
        <f t="shared" ca="1" si="19"/>
        <v>250.1326034586977</v>
      </c>
      <c r="AC115" s="2">
        <f t="shared" ca="1" si="19"/>
        <v>807.75385067986474</v>
      </c>
      <c r="AD115" s="2">
        <f t="shared" ca="1" si="19"/>
        <v>4211.7087504937708</v>
      </c>
      <c r="AE115" s="2">
        <f t="shared" ca="1" si="19"/>
        <v>4804.2893246161539</v>
      </c>
      <c r="AF115" s="2">
        <f t="shared" ca="1" si="19"/>
        <v>2031.5650880810026</v>
      </c>
      <c r="AG115" s="2">
        <f t="shared" ca="1" si="19"/>
        <v>1693.6396985825786</v>
      </c>
      <c r="AH115" s="2">
        <f t="shared" ca="1" si="19"/>
        <v>2459.7083251595486</v>
      </c>
      <c r="AI115" s="2">
        <f t="shared" ca="1" si="19"/>
        <v>256.03766127847712</v>
      </c>
    </row>
    <row r="116" spans="2:35" outlineLevel="1">
      <c r="B116" s="102" t="s">
        <v>290</v>
      </c>
      <c r="C116" s="2">
        <f ca="1">SUMPRODUCT(C109:AI113,_xlfn.ANCHORARRAY($C$87))</f>
        <v>1716711.1330187873</v>
      </c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</row>
    <row r="117" spans="2:35" outlineLevel="1">
      <c r="B117" s="102" t="s">
        <v>291</v>
      </c>
      <c r="C117" s="2">
        <f ca="1">SUMPRODUCT(C109:AI113,$C$33:$AI$37)</f>
        <v>70546.604165274519</v>
      </c>
    </row>
    <row r="118" spans="2:35" outlineLevel="1">
      <c r="B118" s="102" t="s">
        <v>434</v>
      </c>
      <c r="C118" s="2">
        <f ca="1">C117*10^6/C116</f>
        <v>41094.044774568647</v>
      </c>
    </row>
    <row r="119" spans="2:35" outlineLevel="1">
      <c r="B119" s="102" t="s">
        <v>292</v>
      </c>
      <c r="C119" s="11">
        <f ca="1">C117/SUM($C$104,$C$117,$C$130)</f>
        <v>0.31404694957779039</v>
      </c>
    </row>
    <row r="120" spans="2:35" outlineLevel="1">
      <c r="B120" s="102"/>
      <c r="C120" s="2"/>
    </row>
    <row r="121" spans="2:35" outlineLevel="1">
      <c r="D121" t="s">
        <v>286</v>
      </c>
    </row>
    <row r="122" spans="2:35" outlineLevel="1">
      <c r="B122" t="s">
        <v>267</v>
      </c>
      <c r="C122" s="90">
        <v>1</v>
      </c>
      <c r="D122" s="90">
        <v>1</v>
      </c>
      <c r="E122" s="90">
        <v>1</v>
      </c>
      <c r="F122" s="90">
        <v>1</v>
      </c>
      <c r="G122" s="90">
        <v>1</v>
      </c>
      <c r="H122" s="90">
        <v>1</v>
      </c>
      <c r="I122" s="90">
        <v>1</v>
      </c>
      <c r="J122" s="90">
        <v>1</v>
      </c>
      <c r="K122" s="90">
        <v>1</v>
      </c>
      <c r="L122" s="90">
        <v>1</v>
      </c>
      <c r="M122" s="90">
        <v>1</v>
      </c>
      <c r="N122" s="90">
        <v>1</v>
      </c>
      <c r="O122" s="90">
        <v>1</v>
      </c>
      <c r="P122" s="90">
        <v>1</v>
      </c>
      <c r="Q122" s="90">
        <v>1</v>
      </c>
      <c r="R122" s="90">
        <v>1</v>
      </c>
      <c r="S122" s="90">
        <v>1</v>
      </c>
      <c r="T122" s="90">
        <v>1</v>
      </c>
      <c r="U122" s="90">
        <v>1</v>
      </c>
      <c r="V122" s="90">
        <v>1</v>
      </c>
      <c r="W122" s="90">
        <v>1</v>
      </c>
      <c r="X122" s="90">
        <v>1</v>
      </c>
      <c r="Y122" s="90">
        <v>1</v>
      </c>
      <c r="Z122" s="90">
        <v>1</v>
      </c>
      <c r="AA122" s="90">
        <v>1</v>
      </c>
      <c r="AB122" s="90">
        <v>1</v>
      </c>
      <c r="AC122" s="90">
        <v>1</v>
      </c>
      <c r="AD122" s="90">
        <v>1</v>
      </c>
      <c r="AE122" s="90">
        <v>1</v>
      </c>
      <c r="AF122" s="90">
        <v>1</v>
      </c>
      <c r="AG122" s="90">
        <v>1</v>
      </c>
      <c r="AH122" s="90">
        <v>1</v>
      </c>
      <c r="AI122" s="90">
        <v>1</v>
      </c>
    </row>
    <row r="123" spans="2:35" outlineLevel="1">
      <c r="B123" t="s">
        <v>268</v>
      </c>
      <c r="C123" s="90">
        <v>1</v>
      </c>
      <c r="D123" s="90">
        <v>1</v>
      </c>
      <c r="E123" s="90">
        <v>1</v>
      </c>
      <c r="F123" s="90">
        <v>1</v>
      </c>
      <c r="G123" s="90">
        <v>1</v>
      </c>
      <c r="H123" s="90">
        <v>1</v>
      </c>
      <c r="I123" s="90">
        <v>1</v>
      </c>
      <c r="J123" s="90">
        <v>1</v>
      </c>
      <c r="K123" s="90">
        <v>1</v>
      </c>
      <c r="L123" s="90">
        <v>1</v>
      </c>
      <c r="M123" s="90">
        <v>1</v>
      </c>
      <c r="N123" s="90">
        <v>1</v>
      </c>
      <c r="O123" s="90">
        <v>1</v>
      </c>
      <c r="P123" s="90">
        <v>1</v>
      </c>
      <c r="Q123" s="90">
        <v>1</v>
      </c>
      <c r="R123" s="90">
        <v>1</v>
      </c>
      <c r="S123" s="90">
        <v>1</v>
      </c>
      <c r="T123" s="90">
        <v>1</v>
      </c>
      <c r="U123" s="90">
        <v>1</v>
      </c>
      <c r="V123" s="90">
        <v>1</v>
      </c>
      <c r="W123" s="90">
        <v>1</v>
      </c>
      <c r="X123" s="90">
        <v>1</v>
      </c>
      <c r="Y123" s="90">
        <v>1</v>
      </c>
      <c r="Z123" s="90">
        <v>1</v>
      </c>
      <c r="AA123" s="90">
        <v>1</v>
      </c>
      <c r="AB123" s="90">
        <v>1</v>
      </c>
      <c r="AC123" s="90">
        <v>1</v>
      </c>
      <c r="AD123" s="90">
        <v>1</v>
      </c>
      <c r="AE123" s="90">
        <v>1</v>
      </c>
      <c r="AF123" s="90">
        <v>1</v>
      </c>
      <c r="AG123" s="90">
        <v>1</v>
      </c>
      <c r="AH123" s="90">
        <v>1</v>
      </c>
      <c r="AI123" s="90">
        <v>1</v>
      </c>
    </row>
    <row r="124" spans="2:35" outlineLevel="1">
      <c r="B124" t="s">
        <v>269</v>
      </c>
      <c r="C124" s="90">
        <v>1</v>
      </c>
      <c r="D124" s="90">
        <v>1</v>
      </c>
      <c r="E124" s="90">
        <v>1</v>
      </c>
      <c r="F124" s="90">
        <v>1</v>
      </c>
      <c r="G124" s="90">
        <v>1</v>
      </c>
      <c r="H124" s="90">
        <v>1</v>
      </c>
      <c r="I124" s="90">
        <v>1</v>
      </c>
      <c r="J124" s="90">
        <v>1</v>
      </c>
      <c r="K124" s="90">
        <v>1</v>
      </c>
      <c r="L124" s="90">
        <v>1</v>
      </c>
      <c r="M124" s="90">
        <v>1</v>
      </c>
      <c r="N124" s="90">
        <v>1</v>
      </c>
      <c r="O124" s="90">
        <v>1</v>
      </c>
      <c r="P124" s="90">
        <v>1</v>
      </c>
      <c r="Q124" s="90">
        <v>1</v>
      </c>
      <c r="R124" s="90">
        <v>1</v>
      </c>
      <c r="S124" s="90">
        <v>1</v>
      </c>
      <c r="T124" s="90">
        <v>1</v>
      </c>
      <c r="U124" s="90">
        <v>1</v>
      </c>
      <c r="V124" s="90">
        <v>1</v>
      </c>
      <c r="W124" s="90">
        <v>1</v>
      </c>
      <c r="X124" s="90">
        <v>1</v>
      </c>
      <c r="Y124" s="90">
        <v>1</v>
      </c>
      <c r="Z124" s="90">
        <v>1</v>
      </c>
      <c r="AA124" s="90">
        <v>1</v>
      </c>
      <c r="AB124" s="90">
        <v>1</v>
      </c>
      <c r="AC124" s="90">
        <v>1</v>
      </c>
      <c r="AD124" s="90">
        <v>1</v>
      </c>
      <c r="AE124" s="90">
        <v>1</v>
      </c>
      <c r="AF124" s="90">
        <v>1</v>
      </c>
      <c r="AG124" s="90">
        <v>1</v>
      </c>
      <c r="AH124" s="90">
        <v>1</v>
      </c>
      <c r="AI124" s="90">
        <v>1</v>
      </c>
    </row>
    <row r="125" spans="2:35" outlineLevel="1">
      <c r="B125" t="s">
        <v>270</v>
      </c>
      <c r="C125" s="9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0</v>
      </c>
      <c r="L125" s="90">
        <v>0</v>
      </c>
      <c r="M125" s="90">
        <v>0</v>
      </c>
      <c r="N125" s="90">
        <v>0</v>
      </c>
      <c r="O125" s="90">
        <v>0</v>
      </c>
      <c r="P125" s="90">
        <v>0</v>
      </c>
      <c r="Q125" s="90">
        <v>0</v>
      </c>
      <c r="R125" s="90">
        <v>0</v>
      </c>
      <c r="S125" s="90">
        <v>0</v>
      </c>
      <c r="T125" s="90">
        <v>0</v>
      </c>
      <c r="U125" s="90">
        <v>0</v>
      </c>
      <c r="V125" s="90">
        <v>0</v>
      </c>
      <c r="W125" s="90">
        <v>0</v>
      </c>
      <c r="X125" s="90">
        <v>0</v>
      </c>
      <c r="Y125" s="90">
        <v>0</v>
      </c>
      <c r="Z125" s="90">
        <v>0</v>
      </c>
      <c r="AA125" s="90">
        <v>0</v>
      </c>
      <c r="AB125" s="90">
        <v>0</v>
      </c>
      <c r="AC125" s="90">
        <v>0</v>
      </c>
      <c r="AD125" s="90">
        <v>0</v>
      </c>
      <c r="AE125" s="90">
        <v>0</v>
      </c>
      <c r="AF125" s="90">
        <v>0</v>
      </c>
      <c r="AG125" s="90">
        <v>0</v>
      </c>
      <c r="AH125" s="90">
        <v>0</v>
      </c>
      <c r="AI125" s="90">
        <v>0</v>
      </c>
    </row>
    <row r="126" spans="2:35" outlineLevel="1">
      <c r="B126" t="s">
        <v>271</v>
      </c>
      <c r="C126" s="9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 s="90">
        <v>0</v>
      </c>
      <c r="Y126" s="90">
        <v>0</v>
      </c>
      <c r="Z126" s="90">
        <v>0</v>
      </c>
      <c r="AA126" s="90">
        <v>0</v>
      </c>
      <c r="AB126" s="90">
        <v>0</v>
      </c>
      <c r="AC126" s="90">
        <v>0</v>
      </c>
      <c r="AD126" s="90">
        <v>0</v>
      </c>
      <c r="AE126" s="90">
        <v>0</v>
      </c>
      <c r="AF126" s="90">
        <v>0</v>
      </c>
      <c r="AG126" s="90">
        <v>0</v>
      </c>
      <c r="AH126" s="90">
        <v>0</v>
      </c>
      <c r="AI126" s="90">
        <v>0</v>
      </c>
    </row>
    <row r="127" spans="2:35" outlineLevel="1"/>
    <row r="128" spans="2:35" outlineLevel="1">
      <c r="B128" s="102" t="s">
        <v>302</v>
      </c>
      <c r="C128" s="2">
        <f ca="1">SUMPRODUCT(C122:C126,C$33:C$37)</f>
        <v>2.4732157742026977</v>
      </c>
      <c r="D128" s="2">
        <f t="shared" ref="D128:AI128" ca="1" si="20">SUMPRODUCT(D122:D126,D$33:D$37)</f>
        <v>750.57240996838516</v>
      </c>
      <c r="E128" s="2">
        <f t="shared" ca="1" si="20"/>
        <v>820.53162623131652</v>
      </c>
      <c r="F128" s="2">
        <f t="shared" ca="1" si="20"/>
        <v>256.90116889243893</v>
      </c>
      <c r="G128" s="2">
        <f t="shared" ca="1" si="20"/>
        <v>2.2905578643556384</v>
      </c>
      <c r="H128" s="2">
        <f t="shared" ca="1" si="20"/>
        <v>193.51210564932379</v>
      </c>
      <c r="I128" s="2">
        <f t="shared" ca="1" si="20"/>
        <v>396.99461286832479</v>
      </c>
      <c r="J128" s="2">
        <f t="shared" ca="1" si="20"/>
        <v>79.377282509893135</v>
      </c>
      <c r="K128" s="2">
        <f t="shared" ca="1" si="20"/>
        <v>477.28492695754596</v>
      </c>
      <c r="L128" s="2">
        <f t="shared" ca="1" si="20"/>
        <v>215.60550120214026</v>
      </c>
      <c r="M128" s="2">
        <f t="shared" ca="1" si="20"/>
        <v>522.4151445476233</v>
      </c>
      <c r="N128" s="2">
        <f t="shared" ca="1" si="20"/>
        <v>1241.8326728919133</v>
      </c>
      <c r="O128" s="2">
        <f t="shared" ca="1" si="20"/>
        <v>405.33549531627187</v>
      </c>
      <c r="P128" s="2">
        <f t="shared" ca="1" si="20"/>
        <v>233.04393723988935</v>
      </c>
      <c r="Q128" s="2">
        <f t="shared" ca="1" si="20"/>
        <v>92.414229059302272</v>
      </c>
      <c r="R128" s="2">
        <f t="shared" ca="1" si="20"/>
        <v>884.68991010122124</v>
      </c>
      <c r="S128" s="2">
        <f t="shared" ca="1" si="20"/>
        <v>2656.9425848615138</v>
      </c>
      <c r="T128" s="2">
        <f t="shared" ca="1" si="20"/>
        <v>5564.976005725468</v>
      </c>
      <c r="U128" s="2">
        <f t="shared" ca="1" si="20"/>
        <v>20826.416959213668</v>
      </c>
      <c r="V128" s="2">
        <f t="shared" ca="1" si="20"/>
        <v>3665.3937704259661</v>
      </c>
      <c r="W128" s="2">
        <f t="shared" ca="1" si="20"/>
        <v>2805.3759030186338</v>
      </c>
      <c r="X128" s="2">
        <f t="shared" ca="1" si="20"/>
        <v>96.033275600668233</v>
      </c>
      <c r="Y128" s="2">
        <f t="shared" ca="1" si="20"/>
        <v>9350.4644169735911</v>
      </c>
      <c r="Z128" s="2">
        <f t="shared" ca="1" si="20"/>
        <v>5912.4034123461024</v>
      </c>
      <c r="AA128" s="2">
        <f t="shared" ca="1" si="20"/>
        <v>3199.7471854325208</v>
      </c>
      <c r="AB128" s="2">
        <f t="shared" ca="1" si="20"/>
        <v>10870.334060188161</v>
      </c>
      <c r="AC128" s="2">
        <f t="shared" ca="1" si="20"/>
        <v>6059.3695006047737</v>
      </c>
      <c r="AD128" s="2">
        <f t="shared" ca="1" si="20"/>
        <v>31594.146862874964</v>
      </c>
      <c r="AE128" s="2">
        <f t="shared" ca="1" si="20"/>
        <v>9342.3555688434772</v>
      </c>
      <c r="AF128" s="2">
        <f t="shared" ca="1" si="20"/>
        <v>4102.3710732331929</v>
      </c>
      <c r="AG128" s="2">
        <f t="shared" ca="1" si="20"/>
        <v>3173.5336789950607</v>
      </c>
      <c r="AH128" s="2">
        <f t="shared" ca="1" si="20"/>
        <v>138.48909236723941</v>
      </c>
      <c r="AI128" s="2">
        <f t="shared" ca="1" si="20"/>
        <v>1541.1680981179977</v>
      </c>
    </row>
    <row r="129" spans="1:7" outlineLevel="1">
      <c r="B129" s="102" t="s">
        <v>290</v>
      </c>
      <c r="C129" s="2">
        <f ca="1">SUMPRODUCT(C122:AI126,_xlfn.ANCHORARRAY($C$87))</f>
        <v>1216649.2024816261</v>
      </c>
    </row>
    <row r="130" spans="1:7" outlineLevel="1">
      <c r="B130" s="102" t="s">
        <v>291</v>
      </c>
      <c r="C130" s="2">
        <f ca="1">SUMPRODUCT(C122:AI126,$C$33:$AI$37)</f>
        <v>127474.79624589713</v>
      </c>
    </row>
    <row r="131" spans="1:7" outlineLevel="1">
      <c r="B131" s="102" t="s">
        <v>434</v>
      </c>
      <c r="C131" s="2">
        <f ca="1">C130*10^6/C129</f>
        <v>104775.3090914653</v>
      </c>
    </row>
    <row r="132" spans="1:7" outlineLevel="1">
      <c r="B132" s="102" t="s">
        <v>292</v>
      </c>
      <c r="C132" s="11">
        <f ca="1">C130/SUM($C$104,$C$117,$C$130)</f>
        <v>0.5674698503599982</v>
      </c>
    </row>
    <row r="133" spans="1:7" outlineLevel="1"/>
    <row r="134" spans="1:7" outlineLevel="1">
      <c r="C134" s="104" t="s">
        <v>448</v>
      </c>
    </row>
    <row r="135" spans="1:7" outlineLevel="1"/>
    <row r="136" spans="1:7" outlineLevel="1">
      <c r="B136" t="s">
        <v>303</v>
      </c>
      <c r="C136" s="90">
        <f>'Labour force absolute size'!H21/'Labour force absolute size'!H25</f>
        <v>0.28791200903807251</v>
      </c>
    </row>
    <row r="137" spans="1:7" outlineLevel="1"/>
    <row r="139" spans="1:7" s="97" customFormat="1" ht="17.5" thickBot="1">
      <c r="A139"/>
      <c r="B139"/>
      <c r="C139" s="97" t="s">
        <v>395</v>
      </c>
    </row>
    <row r="140" spans="1:7" ht="15" thickTop="1"/>
    <row r="141" spans="1:7">
      <c r="D141" s="102" t="s">
        <v>396</v>
      </c>
    </row>
    <row r="143" spans="1:7">
      <c r="D143" t="s">
        <v>13</v>
      </c>
      <c r="E143" s="161">
        <f>'Labour force absolute size'!H4</f>
        <v>284650</v>
      </c>
      <c r="G143" t="s">
        <v>397</v>
      </c>
    </row>
    <row r="144" spans="1:7">
      <c r="D144" t="s">
        <v>398</v>
      </c>
      <c r="E144" s="161">
        <f>'Labour force absolute size'!H5</f>
        <v>3265250</v>
      </c>
      <c r="G144" t="s">
        <v>397</v>
      </c>
    </row>
    <row r="145" spans="3:8">
      <c r="D145" t="s">
        <v>399</v>
      </c>
      <c r="E145" s="161">
        <f>'Labour force absolute size'!H21</f>
        <v>1090205.6790551529</v>
      </c>
      <c r="G145" t="s">
        <v>400</v>
      </c>
    </row>
    <row r="147" spans="3:8">
      <c r="D147" t="s">
        <v>401</v>
      </c>
      <c r="E147" s="161">
        <v>500000</v>
      </c>
      <c r="G147" t="s">
        <v>402</v>
      </c>
    </row>
    <row r="149" spans="3:8">
      <c r="D149" t="s">
        <v>403</v>
      </c>
      <c r="E149" s="161">
        <f>'Household characteristics'!G13</f>
        <v>2755900</v>
      </c>
      <c r="G149" t="s">
        <v>405</v>
      </c>
    </row>
    <row r="150" spans="3:8">
      <c r="D150" t="s">
        <v>404</v>
      </c>
      <c r="E150" s="161">
        <f>'Household characteristics'!G17</f>
        <v>794000</v>
      </c>
      <c r="G150" t="s">
        <v>406</v>
      </c>
    </row>
    <row r="152" spans="3:8">
      <c r="D152" s="102" t="s">
        <v>407</v>
      </c>
    </row>
    <row r="154" spans="3:8">
      <c r="D154" t="s">
        <v>300</v>
      </c>
      <c r="E154" t="s">
        <v>301</v>
      </c>
      <c r="F154" t="s">
        <v>183</v>
      </c>
      <c r="G154" t="s">
        <v>181</v>
      </c>
      <c r="H154" t="s">
        <v>394</v>
      </c>
    </row>
    <row r="155" spans="3:8">
      <c r="D155" s="161">
        <f>E143</f>
        <v>284650</v>
      </c>
      <c r="E155" s="161">
        <f>E149-E143</f>
        <v>2471250</v>
      </c>
      <c r="F155" s="161">
        <f>E150</f>
        <v>794000</v>
      </c>
      <c r="G155" s="161">
        <f>E147</f>
        <v>500000</v>
      </c>
      <c r="H155" s="161">
        <f>E145</f>
        <v>1090205.6790551529</v>
      </c>
    </row>
    <row r="157" spans="3:8">
      <c r="D157" s="102" t="s">
        <v>408</v>
      </c>
    </row>
    <row r="159" spans="3:8">
      <c r="C159" s="161" t="str">
        <f>'HEIS - 2022, Table 2'!G71</f>
        <v>Food and beverages, Tobacco</v>
      </c>
      <c r="D159" s="161">
        <f>'HEIS - 2022, Table 2'!B71</f>
        <v>9456.7240225991045</v>
      </c>
      <c r="E159" s="161">
        <f>'HEIS - 2022, Table 2'!C71</f>
        <v>5387.8970371161822</v>
      </c>
      <c r="F159" s="161">
        <f>'HEIS - 2022, Table 2'!D71</f>
        <v>2912.9024669212845</v>
      </c>
      <c r="G159" s="161">
        <f>'HEIS - 2022, Table 2'!E71</f>
        <v>2608.889000000001</v>
      </c>
      <c r="H159" s="282" t="s">
        <v>418</v>
      </c>
    </row>
    <row r="160" spans="3:8">
      <c r="C160" s="161" t="str">
        <f>'HEIS - 2022, Table 2'!G72</f>
        <v>Clothing and Footwear</v>
      </c>
      <c r="D160" s="161">
        <f>'HEIS - 2022, Table 2'!B72</f>
        <v>4941.9815432259402</v>
      </c>
      <c r="E160" s="161">
        <f>'HEIS - 2022, Table 2'!C72</f>
        <v>2560.6649169055418</v>
      </c>
      <c r="F160" s="161">
        <f>'HEIS - 2022, Table 2'!D72</f>
        <v>421.88314079880104</v>
      </c>
      <c r="G160" s="161">
        <f>'HEIS - 2022, Table 2'!E72</f>
        <v>422.57900000000006</v>
      </c>
      <c r="H160" s="282"/>
    </row>
    <row r="161" spans="3:8">
      <c r="C161" s="161" t="str">
        <f>'HEIS - 2022, Table 2'!G73</f>
        <v>Housing, Water, Electricity, Gas, &amp; Fuels *</v>
      </c>
      <c r="D161" s="161">
        <f>'HEIS - 2022, Table 2'!B73</f>
        <v>4755.7711420324995</v>
      </c>
      <c r="E161" s="161">
        <f>'HEIS - 2022, Table 2'!C73</f>
        <v>14218.760103041534</v>
      </c>
      <c r="F161" s="161">
        <f>'HEIS - 2022, Table 2'!D73</f>
        <v>4907.2203991278666</v>
      </c>
      <c r="G161" s="161">
        <f>'HEIS - 2022, Table 2'!E73</f>
        <v>1828.9322916666667</v>
      </c>
      <c r="H161" s="282"/>
    </row>
    <row r="162" spans="3:8">
      <c r="C162" s="161" t="str">
        <f>'HEIS - 2022, Table 2'!G74</f>
        <v>Furnishings, household equipment and routine household maintenance</v>
      </c>
      <c r="D162" s="161">
        <f>'HEIS - 2022, Table 2'!B74</f>
        <v>6359.5298224342314</v>
      </c>
      <c r="E162" s="161">
        <f>'HEIS - 2022, Table 2'!C74</f>
        <v>1188.9927399450471</v>
      </c>
      <c r="F162" s="161">
        <f>'HEIS - 2022, Table 2'!D74</f>
        <v>174.66647251392047</v>
      </c>
      <c r="G162" s="161">
        <f>'HEIS - 2022, Table 2'!E74</f>
        <v>156.53004166666665</v>
      </c>
      <c r="H162" s="282"/>
    </row>
    <row r="163" spans="3:8">
      <c r="C163" s="161" t="str">
        <f>'HEIS - 2022, Table 2'!G75</f>
        <v>Health</v>
      </c>
      <c r="D163" s="161">
        <f>'HEIS - 2022, Table 2'!B75</f>
        <v>688.52216710078199</v>
      </c>
      <c r="E163" s="161">
        <f>'HEIS - 2022, Table 2'!C75</f>
        <v>469.54706689447295</v>
      </c>
      <c r="F163" s="161">
        <f>'HEIS - 2022, Table 2'!D75</f>
        <v>62.534567299163847</v>
      </c>
      <c r="G163" s="161">
        <f>'HEIS - 2022, Table 2'!E75</f>
        <v>32.464833333333331</v>
      </c>
      <c r="H163" s="282"/>
    </row>
    <row r="164" spans="3:8">
      <c r="C164" s="161" t="str">
        <f>'HEIS - 2022, Table 2'!G76</f>
        <v>Transport</v>
      </c>
      <c r="D164" s="161">
        <f>'HEIS - 2022, Table 2'!B76</f>
        <v>7617.5405006265455</v>
      </c>
      <c r="E164" s="161">
        <f>'HEIS - 2022, Table 2'!C76</f>
        <v>4462.6030320296186</v>
      </c>
      <c r="F164" s="161">
        <f>'HEIS - 2022, Table 2'!D76</f>
        <v>1420.2192581414306</v>
      </c>
      <c r="G164" s="161">
        <f>'HEIS - 2022, Table 2'!E76</f>
        <v>608.47133333333329</v>
      </c>
      <c r="H164" s="282"/>
    </row>
    <row r="165" spans="3:8">
      <c r="C165" s="161" t="str">
        <f>'HEIS - 2022, Table 2'!G77</f>
        <v>Communication</v>
      </c>
      <c r="D165" s="161">
        <f>'HEIS - 2022, Table 2'!B77</f>
        <v>3891.1694203108473</v>
      </c>
      <c r="E165" s="161">
        <f>'HEIS - 2022, Table 2'!C77</f>
        <v>2599.4785987227415</v>
      </c>
      <c r="F165" s="161">
        <f>'HEIS - 2022, Table 2'!D77</f>
        <v>1211.4198289399883</v>
      </c>
      <c r="G165" s="161">
        <f>'HEIS - 2022, Table 2'!E77</f>
        <v>841.81583333333333</v>
      </c>
      <c r="H165" s="282"/>
    </row>
    <row r="166" spans="3:8">
      <c r="C166" s="161" t="str">
        <f>'HEIS - 2022, Table 2'!G78</f>
        <v>Recreations and Culture</v>
      </c>
      <c r="D166" s="161">
        <f>'HEIS - 2022, Table 2'!B78</f>
        <v>2843.0943050583001</v>
      </c>
      <c r="E166" s="161">
        <f>'HEIS - 2022, Table 2'!C78</f>
        <v>1395.6749518706361</v>
      </c>
      <c r="F166" s="161">
        <f>'HEIS - 2022, Table 2'!D78</f>
        <v>117.01919499209167</v>
      </c>
      <c r="G166" s="161">
        <f>'HEIS - 2022, Table 2'!E78</f>
        <v>23.83891666666667</v>
      </c>
      <c r="H166" s="282"/>
    </row>
    <row r="167" spans="3:8">
      <c r="C167" s="161" t="str">
        <f>'HEIS - 2022, Table 2'!G79</f>
        <v>Education</v>
      </c>
      <c r="D167" s="161">
        <f>'HEIS - 2022, Table 2'!B79</f>
        <v>3874.5315090650893</v>
      </c>
      <c r="E167" s="161">
        <f>'HEIS - 2022, Table 2'!C79</f>
        <v>4939.2486381965746</v>
      </c>
      <c r="F167" s="161">
        <f>'HEIS - 2022, Table 2'!D79</f>
        <v>15.835770820547797</v>
      </c>
      <c r="G167" s="161">
        <f>'HEIS - 2022, Table 2'!E79</f>
        <v>0</v>
      </c>
      <c r="H167" s="282"/>
    </row>
    <row r="168" spans="3:8">
      <c r="C168" s="161" t="str">
        <f>'HEIS - 2022, Table 2'!G80</f>
        <v>Restaurants and Hotels</v>
      </c>
      <c r="D168" s="161">
        <f>'HEIS - 2022, Table 2'!B80</f>
        <v>3529.9795167991119</v>
      </c>
      <c r="E168" s="161">
        <f>'HEIS - 2022, Table 2'!C80</f>
        <v>2932.555498391815</v>
      </c>
      <c r="F168" s="161">
        <f>'HEIS - 2022, Table 2'!D80</f>
        <v>1631.0508382255205</v>
      </c>
      <c r="G168" s="161">
        <f>'HEIS - 2022, Table 2'!E80</f>
        <v>3308.3195000000001</v>
      </c>
      <c r="H168" s="282"/>
    </row>
    <row r="169" spans="3:8">
      <c r="C169" s="161" t="str">
        <f>'HEIS - 2022, Table 2'!G81</f>
        <v>Miscellaneous Goods &amp; Services</v>
      </c>
      <c r="D169" s="161">
        <f>'HEIS - 2022, Table 2'!B81</f>
        <v>5202.3010714573302</v>
      </c>
      <c r="E169" s="161">
        <f>'HEIS - 2022, Table 2'!C81</f>
        <v>3149.2411174150466</v>
      </c>
      <c r="F169" s="161">
        <f>'HEIS - 2022, Table 2'!D81</f>
        <v>995.5202989518275</v>
      </c>
      <c r="G169" s="161">
        <f>'HEIS - 2022, Table 2'!E81</f>
        <v>715.70595833333334</v>
      </c>
      <c r="H169" s="282"/>
    </row>
    <row r="170" spans="3:8">
      <c r="C170" s="161" t="str">
        <f>'HEIS - 2022, Table 2'!G82</f>
        <v>Imputed rent</v>
      </c>
      <c r="D170" s="161">
        <f>'HEIS - 2022, Table 2'!B82</f>
        <v>20637.457667153751</v>
      </c>
      <c r="E170" s="161">
        <f>'HEIS - 2022, Table 2'!C82</f>
        <v>6251.3168340195207</v>
      </c>
      <c r="F170" s="161">
        <f>'HEIS - 2022, Table 2'!D82</f>
        <v>2193.2886402052013</v>
      </c>
      <c r="G170" s="161">
        <f>'HEIS - 2022, Table 2'!E82</f>
        <v>3812.1</v>
      </c>
      <c r="H170" s="282"/>
    </row>
    <row r="171" spans="3:8">
      <c r="C171" s="161" t="str">
        <f>'HEIS - 2022, Table 2'!G83</f>
        <v>Cash transfers</v>
      </c>
      <c r="D171" s="161">
        <f>'HEIS - 2022, Table 2'!B83</f>
        <v>1163.6293477187251</v>
      </c>
      <c r="E171" s="161">
        <f>'HEIS - 2022, Table 2'!C83</f>
        <v>4635.1101065280172</v>
      </c>
      <c r="F171" s="161">
        <f>'HEIS - 2022, Table 2'!D83</f>
        <v>7453.6942176232205</v>
      </c>
      <c r="G171" s="161">
        <f>'HEIS - 2022, Table 2'!E83</f>
        <v>9922.3958333333339</v>
      </c>
      <c r="H171" s="282"/>
    </row>
    <row r="172" spans="3:8">
      <c r="C172" s="161"/>
      <c r="D172" s="161"/>
      <c r="E172" s="161"/>
      <c r="F172" s="161"/>
      <c r="G172" s="161"/>
    </row>
    <row r="173" spans="3:8">
      <c r="D173" s="102" t="s">
        <v>419</v>
      </c>
    </row>
    <row r="174" spans="3:8">
      <c r="C174" s="161"/>
      <c r="D174" s="161"/>
      <c r="E174" s="161"/>
      <c r="F174" s="161"/>
      <c r="G174" s="161"/>
    </row>
    <row r="175" spans="3:8">
      <c r="C175" s="161" t="str">
        <f t="shared" ref="C175:C185" si="21">C159</f>
        <v>Food and beverages, Tobacco</v>
      </c>
      <c r="D175" s="161">
        <f t="shared" ref="D175:D185" si="22">D159*D$155</f>
        <v>2691856493.032835</v>
      </c>
      <c r="E175" s="161">
        <f t="shared" ref="E175:G175" si="23">E159*E$155</f>
        <v>13314840552.973366</v>
      </c>
      <c r="F175" s="161">
        <f t="shared" si="23"/>
        <v>2312844558.7354999</v>
      </c>
      <c r="G175" s="161">
        <f t="shared" si="23"/>
        <v>1304444500.0000005</v>
      </c>
    </row>
    <row r="176" spans="3:8">
      <c r="C176" s="161" t="str">
        <f t="shared" si="21"/>
        <v>Clothing and Footwear</v>
      </c>
      <c r="D176" s="161">
        <f t="shared" si="22"/>
        <v>1406735046.279264</v>
      </c>
      <c r="E176" s="161">
        <f t="shared" ref="E176:G185" si="24">E160*E$155</f>
        <v>6328043175.9028196</v>
      </c>
      <c r="F176" s="161">
        <f t="shared" si="24"/>
        <v>334975213.79424804</v>
      </c>
      <c r="G176" s="161">
        <f t="shared" si="24"/>
        <v>211289500.00000003</v>
      </c>
    </row>
    <row r="177" spans="3:11">
      <c r="C177" s="161" t="str">
        <f t="shared" si="21"/>
        <v>Housing, Water, Electricity, Gas, &amp; Fuels *</v>
      </c>
      <c r="D177" s="161">
        <f t="shared" si="22"/>
        <v>1353730255.579551</v>
      </c>
      <c r="E177" s="161">
        <f t="shared" si="24"/>
        <v>35138110904.641388</v>
      </c>
      <c r="F177" s="161">
        <f t="shared" si="24"/>
        <v>3896332996.907526</v>
      </c>
      <c r="G177" s="161">
        <f t="shared" si="24"/>
        <v>914466145.83333337</v>
      </c>
    </row>
    <row r="178" spans="3:11">
      <c r="C178" s="161" t="str">
        <f t="shared" si="21"/>
        <v>Furnishings, household equipment and routine household maintenance</v>
      </c>
      <c r="D178" s="161">
        <f t="shared" si="22"/>
        <v>1810240163.955904</v>
      </c>
      <c r="E178" s="161">
        <f t="shared" si="24"/>
        <v>2938298308.5891976</v>
      </c>
      <c r="F178" s="161">
        <f t="shared" si="24"/>
        <v>138685179.17605284</v>
      </c>
      <c r="G178" s="161">
        <f t="shared" si="24"/>
        <v>78265020.833333328</v>
      </c>
    </row>
    <row r="179" spans="3:11">
      <c r="C179" s="161" t="str">
        <f t="shared" si="21"/>
        <v>Health</v>
      </c>
      <c r="D179" s="161">
        <f t="shared" si="22"/>
        <v>195987834.86523759</v>
      </c>
      <c r="E179" s="161">
        <f t="shared" si="24"/>
        <v>1160368189.0629663</v>
      </c>
      <c r="F179" s="161">
        <f t="shared" si="24"/>
        <v>49652446.435536094</v>
      </c>
      <c r="G179" s="161">
        <f t="shared" si="24"/>
        <v>16232416.666666666</v>
      </c>
    </row>
    <row r="180" spans="3:11">
      <c r="C180" s="161" t="str">
        <f t="shared" si="21"/>
        <v>Transport</v>
      </c>
      <c r="D180" s="161">
        <f t="shared" si="22"/>
        <v>2168332903.503346</v>
      </c>
      <c r="E180" s="161">
        <f t="shared" si="24"/>
        <v>11028207742.903194</v>
      </c>
      <c r="F180" s="161">
        <f t="shared" si="24"/>
        <v>1127654090.9642959</v>
      </c>
      <c r="G180" s="161">
        <f t="shared" si="24"/>
        <v>304235666.66666663</v>
      </c>
    </row>
    <row r="181" spans="3:11">
      <c r="C181" s="161" t="str">
        <f t="shared" si="21"/>
        <v>Communication</v>
      </c>
      <c r="D181" s="161">
        <f t="shared" si="22"/>
        <v>1107621375.4914827</v>
      </c>
      <c r="E181" s="161">
        <f t="shared" si="24"/>
        <v>6423961487.0935745</v>
      </c>
      <c r="F181" s="161">
        <f t="shared" si="24"/>
        <v>961867344.17835069</v>
      </c>
      <c r="G181" s="161">
        <f t="shared" si="24"/>
        <v>420907916.66666669</v>
      </c>
    </row>
    <row r="182" spans="3:11">
      <c r="C182" s="161" t="str">
        <f t="shared" si="21"/>
        <v>Recreations and Culture</v>
      </c>
      <c r="D182" s="161">
        <f t="shared" si="22"/>
        <v>809286793.93484509</v>
      </c>
      <c r="E182" s="161">
        <f t="shared" si="24"/>
        <v>3449061724.8103094</v>
      </c>
      <c r="F182" s="161">
        <f t="shared" si="24"/>
        <v>92913240.823720783</v>
      </c>
      <c r="G182" s="161">
        <f t="shared" si="24"/>
        <v>11919458.333333334</v>
      </c>
    </row>
    <row r="183" spans="3:11">
      <c r="C183" s="161" t="str">
        <f t="shared" si="21"/>
        <v>Education</v>
      </c>
      <c r="D183" s="161">
        <f t="shared" si="22"/>
        <v>1102885394.0553777</v>
      </c>
      <c r="E183" s="161">
        <f t="shared" si="24"/>
        <v>12206118197.143286</v>
      </c>
      <c r="F183" s="161">
        <f t="shared" si="24"/>
        <v>12573602.03151495</v>
      </c>
      <c r="G183" s="161">
        <f t="shared" si="24"/>
        <v>0</v>
      </c>
    </row>
    <row r="184" spans="3:11">
      <c r="C184" s="161" t="str">
        <f t="shared" si="21"/>
        <v>Restaurants and Hotels</v>
      </c>
      <c r="D184" s="161">
        <f t="shared" si="22"/>
        <v>1004808669.4568672</v>
      </c>
      <c r="E184" s="161">
        <f t="shared" si="24"/>
        <v>7247077775.400773</v>
      </c>
      <c r="F184" s="161">
        <f t="shared" si="24"/>
        <v>1295054365.5510633</v>
      </c>
      <c r="G184" s="161">
        <f t="shared" si="24"/>
        <v>1654159750</v>
      </c>
    </row>
    <row r="185" spans="3:11">
      <c r="C185" s="161" t="str">
        <f t="shared" si="21"/>
        <v>Miscellaneous Goods &amp; Services</v>
      </c>
      <c r="D185" s="161">
        <f t="shared" si="22"/>
        <v>1480834999.990329</v>
      </c>
      <c r="E185" s="161">
        <f t="shared" si="24"/>
        <v>7782562111.4119339</v>
      </c>
      <c r="F185" s="161">
        <f t="shared" si="24"/>
        <v>790443117.367751</v>
      </c>
      <c r="G185" s="161">
        <f t="shared" si="24"/>
        <v>357852979.16666669</v>
      </c>
    </row>
    <row r="187" spans="3:11">
      <c r="C187" s="161" t="str">
        <f>C170</f>
        <v>Imputed rent</v>
      </c>
      <c r="D187" s="161">
        <f>D170*D$155</f>
        <v>5874452324.9553156</v>
      </c>
      <c r="E187" s="161">
        <f>E170*E$155</f>
        <v>15448566726.07074</v>
      </c>
      <c r="F187" s="161">
        <f>F170*F$155</f>
        <v>1741471180.3229299</v>
      </c>
      <c r="G187" s="161">
        <f>G170*G$155</f>
        <v>1906050000</v>
      </c>
    </row>
    <row r="188" spans="3:11">
      <c r="J188" t="s">
        <v>410</v>
      </c>
      <c r="K188" t="s">
        <v>411</v>
      </c>
    </row>
    <row r="189" spans="3:11">
      <c r="C189" s="161" t="str">
        <f>C171</f>
        <v>Cash transfers</v>
      </c>
      <c r="D189" s="161">
        <f>D171*D$155</f>
        <v>331227093.82813507</v>
      </c>
      <c r="E189" s="161">
        <f>E171*E$155</f>
        <v>11454515850.757362</v>
      </c>
      <c r="F189" s="161">
        <f>F171*F$155</f>
        <v>5918233208.7928371</v>
      </c>
      <c r="G189" s="161">
        <f>G171*G$155</f>
        <v>4961197916.666667</v>
      </c>
      <c r="I189" t="s">
        <v>412</v>
      </c>
      <c r="J189" s="161">
        <f>SUM(D175:G187)/10^6</f>
        <v>163406.27984155901</v>
      </c>
      <c r="K189" s="2">
        <f>SUM('2022 SAM'!BV37:BV77)</f>
        <v>370904.25714971905</v>
      </c>
    </row>
    <row r="190" spans="3:11">
      <c r="I190" t="s">
        <v>413</v>
      </c>
      <c r="J190" s="161">
        <f>SUM(D187:G187)/10^6</f>
        <v>24970.540231348983</v>
      </c>
    </row>
    <row r="191" spans="3:11">
      <c r="I191" t="s">
        <v>414</v>
      </c>
      <c r="J191" s="161">
        <f>SUM(D189:G189)/10^6</f>
        <v>22665.174070045003</v>
      </c>
    </row>
    <row r="192" spans="3:11">
      <c r="D192" s="102" t="s">
        <v>409</v>
      </c>
    </row>
    <row r="193" spans="3:7">
      <c r="C193" s="161"/>
      <c r="D193" s="161"/>
    </row>
    <row r="194" spans="3:7">
      <c r="C194" s="161" t="s">
        <v>416</v>
      </c>
      <c r="D194" s="11">
        <f t="shared" ref="D194:G204" si="25">D175/SUM($D175:$H175)</f>
        <v>0.13717174883151836</v>
      </c>
      <c r="E194" s="11">
        <f t="shared" si="25"/>
        <v>0.67849826645342615</v>
      </c>
      <c r="F194" s="11">
        <f t="shared" si="25"/>
        <v>0.11785804099079812</v>
      </c>
      <c r="G194" s="11">
        <f t="shared" si="25"/>
        <v>6.6471943724257451E-2</v>
      </c>
    </row>
    <row r="195" spans="3:7">
      <c r="C195" s="161" t="s">
        <v>332</v>
      </c>
      <c r="D195" s="11">
        <f t="shared" si="25"/>
        <v>0.1698741399066796</v>
      </c>
      <c r="E195" s="11">
        <f t="shared" si="25"/>
        <v>0.76416016977899492</v>
      </c>
      <c r="F195" s="11">
        <f t="shared" si="25"/>
        <v>4.0450848568720124E-2</v>
      </c>
      <c r="G195" s="11">
        <f t="shared" si="25"/>
        <v>2.5514841745605452E-2</v>
      </c>
    </row>
    <row r="196" spans="3:7">
      <c r="C196" s="161" t="s">
        <v>334</v>
      </c>
      <c r="D196" s="11">
        <f t="shared" si="25"/>
        <v>3.2775876933041383E-2</v>
      </c>
      <c r="E196" s="11">
        <f t="shared" si="25"/>
        <v>0.85074732866706448</v>
      </c>
      <c r="F196" s="11">
        <f t="shared" si="25"/>
        <v>9.4336172417241834E-2</v>
      </c>
      <c r="G196" s="11">
        <f t="shared" si="25"/>
        <v>2.2140621982652216E-2</v>
      </c>
    </row>
    <row r="197" spans="3:7">
      <c r="C197" s="161" t="s">
        <v>336</v>
      </c>
      <c r="D197" s="11">
        <f t="shared" si="25"/>
        <v>0.3645643527416666</v>
      </c>
      <c r="E197" s="11">
        <f t="shared" si="25"/>
        <v>0.59174403615698812</v>
      </c>
      <c r="F197" s="11">
        <f t="shared" si="25"/>
        <v>2.7929814832244191E-2</v>
      </c>
      <c r="G197" s="11">
        <f t="shared" si="25"/>
        <v>1.5761796269101149E-2</v>
      </c>
    </row>
    <row r="198" spans="3:7">
      <c r="C198" s="161" t="s">
        <v>338</v>
      </c>
      <c r="D198" s="11">
        <f t="shared" si="25"/>
        <v>0.13780213791663229</v>
      </c>
      <c r="E198" s="11">
        <f t="shared" si="25"/>
        <v>0.81587317566560591</v>
      </c>
      <c r="F198" s="11">
        <f t="shared" si="25"/>
        <v>3.4911418233242328E-2</v>
      </c>
      <c r="G198" s="11">
        <f t="shared" si="25"/>
        <v>1.141326818451931E-2</v>
      </c>
    </row>
    <row r="199" spans="3:7">
      <c r="C199" s="161" t="s">
        <v>340</v>
      </c>
      <c r="D199" s="11">
        <f t="shared" si="25"/>
        <v>0.14822731103843362</v>
      </c>
      <c r="E199" s="11">
        <f t="shared" si="25"/>
        <v>0.75388865642477731</v>
      </c>
      <c r="F199" s="11">
        <f t="shared" si="25"/>
        <v>7.7086472015005722E-2</v>
      </c>
      <c r="G199" s="11">
        <f t="shared" si="25"/>
        <v>2.0797560521783418E-2</v>
      </c>
    </row>
    <row r="200" spans="3:7">
      <c r="C200" s="161" t="s">
        <v>342</v>
      </c>
      <c r="D200" s="11">
        <f t="shared" si="25"/>
        <v>0.12425138861992356</v>
      </c>
      <c r="E200" s="11">
        <f t="shared" si="25"/>
        <v>0.72063085172774688</v>
      </c>
      <c r="F200" s="11">
        <f t="shared" si="25"/>
        <v>0.10790090894488795</v>
      </c>
      <c r="G200" s="11">
        <f t="shared" si="25"/>
        <v>4.7216850707441554E-2</v>
      </c>
    </row>
    <row r="201" spans="3:7">
      <c r="C201" s="161" t="s">
        <v>344</v>
      </c>
      <c r="D201" s="11">
        <f t="shared" si="25"/>
        <v>0.1854809033863474</v>
      </c>
      <c r="E201" s="11">
        <f t="shared" si="25"/>
        <v>0.79049243030721461</v>
      </c>
      <c r="F201" s="11">
        <f t="shared" si="25"/>
        <v>2.1294838830552384E-2</v>
      </c>
      <c r="G201" s="11">
        <f t="shared" si="25"/>
        <v>2.7318274758856196E-3</v>
      </c>
    </row>
    <row r="202" spans="3:7">
      <c r="C202" s="161" t="s">
        <v>103</v>
      </c>
      <c r="D202" s="11">
        <f t="shared" si="25"/>
        <v>8.2789400838802124E-2</v>
      </c>
      <c r="E202" s="11">
        <f t="shared" si="25"/>
        <v>0.91626674680429343</v>
      </c>
      <c r="F202" s="11">
        <f t="shared" si="25"/>
        <v>9.4385235690445587E-4</v>
      </c>
      <c r="G202" s="11">
        <f t="shared" si="25"/>
        <v>0</v>
      </c>
    </row>
    <row r="203" spans="3:7">
      <c r="C203" s="161" t="s">
        <v>347</v>
      </c>
      <c r="D203" s="11">
        <f t="shared" si="25"/>
        <v>8.9706244849586822E-2</v>
      </c>
      <c r="E203" s="11">
        <f t="shared" si="25"/>
        <v>0.64699693894510879</v>
      </c>
      <c r="F203" s="11">
        <f t="shared" si="25"/>
        <v>0.11561849289422053</v>
      </c>
      <c r="G203" s="11">
        <f t="shared" si="25"/>
        <v>0.14767832331108394</v>
      </c>
    </row>
    <row r="204" spans="3:7">
      <c r="C204" s="161" t="s">
        <v>349</v>
      </c>
      <c r="D204" s="11">
        <f t="shared" si="25"/>
        <v>0.14222806707957072</v>
      </c>
      <c r="E204" s="11">
        <f t="shared" si="25"/>
        <v>0.74748284990566205</v>
      </c>
      <c r="F204" s="11">
        <f t="shared" si="25"/>
        <v>7.5918786846812567E-2</v>
      </c>
      <c r="G204" s="11">
        <f t="shared" si="25"/>
        <v>3.4370296167954763E-2</v>
      </c>
    </row>
    <row r="205" spans="3:7">
      <c r="C205" s="161" t="s">
        <v>353</v>
      </c>
      <c r="D205" s="11">
        <f>D187/SUM($D187:$H187)</f>
        <v>0.23525531568517291</v>
      </c>
      <c r="E205" s="11">
        <f>E187/SUM($D187:$H187)</f>
        <v>0.61867170605608324</v>
      </c>
      <c r="F205" s="11">
        <f>F187/SUM($D187:$H187)</f>
        <v>6.9741029396577475E-2</v>
      </c>
      <c r="G205" s="11">
        <f>G187/SUM($D187:$H187)</f>
        <v>7.6331948862166418E-2</v>
      </c>
    </row>
    <row r="208" spans="3:7">
      <c r="C208" s="161" t="s">
        <v>389</v>
      </c>
      <c r="D208" s="11">
        <f>D189/SUM($D189:$I189)</f>
        <v>1.4613922346437882E-2</v>
      </c>
      <c r="E208" s="11">
        <f>E189/SUM($D189:$I189)</f>
        <v>0.50537956670255646</v>
      </c>
      <c r="F208" s="11">
        <f>F189/SUM($D189:$I189)</f>
        <v>0.26111571834846653</v>
      </c>
      <c r="G208" s="11">
        <f>G189/SUM($D189:$I189)</f>
        <v>0.21889079260253907</v>
      </c>
    </row>
    <row r="210" spans="3:11">
      <c r="D210" s="102" t="s">
        <v>417</v>
      </c>
    </row>
    <row r="211" spans="3:11">
      <c r="D211" s="102"/>
    </row>
    <row r="212" spans="3:11">
      <c r="C212" t="s">
        <v>423</v>
      </c>
      <c r="D212" t="s">
        <v>424</v>
      </c>
      <c r="E212" t="s">
        <v>425</v>
      </c>
      <c r="F212" t="s">
        <v>300</v>
      </c>
      <c r="G212" t="s">
        <v>301</v>
      </c>
      <c r="H212" t="s">
        <v>183</v>
      </c>
      <c r="I212" t="s">
        <v>181</v>
      </c>
    </row>
    <row r="213" spans="3:11">
      <c r="C213" s="28" t="s">
        <v>74</v>
      </c>
      <c r="D213">
        <f>'HEIS to SAM concordance'!R7</f>
        <v>11</v>
      </c>
      <c r="E213" t="str">
        <f ca="1">'HEIS to SAM concordance'!S7</f>
        <v>Miscellaneous Goods &amp; Services</v>
      </c>
      <c r="F213" s="11">
        <f ca="1">OFFSET(D$193,$D213,0)</f>
        <v>0.14222806707957072</v>
      </c>
      <c r="G213" s="11">
        <f t="shared" ref="G213:I228" ca="1" si="26">OFFSET(E$193,$D213,0)</f>
        <v>0.74748284990566205</v>
      </c>
      <c r="H213" s="11">
        <f t="shared" ca="1" si="26"/>
        <v>7.5918786846812567E-2</v>
      </c>
      <c r="I213" s="11">
        <f t="shared" ca="1" si="26"/>
        <v>3.4370296167954763E-2</v>
      </c>
      <c r="J213" s="212">
        <v>0</v>
      </c>
    </row>
    <row r="214" spans="3:11">
      <c r="C214" s="28" t="s">
        <v>75</v>
      </c>
      <c r="D214">
        <f>'HEIS to SAM concordance'!R8</f>
        <v>3</v>
      </c>
      <c r="E214" t="str">
        <f ca="1">'HEIS to SAM concordance'!S8</f>
        <v>Housing, Water, Electricity, Gas, &amp; Fuels *</v>
      </c>
      <c r="F214" s="11">
        <f t="shared" ref="F214:F245" ca="1" si="27">OFFSET(D$193,$D214,0)</f>
        <v>3.2775876933041383E-2</v>
      </c>
      <c r="G214" s="11">
        <f t="shared" ca="1" si="26"/>
        <v>0.85074732866706448</v>
      </c>
      <c r="H214" s="11">
        <f t="shared" ca="1" si="26"/>
        <v>9.4336172417241834E-2</v>
      </c>
      <c r="I214" s="11">
        <f t="shared" ca="1" si="26"/>
        <v>2.2140621982652216E-2</v>
      </c>
      <c r="J214" s="212">
        <v>0</v>
      </c>
    </row>
    <row r="215" spans="3:11">
      <c r="C215" s="28" t="s">
        <v>76</v>
      </c>
      <c r="D215">
        <f>'HEIS to SAM concordance'!R9</f>
        <v>1</v>
      </c>
      <c r="E215" t="str">
        <f ca="1">'HEIS to SAM concordance'!S9</f>
        <v>Food and beverages + Tobacco</v>
      </c>
      <c r="F215" s="11">
        <f t="shared" ca="1" si="27"/>
        <v>0.13717174883151836</v>
      </c>
      <c r="G215" s="11">
        <f t="shared" ca="1" si="26"/>
        <v>0.67849826645342615</v>
      </c>
      <c r="H215" s="11">
        <f t="shared" ca="1" si="26"/>
        <v>0.11785804099079812</v>
      </c>
      <c r="I215" s="11">
        <f t="shared" ca="1" si="26"/>
        <v>6.6471943724257451E-2</v>
      </c>
      <c r="J215" s="212">
        <v>0</v>
      </c>
    </row>
    <row r="216" spans="3:11">
      <c r="C216" s="28" t="s">
        <v>77</v>
      </c>
      <c r="D216">
        <f>'HEIS to SAM concordance'!R10</f>
        <v>2</v>
      </c>
      <c r="E216" t="str">
        <f ca="1">'HEIS to SAM concordance'!S10</f>
        <v>Clothing and Footwear</v>
      </c>
      <c r="F216" s="11">
        <f t="shared" ca="1" si="27"/>
        <v>0.1698741399066796</v>
      </c>
      <c r="G216" s="11">
        <f t="shared" ca="1" si="26"/>
        <v>0.76416016977899492</v>
      </c>
      <c r="H216" s="11">
        <f t="shared" ca="1" si="26"/>
        <v>4.0450848568720124E-2</v>
      </c>
      <c r="I216" s="11">
        <f t="shared" ca="1" si="26"/>
        <v>2.5514841745605452E-2</v>
      </c>
      <c r="J216" s="212">
        <v>0</v>
      </c>
    </row>
    <row r="217" spans="3:11">
      <c r="C217" s="28" t="s">
        <v>78</v>
      </c>
      <c r="D217">
        <f>'HEIS to SAM concordance'!R11</f>
        <v>2</v>
      </c>
      <c r="E217" t="str">
        <f ca="1">'HEIS to SAM concordance'!S11</f>
        <v>Clothing and Footwear</v>
      </c>
      <c r="F217" s="11">
        <f t="shared" ca="1" si="27"/>
        <v>0.1698741399066796</v>
      </c>
      <c r="G217" s="11">
        <f t="shared" ca="1" si="26"/>
        <v>0.76416016977899492</v>
      </c>
      <c r="H217" s="11">
        <f t="shared" ca="1" si="26"/>
        <v>4.0450848568720124E-2</v>
      </c>
      <c r="I217" s="11">
        <f t="shared" ca="1" si="26"/>
        <v>2.5514841745605452E-2</v>
      </c>
      <c r="J217" s="212">
        <v>0</v>
      </c>
    </row>
    <row r="218" spans="3:11">
      <c r="C218" s="28" t="s">
        <v>79</v>
      </c>
      <c r="D218">
        <f>'HEIS to SAM concordance'!R12</f>
        <v>4</v>
      </c>
      <c r="E218" t="str">
        <f ca="1">'HEIS to SAM concordance'!S12</f>
        <v>Furnishings, household equipment and routine household maintenance</v>
      </c>
      <c r="F218" s="11">
        <f t="shared" ca="1" si="27"/>
        <v>0.3645643527416666</v>
      </c>
      <c r="G218" s="11">
        <f t="shared" ca="1" si="26"/>
        <v>0.59174403615698812</v>
      </c>
      <c r="H218" s="11">
        <f t="shared" ca="1" si="26"/>
        <v>2.7929814832244191E-2</v>
      </c>
      <c r="I218" s="11">
        <f t="shared" ca="1" si="26"/>
        <v>1.5761796269101149E-2</v>
      </c>
      <c r="J218" s="212">
        <v>0</v>
      </c>
      <c r="K218" t="s">
        <v>428</v>
      </c>
    </row>
    <row r="219" spans="3:11">
      <c r="C219" s="28" t="s">
        <v>80</v>
      </c>
      <c r="D219">
        <f>'HEIS to SAM concordance'!R13</f>
        <v>7</v>
      </c>
      <c r="E219" t="str">
        <f ca="1">'HEIS to SAM concordance'!S13</f>
        <v>Communication</v>
      </c>
      <c r="F219" s="11">
        <f t="shared" ca="1" si="27"/>
        <v>0.12425138861992356</v>
      </c>
      <c r="G219" s="11">
        <f t="shared" ca="1" si="26"/>
        <v>0.72063085172774688</v>
      </c>
      <c r="H219" s="11">
        <f t="shared" ca="1" si="26"/>
        <v>0.10790090894488795</v>
      </c>
      <c r="I219" s="11">
        <f t="shared" ca="1" si="26"/>
        <v>4.7216850707441554E-2</v>
      </c>
      <c r="J219" s="212">
        <v>0</v>
      </c>
      <c r="K219" t="s">
        <v>429</v>
      </c>
    </row>
    <row r="220" spans="3:11">
      <c r="C220" s="28" t="s">
        <v>81</v>
      </c>
      <c r="D220">
        <f>'HEIS to SAM concordance'!R14</f>
        <v>3</v>
      </c>
      <c r="E220" t="str">
        <f ca="1">'HEIS to SAM concordance'!S14</f>
        <v>Housing, Water, Electricity, Gas, &amp; Fuels *</v>
      </c>
      <c r="F220" s="11">
        <f t="shared" ca="1" si="27"/>
        <v>3.2775876933041383E-2</v>
      </c>
      <c r="G220" s="11">
        <f t="shared" ca="1" si="26"/>
        <v>0.85074732866706448</v>
      </c>
      <c r="H220" s="11">
        <f t="shared" ca="1" si="26"/>
        <v>9.4336172417241834E-2</v>
      </c>
      <c r="I220" s="11">
        <f t="shared" ca="1" si="26"/>
        <v>2.2140621982652216E-2</v>
      </c>
      <c r="J220" s="212">
        <v>0</v>
      </c>
    </row>
    <row r="221" spans="3:11">
      <c r="C221" s="28" t="s">
        <v>82</v>
      </c>
      <c r="D221">
        <f>'HEIS to SAM concordance'!R15</f>
        <v>11</v>
      </c>
      <c r="E221" t="str">
        <f ca="1">'HEIS to SAM concordance'!S15</f>
        <v>Miscellaneous Goods &amp; Services</v>
      </c>
      <c r="F221" s="11">
        <f t="shared" ca="1" si="27"/>
        <v>0.14222806707957072</v>
      </c>
      <c r="G221" s="11">
        <f t="shared" ca="1" si="26"/>
        <v>0.74748284990566205</v>
      </c>
      <c r="H221" s="11">
        <f t="shared" ca="1" si="26"/>
        <v>7.5918786846812567E-2</v>
      </c>
      <c r="I221" s="11">
        <f t="shared" ca="1" si="26"/>
        <v>3.4370296167954763E-2</v>
      </c>
      <c r="J221" s="212">
        <v>0</v>
      </c>
    </row>
    <row r="222" spans="3:11">
      <c r="C222" s="28" t="s">
        <v>83</v>
      </c>
      <c r="D222">
        <f>'HEIS to SAM concordance'!R16</f>
        <v>11</v>
      </c>
      <c r="E222" t="str">
        <f ca="1">'HEIS to SAM concordance'!S16</f>
        <v>Miscellaneous Goods &amp; Services</v>
      </c>
      <c r="F222" s="11">
        <f t="shared" ca="1" si="27"/>
        <v>0.14222806707957072</v>
      </c>
      <c r="G222" s="11">
        <f t="shared" ca="1" si="26"/>
        <v>0.74748284990566205</v>
      </c>
      <c r="H222" s="11">
        <f t="shared" ca="1" si="26"/>
        <v>7.5918786846812567E-2</v>
      </c>
      <c r="I222" s="11">
        <f t="shared" ca="1" si="26"/>
        <v>3.4370296167954763E-2</v>
      </c>
      <c r="J222" s="212">
        <v>0</v>
      </c>
    </row>
    <row r="223" spans="3:11">
      <c r="C223" s="28" t="s">
        <v>84</v>
      </c>
      <c r="D223">
        <f>'HEIS to SAM concordance'!R17</f>
        <v>11</v>
      </c>
      <c r="E223" t="str">
        <f ca="1">'HEIS to SAM concordance'!S17</f>
        <v>Miscellaneous Goods &amp; Services</v>
      </c>
      <c r="F223" s="11">
        <f t="shared" ca="1" si="27"/>
        <v>0.14222806707957072</v>
      </c>
      <c r="G223" s="11">
        <f t="shared" ca="1" si="26"/>
        <v>0.74748284990566205</v>
      </c>
      <c r="H223" s="11">
        <f t="shared" ca="1" si="26"/>
        <v>7.5918786846812567E-2</v>
      </c>
      <c r="I223" s="11">
        <f t="shared" ca="1" si="26"/>
        <v>3.4370296167954763E-2</v>
      </c>
      <c r="J223" s="212">
        <v>0</v>
      </c>
    </row>
    <row r="224" spans="3:11">
      <c r="C224" s="28" t="s">
        <v>85</v>
      </c>
      <c r="D224">
        <f>'HEIS to SAM concordance'!R18</f>
        <v>11</v>
      </c>
      <c r="E224" t="str">
        <f ca="1">'HEIS to SAM concordance'!S18</f>
        <v>Miscellaneous Goods &amp; Services</v>
      </c>
      <c r="F224" s="11">
        <f t="shared" ca="1" si="27"/>
        <v>0.14222806707957072</v>
      </c>
      <c r="G224" s="11">
        <f t="shared" ca="1" si="26"/>
        <v>0.74748284990566205</v>
      </c>
      <c r="H224" s="11">
        <f t="shared" ca="1" si="26"/>
        <v>7.5918786846812567E-2</v>
      </c>
      <c r="I224" s="11">
        <f t="shared" ca="1" si="26"/>
        <v>3.4370296167954763E-2</v>
      </c>
      <c r="J224" s="212">
        <v>0</v>
      </c>
    </row>
    <row r="225" spans="3:10">
      <c r="C225" s="28" t="s">
        <v>86</v>
      </c>
      <c r="D225">
        <f>'HEIS to SAM concordance'!R19</f>
        <v>11</v>
      </c>
      <c r="E225" t="str">
        <f ca="1">'HEIS to SAM concordance'!S19</f>
        <v>Miscellaneous Goods &amp; Services</v>
      </c>
      <c r="F225" s="11">
        <f t="shared" ca="1" si="27"/>
        <v>0.14222806707957072</v>
      </c>
      <c r="G225" s="11">
        <f t="shared" ca="1" si="26"/>
        <v>0.74748284990566205</v>
      </c>
      <c r="H225" s="11">
        <f t="shared" ca="1" si="26"/>
        <v>7.5918786846812567E-2</v>
      </c>
      <c r="I225" s="11">
        <f t="shared" ca="1" si="26"/>
        <v>3.4370296167954763E-2</v>
      </c>
      <c r="J225" s="212">
        <v>0</v>
      </c>
    </row>
    <row r="226" spans="3:10">
      <c r="C226" s="28" t="s">
        <v>87</v>
      </c>
      <c r="D226">
        <f>'HEIS to SAM concordance'!R20</f>
        <v>4</v>
      </c>
      <c r="E226" t="str">
        <f ca="1">'HEIS to SAM concordance'!S20</f>
        <v>Furnishings, household equipment and routine household maintenance</v>
      </c>
      <c r="F226" s="11">
        <f t="shared" ca="1" si="27"/>
        <v>0.3645643527416666</v>
      </c>
      <c r="G226" s="11">
        <f t="shared" ca="1" si="26"/>
        <v>0.59174403615698812</v>
      </c>
      <c r="H226" s="11">
        <f t="shared" ca="1" si="26"/>
        <v>2.7929814832244191E-2</v>
      </c>
      <c r="I226" s="11">
        <f t="shared" ca="1" si="26"/>
        <v>1.5761796269101149E-2</v>
      </c>
      <c r="J226" s="212">
        <v>0</v>
      </c>
    </row>
    <row r="227" spans="3:10">
      <c r="C227" s="28" t="s">
        <v>88</v>
      </c>
      <c r="D227">
        <f>'HEIS to SAM concordance'!R21</f>
        <v>6</v>
      </c>
      <c r="E227" t="str">
        <f ca="1">'HEIS to SAM concordance'!S21</f>
        <v>Transport</v>
      </c>
      <c r="F227" s="11">
        <f t="shared" ca="1" si="27"/>
        <v>0.14822731103843362</v>
      </c>
      <c r="G227" s="11">
        <f t="shared" ca="1" si="26"/>
        <v>0.75388865642477731</v>
      </c>
      <c r="H227" s="11">
        <f t="shared" ca="1" si="26"/>
        <v>7.7086472015005722E-2</v>
      </c>
      <c r="I227" s="11">
        <f t="shared" ca="1" si="26"/>
        <v>2.0797560521783418E-2</v>
      </c>
      <c r="J227" s="212">
        <v>0</v>
      </c>
    </row>
    <row r="228" spans="3:10">
      <c r="C228" s="28" t="s">
        <v>89</v>
      </c>
      <c r="D228">
        <f>'HEIS to SAM concordance'!R22</f>
        <v>4</v>
      </c>
      <c r="E228" t="str">
        <f ca="1">'HEIS to SAM concordance'!S22</f>
        <v>Furnishings, household equipment and routine household maintenance</v>
      </c>
      <c r="F228" s="11">
        <f t="shared" ca="1" si="27"/>
        <v>0.3645643527416666</v>
      </c>
      <c r="G228" s="11">
        <f t="shared" ca="1" si="26"/>
        <v>0.59174403615698812</v>
      </c>
      <c r="H228" s="11">
        <f t="shared" ca="1" si="26"/>
        <v>2.7929814832244191E-2</v>
      </c>
      <c r="I228" s="11">
        <f t="shared" ca="1" si="26"/>
        <v>1.5761796269101149E-2</v>
      </c>
      <c r="J228" s="212">
        <v>0</v>
      </c>
    </row>
    <row r="229" spans="3:10">
      <c r="C229" s="28" t="s">
        <v>90</v>
      </c>
      <c r="D229">
        <f>'HEIS to SAM concordance'!R23</f>
        <v>3</v>
      </c>
      <c r="E229" t="str">
        <f ca="1">'HEIS to SAM concordance'!S23</f>
        <v>Housing, Water, Electricity, Gas, &amp; Fuels *</v>
      </c>
      <c r="F229" s="11">
        <f t="shared" ca="1" si="27"/>
        <v>3.2775876933041383E-2</v>
      </c>
      <c r="G229" s="11">
        <f t="shared" ref="G229:G245" ca="1" si="28">OFFSET(E$193,$D229,0)</f>
        <v>0.85074732866706448</v>
      </c>
      <c r="H229" s="11">
        <f t="shared" ref="H229:H245" ca="1" si="29">OFFSET(F$193,$D229,0)</f>
        <v>9.4336172417241834E-2</v>
      </c>
      <c r="I229" s="11">
        <f t="shared" ref="I229:I245" ca="1" si="30">OFFSET(G$193,$D229,0)</f>
        <v>2.2140621982652216E-2</v>
      </c>
      <c r="J229" s="212">
        <v>0</v>
      </c>
    </row>
    <row r="230" spans="3:10">
      <c r="C230" s="28" t="s">
        <v>91</v>
      </c>
      <c r="D230">
        <f>'HEIS to SAM concordance'!R24</f>
        <v>4</v>
      </c>
      <c r="E230" t="str">
        <f ca="1">'HEIS to SAM concordance'!S24</f>
        <v>Furnishings, household equipment and routine household maintenance</v>
      </c>
      <c r="F230" s="11">
        <f t="shared" ca="1" si="27"/>
        <v>0.3645643527416666</v>
      </c>
      <c r="G230" s="11">
        <f t="shared" ca="1" si="28"/>
        <v>0.59174403615698812</v>
      </c>
      <c r="H230" s="11">
        <f t="shared" ca="1" si="29"/>
        <v>2.7929814832244191E-2</v>
      </c>
      <c r="I230" s="11">
        <f t="shared" ca="1" si="30"/>
        <v>1.5761796269101149E-2</v>
      </c>
      <c r="J230" s="212">
        <v>0</v>
      </c>
    </row>
    <row r="231" spans="3:10">
      <c r="C231" s="41" t="s">
        <v>92</v>
      </c>
      <c r="D231">
        <f>'HEIS to SAM concordance'!R25</f>
        <v>4</v>
      </c>
      <c r="E231" t="str">
        <f ca="1">'HEIS to SAM concordance'!S25</f>
        <v>Furnishings, household equipment and routine household maintenance</v>
      </c>
      <c r="F231" s="11">
        <f t="shared" ca="1" si="27"/>
        <v>0.3645643527416666</v>
      </c>
      <c r="G231" s="11">
        <f t="shared" ca="1" si="28"/>
        <v>0.59174403615698812</v>
      </c>
      <c r="H231" s="11">
        <f t="shared" ca="1" si="29"/>
        <v>2.7929814832244191E-2</v>
      </c>
      <c r="I231" s="11">
        <f t="shared" ca="1" si="30"/>
        <v>1.5761796269101149E-2</v>
      </c>
      <c r="J231" s="212">
        <v>0</v>
      </c>
    </row>
    <row r="232" spans="3:10">
      <c r="C232" s="28" t="s">
        <v>93</v>
      </c>
      <c r="D232">
        <f>'HEIS to SAM concordance'!R26</f>
        <v>10</v>
      </c>
      <c r="E232" t="str">
        <f ca="1">'HEIS to SAM concordance'!S26</f>
        <v>Restaurants and Hotels</v>
      </c>
      <c r="F232" s="11">
        <f t="shared" ca="1" si="27"/>
        <v>8.9706244849586822E-2</v>
      </c>
      <c r="G232" s="11">
        <f t="shared" ca="1" si="28"/>
        <v>0.64699693894510879</v>
      </c>
      <c r="H232" s="11">
        <f t="shared" ca="1" si="29"/>
        <v>0.11561849289422053</v>
      </c>
      <c r="I232" s="11">
        <f t="shared" ca="1" si="30"/>
        <v>0.14767832331108394</v>
      </c>
      <c r="J232" s="212">
        <v>0</v>
      </c>
    </row>
    <row r="233" spans="3:10">
      <c r="C233" s="28" t="s">
        <v>94</v>
      </c>
      <c r="D233">
        <f>'HEIS to SAM concordance'!R27</f>
        <v>6</v>
      </c>
      <c r="E233" t="str">
        <f ca="1">'HEIS to SAM concordance'!S27</f>
        <v>Transport</v>
      </c>
      <c r="F233" s="11">
        <f t="shared" ca="1" si="27"/>
        <v>0.14822731103843362</v>
      </c>
      <c r="G233" s="11">
        <f t="shared" ca="1" si="28"/>
        <v>0.75388865642477731</v>
      </c>
      <c r="H233" s="11">
        <f t="shared" ca="1" si="29"/>
        <v>7.7086472015005722E-2</v>
      </c>
      <c r="I233" s="11">
        <f t="shared" ca="1" si="30"/>
        <v>2.0797560521783418E-2</v>
      </c>
      <c r="J233" s="212">
        <v>0</v>
      </c>
    </row>
    <row r="234" spans="3:10">
      <c r="C234" s="28" t="s">
        <v>95</v>
      </c>
      <c r="D234">
        <f>'HEIS to SAM concordance'!R28</f>
        <v>6</v>
      </c>
      <c r="E234" t="str">
        <f ca="1">'HEIS to SAM concordance'!S28</f>
        <v>Transport</v>
      </c>
      <c r="F234" s="11">
        <f t="shared" ca="1" si="27"/>
        <v>0.14822731103843362</v>
      </c>
      <c r="G234" s="11">
        <f t="shared" ca="1" si="28"/>
        <v>0.75388865642477731</v>
      </c>
      <c r="H234" s="11">
        <f t="shared" ca="1" si="29"/>
        <v>7.7086472015005722E-2</v>
      </c>
      <c r="I234" s="11">
        <f t="shared" ca="1" si="30"/>
        <v>2.0797560521783418E-2</v>
      </c>
      <c r="J234" s="212">
        <v>0</v>
      </c>
    </row>
    <row r="235" spans="3:10">
      <c r="C235" s="28" t="s">
        <v>96</v>
      </c>
      <c r="D235">
        <f>'HEIS to SAM concordance'!R29</f>
        <v>6</v>
      </c>
      <c r="E235" t="str">
        <f ca="1">'HEIS to SAM concordance'!S29</f>
        <v>Transport</v>
      </c>
      <c r="F235" s="11">
        <f t="shared" ca="1" si="27"/>
        <v>0.14822731103843362</v>
      </c>
      <c r="G235" s="11">
        <f t="shared" ca="1" si="28"/>
        <v>0.75388865642477731</v>
      </c>
      <c r="H235" s="11">
        <f t="shared" ca="1" si="29"/>
        <v>7.7086472015005722E-2</v>
      </c>
      <c r="I235" s="11">
        <f t="shared" ca="1" si="30"/>
        <v>2.0797560521783418E-2</v>
      </c>
      <c r="J235" s="212">
        <v>0</v>
      </c>
    </row>
    <row r="236" spans="3:10">
      <c r="C236" s="28" t="s">
        <v>97</v>
      </c>
      <c r="D236">
        <f>'HEIS to SAM concordance'!R30</f>
        <v>6</v>
      </c>
      <c r="E236" t="str">
        <f ca="1">'HEIS to SAM concordance'!S30</f>
        <v>Transport</v>
      </c>
      <c r="F236" s="11">
        <f t="shared" ca="1" si="27"/>
        <v>0.14822731103843362</v>
      </c>
      <c r="G236" s="11">
        <f t="shared" ca="1" si="28"/>
        <v>0.75388865642477731</v>
      </c>
      <c r="H236" s="11">
        <f t="shared" ca="1" si="29"/>
        <v>7.7086472015005722E-2</v>
      </c>
      <c r="I236" s="11">
        <f t="shared" ca="1" si="30"/>
        <v>2.0797560521783418E-2</v>
      </c>
      <c r="J236" s="212">
        <v>0</v>
      </c>
    </row>
    <row r="237" spans="3:10">
      <c r="C237" s="28" t="s">
        <v>98</v>
      </c>
      <c r="D237">
        <f>'HEIS to SAM concordance'!R31</f>
        <v>7</v>
      </c>
      <c r="E237" t="str">
        <f ca="1">'HEIS to SAM concordance'!S31</f>
        <v>Communication</v>
      </c>
      <c r="F237" s="11">
        <f t="shared" ca="1" si="27"/>
        <v>0.12425138861992356</v>
      </c>
      <c r="G237" s="11">
        <f t="shared" ca="1" si="28"/>
        <v>0.72063085172774688</v>
      </c>
      <c r="H237" s="11">
        <f t="shared" ca="1" si="29"/>
        <v>0.10790090894488795</v>
      </c>
      <c r="I237" s="11">
        <f t="shared" ca="1" si="30"/>
        <v>4.7216850707441554E-2</v>
      </c>
      <c r="J237" s="212">
        <v>0</v>
      </c>
    </row>
    <row r="238" spans="3:10">
      <c r="C238" s="28" t="s">
        <v>99</v>
      </c>
      <c r="D238">
        <f>'HEIS to SAM concordance'!R32</f>
        <v>11</v>
      </c>
      <c r="E238" t="str">
        <f ca="1">'HEIS to SAM concordance'!S32</f>
        <v>Miscellaneous Goods &amp; Services</v>
      </c>
      <c r="F238" s="11">
        <f t="shared" ca="1" si="27"/>
        <v>0.14222806707957072</v>
      </c>
      <c r="G238" s="11">
        <f t="shared" ca="1" si="28"/>
        <v>0.74748284990566205</v>
      </c>
      <c r="H238" s="11">
        <f t="shared" ca="1" si="29"/>
        <v>7.5918786846812567E-2</v>
      </c>
      <c r="I238" s="11">
        <f t="shared" ca="1" si="30"/>
        <v>3.4370296167954763E-2</v>
      </c>
      <c r="J238" s="212">
        <v>0</v>
      </c>
    </row>
    <row r="239" spans="3:10">
      <c r="C239" s="28" t="s">
        <v>100</v>
      </c>
      <c r="D239">
        <f>'HEIS to SAM concordance'!R33</f>
        <v>12</v>
      </c>
      <c r="E239" t="str">
        <f ca="1">'HEIS to SAM concordance'!S33</f>
        <v>Imputed rent</v>
      </c>
      <c r="F239" s="11">
        <f t="shared" ca="1" si="27"/>
        <v>0.23525531568517291</v>
      </c>
      <c r="G239" s="11">
        <f t="shared" ca="1" si="28"/>
        <v>0.61867170605608324</v>
      </c>
      <c r="H239" s="11">
        <f t="shared" ca="1" si="29"/>
        <v>6.9741029396577475E-2</v>
      </c>
      <c r="I239" s="11">
        <f t="shared" ca="1" si="30"/>
        <v>7.6331948862166418E-2</v>
      </c>
      <c r="J239" s="212">
        <v>0</v>
      </c>
    </row>
    <row r="240" spans="3:10">
      <c r="C240" s="28" t="s">
        <v>101</v>
      </c>
      <c r="D240">
        <f>'HEIS to SAM concordance'!R34</f>
        <v>11</v>
      </c>
      <c r="E240" t="str">
        <f ca="1">'HEIS to SAM concordance'!S34</f>
        <v>Miscellaneous Goods &amp; Services</v>
      </c>
      <c r="F240" s="11">
        <f t="shared" ca="1" si="27"/>
        <v>0.14222806707957072</v>
      </c>
      <c r="G240" s="11">
        <f t="shared" ca="1" si="28"/>
        <v>0.74748284990566205</v>
      </c>
      <c r="H240" s="11">
        <f t="shared" ca="1" si="29"/>
        <v>7.5918786846812567E-2</v>
      </c>
      <c r="I240" s="11">
        <f t="shared" ca="1" si="30"/>
        <v>3.4370296167954763E-2</v>
      </c>
      <c r="J240" s="212">
        <v>0</v>
      </c>
    </row>
    <row r="241" spans="3:12">
      <c r="C241" s="28" t="s">
        <v>102</v>
      </c>
      <c r="D241">
        <f>'HEIS to SAM concordance'!R35</f>
        <v>11</v>
      </c>
      <c r="E241" t="str">
        <f ca="1">'HEIS to SAM concordance'!S35</f>
        <v>Miscellaneous Goods &amp; Services</v>
      </c>
      <c r="F241" s="11">
        <f t="shared" ca="1" si="27"/>
        <v>0.14222806707957072</v>
      </c>
      <c r="G241" s="11">
        <f t="shared" ca="1" si="28"/>
        <v>0.74748284990566205</v>
      </c>
      <c r="H241" s="11">
        <f t="shared" ca="1" si="29"/>
        <v>7.5918786846812567E-2</v>
      </c>
      <c r="I241" s="11">
        <f t="shared" ca="1" si="30"/>
        <v>3.4370296167954763E-2</v>
      </c>
      <c r="J241" s="212">
        <v>0</v>
      </c>
    </row>
    <row r="242" spans="3:12">
      <c r="C242" s="28" t="s">
        <v>103</v>
      </c>
      <c r="D242">
        <f>'HEIS to SAM concordance'!R36</f>
        <v>9</v>
      </c>
      <c r="E242" t="str">
        <f ca="1">'HEIS to SAM concordance'!S36</f>
        <v>Education</v>
      </c>
      <c r="F242" s="11">
        <f t="shared" ca="1" si="27"/>
        <v>8.2789400838802124E-2</v>
      </c>
      <c r="G242" s="11">
        <f t="shared" ca="1" si="28"/>
        <v>0.91626674680429343</v>
      </c>
      <c r="H242" s="11">
        <f t="shared" ca="1" si="29"/>
        <v>9.4385235690445587E-4</v>
      </c>
      <c r="I242" s="11">
        <f t="shared" ca="1" si="30"/>
        <v>0</v>
      </c>
      <c r="J242" s="212">
        <v>0</v>
      </c>
    </row>
    <row r="243" spans="3:12">
      <c r="C243" s="28" t="s">
        <v>104</v>
      </c>
      <c r="D243">
        <f>'HEIS to SAM concordance'!R37</f>
        <v>5</v>
      </c>
      <c r="E243" t="str">
        <f ca="1">'HEIS to SAM concordance'!S37</f>
        <v>Health</v>
      </c>
      <c r="F243" s="11">
        <f t="shared" ca="1" si="27"/>
        <v>0.13780213791663229</v>
      </c>
      <c r="G243" s="11">
        <f t="shared" ca="1" si="28"/>
        <v>0.81587317566560591</v>
      </c>
      <c r="H243" s="11">
        <f t="shared" ca="1" si="29"/>
        <v>3.4911418233242328E-2</v>
      </c>
      <c r="I243" s="11">
        <f t="shared" ca="1" si="30"/>
        <v>1.141326818451931E-2</v>
      </c>
      <c r="J243" s="212">
        <v>0</v>
      </c>
    </row>
    <row r="244" spans="3:12">
      <c r="C244" s="28" t="s">
        <v>105</v>
      </c>
      <c r="D244">
        <f>'HEIS to SAM concordance'!R38</f>
        <v>8</v>
      </c>
      <c r="E244" t="str">
        <f ca="1">'HEIS to SAM concordance'!S38</f>
        <v>Recreations and Culture</v>
      </c>
      <c r="F244" s="11">
        <f t="shared" ca="1" si="27"/>
        <v>0.1854809033863474</v>
      </c>
      <c r="G244" s="11">
        <f t="shared" ca="1" si="28"/>
        <v>0.79049243030721461</v>
      </c>
      <c r="H244" s="11">
        <f t="shared" ca="1" si="29"/>
        <v>2.1294838830552384E-2</v>
      </c>
      <c r="I244" s="11">
        <f t="shared" ca="1" si="30"/>
        <v>2.7318274758856196E-3</v>
      </c>
      <c r="J244" s="212">
        <v>0</v>
      </c>
    </row>
    <row r="245" spans="3:12" ht="15" thickBot="1">
      <c r="C245" s="42" t="s">
        <v>106</v>
      </c>
      <c r="D245">
        <f>'HEIS to SAM concordance'!R39</f>
        <v>4</v>
      </c>
      <c r="E245" t="str">
        <f ca="1">'HEIS to SAM concordance'!S39</f>
        <v>Furnishings, household equipment and routine household maintenance</v>
      </c>
      <c r="F245" s="11">
        <f t="shared" ca="1" si="27"/>
        <v>0.3645643527416666</v>
      </c>
      <c r="G245" s="11">
        <f t="shared" ca="1" si="28"/>
        <v>0.59174403615698812</v>
      </c>
      <c r="H245" s="11">
        <f t="shared" ca="1" si="29"/>
        <v>2.7929814832244191E-2</v>
      </c>
      <c r="I245" s="11">
        <f t="shared" ca="1" si="30"/>
        <v>1.5761796269101149E-2</v>
      </c>
      <c r="J245" s="212">
        <v>0</v>
      </c>
    </row>
    <row r="247" spans="3:12">
      <c r="C247" s="44" t="s">
        <v>427</v>
      </c>
      <c r="F247" s="90">
        <v>0.9</v>
      </c>
      <c r="G247" s="90">
        <v>0.1</v>
      </c>
      <c r="H247" s="90">
        <v>0</v>
      </c>
      <c r="I247" s="90">
        <v>0</v>
      </c>
      <c r="J247" s="90">
        <v>0</v>
      </c>
    </row>
    <row r="249" spans="3:12">
      <c r="C249" s="44" t="s">
        <v>435</v>
      </c>
      <c r="F249" s="161">
        <f>D189/10^6</f>
        <v>331.22709382813508</v>
      </c>
      <c r="G249" s="161">
        <f t="shared" ref="G249:I249" si="31">E189/10^6</f>
        <v>11454.515850757361</v>
      </c>
      <c r="H249" s="161">
        <f t="shared" si="31"/>
        <v>5918.2332087928371</v>
      </c>
      <c r="I249" s="161">
        <f t="shared" si="31"/>
        <v>4961.197916666667</v>
      </c>
      <c r="J249" s="213">
        <f ca="1">CF352</f>
        <v>64675.726235661758</v>
      </c>
      <c r="K249" t="s">
        <v>436</v>
      </c>
      <c r="L249" t="s">
        <v>430</v>
      </c>
    </row>
    <row r="250" spans="3:12">
      <c r="L250" s="2">
        <f ca="1">J249/E145*10^6</f>
        <v>59324.334369377146</v>
      </c>
    </row>
    <row r="251" spans="3:12">
      <c r="C251" t="s">
        <v>444</v>
      </c>
      <c r="F251" cm="1">
        <f t="array" ref="F251:J251">'2022 SAM'!BV78*Calculations!F247:J247</f>
        <v>69448.446418403924</v>
      </c>
      <c r="G251">
        <v>7716.4940464893243</v>
      </c>
      <c r="H251">
        <v>0</v>
      </c>
      <c r="I251">
        <v>0</v>
      </c>
      <c r="J251">
        <v>0</v>
      </c>
    </row>
    <row r="253" spans="3:12">
      <c r="J253" s="2"/>
    </row>
    <row r="254" spans="3:12">
      <c r="C254" t="s">
        <v>438</v>
      </c>
      <c r="F254" s="161">
        <f ca="1">'2022 SAM'!BV77-SUM(Calculations!F249:J249)</f>
        <v>173021.09969429282</v>
      </c>
      <c r="J254" s="2"/>
    </row>
    <row r="255" spans="3:12">
      <c r="J255" s="2"/>
    </row>
    <row r="256" spans="3:12">
      <c r="C256" t="s">
        <v>440</v>
      </c>
    </row>
    <row r="258" spans="1:10">
      <c r="D258" t="s">
        <v>441</v>
      </c>
      <c r="F258" s="2" cm="1">
        <f t="array" aca="1" ref="F258:J258" ca="1">TRANSPOSE(CF348:CF352)</f>
        <v>202782.34103838314</v>
      </c>
      <c r="G258" s="2">
        <f ca="1"/>
        <v>111423.00218721505</v>
      </c>
      <c r="H258" s="2">
        <f ca="1"/>
        <v>50235.389629236684</v>
      </c>
      <c r="I258" s="2">
        <f ca="1"/>
        <v>18952.738524115652</v>
      </c>
      <c r="J258" s="2">
        <f ca="1"/>
        <v>64675.726235661758</v>
      </c>
    </row>
    <row r="259" spans="1:10">
      <c r="D259" t="s">
        <v>442</v>
      </c>
      <c r="F259" s="2">
        <f ca="1">SUM(BX308:BX340)</f>
        <v>19799.353851542521</v>
      </c>
      <c r="G259" s="2">
        <f t="shared" ref="G259:J259" ca="1" si="32">SUM(BY308:BY340)</f>
        <v>77257.207059769862</v>
      </c>
      <c r="H259" s="2">
        <f t="shared" ca="1" si="32"/>
        <v>7724.5322220300568</v>
      </c>
      <c r="I259" s="2">
        <f t="shared" ca="1" si="32"/>
        <v>5761.1640163770462</v>
      </c>
      <c r="J259" s="2">
        <f t="shared" ca="1" si="32"/>
        <v>0</v>
      </c>
    </row>
    <row r="260" spans="1:10">
      <c r="D260" t="s">
        <v>443</v>
      </c>
      <c r="F260" s="2">
        <f>F251</f>
        <v>69448.446418403924</v>
      </c>
      <c r="G260" s="2">
        <f t="shared" ref="G260:J260" si="33">G251</f>
        <v>7716.4940464893243</v>
      </c>
      <c r="H260" s="2">
        <f t="shared" si="33"/>
        <v>0</v>
      </c>
      <c r="I260" s="2">
        <f t="shared" si="33"/>
        <v>0</v>
      </c>
      <c r="J260" s="2">
        <f t="shared" si="33"/>
        <v>0</v>
      </c>
    </row>
    <row r="261" spans="1:10">
      <c r="D261" t="s">
        <v>445</v>
      </c>
      <c r="F261" s="2">
        <f>F249</f>
        <v>331.22709382813508</v>
      </c>
      <c r="G261" s="2">
        <f t="shared" ref="G261:J261" si="34">G249</f>
        <v>11454.515850757361</v>
      </c>
      <c r="H261" s="2">
        <f t="shared" si="34"/>
        <v>5918.2332087928371</v>
      </c>
      <c r="I261" s="2">
        <f t="shared" si="34"/>
        <v>4961.197916666667</v>
      </c>
      <c r="J261" s="2">
        <f t="shared" ca="1" si="34"/>
        <v>64675.726235661758</v>
      </c>
    </row>
    <row r="262" spans="1:10">
      <c r="D262" t="s">
        <v>446</v>
      </c>
      <c r="F262" s="101">
        <f ca="1">F258-SUM(F259:F261)</f>
        <v>113203.31367460857</v>
      </c>
      <c r="G262" s="101">
        <f t="shared" ref="G262:J262" ca="1" si="35">G258-SUM(G259:G261)</f>
        <v>14994.785230198497</v>
      </c>
      <c r="H262" s="101">
        <f t="shared" ca="1" si="35"/>
        <v>36592.624198413789</v>
      </c>
      <c r="I262" s="101">
        <f t="shared" ca="1" si="35"/>
        <v>8230.3765910719376</v>
      </c>
      <c r="J262" s="101">
        <f t="shared" ca="1" si="35"/>
        <v>0</v>
      </c>
    </row>
    <row r="264" spans="1:10">
      <c r="C264" t="s">
        <v>439</v>
      </c>
      <c r="F264" s="161">
        <f ca="1">F262+F261</f>
        <v>113534.54076843669</v>
      </c>
      <c r="G264" s="161">
        <f t="shared" ref="G264:J264" ca="1" si="36">G262+G261</f>
        <v>26449.301080955858</v>
      </c>
      <c r="H264" s="161">
        <f t="shared" ca="1" si="36"/>
        <v>42510.857407206626</v>
      </c>
      <c r="I264" s="161">
        <f t="shared" ca="1" si="36"/>
        <v>13191.574507738605</v>
      </c>
      <c r="J264" s="161">
        <f t="shared" ca="1" si="36"/>
        <v>64675.726235661758</v>
      </c>
    </row>
    <row r="267" spans="1:10" s="97" customFormat="1" ht="17.5" thickBot="1">
      <c r="A267"/>
      <c r="B267"/>
      <c r="C267" s="97" t="s">
        <v>294</v>
      </c>
    </row>
    <row r="268" spans="1:10" ht="15" thickTop="1"/>
    <row r="269" spans="1:10">
      <c r="C269" s="103" t="s">
        <v>295</v>
      </c>
    </row>
    <row r="270" spans="1:10">
      <c r="C270" s="104" t="s">
        <v>296</v>
      </c>
    </row>
    <row r="272" spans="1:10" ht="15" thickBot="1"/>
    <row r="273" spans="1:84" ht="15" customHeight="1" thickBot="1">
      <c r="A273" s="13"/>
      <c r="B273" s="14"/>
      <c r="C273" s="276" t="s">
        <v>67</v>
      </c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77"/>
      <c r="P273" s="277"/>
      <c r="Q273" s="277"/>
      <c r="R273" s="277"/>
      <c r="S273" s="277"/>
      <c r="T273" s="277"/>
      <c r="U273" s="277"/>
      <c r="V273" s="277"/>
      <c r="W273" s="277"/>
      <c r="X273" s="277"/>
      <c r="Y273" s="277"/>
      <c r="Z273" s="277"/>
      <c r="AA273" s="277"/>
      <c r="AB273" s="277"/>
      <c r="AC273" s="277"/>
      <c r="AD273" s="277"/>
      <c r="AE273" s="277"/>
      <c r="AF273" s="277"/>
      <c r="AG273" s="277"/>
      <c r="AH273" s="277"/>
      <c r="AI273" s="278"/>
      <c r="AJ273" s="276" t="s">
        <v>68</v>
      </c>
      <c r="AK273" s="277"/>
      <c r="AL273" s="277"/>
      <c r="AM273" s="277"/>
      <c r="AN273" s="277"/>
      <c r="AO273" s="277"/>
      <c r="AP273" s="277"/>
      <c r="AQ273" s="277"/>
      <c r="AR273" s="277"/>
      <c r="AS273" s="277"/>
      <c r="AT273" s="277"/>
      <c r="AU273" s="277"/>
      <c r="AV273" s="277"/>
      <c r="AW273" s="277"/>
      <c r="AX273" s="277"/>
      <c r="AY273" s="277"/>
      <c r="AZ273" s="277"/>
      <c r="BA273" s="277"/>
      <c r="BB273" s="277"/>
      <c r="BC273" s="277"/>
      <c r="BD273" s="277"/>
      <c r="BE273" s="277"/>
      <c r="BF273" s="277"/>
      <c r="BG273" s="277"/>
      <c r="BH273" s="277"/>
      <c r="BI273" s="277"/>
      <c r="BJ273" s="277"/>
      <c r="BK273" s="277"/>
      <c r="BL273" s="277"/>
      <c r="BM273" s="277"/>
      <c r="BN273" s="277"/>
      <c r="BO273" s="277"/>
      <c r="BP273" s="278"/>
      <c r="BQ273" s="154" t="s">
        <v>69</v>
      </c>
      <c r="BR273" s="156"/>
      <c r="BS273" s="156"/>
      <c r="BT273" s="155"/>
      <c r="BU273" s="276" t="s">
        <v>70</v>
      </c>
      <c r="BV273" s="277"/>
      <c r="BW273" s="278"/>
      <c r="BX273" s="283" t="s">
        <v>71</v>
      </c>
      <c r="BY273" s="284"/>
      <c r="BZ273" s="284"/>
      <c r="CA273" s="284"/>
      <c r="CB273" s="284"/>
      <c r="CC273" s="284"/>
      <c r="CD273" s="285"/>
      <c r="CE273" s="15" t="s">
        <v>72</v>
      </c>
      <c r="CF273" s="16"/>
    </row>
    <row r="274" spans="1:84" ht="130.5" thickBot="1">
      <c r="A274" s="17"/>
      <c r="B274" s="18" t="s">
        <v>73</v>
      </c>
      <c r="C274" s="19" t="s">
        <v>74</v>
      </c>
      <c r="D274" s="20" t="s">
        <v>75</v>
      </c>
      <c r="E274" s="20" t="s">
        <v>76</v>
      </c>
      <c r="F274" s="20" t="s">
        <v>77</v>
      </c>
      <c r="G274" s="20" t="s">
        <v>78</v>
      </c>
      <c r="H274" s="20" t="s">
        <v>79</v>
      </c>
      <c r="I274" s="20" t="s">
        <v>80</v>
      </c>
      <c r="J274" s="20" t="s">
        <v>81</v>
      </c>
      <c r="K274" s="20" t="s">
        <v>82</v>
      </c>
      <c r="L274" s="20" t="s">
        <v>83</v>
      </c>
      <c r="M274" s="20" t="s">
        <v>84</v>
      </c>
      <c r="N274" s="20" t="s">
        <v>85</v>
      </c>
      <c r="O274" s="20" t="s">
        <v>86</v>
      </c>
      <c r="P274" s="20" t="s">
        <v>87</v>
      </c>
      <c r="Q274" s="20" t="s">
        <v>88</v>
      </c>
      <c r="R274" s="20" t="s">
        <v>89</v>
      </c>
      <c r="S274" s="20" t="s">
        <v>90</v>
      </c>
      <c r="T274" s="20" t="s">
        <v>91</v>
      </c>
      <c r="U274" s="21" t="s">
        <v>92</v>
      </c>
      <c r="V274" s="20" t="s">
        <v>93</v>
      </c>
      <c r="W274" s="20" t="s">
        <v>94</v>
      </c>
      <c r="X274" s="20" t="s">
        <v>95</v>
      </c>
      <c r="Y274" s="20" t="s">
        <v>96</v>
      </c>
      <c r="Z274" s="20" t="s">
        <v>97</v>
      </c>
      <c r="AA274" s="20" t="s">
        <v>98</v>
      </c>
      <c r="AB274" s="20" t="s">
        <v>99</v>
      </c>
      <c r="AC274" s="20" t="s">
        <v>100</v>
      </c>
      <c r="AD274" s="20" t="s">
        <v>101</v>
      </c>
      <c r="AE274" s="20" t="s">
        <v>102</v>
      </c>
      <c r="AF274" s="20" t="s">
        <v>103</v>
      </c>
      <c r="AG274" s="20" t="s">
        <v>104</v>
      </c>
      <c r="AH274" s="20" t="s">
        <v>105</v>
      </c>
      <c r="AI274" s="22" t="s">
        <v>106</v>
      </c>
      <c r="AJ274" s="19" t="s">
        <v>74</v>
      </c>
      <c r="AK274" s="20" t="s">
        <v>75</v>
      </c>
      <c r="AL274" s="20" t="s">
        <v>76</v>
      </c>
      <c r="AM274" s="20" t="s">
        <v>77</v>
      </c>
      <c r="AN274" s="20" t="s">
        <v>78</v>
      </c>
      <c r="AO274" s="20" t="s">
        <v>79</v>
      </c>
      <c r="AP274" s="20" t="s">
        <v>80</v>
      </c>
      <c r="AQ274" s="20" t="s">
        <v>81</v>
      </c>
      <c r="AR274" s="20" t="s">
        <v>82</v>
      </c>
      <c r="AS274" s="20" t="s">
        <v>83</v>
      </c>
      <c r="AT274" s="20" t="s">
        <v>84</v>
      </c>
      <c r="AU274" s="20" t="s">
        <v>85</v>
      </c>
      <c r="AV274" s="20" t="s">
        <v>86</v>
      </c>
      <c r="AW274" s="20" t="s">
        <v>87</v>
      </c>
      <c r="AX274" s="20" t="s">
        <v>88</v>
      </c>
      <c r="AY274" s="20" t="s">
        <v>89</v>
      </c>
      <c r="AZ274" s="20" t="s">
        <v>90</v>
      </c>
      <c r="BA274" s="20" t="s">
        <v>91</v>
      </c>
      <c r="BB274" s="21" t="s">
        <v>92</v>
      </c>
      <c r="BC274" s="20" t="s">
        <v>93</v>
      </c>
      <c r="BD274" s="20" t="s">
        <v>94</v>
      </c>
      <c r="BE274" s="20" t="s">
        <v>95</v>
      </c>
      <c r="BF274" s="20" t="s">
        <v>96</v>
      </c>
      <c r="BG274" s="20" t="s">
        <v>97</v>
      </c>
      <c r="BH274" s="20" t="s">
        <v>98</v>
      </c>
      <c r="BI274" s="20" t="s">
        <v>99</v>
      </c>
      <c r="BJ274" s="20" t="s">
        <v>100</v>
      </c>
      <c r="BK274" s="20" t="s">
        <v>101</v>
      </c>
      <c r="BL274" s="20" t="s">
        <v>102</v>
      </c>
      <c r="BM274" s="20" t="s">
        <v>103</v>
      </c>
      <c r="BN274" s="20" t="s">
        <v>104</v>
      </c>
      <c r="BO274" s="20" t="s">
        <v>105</v>
      </c>
      <c r="BP274" s="22" t="s">
        <v>106</v>
      </c>
      <c r="BQ274" s="19" t="s">
        <v>297</v>
      </c>
      <c r="BR274" s="20" t="s">
        <v>298</v>
      </c>
      <c r="BS274" s="20" t="s">
        <v>299</v>
      </c>
      <c r="BT274" s="22" t="s">
        <v>72</v>
      </c>
      <c r="BU274" s="23" t="s">
        <v>108</v>
      </c>
      <c r="BV274" s="24" t="s">
        <v>109</v>
      </c>
      <c r="BW274" s="25" t="s">
        <v>110</v>
      </c>
      <c r="BX274" s="137" t="s">
        <v>300</v>
      </c>
      <c r="BY274" s="138" t="s">
        <v>301</v>
      </c>
      <c r="BZ274" s="138" t="s">
        <v>183</v>
      </c>
      <c r="CA274" s="138" t="s">
        <v>181</v>
      </c>
      <c r="CB274" s="138" t="s">
        <v>426</v>
      </c>
      <c r="CC274" s="24" t="s">
        <v>111</v>
      </c>
      <c r="CD274" s="25" t="s">
        <v>112</v>
      </c>
      <c r="CE274" s="26" t="s">
        <v>113</v>
      </c>
      <c r="CF274" s="27" t="s">
        <v>114</v>
      </c>
    </row>
    <row r="275" spans="1:84">
      <c r="A275" s="280" t="s">
        <v>67</v>
      </c>
      <c r="B275" s="28" t="s">
        <v>74</v>
      </c>
      <c r="C275" s="105">
        <f>'2022 SAM'!C4</f>
        <v>0</v>
      </c>
      <c r="D275" s="106">
        <v>0</v>
      </c>
      <c r="E275" s="106">
        <v>0</v>
      </c>
      <c r="F275" s="106">
        <v>0</v>
      </c>
      <c r="G275" s="106">
        <v>0</v>
      </c>
      <c r="H275" s="106">
        <v>0</v>
      </c>
      <c r="I275" s="106">
        <v>0</v>
      </c>
      <c r="J275" s="106">
        <v>0</v>
      </c>
      <c r="K275" s="106">
        <v>0</v>
      </c>
      <c r="L275" s="106">
        <v>0</v>
      </c>
      <c r="M275" s="106">
        <v>0</v>
      </c>
      <c r="N275" s="106">
        <v>0</v>
      </c>
      <c r="O275" s="106">
        <v>0</v>
      </c>
      <c r="P275" s="106">
        <v>0</v>
      </c>
      <c r="Q275" s="106">
        <v>0</v>
      </c>
      <c r="R275" s="106">
        <v>0</v>
      </c>
      <c r="S275" s="106">
        <v>0</v>
      </c>
      <c r="T275" s="106">
        <v>0</v>
      </c>
      <c r="U275" s="106">
        <v>0</v>
      </c>
      <c r="V275" s="106">
        <v>0</v>
      </c>
      <c r="W275" s="106">
        <v>0</v>
      </c>
      <c r="X275" s="106">
        <v>0</v>
      </c>
      <c r="Y275" s="106">
        <v>0</v>
      </c>
      <c r="Z275" s="106">
        <v>0</v>
      </c>
      <c r="AA275" s="106">
        <v>0</v>
      </c>
      <c r="AB275" s="106">
        <v>0</v>
      </c>
      <c r="AC275" s="106">
        <v>0</v>
      </c>
      <c r="AD275" s="106">
        <v>0</v>
      </c>
      <c r="AE275" s="106">
        <v>0</v>
      </c>
      <c r="AF275" s="106">
        <v>0</v>
      </c>
      <c r="AG275" s="106">
        <v>0</v>
      </c>
      <c r="AH275" s="106">
        <v>0</v>
      </c>
      <c r="AI275" s="107">
        <v>0</v>
      </c>
      <c r="AJ275" s="131">
        <v>1512.2992146246634</v>
      </c>
      <c r="AK275" s="106">
        <v>0</v>
      </c>
      <c r="AL275" s="106">
        <v>0</v>
      </c>
      <c r="AM275" s="106">
        <v>0</v>
      </c>
      <c r="AN275" s="106">
        <v>0</v>
      </c>
      <c r="AO275" s="106">
        <v>0</v>
      </c>
      <c r="AP275" s="106">
        <v>0</v>
      </c>
      <c r="AQ275" s="106">
        <v>0</v>
      </c>
      <c r="AR275" s="106">
        <v>0</v>
      </c>
      <c r="AS275" s="106">
        <v>0</v>
      </c>
      <c r="AT275" s="106">
        <v>0</v>
      </c>
      <c r="AU275" s="106">
        <v>0</v>
      </c>
      <c r="AV275" s="106">
        <v>0</v>
      </c>
      <c r="AW275" s="106">
        <v>0</v>
      </c>
      <c r="AX275" s="106">
        <v>0</v>
      </c>
      <c r="AY275" s="106">
        <v>0</v>
      </c>
      <c r="AZ275" s="106">
        <v>0</v>
      </c>
      <c r="BA275" s="106">
        <v>0</v>
      </c>
      <c r="BB275" s="106">
        <v>0</v>
      </c>
      <c r="BC275" s="106">
        <v>0</v>
      </c>
      <c r="BD275" s="106">
        <v>0</v>
      </c>
      <c r="BE275" s="106">
        <v>0</v>
      </c>
      <c r="BF275" s="106">
        <v>0</v>
      </c>
      <c r="BG275" s="106">
        <v>0</v>
      </c>
      <c r="BH275" s="106">
        <v>0</v>
      </c>
      <c r="BI275" s="106">
        <v>0</v>
      </c>
      <c r="BJ275" s="106">
        <v>0</v>
      </c>
      <c r="BK275" s="106">
        <v>0</v>
      </c>
      <c r="BL275" s="106">
        <v>0</v>
      </c>
      <c r="BM275" s="106">
        <v>0</v>
      </c>
      <c r="BN275" s="106">
        <v>0</v>
      </c>
      <c r="BO275" s="106">
        <v>0</v>
      </c>
      <c r="BP275" s="107">
        <v>0</v>
      </c>
      <c r="BQ275" s="108">
        <v>0</v>
      </c>
      <c r="BR275" s="106"/>
      <c r="BS275" s="106"/>
      <c r="BT275" s="107">
        <v>0</v>
      </c>
      <c r="BU275" s="108">
        <v>0</v>
      </c>
      <c r="BV275" s="106"/>
      <c r="BW275" s="107">
        <v>0</v>
      </c>
      <c r="BX275" s="108">
        <v>0</v>
      </c>
      <c r="BY275" s="106">
        <v>0</v>
      </c>
      <c r="BZ275" s="106">
        <v>0</v>
      </c>
      <c r="CA275" s="106">
        <v>0</v>
      </c>
      <c r="CB275" s="106">
        <v>0</v>
      </c>
      <c r="CC275" s="106">
        <v>0</v>
      </c>
      <c r="CD275" s="107">
        <v>0</v>
      </c>
      <c r="CE275" s="109">
        <v>0</v>
      </c>
      <c r="CF275" s="132">
        <v>1512.2992146246634</v>
      </c>
    </row>
    <row r="276" spans="1:84">
      <c r="A276" s="280"/>
      <c r="B276" s="28" t="s">
        <v>75</v>
      </c>
      <c r="C276" s="110">
        <v>0</v>
      </c>
      <c r="D276" s="111">
        <v>0</v>
      </c>
      <c r="E276" s="111">
        <v>0</v>
      </c>
      <c r="F276" s="111">
        <v>0</v>
      </c>
      <c r="G276" s="111">
        <v>0</v>
      </c>
      <c r="H276" s="111">
        <v>0</v>
      </c>
      <c r="I276" s="111">
        <v>0</v>
      </c>
      <c r="J276" s="111">
        <v>0</v>
      </c>
      <c r="K276" s="111">
        <v>0</v>
      </c>
      <c r="L276" s="111">
        <v>0</v>
      </c>
      <c r="M276" s="111">
        <v>0</v>
      </c>
      <c r="N276" s="111">
        <v>0</v>
      </c>
      <c r="O276" s="111">
        <v>0</v>
      </c>
      <c r="P276" s="111">
        <v>0</v>
      </c>
      <c r="Q276" s="111">
        <v>0</v>
      </c>
      <c r="R276" s="111">
        <v>0</v>
      </c>
      <c r="S276" s="111">
        <v>0</v>
      </c>
      <c r="T276" s="111">
        <v>0</v>
      </c>
      <c r="U276" s="111">
        <v>0</v>
      </c>
      <c r="V276" s="111">
        <v>0</v>
      </c>
      <c r="W276" s="111">
        <v>0</v>
      </c>
      <c r="X276" s="111">
        <v>0</v>
      </c>
      <c r="Y276" s="111">
        <v>0</v>
      </c>
      <c r="Z276" s="111">
        <v>0</v>
      </c>
      <c r="AA276" s="111">
        <v>0</v>
      </c>
      <c r="AB276" s="111">
        <v>0</v>
      </c>
      <c r="AC276" s="111">
        <v>0</v>
      </c>
      <c r="AD276" s="111">
        <v>0</v>
      </c>
      <c r="AE276" s="111">
        <v>0</v>
      </c>
      <c r="AF276" s="111">
        <v>0</v>
      </c>
      <c r="AG276" s="111">
        <v>0</v>
      </c>
      <c r="AH276" s="111">
        <v>0</v>
      </c>
      <c r="AI276" s="112">
        <v>0</v>
      </c>
      <c r="AJ276" s="110">
        <v>0</v>
      </c>
      <c r="AK276" s="115">
        <v>11448.728531581437</v>
      </c>
      <c r="AL276" s="111">
        <v>0</v>
      </c>
      <c r="AM276" s="111">
        <v>0</v>
      </c>
      <c r="AN276" s="111">
        <v>0</v>
      </c>
      <c r="AO276" s="111">
        <v>0</v>
      </c>
      <c r="AP276" s="111">
        <v>0</v>
      </c>
      <c r="AQ276" s="111">
        <v>0</v>
      </c>
      <c r="AR276" s="111">
        <v>0</v>
      </c>
      <c r="AS276" s="111">
        <v>0</v>
      </c>
      <c r="AT276" s="111">
        <v>0</v>
      </c>
      <c r="AU276" s="111">
        <v>0</v>
      </c>
      <c r="AV276" s="111">
        <v>0</v>
      </c>
      <c r="AW276" s="111">
        <v>0</v>
      </c>
      <c r="AX276" s="111">
        <v>0</v>
      </c>
      <c r="AY276" s="111">
        <v>0</v>
      </c>
      <c r="AZ276" s="111">
        <v>0</v>
      </c>
      <c r="BA276" s="111">
        <v>0</v>
      </c>
      <c r="BB276" s="111">
        <v>0</v>
      </c>
      <c r="BC276" s="111">
        <v>0</v>
      </c>
      <c r="BD276" s="111">
        <v>0</v>
      </c>
      <c r="BE276" s="111">
        <v>0</v>
      </c>
      <c r="BF276" s="111">
        <v>0</v>
      </c>
      <c r="BG276" s="111">
        <v>0</v>
      </c>
      <c r="BH276" s="111">
        <v>0</v>
      </c>
      <c r="BI276" s="111">
        <v>0</v>
      </c>
      <c r="BJ276" s="111">
        <v>0</v>
      </c>
      <c r="BK276" s="111">
        <v>0</v>
      </c>
      <c r="BL276" s="111">
        <v>0</v>
      </c>
      <c r="BM276" s="111">
        <v>0</v>
      </c>
      <c r="BN276" s="111">
        <v>0</v>
      </c>
      <c r="BO276" s="111">
        <v>0</v>
      </c>
      <c r="BP276" s="112">
        <v>0</v>
      </c>
      <c r="BQ276" s="110">
        <v>0</v>
      </c>
      <c r="BR276" s="111"/>
      <c r="BS276" s="111"/>
      <c r="BT276" s="112">
        <v>0</v>
      </c>
      <c r="BU276" s="110">
        <v>0</v>
      </c>
      <c r="BV276" s="111"/>
      <c r="BW276" s="112">
        <v>0</v>
      </c>
      <c r="BX276" s="110">
        <v>0</v>
      </c>
      <c r="BY276" s="111">
        <v>0</v>
      </c>
      <c r="BZ276" s="111">
        <v>0</v>
      </c>
      <c r="CA276" s="111">
        <v>0</v>
      </c>
      <c r="CB276" s="111">
        <v>0</v>
      </c>
      <c r="CC276" s="111">
        <v>0</v>
      </c>
      <c r="CD276" s="112">
        <v>0</v>
      </c>
      <c r="CE276" s="113">
        <v>0</v>
      </c>
      <c r="CF276" s="117">
        <v>11448.728531581437</v>
      </c>
    </row>
    <row r="277" spans="1:84">
      <c r="A277" s="280"/>
      <c r="B277" s="28" t="s">
        <v>76</v>
      </c>
      <c r="C277" s="110">
        <v>0</v>
      </c>
      <c r="D277" s="111">
        <v>0</v>
      </c>
      <c r="E277" s="111">
        <v>0</v>
      </c>
      <c r="F277" s="111">
        <v>0</v>
      </c>
      <c r="G277" s="111">
        <v>0</v>
      </c>
      <c r="H277" s="111">
        <v>0</v>
      </c>
      <c r="I277" s="111">
        <v>0</v>
      </c>
      <c r="J277" s="111">
        <v>0</v>
      </c>
      <c r="K277" s="111">
        <v>0</v>
      </c>
      <c r="L277" s="111">
        <v>0</v>
      </c>
      <c r="M277" s="111">
        <v>0</v>
      </c>
      <c r="N277" s="111">
        <v>0</v>
      </c>
      <c r="O277" s="111">
        <v>0</v>
      </c>
      <c r="P277" s="111">
        <v>0</v>
      </c>
      <c r="Q277" s="111">
        <v>0</v>
      </c>
      <c r="R277" s="111">
        <v>0</v>
      </c>
      <c r="S277" s="111">
        <v>0</v>
      </c>
      <c r="T277" s="111">
        <v>0</v>
      </c>
      <c r="U277" s="111">
        <v>0</v>
      </c>
      <c r="V277" s="111">
        <v>0</v>
      </c>
      <c r="W277" s="111">
        <v>0</v>
      </c>
      <c r="X277" s="111">
        <v>0</v>
      </c>
      <c r="Y277" s="111">
        <v>0</v>
      </c>
      <c r="Z277" s="111">
        <v>0</v>
      </c>
      <c r="AA277" s="111">
        <v>0</v>
      </c>
      <c r="AB277" s="111">
        <v>0</v>
      </c>
      <c r="AC277" s="111">
        <v>0</v>
      </c>
      <c r="AD277" s="111">
        <v>0</v>
      </c>
      <c r="AE277" s="111">
        <v>0</v>
      </c>
      <c r="AF277" s="111">
        <v>0</v>
      </c>
      <c r="AG277" s="111">
        <v>0</v>
      </c>
      <c r="AH277" s="111">
        <v>0</v>
      </c>
      <c r="AI277" s="112">
        <v>0</v>
      </c>
      <c r="AJ277" s="110">
        <v>0</v>
      </c>
      <c r="AK277" s="111">
        <v>0</v>
      </c>
      <c r="AL277" s="115">
        <v>25557.71899999999</v>
      </c>
      <c r="AM277" s="111">
        <v>0</v>
      </c>
      <c r="AN277" s="111">
        <v>0</v>
      </c>
      <c r="AO277" s="111">
        <v>0</v>
      </c>
      <c r="AP277" s="111">
        <v>0</v>
      </c>
      <c r="AQ277" s="111">
        <v>0</v>
      </c>
      <c r="AR277" s="111">
        <v>0</v>
      </c>
      <c r="AS277" s="111">
        <v>0</v>
      </c>
      <c r="AT277" s="111">
        <v>0</v>
      </c>
      <c r="AU277" s="111">
        <v>0</v>
      </c>
      <c r="AV277" s="111">
        <v>0</v>
      </c>
      <c r="AW277" s="111">
        <v>0</v>
      </c>
      <c r="AX277" s="111">
        <v>0</v>
      </c>
      <c r="AY277" s="111">
        <v>0</v>
      </c>
      <c r="AZ277" s="111">
        <v>0</v>
      </c>
      <c r="BA277" s="111">
        <v>0</v>
      </c>
      <c r="BB277" s="111">
        <v>0</v>
      </c>
      <c r="BC277" s="111">
        <v>0</v>
      </c>
      <c r="BD277" s="111">
        <v>0</v>
      </c>
      <c r="BE277" s="111">
        <v>0</v>
      </c>
      <c r="BF277" s="111">
        <v>0</v>
      </c>
      <c r="BG277" s="111">
        <v>0</v>
      </c>
      <c r="BH277" s="111">
        <v>0</v>
      </c>
      <c r="BI277" s="111">
        <v>0</v>
      </c>
      <c r="BJ277" s="111">
        <v>0</v>
      </c>
      <c r="BK277" s="111">
        <v>0</v>
      </c>
      <c r="BL277" s="111">
        <v>0</v>
      </c>
      <c r="BM277" s="111">
        <v>0</v>
      </c>
      <c r="BN277" s="111">
        <v>0</v>
      </c>
      <c r="BO277" s="111">
        <v>0</v>
      </c>
      <c r="BP277" s="112">
        <v>0</v>
      </c>
      <c r="BQ277" s="110">
        <v>0</v>
      </c>
      <c r="BR277" s="111"/>
      <c r="BS277" s="111"/>
      <c r="BT277" s="112">
        <v>0</v>
      </c>
      <c r="BU277" s="110">
        <v>0</v>
      </c>
      <c r="BV277" s="111"/>
      <c r="BW277" s="112">
        <v>0</v>
      </c>
      <c r="BX277" s="110">
        <v>0</v>
      </c>
      <c r="BY277" s="111">
        <v>0</v>
      </c>
      <c r="BZ277" s="111">
        <v>0</v>
      </c>
      <c r="CA277" s="111">
        <v>0</v>
      </c>
      <c r="CB277" s="111">
        <v>0</v>
      </c>
      <c r="CC277" s="111">
        <v>0</v>
      </c>
      <c r="CD277" s="112">
        <v>0</v>
      </c>
      <c r="CE277" s="113">
        <v>0</v>
      </c>
      <c r="CF277" s="117">
        <v>25557.71899999999</v>
      </c>
    </row>
    <row r="278" spans="1:84">
      <c r="A278" s="280"/>
      <c r="B278" s="28" t="s">
        <v>77</v>
      </c>
      <c r="C278" s="110">
        <v>0</v>
      </c>
      <c r="D278" s="111">
        <v>0</v>
      </c>
      <c r="E278" s="111">
        <v>0</v>
      </c>
      <c r="F278" s="111">
        <v>0</v>
      </c>
      <c r="G278" s="111">
        <v>0</v>
      </c>
      <c r="H278" s="111">
        <v>0</v>
      </c>
      <c r="I278" s="111">
        <v>0</v>
      </c>
      <c r="J278" s="111">
        <v>0</v>
      </c>
      <c r="K278" s="111">
        <v>0</v>
      </c>
      <c r="L278" s="111">
        <v>0</v>
      </c>
      <c r="M278" s="111">
        <v>0</v>
      </c>
      <c r="N278" s="111">
        <v>0</v>
      </c>
      <c r="O278" s="111">
        <v>0</v>
      </c>
      <c r="P278" s="111">
        <v>0</v>
      </c>
      <c r="Q278" s="111">
        <v>0</v>
      </c>
      <c r="R278" s="111">
        <v>0</v>
      </c>
      <c r="S278" s="111">
        <v>0</v>
      </c>
      <c r="T278" s="111">
        <v>0</v>
      </c>
      <c r="U278" s="111">
        <v>0</v>
      </c>
      <c r="V278" s="111">
        <v>0</v>
      </c>
      <c r="W278" s="111">
        <v>0</v>
      </c>
      <c r="X278" s="111">
        <v>0</v>
      </c>
      <c r="Y278" s="111">
        <v>0</v>
      </c>
      <c r="Z278" s="111">
        <v>0</v>
      </c>
      <c r="AA278" s="111">
        <v>0</v>
      </c>
      <c r="AB278" s="111">
        <v>0</v>
      </c>
      <c r="AC278" s="111">
        <v>0</v>
      </c>
      <c r="AD278" s="111">
        <v>0</v>
      </c>
      <c r="AE278" s="111">
        <v>0</v>
      </c>
      <c r="AF278" s="111">
        <v>0</v>
      </c>
      <c r="AG278" s="111">
        <v>0</v>
      </c>
      <c r="AH278" s="111">
        <v>0</v>
      </c>
      <c r="AI278" s="112">
        <v>0</v>
      </c>
      <c r="AJ278" s="110">
        <v>0</v>
      </c>
      <c r="AK278" s="111">
        <v>0</v>
      </c>
      <c r="AL278" s="111">
        <v>0</v>
      </c>
      <c r="AM278" s="115">
        <v>3421.0370000000003</v>
      </c>
      <c r="AN278" s="111">
        <v>0</v>
      </c>
      <c r="AO278" s="111">
        <v>0</v>
      </c>
      <c r="AP278" s="111">
        <v>0</v>
      </c>
      <c r="AQ278" s="111">
        <v>0</v>
      </c>
      <c r="AR278" s="111">
        <v>0</v>
      </c>
      <c r="AS278" s="111">
        <v>0</v>
      </c>
      <c r="AT278" s="111">
        <v>0</v>
      </c>
      <c r="AU278" s="111">
        <v>0</v>
      </c>
      <c r="AV278" s="111">
        <v>0</v>
      </c>
      <c r="AW278" s="111">
        <v>0</v>
      </c>
      <c r="AX278" s="111">
        <v>0</v>
      </c>
      <c r="AY278" s="111">
        <v>0</v>
      </c>
      <c r="AZ278" s="111">
        <v>0</v>
      </c>
      <c r="BA278" s="111">
        <v>0</v>
      </c>
      <c r="BB278" s="111">
        <v>0</v>
      </c>
      <c r="BC278" s="111">
        <v>0</v>
      </c>
      <c r="BD278" s="111">
        <v>0</v>
      </c>
      <c r="BE278" s="111">
        <v>0</v>
      </c>
      <c r="BF278" s="111">
        <v>0</v>
      </c>
      <c r="BG278" s="111">
        <v>0</v>
      </c>
      <c r="BH278" s="111">
        <v>0</v>
      </c>
      <c r="BI278" s="111">
        <v>0</v>
      </c>
      <c r="BJ278" s="111">
        <v>0</v>
      </c>
      <c r="BK278" s="111">
        <v>0</v>
      </c>
      <c r="BL278" s="111">
        <v>0</v>
      </c>
      <c r="BM278" s="111">
        <v>0</v>
      </c>
      <c r="BN278" s="111">
        <v>0</v>
      </c>
      <c r="BO278" s="111">
        <v>0</v>
      </c>
      <c r="BP278" s="112">
        <v>0</v>
      </c>
      <c r="BQ278" s="110">
        <v>0</v>
      </c>
      <c r="BR278" s="111"/>
      <c r="BS278" s="111"/>
      <c r="BT278" s="112">
        <v>0</v>
      </c>
      <c r="BU278" s="110">
        <v>0</v>
      </c>
      <c r="BV278" s="111"/>
      <c r="BW278" s="112">
        <v>0</v>
      </c>
      <c r="BX278" s="110">
        <v>0</v>
      </c>
      <c r="BY278" s="111">
        <v>0</v>
      </c>
      <c r="BZ278" s="111">
        <v>0</v>
      </c>
      <c r="CA278" s="111">
        <v>0</v>
      </c>
      <c r="CB278" s="111">
        <v>0</v>
      </c>
      <c r="CC278" s="111">
        <v>0</v>
      </c>
      <c r="CD278" s="112">
        <v>0</v>
      </c>
      <c r="CE278" s="113">
        <v>0</v>
      </c>
      <c r="CF278" s="117">
        <v>3421.0370000000003</v>
      </c>
    </row>
    <row r="279" spans="1:84">
      <c r="A279" s="280"/>
      <c r="B279" s="28" t="s">
        <v>78</v>
      </c>
      <c r="C279" s="110">
        <v>0</v>
      </c>
      <c r="D279" s="111">
        <v>0</v>
      </c>
      <c r="E279" s="111">
        <v>0</v>
      </c>
      <c r="F279" s="111">
        <v>0</v>
      </c>
      <c r="G279" s="111">
        <v>0</v>
      </c>
      <c r="H279" s="111">
        <v>0</v>
      </c>
      <c r="I279" s="111">
        <v>0</v>
      </c>
      <c r="J279" s="111">
        <v>0</v>
      </c>
      <c r="K279" s="111">
        <v>0</v>
      </c>
      <c r="L279" s="111">
        <v>0</v>
      </c>
      <c r="M279" s="111">
        <v>0</v>
      </c>
      <c r="N279" s="111">
        <v>0</v>
      </c>
      <c r="O279" s="111">
        <v>0</v>
      </c>
      <c r="P279" s="111">
        <v>0</v>
      </c>
      <c r="Q279" s="111">
        <v>0</v>
      </c>
      <c r="R279" s="111">
        <v>0</v>
      </c>
      <c r="S279" s="111">
        <v>0</v>
      </c>
      <c r="T279" s="111">
        <v>0</v>
      </c>
      <c r="U279" s="111">
        <v>0</v>
      </c>
      <c r="V279" s="111">
        <v>0</v>
      </c>
      <c r="W279" s="111">
        <v>0</v>
      </c>
      <c r="X279" s="111">
        <v>0</v>
      </c>
      <c r="Y279" s="111">
        <v>0</v>
      </c>
      <c r="Z279" s="111">
        <v>0</v>
      </c>
      <c r="AA279" s="111">
        <v>0</v>
      </c>
      <c r="AB279" s="111">
        <v>0</v>
      </c>
      <c r="AC279" s="111">
        <v>0</v>
      </c>
      <c r="AD279" s="111">
        <v>0</v>
      </c>
      <c r="AE279" s="111">
        <v>0</v>
      </c>
      <c r="AF279" s="111">
        <v>0</v>
      </c>
      <c r="AG279" s="111">
        <v>0</v>
      </c>
      <c r="AH279" s="111">
        <v>0</v>
      </c>
      <c r="AI279" s="112">
        <v>0</v>
      </c>
      <c r="AJ279" s="110">
        <v>0</v>
      </c>
      <c r="AK279" s="111">
        <v>0</v>
      </c>
      <c r="AL279" s="111">
        <v>0</v>
      </c>
      <c r="AM279" s="111">
        <v>0</v>
      </c>
      <c r="AN279" s="115">
        <v>29.598000000000006</v>
      </c>
      <c r="AO279" s="111">
        <v>0</v>
      </c>
      <c r="AP279" s="111">
        <v>0</v>
      </c>
      <c r="AQ279" s="111">
        <v>0</v>
      </c>
      <c r="AR279" s="111">
        <v>0</v>
      </c>
      <c r="AS279" s="111">
        <v>0</v>
      </c>
      <c r="AT279" s="111">
        <v>0</v>
      </c>
      <c r="AU279" s="111">
        <v>0</v>
      </c>
      <c r="AV279" s="111">
        <v>0</v>
      </c>
      <c r="AW279" s="111">
        <v>0</v>
      </c>
      <c r="AX279" s="111">
        <v>0</v>
      </c>
      <c r="AY279" s="111">
        <v>0</v>
      </c>
      <c r="AZ279" s="111">
        <v>0</v>
      </c>
      <c r="BA279" s="111">
        <v>0</v>
      </c>
      <c r="BB279" s="111">
        <v>0</v>
      </c>
      <c r="BC279" s="111">
        <v>0</v>
      </c>
      <c r="BD279" s="111">
        <v>0</v>
      </c>
      <c r="BE279" s="111">
        <v>0</v>
      </c>
      <c r="BF279" s="111">
        <v>0</v>
      </c>
      <c r="BG279" s="111">
        <v>0</v>
      </c>
      <c r="BH279" s="111">
        <v>0</v>
      </c>
      <c r="BI279" s="111">
        <v>0</v>
      </c>
      <c r="BJ279" s="111">
        <v>0</v>
      </c>
      <c r="BK279" s="111">
        <v>0</v>
      </c>
      <c r="BL279" s="111">
        <v>0</v>
      </c>
      <c r="BM279" s="111">
        <v>0</v>
      </c>
      <c r="BN279" s="111">
        <v>0</v>
      </c>
      <c r="BO279" s="111">
        <v>0</v>
      </c>
      <c r="BP279" s="112">
        <v>0</v>
      </c>
      <c r="BQ279" s="110">
        <v>0</v>
      </c>
      <c r="BR279" s="111"/>
      <c r="BS279" s="111"/>
      <c r="BT279" s="112">
        <v>0</v>
      </c>
      <c r="BU279" s="110">
        <v>0</v>
      </c>
      <c r="BV279" s="111"/>
      <c r="BW279" s="112">
        <v>0</v>
      </c>
      <c r="BX279" s="110">
        <v>0</v>
      </c>
      <c r="BY279" s="111">
        <v>0</v>
      </c>
      <c r="BZ279" s="111">
        <v>0</v>
      </c>
      <c r="CA279" s="111">
        <v>0</v>
      </c>
      <c r="CB279" s="111">
        <v>0</v>
      </c>
      <c r="CC279" s="111">
        <v>0</v>
      </c>
      <c r="CD279" s="112">
        <v>0</v>
      </c>
      <c r="CE279" s="113">
        <v>0</v>
      </c>
      <c r="CF279" s="117">
        <v>29.598000000000006</v>
      </c>
    </row>
    <row r="280" spans="1:84">
      <c r="A280" s="280"/>
      <c r="B280" s="28" t="s">
        <v>79</v>
      </c>
      <c r="C280" s="110">
        <v>0</v>
      </c>
      <c r="D280" s="111">
        <v>0</v>
      </c>
      <c r="E280" s="111">
        <v>0</v>
      </c>
      <c r="F280" s="111">
        <v>0</v>
      </c>
      <c r="G280" s="111">
        <v>0</v>
      </c>
      <c r="H280" s="111">
        <v>0</v>
      </c>
      <c r="I280" s="111">
        <v>0</v>
      </c>
      <c r="J280" s="111">
        <v>0</v>
      </c>
      <c r="K280" s="111">
        <v>0</v>
      </c>
      <c r="L280" s="111">
        <v>0</v>
      </c>
      <c r="M280" s="111">
        <v>0</v>
      </c>
      <c r="N280" s="111">
        <v>0</v>
      </c>
      <c r="O280" s="111">
        <v>0</v>
      </c>
      <c r="P280" s="111">
        <v>0</v>
      </c>
      <c r="Q280" s="111">
        <v>0</v>
      </c>
      <c r="R280" s="111">
        <v>0</v>
      </c>
      <c r="S280" s="111">
        <v>0</v>
      </c>
      <c r="T280" s="111">
        <v>0</v>
      </c>
      <c r="U280" s="111">
        <v>0</v>
      </c>
      <c r="V280" s="111">
        <v>0</v>
      </c>
      <c r="W280" s="111">
        <v>0</v>
      </c>
      <c r="X280" s="111">
        <v>0</v>
      </c>
      <c r="Y280" s="111">
        <v>0</v>
      </c>
      <c r="Z280" s="111">
        <v>0</v>
      </c>
      <c r="AA280" s="111">
        <v>0</v>
      </c>
      <c r="AB280" s="111">
        <v>0</v>
      </c>
      <c r="AC280" s="111">
        <v>0</v>
      </c>
      <c r="AD280" s="111">
        <v>0</v>
      </c>
      <c r="AE280" s="111">
        <v>0</v>
      </c>
      <c r="AF280" s="111">
        <v>0</v>
      </c>
      <c r="AG280" s="111">
        <v>0</v>
      </c>
      <c r="AH280" s="111">
        <v>0</v>
      </c>
      <c r="AI280" s="112">
        <v>0</v>
      </c>
      <c r="AJ280" s="110">
        <v>0</v>
      </c>
      <c r="AK280" s="111">
        <v>0</v>
      </c>
      <c r="AL280" s="111">
        <v>0</v>
      </c>
      <c r="AM280" s="111">
        <v>0</v>
      </c>
      <c r="AN280" s="111">
        <v>0</v>
      </c>
      <c r="AO280" s="115">
        <v>2673.8829999999998</v>
      </c>
      <c r="AP280" s="111">
        <v>0</v>
      </c>
      <c r="AQ280" s="111">
        <v>0</v>
      </c>
      <c r="AR280" s="111">
        <v>0</v>
      </c>
      <c r="AS280" s="111">
        <v>0</v>
      </c>
      <c r="AT280" s="111">
        <v>0</v>
      </c>
      <c r="AU280" s="111">
        <v>0</v>
      </c>
      <c r="AV280" s="111">
        <v>0</v>
      </c>
      <c r="AW280" s="111">
        <v>0</v>
      </c>
      <c r="AX280" s="111">
        <v>0</v>
      </c>
      <c r="AY280" s="111">
        <v>0</v>
      </c>
      <c r="AZ280" s="111">
        <v>0</v>
      </c>
      <c r="BA280" s="111">
        <v>0</v>
      </c>
      <c r="BB280" s="111">
        <v>0</v>
      </c>
      <c r="BC280" s="111">
        <v>0</v>
      </c>
      <c r="BD280" s="111">
        <v>0</v>
      </c>
      <c r="BE280" s="111">
        <v>0</v>
      </c>
      <c r="BF280" s="111">
        <v>0</v>
      </c>
      <c r="BG280" s="111">
        <v>0</v>
      </c>
      <c r="BH280" s="111">
        <v>0</v>
      </c>
      <c r="BI280" s="111">
        <v>0</v>
      </c>
      <c r="BJ280" s="111">
        <v>0</v>
      </c>
      <c r="BK280" s="111">
        <v>0</v>
      </c>
      <c r="BL280" s="111">
        <v>0</v>
      </c>
      <c r="BM280" s="111">
        <v>0</v>
      </c>
      <c r="BN280" s="111">
        <v>0</v>
      </c>
      <c r="BO280" s="111">
        <v>0</v>
      </c>
      <c r="BP280" s="112">
        <v>0</v>
      </c>
      <c r="BQ280" s="110">
        <v>0</v>
      </c>
      <c r="BR280" s="111"/>
      <c r="BS280" s="111"/>
      <c r="BT280" s="112">
        <v>0</v>
      </c>
      <c r="BU280" s="110">
        <v>0</v>
      </c>
      <c r="BV280" s="111"/>
      <c r="BW280" s="112">
        <v>0</v>
      </c>
      <c r="BX280" s="110">
        <v>0</v>
      </c>
      <c r="BY280" s="111">
        <v>0</v>
      </c>
      <c r="BZ280" s="111">
        <v>0</v>
      </c>
      <c r="CA280" s="111">
        <v>0</v>
      </c>
      <c r="CB280" s="111">
        <v>0</v>
      </c>
      <c r="CC280" s="111">
        <v>0</v>
      </c>
      <c r="CD280" s="112">
        <v>0</v>
      </c>
      <c r="CE280" s="113">
        <v>0</v>
      </c>
      <c r="CF280" s="117">
        <v>2673.8829999999998</v>
      </c>
    </row>
    <row r="281" spans="1:84">
      <c r="A281" s="280"/>
      <c r="B281" s="28" t="s">
        <v>80</v>
      </c>
      <c r="C281" s="110">
        <v>0</v>
      </c>
      <c r="D281" s="111">
        <v>0</v>
      </c>
      <c r="E281" s="111">
        <v>0</v>
      </c>
      <c r="F281" s="111">
        <v>0</v>
      </c>
      <c r="G281" s="111">
        <v>0</v>
      </c>
      <c r="H281" s="111">
        <v>0</v>
      </c>
      <c r="I281" s="111">
        <v>0</v>
      </c>
      <c r="J281" s="111">
        <v>0</v>
      </c>
      <c r="K281" s="111">
        <v>0</v>
      </c>
      <c r="L281" s="111">
        <v>0</v>
      </c>
      <c r="M281" s="111">
        <v>0</v>
      </c>
      <c r="N281" s="111">
        <v>0</v>
      </c>
      <c r="O281" s="111">
        <v>0</v>
      </c>
      <c r="P281" s="111">
        <v>0</v>
      </c>
      <c r="Q281" s="111">
        <v>0</v>
      </c>
      <c r="R281" s="111">
        <v>0</v>
      </c>
      <c r="S281" s="111">
        <v>0</v>
      </c>
      <c r="T281" s="111">
        <v>0</v>
      </c>
      <c r="U281" s="111">
        <v>0</v>
      </c>
      <c r="V281" s="111">
        <v>0</v>
      </c>
      <c r="W281" s="111">
        <v>0</v>
      </c>
      <c r="X281" s="111">
        <v>0</v>
      </c>
      <c r="Y281" s="111">
        <v>0</v>
      </c>
      <c r="Z281" s="111">
        <v>0</v>
      </c>
      <c r="AA281" s="111">
        <v>0</v>
      </c>
      <c r="AB281" s="111">
        <v>0</v>
      </c>
      <c r="AC281" s="111">
        <v>0</v>
      </c>
      <c r="AD281" s="111">
        <v>0</v>
      </c>
      <c r="AE281" s="111">
        <v>0</v>
      </c>
      <c r="AF281" s="111">
        <v>0</v>
      </c>
      <c r="AG281" s="111">
        <v>0</v>
      </c>
      <c r="AH281" s="111">
        <v>0</v>
      </c>
      <c r="AI281" s="112">
        <v>0</v>
      </c>
      <c r="AJ281" s="110">
        <v>0</v>
      </c>
      <c r="AK281" s="111">
        <v>0</v>
      </c>
      <c r="AL281" s="111">
        <v>0</v>
      </c>
      <c r="AM281" s="111">
        <v>0</v>
      </c>
      <c r="AN281" s="111">
        <v>0</v>
      </c>
      <c r="AO281" s="111">
        <v>0</v>
      </c>
      <c r="AP281" s="115">
        <v>7097.4430000000011</v>
      </c>
      <c r="AQ281" s="111">
        <v>0</v>
      </c>
      <c r="AR281" s="111">
        <v>0</v>
      </c>
      <c r="AS281" s="111">
        <v>0</v>
      </c>
      <c r="AT281" s="111">
        <v>0</v>
      </c>
      <c r="AU281" s="111">
        <v>0</v>
      </c>
      <c r="AV281" s="111">
        <v>0</v>
      </c>
      <c r="AW281" s="111">
        <v>0</v>
      </c>
      <c r="AX281" s="111">
        <v>0</v>
      </c>
      <c r="AY281" s="111">
        <v>0</v>
      </c>
      <c r="AZ281" s="111">
        <v>0</v>
      </c>
      <c r="BA281" s="111">
        <v>0</v>
      </c>
      <c r="BB281" s="111">
        <v>0</v>
      </c>
      <c r="BC281" s="111">
        <v>0</v>
      </c>
      <c r="BD281" s="111">
        <v>0</v>
      </c>
      <c r="BE281" s="111">
        <v>0</v>
      </c>
      <c r="BF281" s="111">
        <v>0</v>
      </c>
      <c r="BG281" s="111">
        <v>0</v>
      </c>
      <c r="BH281" s="111">
        <v>0</v>
      </c>
      <c r="BI281" s="111">
        <v>0</v>
      </c>
      <c r="BJ281" s="111">
        <v>0</v>
      </c>
      <c r="BK281" s="111">
        <v>0</v>
      </c>
      <c r="BL281" s="111">
        <v>0</v>
      </c>
      <c r="BM281" s="111">
        <v>0</v>
      </c>
      <c r="BN281" s="111">
        <v>0</v>
      </c>
      <c r="BO281" s="111">
        <v>0</v>
      </c>
      <c r="BP281" s="112">
        <v>0</v>
      </c>
      <c r="BQ281" s="110">
        <v>0</v>
      </c>
      <c r="BR281" s="111"/>
      <c r="BS281" s="111"/>
      <c r="BT281" s="112">
        <v>0</v>
      </c>
      <c r="BU281" s="110">
        <v>0</v>
      </c>
      <c r="BV281" s="111"/>
      <c r="BW281" s="112">
        <v>0</v>
      </c>
      <c r="BX281" s="110">
        <v>0</v>
      </c>
      <c r="BY281" s="111">
        <v>0</v>
      </c>
      <c r="BZ281" s="111">
        <v>0</v>
      </c>
      <c r="CA281" s="111">
        <v>0</v>
      </c>
      <c r="CB281" s="111">
        <v>0</v>
      </c>
      <c r="CC281" s="111">
        <v>0</v>
      </c>
      <c r="CD281" s="112">
        <v>0</v>
      </c>
      <c r="CE281" s="113">
        <v>0</v>
      </c>
      <c r="CF281" s="117">
        <v>7097.443000000002</v>
      </c>
    </row>
    <row r="282" spans="1:84">
      <c r="A282" s="280"/>
      <c r="B282" s="28" t="s">
        <v>81</v>
      </c>
      <c r="C282" s="110">
        <v>0</v>
      </c>
      <c r="D282" s="111">
        <v>0</v>
      </c>
      <c r="E282" s="111">
        <v>0</v>
      </c>
      <c r="F282" s="111">
        <v>0</v>
      </c>
      <c r="G282" s="111">
        <v>0</v>
      </c>
      <c r="H282" s="111">
        <v>0</v>
      </c>
      <c r="I282" s="111">
        <v>0</v>
      </c>
      <c r="J282" s="111">
        <v>0</v>
      </c>
      <c r="K282" s="111">
        <v>0</v>
      </c>
      <c r="L282" s="111">
        <v>0</v>
      </c>
      <c r="M282" s="111">
        <v>0</v>
      </c>
      <c r="N282" s="111">
        <v>0</v>
      </c>
      <c r="O282" s="111">
        <v>0</v>
      </c>
      <c r="P282" s="111">
        <v>0</v>
      </c>
      <c r="Q282" s="111">
        <v>0</v>
      </c>
      <c r="R282" s="111">
        <v>0</v>
      </c>
      <c r="S282" s="111">
        <v>0</v>
      </c>
      <c r="T282" s="111">
        <v>0</v>
      </c>
      <c r="U282" s="111">
        <v>0</v>
      </c>
      <c r="V282" s="111">
        <v>0</v>
      </c>
      <c r="W282" s="111">
        <v>0</v>
      </c>
      <c r="X282" s="111">
        <v>0</v>
      </c>
      <c r="Y282" s="111">
        <v>0</v>
      </c>
      <c r="Z282" s="111">
        <v>0</v>
      </c>
      <c r="AA282" s="111">
        <v>0</v>
      </c>
      <c r="AB282" s="111">
        <v>0</v>
      </c>
      <c r="AC282" s="111">
        <v>0</v>
      </c>
      <c r="AD282" s="111">
        <v>0</v>
      </c>
      <c r="AE282" s="111">
        <v>0</v>
      </c>
      <c r="AF282" s="111">
        <v>0</v>
      </c>
      <c r="AG282" s="111">
        <v>0</v>
      </c>
      <c r="AH282" s="111">
        <v>0</v>
      </c>
      <c r="AI282" s="112">
        <v>0</v>
      </c>
      <c r="AJ282" s="110">
        <v>0</v>
      </c>
      <c r="AK282" s="111">
        <v>0</v>
      </c>
      <c r="AL282" s="111">
        <v>0</v>
      </c>
      <c r="AM282" s="111">
        <v>0</v>
      </c>
      <c r="AN282" s="111">
        <v>0</v>
      </c>
      <c r="AO282" s="111">
        <v>0</v>
      </c>
      <c r="AP282" s="111">
        <v>0</v>
      </c>
      <c r="AQ282" s="115">
        <v>28389.412000000011</v>
      </c>
      <c r="AR282" s="111">
        <v>0</v>
      </c>
      <c r="AS282" s="111">
        <v>0</v>
      </c>
      <c r="AT282" s="111">
        <v>0</v>
      </c>
      <c r="AU282" s="111">
        <v>0</v>
      </c>
      <c r="AV282" s="111">
        <v>0</v>
      </c>
      <c r="AW282" s="111">
        <v>0</v>
      </c>
      <c r="AX282" s="111">
        <v>0</v>
      </c>
      <c r="AY282" s="111">
        <v>0</v>
      </c>
      <c r="AZ282" s="111">
        <v>0</v>
      </c>
      <c r="BA282" s="111">
        <v>0</v>
      </c>
      <c r="BB282" s="111">
        <v>0</v>
      </c>
      <c r="BC282" s="111">
        <v>0</v>
      </c>
      <c r="BD282" s="111">
        <v>0</v>
      </c>
      <c r="BE282" s="111">
        <v>0</v>
      </c>
      <c r="BF282" s="111">
        <v>0</v>
      </c>
      <c r="BG282" s="111">
        <v>0</v>
      </c>
      <c r="BH282" s="111">
        <v>0</v>
      </c>
      <c r="BI282" s="111">
        <v>0</v>
      </c>
      <c r="BJ282" s="111">
        <v>0</v>
      </c>
      <c r="BK282" s="111">
        <v>0</v>
      </c>
      <c r="BL282" s="111">
        <v>0</v>
      </c>
      <c r="BM282" s="111">
        <v>0</v>
      </c>
      <c r="BN282" s="111">
        <v>0</v>
      </c>
      <c r="BO282" s="111">
        <v>0</v>
      </c>
      <c r="BP282" s="112">
        <v>0</v>
      </c>
      <c r="BQ282" s="110">
        <v>0</v>
      </c>
      <c r="BR282" s="111"/>
      <c r="BS282" s="111"/>
      <c r="BT282" s="112">
        <v>0</v>
      </c>
      <c r="BU282" s="110">
        <v>0</v>
      </c>
      <c r="BV282" s="111"/>
      <c r="BW282" s="112">
        <v>0</v>
      </c>
      <c r="BX282" s="110">
        <v>0</v>
      </c>
      <c r="BY282" s="111">
        <v>0</v>
      </c>
      <c r="BZ282" s="111">
        <v>0</v>
      </c>
      <c r="CA282" s="111">
        <v>0</v>
      </c>
      <c r="CB282" s="111">
        <v>0</v>
      </c>
      <c r="CC282" s="111">
        <v>0</v>
      </c>
      <c r="CD282" s="112">
        <v>0</v>
      </c>
      <c r="CE282" s="113">
        <v>0</v>
      </c>
      <c r="CF282" s="117">
        <v>28389.412000000011</v>
      </c>
    </row>
    <row r="283" spans="1:84">
      <c r="A283" s="280"/>
      <c r="B283" s="28" t="s">
        <v>82</v>
      </c>
      <c r="C283" s="110">
        <v>0</v>
      </c>
      <c r="D283" s="111">
        <v>0</v>
      </c>
      <c r="E283" s="111">
        <v>0</v>
      </c>
      <c r="F283" s="111">
        <v>0</v>
      </c>
      <c r="G283" s="111">
        <v>0</v>
      </c>
      <c r="H283" s="111">
        <v>0</v>
      </c>
      <c r="I283" s="111">
        <v>0</v>
      </c>
      <c r="J283" s="111">
        <v>0</v>
      </c>
      <c r="K283" s="111">
        <v>0</v>
      </c>
      <c r="L283" s="111">
        <v>0</v>
      </c>
      <c r="M283" s="111">
        <v>0</v>
      </c>
      <c r="N283" s="111">
        <v>0</v>
      </c>
      <c r="O283" s="111">
        <v>0</v>
      </c>
      <c r="P283" s="111">
        <v>0</v>
      </c>
      <c r="Q283" s="111">
        <v>0</v>
      </c>
      <c r="R283" s="111">
        <v>0</v>
      </c>
      <c r="S283" s="111">
        <v>0</v>
      </c>
      <c r="T283" s="111">
        <v>0</v>
      </c>
      <c r="U283" s="111">
        <v>0</v>
      </c>
      <c r="V283" s="111">
        <v>0</v>
      </c>
      <c r="W283" s="111">
        <v>0</v>
      </c>
      <c r="X283" s="111">
        <v>0</v>
      </c>
      <c r="Y283" s="111">
        <v>0</v>
      </c>
      <c r="Z283" s="111">
        <v>0</v>
      </c>
      <c r="AA283" s="111">
        <v>0</v>
      </c>
      <c r="AB283" s="111">
        <v>0</v>
      </c>
      <c r="AC283" s="111">
        <v>0</v>
      </c>
      <c r="AD283" s="111">
        <v>0</v>
      </c>
      <c r="AE283" s="111">
        <v>0</v>
      </c>
      <c r="AF283" s="111">
        <v>0</v>
      </c>
      <c r="AG283" s="111">
        <v>0</v>
      </c>
      <c r="AH283" s="111">
        <v>0</v>
      </c>
      <c r="AI283" s="112">
        <v>0</v>
      </c>
      <c r="AJ283" s="110">
        <v>0</v>
      </c>
      <c r="AK283" s="111">
        <v>0</v>
      </c>
      <c r="AL283" s="111">
        <v>0</v>
      </c>
      <c r="AM283" s="111">
        <v>0</v>
      </c>
      <c r="AN283" s="111">
        <v>0</v>
      </c>
      <c r="AO283" s="111">
        <v>0</v>
      </c>
      <c r="AP283" s="111">
        <v>0</v>
      </c>
      <c r="AQ283" s="111">
        <v>0</v>
      </c>
      <c r="AR283" s="115">
        <v>13147.265999999998</v>
      </c>
      <c r="AS283" s="111">
        <v>0</v>
      </c>
      <c r="AT283" s="111">
        <v>0</v>
      </c>
      <c r="AU283" s="111">
        <v>0</v>
      </c>
      <c r="AV283" s="111">
        <v>0</v>
      </c>
      <c r="AW283" s="111">
        <v>0</v>
      </c>
      <c r="AX283" s="111">
        <v>0</v>
      </c>
      <c r="AY283" s="111">
        <v>0</v>
      </c>
      <c r="AZ283" s="111">
        <v>0</v>
      </c>
      <c r="BA283" s="111">
        <v>0</v>
      </c>
      <c r="BB283" s="111">
        <v>0</v>
      </c>
      <c r="BC283" s="111">
        <v>0</v>
      </c>
      <c r="BD283" s="111">
        <v>0</v>
      </c>
      <c r="BE283" s="111">
        <v>0</v>
      </c>
      <c r="BF283" s="111">
        <v>0</v>
      </c>
      <c r="BG283" s="111">
        <v>0</v>
      </c>
      <c r="BH283" s="111">
        <v>0</v>
      </c>
      <c r="BI283" s="111">
        <v>0</v>
      </c>
      <c r="BJ283" s="111">
        <v>0</v>
      </c>
      <c r="BK283" s="111">
        <v>0</v>
      </c>
      <c r="BL283" s="111">
        <v>0</v>
      </c>
      <c r="BM283" s="111">
        <v>0</v>
      </c>
      <c r="BN283" s="111">
        <v>0</v>
      </c>
      <c r="BO283" s="111">
        <v>0</v>
      </c>
      <c r="BP283" s="112">
        <v>0</v>
      </c>
      <c r="BQ283" s="110">
        <v>0</v>
      </c>
      <c r="BR283" s="111"/>
      <c r="BS283" s="111"/>
      <c r="BT283" s="112">
        <v>0</v>
      </c>
      <c r="BU283" s="110">
        <v>0</v>
      </c>
      <c r="BV283" s="111"/>
      <c r="BW283" s="112">
        <v>0</v>
      </c>
      <c r="BX283" s="110">
        <v>0</v>
      </c>
      <c r="BY283" s="111">
        <v>0</v>
      </c>
      <c r="BZ283" s="111">
        <v>0</v>
      </c>
      <c r="CA283" s="111">
        <v>0</v>
      </c>
      <c r="CB283" s="111">
        <v>0</v>
      </c>
      <c r="CC283" s="111">
        <v>0</v>
      </c>
      <c r="CD283" s="112">
        <v>0</v>
      </c>
      <c r="CE283" s="113">
        <v>0</v>
      </c>
      <c r="CF283" s="117">
        <v>13147.265999999998</v>
      </c>
    </row>
    <row r="284" spans="1:84">
      <c r="A284" s="280"/>
      <c r="B284" s="28" t="s">
        <v>83</v>
      </c>
      <c r="C284" s="110">
        <v>0</v>
      </c>
      <c r="D284" s="111">
        <v>0</v>
      </c>
      <c r="E284" s="111">
        <v>0</v>
      </c>
      <c r="F284" s="111">
        <v>0</v>
      </c>
      <c r="G284" s="111">
        <v>0</v>
      </c>
      <c r="H284" s="111">
        <v>0</v>
      </c>
      <c r="I284" s="111">
        <v>0</v>
      </c>
      <c r="J284" s="111">
        <v>0</v>
      </c>
      <c r="K284" s="111">
        <v>0</v>
      </c>
      <c r="L284" s="111">
        <v>0</v>
      </c>
      <c r="M284" s="111">
        <v>0</v>
      </c>
      <c r="N284" s="111">
        <v>0</v>
      </c>
      <c r="O284" s="111">
        <v>0</v>
      </c>
      <c r="P284" s="111">
        <v>0</v>
      </c>
      <c r="Q284" s="111">
        <v>0</v>
      </c>
      <c r="R284" s="111">
        <v>0</v>
      </c>
      <c r="S284" s="111">
        <v>0</v>
      </c>
      <c r="T284" s="111">
        <v>0</v>
      </c>
      <c r="U284" s="111">
        <v>0</v>
      </c>
      <c r="V284" s="111">
        <v>0</v>
      </c>
      <c r="W284" s="111">
        <v>0</v>
      </c>
      <c r="X284" s="111">
        <v>0</v>
      </c>
      <c r="Y284" s="111">
        <v>0</v>
      </c>
      <c r="Z284" s="111">
        <v>0</v>
      </c>
      <c r="AA284" s="111">
        <v>0</v>
      </c>
      <c r="AB284" s="111">
        <v>0</v>
      </c>
      <c r="AC284" s="111">
        <v>0</v>
      </c>
      <c r="AD284" s="111">
        <v>0</v>
      </c>
      <c r="AE284" s="111">
        <v>0</v>
      </c>
      <c r="AF284" s="111">
        <v>0</v>
      </c>
      <c r="AG284" s="111">
        <v>0</v>
      </c>
      <c r="AH284" s="111">
        <v>0</v>
      </c>
      <c r="AI284" s="112">
        <v>0</v>
      </c>
      <c r="AJ284" s="110">
        <v>0</v>
      </c>
      <c r="AK284" s="111">
        <v>0</v>
      </c>
      <c r="AL284" s="111">
        <v>0</v>
      </c>
      <c r="AM284" s="111">
        <v>0</v>
      </c>
      <c r="AN284" s="111">
        <v>0</v>
      </c>
      <c r="AO284" s="111">
        <v>0</v>
      </c>
      <c r="AP284" s="111">
        <v>0</v>
      </c>
      <c r="AQ284" s="111">
        <v>0</v>
      </c>
      <c r="AR284" s="111">
        <v>0</v>
      </c>
      <c r="AS284" s="115">
        <v>6406.5290000000023</v>
      </c>
      <c r="AT284" s="111">
        <v>0</v>
      </c>
      <c r="AU284" s="111">
        <v>0</v>
      </c>
      <c r="AV284" s="111">
        <v>0</v>
      </c>
      <c r="AW284" s="111">
        <v>0</v>
      </c>
      <c r="AX284" s="111">
        <v>0</v>
      </c>
      <c r="AY284" s="111">
        <v>0</v>
      </c>
      <c r="AZ284" s="111">
        <v>0</v>
      </c>
      <c r="BA284" s="111">
        <v>0</v>
      </c>
      <c r="BB284" s="111">
        <v>0</v>
      </c>
      <c r="BC284" s="111">
        <v>0</v>
      </c>
      <c r="BD284" s="111">
        <v>0</v>
      </c>
      <c r="BE284" s="111">
        <v>0</v>
      </c>
      <c r="BF284" s="111">
        <v>0</v>
      </c>
      <c r="BG284" s="111">
        <v>0</v>
      </c>
      <c r="BH284" s="111">
        <v>0</v>
      </c>
      <c r="BI284" s="111">
        <v>0</v>
      </c>
      <c r="BJ284" s="111">
        <v>0</v>
      </c>
      <c r="BK284" s="111">
        <v>0</v>
      </c>
      <c r="BL284" s="111">
        <v>0</v>
      </c>
      <c r="BM284" s="111">
        <v>0</v>
      </c>
      <c r="BN284" s="111">
        <v>0</v>
      </c>
      <c r="BO284" s="111">
        <v>0</v>
      </c>
      <c r="BP284" s="112">
        <v>0</v>
      </c>
      <c r="BQ284" s="110">
        <v>0</v>
      </c>
      <c r="BR284" s="111"/>
      <c r="BS284" s="111"/>
      <c r="BT284" s="112">
        <v>0</v>
      </c>
      <c r="BU284" s="110">
        <v>0</v>
      </c>
      <c r="BV284" s="111"/>
      <c r="BW284" s="112">
        <v>0</v>
      </c>
      <c r="BX284" s="110">
        <v>0</v>
      </c>
      <c r="BY284" s="111">
        <v>0</v>
      </c>
      <c r="BZ284" s="111">
        <v>0</v>
      </c>
      <c r="CA284" s="111">
        <v>0</v>
      </c>
      <c r="CB284" s="111">
        <v>0</v>
      </c>
      <c r="CC284" s="111">
        <v>0</v>
      </c>
      <c r="CD284" s="112">
        <v>0</v>
      </c>
      <c r="CE284" s="113">
        <v>0</v>
      </c>
      <c r="CF284" s="117">
        <v>6406.5290000000023</v>
      </c>
    </row>
    <row r="285" spans="1:84">
      <c r="A285" s="280"/>
      <c r="B285" s="28" t="s">
        <v>84</v>
      </c>
      <c r="C285" s="110">
        <v>0</v>
      </c>
      <c r="D285" s="111">
        <v>0</v>
      </c>
      <c r="E285" s="111">
        <v>0</v>
      </c>
      <c r="F285" s="111">
        <v>0</v>
      </c>
      <c r="G285" s="111">
        <v>0</v>
      </c>
      <c r="H285" s="111">
        <v>0</v>
      </c>
      <c r="I285" s="111">
        <v>0</v>
      </c>
      <c r="J285" s="111">
        <v>0</v>
      </c>
      <c r="K285" s="111">
        <v>0</v>
      </c>
      <c r="L285" s="111">
        <v>0</v>
      </c>
      <c r="M285" s="111">
        <v>0</v>
      </c>
      <c r="N285" s="111">
        <v>0</v>
      </c>
      <c r="O285" s="111">
        <v>0</v>
      </c>
      <c r="P285" s="111">
        <v>0</v>
      </c>
      <c r="Q285" s="111">
        <v>0</v>
      </c>
      <c r="R285" s="111">
        <v>0</v>
      </c>
      <c r="S285" s="111">
        <v>0</v>
      </c>
      <c r="T285" s="111">
        <v>0</v>
      </c>
      <c r="U285" s="111">
        <v>0</v>
      </c>
      <c r="V285" s="111">
        <v>0</v>
      </c>
      <c r="W285" s="111">
        <v>0</v>
      </c>
      <c r="X285" s="111">
        <v>0</v>
      </c>
      <c r="Y285" s="111">
        <v>0</v>
      </c>
      <c r="Z285" s="111">
        <v>0</v>
      </c>
      <c r="AA285" s="111">
        <v>0</v>
      </c>
      <c r="AB285" s="111">
        <v>0</v>
      </c>
      <c r="AC285" s="111">
        <v>0</v>
      </c>
      <c r="AD285" s="111">
        <v>0</v>
      </c>
      <c r="AE285" s="111">
        <v>0</v>
      </c>
      <c r="AF285" s="111">
        <v>0</v>
      </c>
      <c r="AG285" s="111">
        <v>0</v>
      </c>
      <c r="AH285" s="111">
        <v>0</v>
      </c>
      <c r="AI285" s="112">
        <v>0</v>
      </c>
      <c r="AJ285" s="110">
        <v>0</v>
      </c>
      <c r="AK285" s="111">
        <v>0</v>
      </c>
      <c r="AL285" s="111">
        <v>0</v>
      </c>
      <c r="AM285" s="111">
        <v>0</v>
      </c>
      <c r="AN285" s="111">
        <v>0</v>
      </c>
      <c r="AO285" s="111">
        <v>0</v>
      </c>
      <c r="AP285" s="111">
        <v>0</v>
      </c>
      <c r="AQ285" s="111">
        <v>0</v>
      </c>
      <c r="AR285" s="111">
        <v>0</v>
      </c>
      <c r="AS285" s="111">
        <v>0</v>
      </c>
      <c r="AT285" s="115">
        <v>8147.143</v>
      </c>
      <c r="AU285" s="111">
        <v>0</v>
      </c>
      <c r="AV285" s="111">
        <v>0</v>
      </c>
      <c r="AW285" s="111">
        <v>0</v>
      </c>
      <c r="AX285" s="111">
        <v>0</v>
      </c>
      <c r="AY285" s="111">
        <v>0</v>
      </c>
      <c r="AZ285" s="111">
        <v>0</v>
      </c>
      <c r="BA285" s="111">
        <v>0</v>
      </c>
      <c r="BB285" s="111">
        <v>0</v>
      </c>
      <c r="BC285" s="111">
        <v>0</v>
      </c>
      <c r="BD285" s="111">
        <v>0</v>
      </c>
      <c r="BE285" s="111">
        <v>0</v>
      </c>
      <c r="BF285" s="111">
        <v>0</v>
      </c>
      <c r="BG285" s="111">
        <v>0</v>
      </c>
      <c r="BH285" s="111">
        <v>0</v>
      </c>
      <c r="BI285" s="111">
        <v>0</v>
      </c>
      <c r="BJ285" s="111">
        <v>0</v>
      </c>
      <c r="BK285" s="111">
        <v>0</v>
      </c>
      <c r="BL285" s="111">
        <v>0</v>
      </c>
      <c r="BM285" s="111">
        <v>0</v>
      </c>
      <c r="BN285" s="111">
        <v>0</v>
      </c>
      <c r="BO285" s="111">
        <v>0</v>
      </c>
      <c r="BP285" s="112">
        <v>0</v>
      </c>
      <c r="BQ285" s="110">
        <v>0</v>
      </c>
      <c r="BR285" s="111"/>
      <c r="BS285" s="111"/>
      <c r="BT285" s="112">
        <v>0</v>
      </c>
      <c r="BU285" s="110">
        <v>0</v>
      </c>
      <c r="BV285" s="111"/>
      <c r="BW285" s="112">
        <v>0</v>
      </c>
      <c r="BX285" s="110">
        <v>0</v>
      </c>
      <c r="BY285" s="111">
        <v>0</v>
      </c>
      <c r="BZ285" s="111">
        <v>0</v>
      </c>
      <c r="CA285" s="111">
        <v>0</v>
      </c>
      <c r="CB285" s="111">
        <v>0</v>
      </c>
      <c r="CC285" s="111">
        <v>0</v>
      </c>
      <c r="CD285" s="112">
        <v>0</v>
      </c>
      <c r="CE285" s="113">
        <v>0</v>
      </c>
      <c r="CF285" s="117">
        <v>8147.143</v>
      </c>
    </row>
    <row r="286" spans="1:84">
      <c r="A286" s="280"/>
      <c r="B286" s="28" t="s">
        <v>85</v>
      </c>
      <c r="C286" s="110">
        <v>0</v>
      </c>
      <c r="D286" s="111">
        <v>0</v>
      </c>
      <c r="E286" s="111">
        <v>0</v>
      </c>
      <c r="F286" s="111">
        <v>0</v>
      </c>
      <c r="G286" s="111">
        <v>0</v>
      </c>
      <c r="H286" s="111">
        <v>0</v>
      </c>
      <c r="I286" s="111">
        <v>0</v>
      </c>
      <c r="J286" s="111">
        <v>0</v>
      </c>
      <c r="K286" s="111">
        <v>0</v>
      </c>
      <c r="L286" s="111">
        <v>0</v>
      </c>
      <c r="M286" s="111">
        <v>0</v>
      </c>
      <c r="N286" s="111">
        <v>0</v>
      </c>
      <c r="O286" s="111">
        <v>0</v>
      </c>
      <c r="P286" s="111">
        <v>0</v>
      </c>
      <c r="Q286" s="111">
        <v>0</v>
      </c>
      <c r="R286" s="111">
        <v>0</v>
      </c>
      <c r="S286" s="111">
        <v>0</v>
      </c>
      <c r="T286" s="111">
        <v>0</v>
      </c>
      <c r="U286" s="111">
        <v>0</v>
      </c>
      <c r="V286" s="111">
        <v>0</v>
      </c>
      <c r="W286" s="111">
        <v>0</v>
      </c>
      <c r="X286" s="111">
        <v>0</v>
      </c>
      <c r="Y286" s="111">
        <v>0</v>
      </c>
      <c r="Z286" s="111">
        <v>0</v>
      </c>
      <c r="AA286" s="111">
        <v>0</v>
      </c>
      <c r="AB286" s="111">
        <v>0</v>
      </c>
      <c r="AC286" s="111">
        <v>0</v>
      </c>
      <c r="AD286" s="111">
        <v>0</v>
      </c>
      <c r="AE286" s="111">
        <v>0</v>
      </c>
      <c r="AF286" s="111">
        <v>0</v>
      </c>
      <c r="AG286" s="111">
        <v>0</v>
      </c>
      <c r="AH286" s="111">
        <v>0</v>
      </c>
      <c r="AI286" s="112">
        <v>0</v>
      </c>
      <c r="AJ286" s="110">
        <v>0</v>
      </c>
      <c r="AK286" s="111">
        <v>0</v>
      </c>
      <c r="AL286" s="111">
        <v>0</v>
      </c>
      <c r="AM286" s="111">
        <v>0</v>
      </c>
      <c r="AN286" s="111">
        <v>0</v>
      </c>
      <c r="AO286" s="111">
        <v>0</v>
      </c>
      <c r="AP286" s="111">
        <v>0</v>
      </c>
      <c r="AQ286" s="111">
        <v>0</v>
      </c>
      <c r="AR286" s="111">
        <v>0</v>
      </c>
      <c r="AS286" s="111">
        <v>0</v>
      </c>
      <c r="AT286" s="111">
        <v>0</v>
      </c>
      <c r="AU286" s="115">
        <v>38703.505000000012</v>
      </c>
      <c r="AV286" s="111">
        <v>0</v>
      </c>
      <c r="AW286" s="111">
        <v>0</v>
      </c>
      <c r="AX286" s="111">
        <v>0</v>
      </c>
      <c r="AY286" s="111">
        <v>0</v>
      </c>
      <c r="AZ286" s="111">
        <v>0</v>
      </c>
      <c r="BA286" s="111">
        <v>0</v>
      </c>
      <c r="BB286" s="111">
        <v>0</v>
      </c>
      <c r="BC286" s="111">
        <v>0</v>
      </c>
      <c r="BD286" s="111">
        <v>0</v>
      </c>
      <c r="BE286" s="111">
        <v>0</v>
      </c>
      <c r="BF286" s="111">
        <v>0</v>
      </c>
      <c r="BG286" s="111">
        <v>0</v>
      </c>
      <c r="BH286" s="111">
        <v>0</v>
      </c>
      <c r="BI286" s="111">
        <v>0</v>
      </c>
      <c r="BJ286" s="111">
        <v>0</v>
      </c>
      <c r="BK286" s="111">
        <v>0</v>
      </c>
      <c r="BL286" s="111">
        <v>0</v>
      </c>
      <c r="BM286" s="111">
        <v>0</v>
      </c>
      <c r="BN286" s="111">
        <v>0</v>
      </c>
      <c r="BO286" s="111">
        <v>0</v>
      </c>
      <c r="BP286" s="112">
        <v>0</v>
      </c>
      <c r="BQ286" s="110">
        <v>0</v>
      </c>
      <c r="BR286" s="111"/>
      <c r="BS286" s="111"/>
      <c r="BT286" s="112">
        <v>0</v>
      </c>
      <c r="BU286" s="110">
        <v>0</v>
      </c>
      <c r="BV286" s="111"/>
      <c r="BW286" s="112">
        <v>0</v>
      </c>
      <c r="BX286" s="110">
        <v>0</v>
      </c>
      <c r="BY286" s="111">
        <v>0</v>
      </c>
      <c r="BZ286" s="111">
        <v>0</v>
      </c>
      <c r="CA286" s="111">
        <v>0</v>
      </c>
      <c r="CB286" s="111">
        <v>0</v>
      </c>
      <c r="CC286" s="111">
        <v>0</v>
      </c>
      <c r="CD286" s="112">
        <v>0</v>
      </c>
      <c r="CE286" s="113">
        <v>0</v>
      </c>
      <c r="CF286" s="117">
        <v>38703.505000000012</v>
      </c>
    </row>
    <row r="287" spans="1:84">
      <c r="A287" s="280"/>
      <c r="B287" s="28" t="s">
        <v>86</v>
      </c>
      <c r="C287" s="110">
        <v>0</v>
      </c>
      <c r="D287" s="111">
        <v>0</v>
      </c>
      <c r="E287" s="111">
        <v>0</v>
      </c>
      <c r="F287" s="111">
        <v>0</v>
      </c>
      <c r="G287" s="111">
        <v>0</v>
      </c>
      <c r="H287" s="111">
        <v>0</v>
      </c>
      <c r="I287" s="111">
        <v>0</v>
      </c>
      <c r="J287" s="111">
        <v>0</v>
      </c>
      <c r="K287" s="111">
        <v>0</v>
      </c>
      <c r="L287" s="111">
        <v>0</v>
      </c>
      <c r="M287" s="111">
        <v>0</v>
      </c>
      <c r="N287" s="111">
        <v>0</v>
      </c>
      <c r="O287" s="111">
        <v>0</v>
      </c>
      <c r="P287" s="111">
        <v>0</v>
      </c>
      <c r="Q287" s="111">
        <v>0</v>
      </c>
      <c r="R287" s="111">
        <v>0</v>
      </c>
      <c r="S287" s="111">
        <v>0</v>
      </c>
      <c r="T287" s="111">
        <v>0</v>
      </c>
      <c r="U287" s="111">
        <v>0</v>
      </c>
      <c r="V287" s="111">
        <v>0</v>
      </c>
      <c r="W287" s="111">
        <v>0</v>
      </c>
      <c r="X287" s="111">
        <v>0</v>
      </c>
      <c r="Y287" s="111">
        <v>0</v>
      </c>
      <c r="Z287" s="111">
        <v>0</v>
      </c>
      <c r="AA287" s="111">
        <v>0</v>
      </c>
      <c r="AB287" s="111">
        <v>0</v>
      </c>
      <c r="AC287" s="111">
        <v>0</v>
      </c>
      <c r="AD287" s="111">
        <v>0</v>
      </c>
      <c r="AE287" s="111">
        <v>0</v>
      </c>
      <c r="AF287" s="111">
        <v>0</v>
      </c>
      <c r="AG287" s="111">
        <v>0</v>
      </c>
      <c r="AH287" s="111">
        <v>0</v>
      </c>
      <c r="AI287" s="112">
        <v>0</v>
      </c>
      <c r="AJ287" s="110">
        <v>0</v>
      </c>
      <c r="AK287" s="111">
        <v>0</v>
      </c>
      <c r="AL287" s="111">
        <v>0</v>
      </c>
      <c r="AM287" s="111">
        <v>0</v>
      </c>
      <c r="AN287" s="111">
        <v>0</v>
      </c>
      <c r="AO287" s="111">
        <v>0</v>
      </c>
      <c r="AP287" s="111">
        <v>0</v>
      </c>
      <c r="AQ287" s="111">
        <v>0</v>
      </c>
      <c r="AR287" s="111">
        <v>0</v>
      </c>
      <c r="AS287" s="111">
        <v>0</v>
      </c>
      <c r="AT287" s="111">
        <v>0</v>
      </c>
      <c r="AU287" s="111">
        <v>0</v>
      </c>
      <c r="AV287" s="115">
        <v>7111.3470000000007</v>
      </c>
      <c r="AW287" s="111">
        <v>0</v>
      </c>
      <c r="AX287" s="111">
        <v>0</v>
      </c>
      <c r="AY287" s="111">
        <v>0</v>
      </c>
      <c r="AZ287" s="111">
        <v>0</v>
      </c>
      <c r="BA287" s="111">
        <v>0</v>
      </c>
      <c r="BB287" s="111">
        <v>0</v>
      </c>
      <c r="BC287" s="111">
        <v>0</v>
      </c>
      <c r="BD287" s="111">
        <v>0</v>
      </c>
      <c r="BE287" s="111">
        <v>0</v>
      </c>
      <c r="BF287" s="111">
        <v>0</v>
      </c>
      <c r="BG287" s="111">
        <v>0</v>
      </c>
      <c r="BH287" s="111">
        <v>0</v>
      </c>
      <c r="BI287" s="111">
        <v>0</v>
      </c>
      <c r="BJ287" s="111">
        <v>0</v>
      </c>
      <c r="BK287" s="111">
        <v>0</v>
      </c>
      <c r="BL287" s="111">
        <v>0</v>
      </c>
      <c r="BM287" s="111">
        <v>0</v>
      </c>
      <c r="BN287" s="111">
        <v>0</v>
      </c>
      <c r="BO287" s="111">
        <v>0</v>
      </c>
      <c r="BP287" s="112">
        <v>0</v>
      </c>
      <c r="BQ287" s="110">
        <v>0</v>
      </c>
      <c r="BR287" s="111"/>
      <c r="BS287" s="111"/>
      <c r="BT287" s="112">
        <v>0</v>
      </c>
      <c r="BU287" s="110">
        <v>0</v>
      </c>
      <c r="BV287" s="111"/>
      <c r="BW287" s="112">
        <v>0</v>
      </c>
      <c r="BX287" s="110">
        <v>0</v>
      </c>
      <c r="BY287" s="111">
        <v>0</v>
      </c>
      <c r="BZ287" s="111">
        <v>0</v>
      </c>
      <c r="CA287" s="111">
        <v>0</v>
      </c>
      <c r="CB287" s="111">
        <v>0</v>
      </c>
      <c r="CC287" s="111">
        <v>0</v>
      </c>
      <c r="CD287" s="112">
        <v>0</v>
      </c>
      <c r="CE287" s="113">
        <v>0</v>
      </c>
      <c r="CF287" s="117">
        <v>7111.3470000000007</v>
      </c>
    </row>
    <row r="288" spans="1:84">
      <c r="A288" s="280"/>
      <c r="B288" s="28" t="s">
        <v>87</v>
      </c>
      <c r="C288" s="110">
        <v>0</v>
      </c>
      <c r="D288" s="111">
        <v>0</v>
      </c>
      <c r="E288" s="111">
        <v>0</v>
      </c>
      <c r="F288" s="111">
        <v>0</v>
      </c>
      <c r="G288" s="111">
        <v>0</v>
      </c>
      <c r="H288" s="111">
        <v>0</v>
      </c>
      <c r="I288" s="111">
        <v>0</v>
      </c>
      <c r="J288" s="111">
        <v>0</v>
      </c>
      <c r="K288" s="111">
        <v>0</v>
      </c>
      <c r="L288" s="111">
        <v>0</v>
      </c>
      <c r="M288" s="111">
        <v>0</v>
      </c>
      <c r="N288" s="111">
        <v>0</v>
      </c>
      <c r="O288" s="111">
        <v>0</v>
      </c>
      <c r="P288" s="111">
        <v>0</v>
      </c>
      <c r="Q288" s="111">
        <v>0</v>
      </c>
      <c r="R288" s="111">
        <v>0</v>
      </c>
      <c r="S288" s="111">
        <v>0</v>
      </c>
      <c r="T288" s="111">
        <v>0</v>
      </c>
      <c r="U288" s="111">
        <v>0</v>
      </c>
      <c r="V288" s="111">
        <v>0</v>
      </c>
      <c r="W288" s="111">
        <v>0</v>
      </c>
      <c r="X288" s="111">
        <v>0</v>
      </c>
      <c r="Y288" s="111">
        <v>0</v>
      </c>
      <c r="Z288" s="111">
        <v>0</v>
      </c>
      <c r="AA288" s="111">
        <v>0</v>
      </c>
      <c r="AB288" s="111">
        <v>0</v>
      </c>
      <c r="AC288" s="111">
        <v>0</v>
      </c>
      <c r="AD288" s="111">
        <v>0</v>
      </c>
      <c r="AE288" s="111">
        <v>0</v>
      </c>
      <c r="AF288" s="111">
        <v>0</v>
      </c>
      <c r="AG288" s="111">
        <v>0</v>
      </c>
      <c r="AH288" s="111">
        <v>0</v>
      </c>
      <c r="AI288" s="112">
        <v>0</v>
      </c>
      <c r="AJ288" s="110">
        <v>0</v>
      </c>
      <c r="AK288" s="111">
        <v>0</v>
      </c>
      <c r="AL288" s="111">
        <v>0</v>
      </c>
      <c r="AM288" s="111">
        <v>0</v>
      </c>
      <c r="AN288" s="111">
        <v>0</v>
      </c>
      <c r="AO288" s="111">
        <v>0</v>
      </c>
      <c r="AP288" s="111">
        <v>0</v>
      </c>
      <c r="AQ288" s="111">
        <v>0</v>
      </c>
      <c r="AR288" s="111">
        <v>0</v>
      </c>
      <c r="AS288" s="111">
        <v>0</v>
      </c>
      <c r="AT288" s="111">
        <v>0</v>
      </c>
      <c r="AU288" s="111">
        <v>0</v>
      </c>
      <c r="AV288" s="111">
        <v>0</v>
      </c>
      <c r="AW288" s="115">
        <v>6245.6820000000007</v>
      </c>
      <c r="AX288" s="111">
        <v>0</v>
      </c>
      <c r="AY288" s="111">
        <v>0</v>
      </c>
      <c r="AZ288" s="111">
        <v>0</v>
      </c>
      <c r="BA288" s="111">
        <v>0</v>
      </c>
      <c r="BB288" s="111">
        <v>0</v>
      </c>
      <c r="BC288" s="111">
        <v>0</v>
      </c>
      <c r="BD288" s="111">
        <v>0</v>
      </c>
      <c r="BE288" s="111">
        <v>0</v>
      </c>
      <c r="BF288" s="111">
        <v>0</v>
      </c>
      <c r="BG288" s="111">
        <v>0</v>
      </c>
      <c r="BH288" s="111">
        <v>0</v>
      </c>
      <c r="BI288" s="111">
        <v>0</v>
      </c>
      <c r="BJ288" s="111">
        <v>0</v>
      </c>
      <c r="BK288" s="111">
        <v>0</v>
      </c>
      <c r="BL288" s="111">
        <v>0</v>
      </c>
      <c r="BM288" s="111">
        <v>0</v>
      </c>
      <c r="BN288" s="111">
        <v>0</v>
      </c>
      <c r="BO288" s="111">
        <v>0</v>
      </c>
      <c r="BP288" s="112">
        <v>0</v>
      </c>
      <c r="BQ288" s="110">
        <v>0</v>
      </c>
      <c r="BR288" s="111"/>
      <c r="BS288" s="111"/>
      <c r="BT288" s="112">
        <v>0</v>
      </c>
      <c r="BU288" s="110">
        <v>0</v>
      </c>
      <c r="BV288" s="111"/>
      <c r="BW288" s="112">
        <v>0</v>
      </c>
      <c r="BX288" s="110">
        <v>0</v>
      </c>
      <c r="BY288" s="111">
        <v>0</v>
      </c>
      <c r="BZ288" s="111">
        <v>0</v>
      </c>
      <c r="CA288" s="111">
        <v>0</v>
      </c>
      <c r="CB288" s="111">
        <v>0</v>
      </c>
      <c r="CC288" s="111">
        <v>0</v>
      </c>
      <c r="CD288" s="112">
        <v>0</v>
      </c>
      <c r="CE288" s="113">
        <v>0</v>
      </c>
      <c r="CF288" s="117">
        <v>6245.6820000000007</v>
      </c>
    </row>
    <row r="289" spans="1:84">
      <c r="A289" s="280"/>
      <c r="B289" s="28" t="s">
        <v>88</v>
      </c>
      <c r="C289" s="110">
        <v>0</v>
      </c>
      <c r="D289" s="111">
        <v>0</v>
      </c>
      <c r="E289" s="111">
        <v>0</v>
      </c>
      <c r="F289" s="111">
        <v>0</v>
      </c>
      <c r="G289" s="111">
        <v>0</v>
      </c>
      <c r="H289" s="111">
        <v>0</v>
      </c>
      <c r="I289" s="111">
        <v>0</v>
      </c>
      <c r="J289" s="111">
        <v>0</v>
      </c>
      <c r="K289" s="111">
        <v>0</v>
      </c>
      <c r="L289" s="111">
        <v>0</v>
      </c>
      <c r="M289" s="111">
        <v>0</v>
      </c>
      <c r="N289" s="111">
        <v>0</v>
      </c>
      <c r="O289" s="111">
        <v>0</v>
      </c>
      <c r="P289" s="111">
        <v>0</v>
      </c>
      <c r="Q289" s="111">
        <v>0</v>
      </c>
      <c r="R289" s="111">
        <v>0</v>
      </c>
      <c r="S289" s="111">
        <v>0</v>
      </c>
      <c r="T289" s="111">
        <v>0</v>
      </c>
      <c r="U289" s="111">
        <v>0</v>
      </c>
      <c r="V289" s="111">
        <v>0</v>
      </c>
      <c r="W289" s="111">
        <v>0</v>
      </c>
      <c r="X289" s="111">
        <v>0</v>
      </c>
      <c r="Y289" s="111">
        <v>0</v>
      </c>
      <c r="Z289" s="111">
        <v>0</v>
      </c>
      <c r="AA289" s="111">
        <v>0</v>
      </c>
      <c r="AB289" s="111">
        <v>0</v>
      </c>
      <c r="AC289" s="111">
        <v>0</v>
      </c>
      <c r="AD289" s="111">
        <v>0</v>
      </c>
      <c r="AE289" s="111">
        <v>0</v>
      </c>
      <c r="AF289" s="111">
        <v>0</v>
      </c>
      <c r="AG289" s="111">
        <v>0</v>
      </c>
      <c r="AH289" s="111">
        <v>0</v>
      </c>
      <c r="AI289" s="112">
        <v>0</v>
      </c>
      <c r="AJ289" s="110">
        <v>0</v>
      </c>
      <c r="AK289" s="111">
        <v>0</v>
      </c>
      <c r="AL289" s="111">
        <v>0</v>
      </c>
      <c r="AM289" s="111">
        <v>0</v>
      </c>
      <c r="AN289" s="111">
        <v>0</v>
      </c>
      <c r="AO289" s="111">
        <v>0</v>
      </c>
      <c r="AP289" s="111">
        <v>0</v>
      </c>
      <c r="AQ289" s="111">
        <v>0</v>
      </c>
      <c r="AR289" s="111">
        <v>0</v>
      </c>
      <c r="AS289" s="111">
        <v>0</v>
      </c>
      <c r="AT289" s="111">
        <v>0</v>
      </c>
      <c r="AU289" s="111">
        <v>0</v>
      </c>
      <c r="AV289" s="111">
        <v>0</v>
      </c>
      <c r="AW289" s="111">
        <v>0</v>
      </c>
      <c r="AX289" s="115">
        <v>2014.7720000000002</v>
      </c>
      <c r="AY289" s="111">
        <v>0</v>
      </c>
      <c r="AZ289" s="111">
        <v>0</v>
      </c>
      <c r="BA289" s="111">
        <v>0</v>
      </c>
      <c r="BB289" s="111">
        <v>0</v>
      </c>
      <c r="BC289" s="111">
        <v>0</v>
      </c>
      <c r="BD289" s="111">
        <v>0</v>
      </c>
      <c r="BE289" s="111">
        <v>0</v>
      </c>
      <c r="BF289" s="111">
        <v>0</v>
      </c>
      <c r="BG289" s="111">
        <v>0</v>
      </c>
      <c r="BH289" s="111">
        <v>0</v>
      </c>
      <c r="BI289" s="111">
        <v>0</v>
      </c>
      <c r="BJ289" s="111">
        <v>0</v>
      </c>
      <c r="BK289" s="111">
        <v>0</v>
      </c>
      <c r="BL289" s="111">
        <v>0</v>
      </c>
      <c r="BM289" s="111">
        <v>0</v>
      </c>
      <c r="BN289" s="111">
        <v>0</v>
      </c>
      <c r="BO289" s="111">
        <v>0</v>
      </c>
      <c r="BP289" s="112">
        <v>0</v>
      </c>
      <c r="BQ289" s="110">
        <v>0</v>
      </c>
      <c r="BR289" s="111"/>
      <c r="BS289" s="111"/>
      <c r="BT289" s="112">
        <v>0</v>
      </c>
      <c r="BU289" s="110">
        <v>0</v>
      </c>
      <c r="BV289" s="111"/>
      <c r="BW289" s="112">
        <v>0</v>
      </c>
      <c r="BX289" s="110">
        <v>0</v>
      </c>
      <c r="BY289" s="111">
        <v>0</v>
      </c>
      <c r="BZ289" s="111">
        <v>0</v>
      </c>
      <c r="CA289" s="111">
        <v>0</v>
      </c>
      <c r="CB289" s="111">
        <v>0</v>
      </c>
      <c r="CC289" s="111">
        <v>0</v>
      </c>
      <c r="CD289" s="112">
        <v>0</v>
      </c>
      <c r="CE289" s="113">
        <v>0</v>
      </c>
      <c r="CF289" s="117">
        <v>2014.7720000000002</v>
      </c>
    </row>
    <row r="290" spans="1:84">
      <c r="A290" s="280"/>
      <c r="B290" s="28" t="s">
        <v>89</v>
      </c>
      <c r="C290" s="110">
        <v>0</v>
      </c>
      <c r="D290" s="111">
        <v>0</v>
      </c>
      <c r="E290" s="111">
        <v>0</v>
      </c>
      <c r="F290" s="111">
        <v>0</v>
      </c>
      <c r="G290" s="111">
        <v>0</v>
      </c>
      <c r="H290" s="111">
        <v>0</v>
      </c>
      <c r="I290" s="111">
        <v>0</v>
      </c>
      <c r="J290" s="111">
        <v>0</v>
      </c>
      <c r="K290" s="111">
        <v>0</v>
      </c>
      <c r="L290" s="111">
        <v>0</v>
      </c>
      <c r="M290" s="111">
        <v>0</v>
      </c>
      <c r="N290" s="111">
        <v>0</v>
      </c>
      <c r="O290" s="111">
        <v>0</v>
      </c>
      <c r="P290" s="111">
        <v>0</v>
      </c>
      <c r="Q290" s="111">
        <v>0</v>
      </c>
      <c r="R290" s="111">
        <v>0</v>
      </c>
      <c r="S290" s="111">
        <v>0</v>
      </c>
      <c r="T290" s="111">
        <v>0</v>
      </c>
      <c r="U290" s="111">
        <v>0</v>
      </c>
      <c r="V290" s="111">
        <v>0</v>
      </c>
      <c r="W290" s="111">
        <v>0</v>
      </c>
      <c r="X290" s="111">
        <v>0</v>
      </c>
      <c r="Y290" s="111">
        <v>0</v>
      </c>
      <c r="Z290" s="111">
        <v>0</v>
      </c>
      <c r="AA290" s="111">
        <v>0</v>
      </c>
      <c r="AB290" s="111">
        <v>0</v>
      </c>
      <c r="AC290" s="111">
        <v>0</v>
      </c>
      <c r="AD290" s="111">
        <v>0</v>
      </c>
      <c r="AE290" s="111">
        <v>0</v>
      </c>
      <c r="AF290" s="111">
        <v>0</v>
      </c>
      <c r="AG290" s="111">
        <v>0</v>
      </c>
      <c r="AH290" s="111">
        <v>0</v>
      </c>
      <c r="AI290" s="112">
        <v>0</v>
      </c>
      <c r="AJ290" s="110">
        <v>0</v>
      </c>
      <c r="AK290" s="111">
        <v>0</v>
      </c>
      <c r="AL290" s="111">
        <v>0</v>
      </c>
      <c r="AM290" s="111">
        <v>0</v>
      </c>
      <c r="AN290" s="111">
        <v>0</v>
      </c>
      <c r="AO290" s="111">
        <v>0</v>
      </c>
      <c r="AP290" s="111">
        <v>0</v>
      </c>
      <c r="AQ290" s="111">
        <v>0</v>
      </c>
      <c r="AR290" s="111">
        <v>0</v>
      </c>
      <c r="AS290" s="111">
        <v>0</v>
      </c>
      <c r="AT290" s="111">
        <v>0</v>
      </c>
      <c r="AU290" s="111">
        <v>0</v>
      </c>
      <c r="AV290" s="111">
        <v>0</v>
      </c>
      <c r="AW290" s="111">
        <v>0</v>
      </c>
      <c r="AX290" s="111">
        <v>0</v>
      </c>
      <c r="AY290" s="115">
        <v>13743.5</v>
      </c>
      <c r="AZ290" s="111">
        <v>0</v>
      </c>
      <c r="BA290" s="111">
        <v>0</v>
      </c>
      <c r="BB290" s="111">
        <v>0</v>
      </c>
      <c r="BC290" s="111">
        <v>0</v>
      </c>
      <c r="BD290" s="111">
        <v>0</v>
      </c>
      <c r="BE290" s="111">
        <v>0</v>
      </c>
      <c r="BF290" s="111">
        <v>0</v>
      </c>
      <c r="BG290" s="111">
        <v>0</v>
      </c>
      <c r="BH290" s="111">
        <v>0</v>
      </c>
      <c r="BI290" s="111">
        <v>0</v>
      </c>
      <c r="BJ290" s="111">
        <v>0</v>
      </c>
      <c r="BK290" s="111">
        <v>0</v>
      </c>
      <c r="BL290" s="111">
        <v>0</v>
      </c>
      <c r="BM290" s="111">
        <v>0</v>
      </c>
      <c r="BN290" s="111">
        <v>0</v>
      </c>
      <c r="BO290" s="111">
        <v>0</v>
      </c>
      <c r="BP290" s="112">
        <v>0</v>
      </c>
      <c r="BQ290" s="110">
        <v>0</v>
      </c>
      <c r="BR290" s="111"/>
      <c r="BS290" s="111"/>
      <c r="BT290" s="112">
        <v>0</v>
      </c>
      <c r="BU290" s="110">
        <v>0</v>
      </c>
      <c r="BV290" s="111"/>
      <c r="BW290" s="112">
        <v>0</v>
      </c>
      <c r="BX290" s="110">
        <v>0</v>
      </c>
      <c r="BY290" s="111">
        <v>0</v>
      </c>
      <c r="BZ290" s="111">
        <v>0</v>
      </c>
      <c r="CA290" s="111">
        <v>0</v>
      </c>
      <c r="CB290" s="111">
        <v>0</v>
      </c>
      <c r="CC290" s="111">
        <v>0</v>
      </c>
      <c r="CD290" s="112">
        <v>0</v>
      </c>
      <c r="CE290" s="113">
        <v>0</v>
      </c>
      <c r="CF290" s="117">
        <v>13743.5</v>
      </c>
    </row>
    <row r="291" spans="1:84">
      <c r="A291" s="280"/>
      <c r="B291" s="28" t="s">
        <v>90</v>
      </c>
      <c r="C291" s="110">
        <v>0</v>
      </c>
      <c r="D291" s="111">
        <v>0</v>
      </c>
      <c r="E291" s="111">
        <v>0</v>
      </c>
      <c r="F291" s="111">
        <v>0</v>
      </c>
      <c r="G291" s="111">
        <v>0</v>
      </c>
      <c r="H291" s="111">
        <v>0</v>
      </c>
      <c r="I291" s="111">
        <v>0</v>
      </c>
      <c r="J291" s="111">
        <v>0</v>
      </c>
      <c r="K291" s="111">
        <v>0</v>
      </c>
      <c r="L291" s="111">
        <v>0</v>
      </c>
      <c r="M291" s="111">
        <v>0</v>
      </c>
      <c r="N291" s="111">
        <v>0</v>
      </c>
      <c r="O291" s="111">
        <v>0</v>
      </c>
      <c r="P291" s="111">
        <v>0</v>
      </c>
      <c r="Q291" s="111">
        <v>0</v>
      </c>
      <c r="R291" s="111">
        <v>0</v>
      </c>
      <c r="S291" s="111">
        <v>0</v>
      </c>
      <c r="T291" s="111">
        <v>0</v>
      </c>
      <c r="U291" s="111">
        <v>0</v>
      </c>
      <c r="V291" s="111">
        <v>0</v>
      </c>
      <c r="W291" s="111">
        <v>0</v>
      </c>
      <c r="X291" s="111">
        <v>0</v>
      </c>
      <c r="Y291" s="111">
        <v>0</v>
      </c>
      <c r="Z291" s="111">
        <v>0</v>
      </c>
      <c r="AA291" s="111">
        <v>0</v>
      </c>
      <c r="AB291" s="111">
        <v>0</v>
      </c>
      <c r="AC291" s="111">
        <v>0</v>
      </c>
      <c r="AD291" s="111">
        <v>0</v>
      </c>
      <c r="AE291" s="111">
        <v>0</v>
      </c>
      <c r="AF291" s="111">
        <v>0</v>
      </c>
      <c r="AG291" s="111">
        <v>0</v>
      </c>
      <c r="AH291" s="111">
        <v>0</v>
      </c>
      <c r="AI291" s="112">
        <v>0</v>
      </c>
      <c r="AJ291" s="110">
        <v>0</v>
      </c>
      <c r="AK291" s="111">
        <v>0</v>
      </c>
      <c r="AL291" s="111">
        <v>0</v>
      </c>
      <c r="AM291" s="111">
        <v>0</v>
      </c>
      <c r="AN291" s="111">
        <v>0</v>
      </c>
      <c r="AO291" s="111">
        <v>0</v>
      </c>
      <c r="AP291" s="111">
        <v>0</v>
      </c>
      <c r="AQ291" s="111">
        <v>0</v>
      </c>
      <c r="AR291" s="111">
        <v>0</v>
      </c>
      <c r="AS291" s="111">
        <v>0</v>
      </c>
      <c r="AT291" s="111">
        <v>0</v>
      </c>
      <c r="AU291" s="111">
        <v>0</v>
      </c>
      <c r="AV291" s="111">
        <v>0</v>
      </c>
      <c r="AW291" s="111">
        <v>0</v>
      </c>
      <c r="AX291" s="111">
        <v>0</v>
      </c>
      <c r="AY291" s="111">
        <v>0</v>
      </c>
      <c r="AZ291" s="115">
        <v>32516.284247284773</v>
      </c>
      <c r="BA291" s="111">
        <v>0</v>
      </c>
      <c r="BB291" s="111">
        <v>0</v>
      </c>
      <c r="BC291" s="111">
        <v>0</v>
      </c>
      <c r="BD291" s="111">
        <v>0</v>
      </c>
      <c r="BE291" s="111">
        <v>0</v>
      </c>
      <c r="BF291" s="111">
        <v>0</v>
      </c>
      <c r="BG291" s="111">
        <v>0</v>
      </c>
      <c r="BH291" s="111">
        <v>0</v>
      </c>
      <c r="BI291" s="111">
        <v>0</v>
      </c>
      <c r="BJ291" s="111">
        <v>0</v>
      </c>
      <c r="BK291" s="111">
        <v>0</v>
      </c>
      <c r="BL291" s="111">
        <v>0</v>
      </c>
      <c r="BM291" s="111">
        <v>0</v>
      </c>
      <c r="BN291" s="111">
        <v>0</v>
      </c>
      <c r="BO291" s="111">
        <v>0</v>
      </c>
      <c r="BP291" s="112">
        <v>0</v>
      </c>
      <c r="BQ291" s="110">
        <v>0</v>
      </c>
      <c r="BR291" s="111"/>
      <c r="BS291" s="111"/>
      <c r="BT291" s="112">
        <v>0</v>
      </c>
      <c r="BU291" s="110">
        <v>0</v>
      </c>
      <c r="BV291" s="111"/>
      <c r="BW291" s="112">
        <v>0</v>
      </c>
      <c r="BX291" s="110">
        <v>0</v>
      </c>
      <c r="BY291" s="111">
        <v>0</v>
      </c>
      <c r="BZ291" s="111">
        <v>0</v>
      </c>
      <c r="CA291" s="111">
        <v>0</v>
      </c>
      <c r="CB291" s="111">
        <v>0</v>
      </c>
      <c r="CC291" s="111">
        <v>0</v>
      </c>
      <c r="CD291" s="112">
        <v>0</v>
      </c>
      <c r="CE291" s="113">
        <v>0</v>
      </c>
      <c r="CF291" s="117">
        <v>32516.284247284777</v>
      </c>
    </row>
    <row r="292" spans="1:84">
      <c r="A292" s="280"/>
      <c r="B292" s="28" t="s">
        <v>91</v>
      </c>
      <c r="C292" s="110">
        <v>0</v>
      </c>
      <c r="D292" s="111">
        <v>0</v>
      </c>
      <c r="E292" s="111">
        <v>0</v>
      </c>
      <c r="F292" s="111">
        <v>0</v>
      </c>
      <c r="G292" s="111">
        <v>0</v>
      </c>
      <c r="H292" s="111">
        <v>0</v>
      </c>
      <c r="I292" s="111">
        <v>0</v>
      </c>
      <c r="J292" s="111">
        <v>0</v>
      </c>
      <c r="K292" s="111">
        <v>0</v>
      </c>
      <c r="L292" s="111">
        <v>0</v>
      </c>
      <c r="M292" s="111">
        <v>0</v>
      </c>
      <c r="N292" s="111">
        <v>0</v>
      </c>
      <c r="O292" s="111">
        <v>0</v>
      </c>
      <c r="P292" s="111">
        <v>0</v>
      </c>
      <c r="Q292" s="111">
        <v>0</v>
      </c>
      <c r="R292" s="111">
        <v>0</v>
      </c>
      <c r="S292" s="111">
        <v>0</v>
      </c>
      <c r="T292" s="111">
        <v>0</v>
      </c>
      <c r="U292" s="111">
        <v>0</v>
      </c>
      <c r="V292" s="111">
        <v>0</v>
      </c>
      <c r="W292" s="111">
        <v>0</v>
      </c>
      <c r="X292" s="111">
        <v>0</v>
      </c>
      <c r="Y292" s="111">
        <v>0</v>
      </c>
      <c r="Z292" s="111">
        <v>0</v>
      </c>
      <c r="AA292" s="111">
        <v>0</v>
      </c>
      <c r="AB292" s="111">
        <v>0</v>
      </c>
      <c r="AC292" s="111">
        <v>0</v>
      </c>
      <c r="AD292" s="111">
        <v>0</v>
      </c>
      <c r="AE292" s="111">
        <v>0</v>
      </c>
      <c r="AF292" s="111">
        <v>0</v>
      </c>
      <c r="AG292" s="111">
        <v>0</v>
      </c>
      <c r="AH292" s="111">
        <v>0</v>
      </c>
      <c r="AI292" s="112">
        <v>0</v>
      </c>
      <c r="AJ292" s="110">
        <v>0</v>
      </c>
      <c r="AK292" s="111">
        <v>0</v>
      </c>
      <c r="AL292" s="111">
        <v>0</v>
      </c>
      <c r="AM292" s="111">
        <v>0</v>
      </c>
      <c r="AN292" s="111">
        <v>0</v>
      </c>
      <c r="AO292" s="111">
        <v>0</v>
      </c>
      <c r="AP292" s="111">
        <v>0</v>
      </c>
      <c r="AQ292" s="111">
        <v>0</v>
      </c>
      <c r="AR292" s="111">
        <v>0</v>
      </c>
      <c r="AS292" s="111">
        <v>0</v>
      </c>
      <c r="AT292" s="111">
        <v>0</v>
      </c>
      <c r="AU292" s="111">
        <v>0</v>
      </c>
      <c r="AV292" s="111">
        <v>0</v>
      </c>
      <c r="AW292" s="111">
        <v>0</v>
      </c>
      <c r="AX292" s="111">
        <v>0</v>
      </c>
      <c r="AY292" s="111">
        <v>0</v>
      </c>
      <c r="AZ292" s="111">
        <v>0</v>
      </c>
      <c r="BA292" s="115">
        <v>89406.357042682357</v>
      </c>
      <c r="BB292" s="111">
        <v>0</v>
      </c>
      <c r="BC292" s="111">
        <v>0</v>
      </c>
      <c r="BD292" s="111">
        <v>0</v>
      </c>
      <c r="BE292" s="111">
        <v>0</v>
      </c>
      <c r="BF292" s="111">
        <v>0</v>
      </c>
      <c r="BG292" s="111">
        <v>0</v>
      </c>
      <c r="BH292" s="111">
        <v>0</v>
      </c>
      <c r="BI292" s="111">
        <v>0</v>
      </c>
      <c r="BJ292" s="111">
        <v>0</v>
      </c>
      <c r="BK292" s="111">
        <v>0</v>
      </c>
      <c r="BL292" s="111">
        <v>0</v>
      </c>
      <c r="BM292" s="111">
        <v>0</v>
      </c>
      <c r="BN292" s="111">
        <v>0</v>
      </c>
      <c r="BO292" s="111">
        <v>0</v>
      </c>
      <c r="BP292" s="112">
        <v>0</v>
      </c>
      <c r="BQ292" s="110">
        <v>0</v>
      </c>
      <c r="BR292" s="111"/>
      <c r="BS292" s="111"/>
      <c r="BT292" s="112">
        <v>0</v>
      </c>
      <c r="BU292" s="110">
        <v>0</v>
      </c>
      <c r="BV292" s="111"/>
      <c r="BW292" s="112">
        <v>0</v>
      </c>
      <c r="BX292" s="110">
        <v>0</v>
      </c>
      <c r="BY292" s="111">
        <v>0</v>
      </c>
      <c r="BZ292" s="111">
        <v>0</v>
      </c>
      <c r="CA292" s="111">
        <v>0</v>
      </c>
      <c r="CB292" s="111">
        <v>0</v>
      </c>
      <c r="CC292" s="111">
        <v>0</v>
      </c>
      <c r="CD292" s="112">
        <v>0</v>
      </c>
      <c r="CE292" s="113">
        <v>0</v>
      </c>
      <c r="CF292" s="117">
        <v>89406.357042682357</v>
      </c>
    </row>
    <row r="293" spans="1:84">
      <c r="A293" s="280"/>
      <c r="B293" s="41" t="s">
        <v>92</v>
      </c>
      <c r="C293" s="110">
        <v>0</v>
      </c>
      <c r="D293" s="111">
        <v>0</v>
      </c>
      <c r="E293" s="111">
        <v>0</v>
      </c>
      <c r="F293" s="111">
        <v>0</v>
      </c>
      <c r="G293" s="111">
        <v>0</v>
      </c>
      <c r="H293" s="111">
        <v>0</v>
      </c>
      <c r="I293" s="111">
        <v>0</v>
      </c>
      <c r="J293" s="111">
        <v>0</v>
      </c>
      <c r="K293" s="111">
        <v>0</v>
      </c>
      <c r="L293" s="111">
        <v>0</v>
      </c>
      <c r="M293" s="111">
        <v>0</v>
      </c>
      <c r="N293" s="111">
        <v>0</v>
      </c>
      <c r="O293" s="111">
        <v>0</v>
      </c>
      <c r="P293" s="111">
        <v>0</v>
      </c>
      <c r="Q293" s="111">
        <v>0</v>
      </c>
      <c r="R293" s="111">
        <v>0</v>
      </c>
      <c r="S293" s="111">
        <v>0</v>
      </c>
      <c r="T293" s="111">
        <v>0</v>
      </c>
      <c r="U293" s="111">
        <v>0</v>
      </c>
      <c r="V293" s="111">
        <v>0</v>
      </c>
      <c r="W293" s="111">
        <v>0</v>
      </c>
      <c r="X293" s="111">
        <v>0</v>
      </c>
      <c r="Y293" s="111">
        <v>0</v>
      </c>
      <c r="Z293" s="111">
        <v>0</v>
      </c>
      <c r="AA293" s="111">
        <v>0</v>
      </c>
      <c r="AB293" s="111">
        <v>0</v>
      </c>
      <c r="AC293" s="111">
        <v>0</v>
      </c>
      <c r="AD293" s="111">
        <v>0</v>
      </c>
      <c r="AE293" s="111">
        <v>0</v>
      </c>
      <c r="AF293" s="111">
        <v>0</v>
      </c>
      <c r="AG293" s="111">
        <v>0</v>
      </c>
      <c r="AH293" s="111">
        <v>0</v>
      </c>
      <c r="AI293" s="112">
        <v>0</v>
      </c>
      <c r="AJ293" s="110">
        <v>0</v>
      </c>
      <c r="AK293" s="111">
        <v>0</v>
      </c>
      <c r="AL293" s="111">
        <v>0</v>
      </c>
      <c r="AM293" s="111">
        <v>0</v>
      </c>
      <c r="AN293" s="111">
        <v>0</v>
      </c>
      <c r="AO293" s="111">
        <v>0</v>
      </c>
      <c r="AP293" s="111">
        <v>0</v>
      </c>
      <c r="AQ293" s="111">
        <v>0</v>
      </c>
      <c r="AR293" s="111">
        <v>0</v>
      </c>
      <c r="AS293" s="111">
        <v>0</v>
      </c>
      <c r="AT293" s="111">
        <v>0</v>
      </c>
      <c r="AU293" s="111">
        <v>0</v>
      </c>
      <c r="AV293" s="111">
        <v>0</v>
      </c>
      <c r="AW293" s="111">
        <v>0</v>
      </c>
      <c r="AX293" s="111">
        <v>0</v>
      </c>
      <c r="AY293" s="111">
        <v>0</v>
      </c>
      <c r="AZ293" s="111">
        <v>0</v>
      </c>
      <c r="BA293" s="111">
        <v>0</v>
      </c>
      <c r="BB293" s="115">
        <v>190466.70173842864</v>
      </c>
      <c r="BC293" s="111">
        <v>0</v>
      </c>
      <c r="BD293" s="111">
        <v>0</v>
      </c>
      <c r="BE293" s="111">
        <v>0</v>
      </c>
      <c r="BF293" s="111">
        <v>0</v>
      </c>
      <c r="BG293" s="111">
        <v>0</v>
      </c>
      <c r="BH293" s="111">
        <v>0</v>
      </c>
      <c r="BI293" s="111">
        <v>0</v>
      </c>
      <c r="BJ293" s="111">
        <v>0</v>
      </c>
      <c r="BK293" s="111">
        <v>0</v>
      </c>
      <c r="BL293" s="111">
        <v>0</v>
      </c>
      <c r="BM293" s="111">
        <v>0</v>
      </c>
      <c r="BN293" s="111">
        <v>0</v>
      </c>
      <c r="BO293" s="111">
        <v>0</v>
      </c>
      <c r="BP293" s="112">
        <v>0</v>
      </c>
      <c r="BQ293" s="110">
        <v>0</v>
      </c>
      <c r="BR293" s="111"/>
      <c r="BS293" s="111"/>
      <c r="BT293" s="112">
        <v>0</v>
      </c>
      <c r="BU293" s="110">
        <v>0</v>
      </c>
      <c r="BV293" s="111"/>
      <c r="BW293" s="112">
        <v>0</v>
      </c>
      <c r="BX293" s="110">
        <v>0</v>
      </c>
      <c r="BY293" s="111">
        <v>0</v>
      </c>
      <c r="BZ293" s="111">
        <v>0</v>
      </c>
      <c r="CA293" s="111">
        <v>0</v>
      </c>
      <c r="CB293" s="111">
        <v>0</v>
      </c>
      <c r="CC293" s="111">
        <v>0</v>
      </c>
      <c r="CD293" s="112">
        <v>0</v>
      </c>
      <c r="CE293" s="113">
        <v>0</v>
      </c>
      <c r="CF293" s="117">
        <v>190466.70173842864</v>
      </c>
    </row>
    <row r="294" spans="1:84">
      <c r="A294" s="280"/>
      <c r="B294" s="28" t="s">
        <v>93</v>
      </c>
      <c r="C294" s="110">
        <v>0</v>
      </c>
      <c r="D294" s="111">
        <v>0</v>
      </c>
      <c r="E294" s="111">
        <v>0</v>
      </c>
      <c r="F294" s="111">
        <v>0</v>
      </c>
      <c r="G294" s="111">
        <v>0</v>
      </c>
      <c r="H294" s="111">
        <v>0</v>
      </c>
      <c r="I294" s="111">
        <v>0</v>
      </c>
      <c r="J294" s="111">
        <v>0</v>
      </c>
      <c r="K294" s="111">
        <v>0</v>
      </c>
      <c r="L294" s="111">
        <v>0</v>
      </c>
      <c r="M294" s="111">
        <v>0</v>
      </c>
      <c r="N294" s="111">
        <v>0</v>
      </c>
      <c r="O294" s="111">
        <v>0</v>
      </c>
      <c r="P294" s="111">
        <v>0</v>
      </c>
      <c r="Q294" s="111">
        <v>0</v>
      </c>
      <c r="R294" s="111">
        <v>0</v>
      </c>
      <c r="S294" s="111">
        <v>0</v>
      </c>
      <c r="T294" s="111">
        <v>0</v>
      </c>
      <c r="U294" s="111">
        <v>0</v>
      </c>
      <c r="V294" s="111">
        <v>0</v>
      </c>
      <c r="W294" s="111">
        <v>0</v>
      </c>
      <c r="X294" s="111">
        <v>0</v>
      </c>
      <c r="Y294" s="111">
        <v>0</v>
      </c>
      <c r="Z294" s="111">
        <v>0</v>
      </c>
      <c r="AA294" s="111">
        <v>0</v>
      </c>
      <c r="AB294" s="111">
        <v>0</v>
      </c>
      <c r="AC294" s="111">
        <v>0</v>
      </c>
      <c r="AD294" s="111">
        <v>0</v>
      </c>
      <c r="AE294" s="111">
        <v>0</v>
      </c>
      <c r="AF294" s="111">
        <v>0</v>
      </c>
      <c r="AG294" s="111">
        <v>0</v>
      </c>
      <c r="AH294" s="111">
        <v>0</v>
      </c>
      <c r="AI294" s="112">
        <v>0</v>
      </c>
      <c r="AJ294" s="110">
        <v>0</v>
      </c>
      <c r="AK294" s="111">
        <v>0</v>
      </c>
      <c r="AL294" s="111">
        <v>0</v>
      </c>
      <c r="AM294" s="111">
        <v>0</v>
      </c>
      <c r="AN294" s="111">
        <v>0</v>
      </c>
      <c r="AO294" s="111">
        <v>0</v>
      </c>
      <c r="AP294" s="111">
        <v>0</v>
      </c>
      <c r="AQ294" s="111">
        <v>0</v>
      </c>
      <c r="AR294" s="111">
        <v>0</v>
      </c>
      <c r="AS294" s="111">
        <v>0</v>
      </c>
      <c r="AT294" s="111">
        <v>0</v>
      </c>
      <c r="AU294" s="111">
        <v>0</v>
      </c>
      <c r="AV294" s="111">
        <v>0</v>
      </c>
      <c r="AW294" s="111">
        <v>0</v>
      </c>
      <c r="AX294" s="111">
        <v>0</v>
      </c>
      <c r="AY294" s="111">
        <v>0</v>
      </c>
      <c r="AZ294" s="111">
        <v>0</v>
      </c>
      <c r="BA294" s="111">
        <v>0</v>
      </c>
      <c r="BB294" s="111">
        <v>0</v>
      </c>
      <c r="BC294" s="115">
        <v>61824.290783745375</v>
      </c>
      <c r="BD294" s="111">
        <v>0</v>
      </c>
      <c r="BE294" s="111">
        <v>0</v>
      </c>
      <c r="BF294" s="111">
        <v>0</v>
      </c>
      <c r="BG294" s="111">
        <v>0</v>
      </c>
      <c r="BH294" s="111">
        <v>0</v>
      </c>
      <c r="BI294" s="111">
        <v>0</v>
      </c>
      <c r="BJ294" s="111">
        <v>0</v>
      </c>
      <c r="BK294" s="111">
        <v>0</v>
      </c>
      <c r="BL294" s="111">
        <v>0</v>
      </c>
      <c r="BM294" s="111">
        <v>0</v>
      </c>
      <c r="BN294" s="111">
        <v>0</v>
      </c>
      <c r="BO294" s="111">
        <v>0</v>
      </c>
      <c r="BP294" s="112">
        <v>0</v>
      </c>
      <c r="BQ294" s="110">
        <v>0</v>
      </c>
      <c r="BR294" s="111"/>
      <c r="BS294" s="111"/>
      <c r="BT294" s="112">
        <v>0</v>
      </c>
      <c r="BU294" s="110">
        <v>0</v>
      </c>
      <c r="BV294" s="111"/>
      <c r="BW294" s="112">
        <v>0</v>
      </c>
      <c r="BX294" s="110">
        <v>0</v>
      </c>
      <c r="BY294" s="111">
        <v>0</v>
      </c>
      <c r="BZ294" s="111">
        <v>0</v>
      </c>
      <c r="CA294" s="111">
        <v>0</v>
      </c>
      <c r="CB294" s="111">
        <v>0</v>
      </c>
      <c r="CC294" s="111">
        <v>0</v>
      </c>
      <c r="CD294" s="112">
        <v>0</v>
      </c>
      <c r="CE294" s="113">
        <v>0</v>
      </c>
      <c r="CF294" s="117">
        <v>61824.290783745382</v>
      </c>
    </row>
    <row r="295" spans="1:84">
      <c r="A295" s="280"/>
      <c r="B295" s="28" t="s">
        <v>94</v>
      </c>
      <c r="C295" s="110">
        <v>0</v>
      </c>
      <c r="D295" s="111">
        <v>0</v>
      </c>
      <c r="E295" s="111">
        <v>0</v>
      </c>
      <c r="F295" s="111">
        <v>0</v>
      </c>
      <c r="G295" s="111">
        <v>0</v>
      </c>
      <c r="H295" s="111">
        <v>0</v>
      </c>
      <c r="I295" s="111">
        <v>0</v>
      </c>
      <c r="J295" s="111">
        <v>0</v>
      </c>
      <c r="K295" s="111">
        <v>0</v>
      </c>
      <c r="L295" s="111">
        <v>0</v>
      </c>
      <c r="M295" s="111">
        <v>0</v>
      </c>
      <c r="N295" s="111">
        <v>0</v>
      </c>
      <c r="O295" s="111">
        <v>0</v>
      </c>
      <c r="P295" s="111">
        <v>0</v>
      </c>
      <c r="Q295" s="111">
        <v>0</v>
      </c>
      <c r="R295" s="111">
        <v>0</v>
      </c>
      <c r="S295" s="111">
        <v>0</v>
      </c>
      <c r="T295" s="111">
        <v>0</v>
      </c>
      <c r="U295" s="111">
        <v>0</v>
      </c>
      <c r="V295" s="111">
        <v>0</v>
      </c>
      <c r="W295" s="111">
        <v>0</v>
      </c>
      <c r="X295" s="111">
        <v>0</v>
      </c>
      <c r="Y295" s="111">
        <v>0</v>
      </c>
      <c r="Z295" s="111">
        <v>0</v>
      </c>
      <c r="AA295" s="111">
        <v>0</v>
      </c>
      <c r="AB295" s="111">
        <v>0</v>
      </c>
      <c r="AC295" s="111">
        <v>0</v>
      </c>
      <c r="AD295" s="111">
        <v>0</v>
      </c>
      <c r="AE295" s="111">
        <v>0</v>
      </c>
      <c r="AF295" s="111">
        <v>0</v>
      </c>
      <c r="AG295" s="111">
        <v>0</v>
      </c>
      <c r="AH295" s="111">
        <v>0</v>
      </c>
      <c r="AI295" s="112">
        <v>0</v>
      </c>
      <c r="AJ295" s="110">
        <v>0</v>
      </c>
      <c r="AK295" s="111">
        <v>0</v>
      </c>
      <c r="AL295" s="111">
        <v>0</v>
      </c>
      <c r="AM295" s="111">
        <v>0</v>
      </c>
      <c r="AN295" s="111">
        <v>0</v>
      </c>
      <c r="AO295" s="111">
        <v>0</v>
      </c>
      <c r="AP295" s="111">
        <v>0</v>
      </c>
      <c r="AQ295" s="111">
        <v>0</v>
      </c>
      <c r="AR295" s="111">
        <v>0</v>
      </c>
      <c r="AS295" s="111">
        <v>0</v>
      </c>
      <c r="AT295" s="111">
        <v>0</v>
      </c>
      <c r="AU295" s="111">
        <v>0</v>
      </c>
      <c r="AV295" s="111">
        <v>0</v>
      </c>
      <c r="AW295" s="111">
        <v>0</v>
      </c>
      <c r="AX295" s="111">
        <v>0</v>
      </c>
      <c r="AY295" s="111">
        <v>0</v>
      </c>
      <c r="AZ295" s="111">
        <v>0</v>
      </c>
      <c r="BA295" s="111">
        <v>0</v>
      </c>
      <c r="BB295" s="111">
        <v>0</v>
      </c>
      <c r="BC295" s="111">
        <v>0</v>
      </c>
      <c r="BD295" s="115">
        <v>15857.388999999996</v>
      </c>
      <c r="BE295" s="111">
        <v>0</v>
      </c>
      <c r="BF295" s="111">
        <v>0</v>
      </c>
      <c r="BG295" s="111">
        <v>0</v>
      </c>
      <c r="BH295" s="111">
        <v>0</v>
      </c>
      <c r="BI295" s="111">
        <v>0</v>
      </c>
      <c r="BJ295" s="111">
        <v>0</v>
      </c>
      <c r="BK295" s="111">
        <v>0</v>
      </c>
      <c r="BL295" s="111">
        <v>0</v>
      </c>
      <c r="BM295" s="111">
        <v>0</v>
      </c>
      <c r="BN295" s="111">
        <v>0</v>
      </c>
      <c r="BO295" s="111">
        <v>0</v>
      </c>
      <c r="BP295" s="112">
        <v>0</v>
      </c>
      <c r="BQ295" s="110">
        <v>0</v>
      </c>
      <c r="BR295" s="111"/>
      <c r="BS295" s="111"/>
      <c r="BT295" s="112">
        <v>0</v>
      </c>
      <c r="BU295" s="110">
        <v>0</v>
      </c>
      <c r="BV295" s="111"/>
      <c r="BW295" s="112">
        <v>0</v>
      </c>
      <c r="BX295" s="110">
        <v>0</v>
      </c>
      <c r="BY295" s="111">
        <v>0</v>
      </c>
      <c r="BZ295" s="111">
        <v>0</v>
      </c>
      <c r="CA295" s="111">
        <v>0</v>
      </c>
      <c r="CB295" s="111">
        <v>0</v>
      </c>
      <c r="CC295" s="111">
        <v>0</v>
      </c>
      <c r="CD295" s="112">
        <v>0</v>
      </c>
      <c r="CE295" s="113">
        <v>0</v>
      </c>
      <c r="CF295" s="117">
        <v>15857.388999999996</v>
      </c>
    </row>
    <row r="296" spans="1:84">
      <c r="A296" s="280"/>
      <c r="B296" s="28" t="s">
        <v>95</v>
      </c>
      <c r="C296" s="110">
        <v>0</v>
      </c>
      <c r="D296" s="111">
        <v>0</v>
      </c>
      <c r="E296" s="111">
        <v>0</v>
      </c>
      <c r="F296" s="111">
        <v>0</v>
      </c>
      <c r="G296" s="111">
        <v>0</v>
      </c>
      <c r="H296" s="111">
        <v>0</v>
      </c>
      <c r="I296" s="111">
        <v>0</v>
      </c>
      <c r="J296" s="111">
        <v>0</v>
      </c>
      <c r="K296" s="111">
        <v>0</v>
      </c>
      <c r="L296" s="111">
        <v>0</v>
      </c>
      <c r="M296" s="111">
        <v>0</v>
      </c>
      <c r="N296" s="111">
        <v>0</v>
      </c>
      <c r="O296" s="111">
        <v>0</v>
      </c>
      <c r="P296" s="111">
        <v>0</v>
      </c>
      <c r="Q296" s="111">
        <v>0</v>
      </c>
      <c r="R296" s="111">
        <v>0</v>
      </c>
      <c r="S296" s="111">
        <v>0</v>
      </c>
      <c r="T296" s="111">
        <v>0</v>
      </c>
      <c r="U296" s="111">
        <v>0</v>
      </c>
      <c r="V296" s="111">
        <v>0</v>
      </c>
      <c r="W296" s="111">
        <v>0</v>
      </c>
      <c r="X296" s="111">
        <v>0</v>
      </c>
      <c r="Y296" s="111">
        <v>0</v>
      </c>
      <c r="Z296" s="111">
        <v>0</v>
      </c>
      <c r="AA296" s="111">
        <v>0</v>
      </c>
      <c r="AB296" s="111">
        <v>0</v>
      </c>
      <c r="AC296" s="111">
        <v>0</v>
      </c>
      <c r="AD296" s="111">
        <v>0</v>
      </c>
      <c r="AE296" s="111">
        <v>0</v>
      </c>
      <c r="AF296" s="111">
        <v>0</v>
      </c>
      <c r="AG296" s="111">
        <v>0</v>
      </c>
      <c r="AH296" s="111">
        <v>0</v>
      </c>
      <c r="AI296" s="112">
        <v>0</v>
      </c>
      <c r="AJ296" s="110">
        <v>0</v>
      </c>
      <c r="AK296" s="111">
        <v>0</v>
      </c>
      <c r="AL296" s="111">
        <v>0</v>
      </c>
      <c r="AM296" s="111">
        <v>0</v>
      </c>
      <c r="AN296" s="111">
        <v>0</v>
      </c>
      <c r="AO296" s="111">
        <v>0</v>
      </c>
      <c r="AP296" s="111">
        <v>0</v>
      </c>
      <c r="AQ296" s="111">
        <v>0</v>
      </c>
      <c r="AR296" s="111">
        <v>0</v>
      </c>
      <c r="AS296" s="111">
        <v>0</v>
      </c>
      <c r="AT296" s="111">
        <v>0</v>
      </c>
      <c r="AU296" s="111">
        <v>0</v>
      </c>
      <c r="AV296" s="111">
        <v>0</v>
      </c>
      <c r="AW296" s="111">
        <v>0</v>
      </c>
      <c r="AX296" s="111">
        <v>0</v>
      </c>
      <c r="AY296" s="111">
        <v>0</v>
      </c>
      <c r="AZ296" s="111">
        <v>0</v>
      </c>
      <c r="BA296" s="111">
        <v>0</v>
      </c>
      <c r="BB296" s="111">
        <v>0</v>
      </c>
      <c r="BC296" s="111">
        <v>0</v>
      </c>
      <c r="BD296" s="111">
        <v>0</v>
      </c>
      <c r="BE296" s="115">
        <v>2289.5279999999998</v>
      </c>
      <c r="BF296" s="111">
        <v>0</v>
      </c>
      <c r="BG296" s="111">
        <v>0</v>
      </c>
      <c r="BH296" s="111">
        <v>0</v>
      </c>
      <c r="BI296" s="111">
        <v>0</v>
      </c>
      <c r="BJ296" s="111">
        <v>0</v>
      </c>
      <c r="BK296" s="111">
        <v>0</v>
      </c>
      <c r="BL296" s="111">
        <v>0</v>
      </c>
      <c r="BM296" s="111">
        <v>0</v>
      </c>
      <c r="BN296" s="111">
        <v>0</v>
      </c>
      <c r="BO296" s="111">
        <v>0</v>
      </c>
      <c r="BP296" s="112">
        <v>0</v>
      </c>
      <c r="BQ296" s="110">
        <v>0</v>
      </c>
      <c r="BR296" s="111"/>
      <c r="BS296" s="111"/>
      <c r="BT296" s="112">
        <v>0</v>
      </c>
      <c r="BU296" s="110">
        <v>0</v>
      </c>
      <c r="BV296" s="111"/>
      <c r="BW296" s="112">
        <v>0</v>
      </c>
      <c r="BX296" s="110">
        <v>0</v>
      </c>
      <c r="BY296" s="111">
        <v>0</v>
      </c>
      <c r="BZ296" s="111">
        <v>0</v>
      </c>
      <c r="CA296" s="111">
        <v>0</v>
      </c>
      <c r="CB296" s="111">
        <v>0</v>
      </c>
      <c r="CC296" s="111">
        <v>0</v>
      </c>
      <c r="CD296" s="112">
        <v>0</v>
      </c>
      <c r="CE296" s="113">
        <v>0</v>
      </c>
      <c r="CF296" s="117">
        <v>2289.5279999999998</v>
      </c>
    </row>
    <row r="297" spans="1:84">
      <c r="A297" s="280"/>
      <c r="B297" s="28" t="s">
        <v>96</v>
      </c>
      <c r="C297" s="110">
        <v>0</v>
      </c>
      <c r="D297" s="111">
        <v>0</v>
      </c>
      <c r="E297" s="111">
        <v>0</v>
      </c>
      <c r="F297" s="111">
        <v>0</v>
      </c>
      <c r="G297" s="111">
        <v>0</v>
      </c>
      <c r="H297" s="111">
        <v>0</v>
      </c>
      <c r="I297" s="111">
        <v>0</v>
      </c>
      <c r="J297" s="111">
        <v>0</v>
      </c>
      <c r="K297" s="111">
        <v>0</v>
      </c>
      <c r="L297" s="111">
        <v>0</v>
      </c>
      <c r="M297" s="111">
        <v>0</v>
      </c>
      <c r="N297" s="111">
        <v>0</v>
      </c>
      <c r="O297" s="111">
        <v>0</v>
      </c>
      <c r="P297" s="111">
        <v>0</v>
      </c>
      <c r="Q297" s="111">
        <v>0</v>
      </c>
      <c r="R297" s="111">
        <v>0</v>
      </c>
      <c r="S297" s="111">
        <v>0</v>
      </c>
      <c r="T297" s="111">
        <v>0</v>
      </c>
      <c r="U297" s="111">
        <v>0</v>
      </c>
      <c r="V297" s="111">
        <v>0</v>
      </c>
      <c r="W297" s="111">
        <v>0</v>
      </c>
      <c r="X297" s="111">
        <v>0</v>
      </c>
      <c r="Y297" s="111">
        <v>0</v>
      </c>
      <c r="Z297" s="111">
        <v>0</v>
      </c>
      <c r="AA297" s="111">
        <v>0</v>
      </c>
      <c r="AB297" s="111">
        <v>0</v>
      </c>
      <c r="AC297" s="111">
        <v>0</v>
      </c>
      <c r="AD297" s="111">
        <v>0</v>
      </c>
      <c r="AE297" s="111">
        <v>0</v>
      </c>
      <c r="AF297" s="111">
        <v>0</v>
      </c>
      <c r="AG297" s="111">
        <v>0</v>
      </c>
      <c r="AH297" s="111">
        <v>0</v>
      </c>
      <c r="AI297" s="112">
        <v>0</v>
      </c>
      <c r="AJ297" s="110">
        <v>0</v>
      </c>
      <c r="AK297" s="111">
        <v>0</v>
      </c>
      <c r="AL297" s="111">
        <v>0</v>
      </c>
      <c r="AM297" s="111">
        <v>0</v>
      </c>
      <c r="AN297" s="111">
        <v>0</v>
      </c>
      <c r="AO297" s="111">
        <v>0</v>
      </c>
      <c r="AP297" s="111">
        <v>0</v>
      </c>
      <c r="AQ297" s="111">
        <v>0</v>
      </c>
      <c r="AR297" s="111">
        <v>0</v>
      </c>
      <c r="AS297" s="111">
        <v>0</v>
      </c>
      <c r="AT297" s="111">
        <v>0</v>
      </c>
      <c r="AU297" s="111">
        <v>0</v>
      </c>
      <c r="AV297" s="111">
        <v>0</v>
      </c>
      <c r="AW297" s="111">
        <v>0</v>
      </c>
      <c r="AX297" s="111">
        <v>0</v>
      </c>
      <c r="AY297" s="111">
        <v>0</v>
      </c>
      <c r="AZ297" s="111">
        <v>0</v>
      </c>
      <c r="BA297" s="111">
        <v>0</v>
      </c>
      <c r="BB297" s="111">
        <v>0</v>
      </c>
      <c r="BC297" s="111">
        <v>0</v>
      </c>
      <c r="BD297" s="111">
        <v>0</v>
      </c>
      <c r="BE297" s="111">
        <v>0</v>
      </c>
      <c r="BF297" s="115">
        <v>102307.00900000002</v>
      </c>
      <c r="BG297" s="111">
        <v>0</v>
      </c>
      <c r="BH297" s="111">
        <v>0</v>
      </c>
      <c r="BI297" s="111">
        <v>0</v>
      </c>
      <c r="BJ297" s="111">
        <v>0</v>
      </c>
      <c r="BK297" s="111">
        <v>0</v>
      </c>
      <c r="BL297" s="111">
        <v>0</v>
      </c>
      <c r="BM297" s="111">
        <v>0</v>
      </c>
      <c r="BN297" s="111">
        <v>0</v>
      </c>
      <c r="BO297" s="111">
        <v>0</v>
      </c>
      <c r="BP297" s="112">
        <v>0</v>
      </c>
      <c r="BQ297" s="110">
        <v>0</v>
      </c>
      <c r="BR297" s="111"/>
      <c r="BS297" s="111"/>
      <c r="BT297" s="112">
        <v>0</v>
      </c>
      <c r="BU297" s="110">
        <v>0</v>
      </c>
      <c r="BV297" s="111"/>
      <c r="BW297" s="112">
        <v>0</v>
      </c>
      <c r="BX297" s="110">
        <v>0</v>
      </c>
      <c r="BY297" s="111">
        <v>0</v>
      </c>
      <c r="BZ297" s="111">
        <v>0</v>
      </c>
      <c r="CA297" s="111">
        <v>0</v>
      </c>
      <c r="CB297" s="111">
        <v>0</v>
      </c>
      <c r="CC297" s="111">
        <v>0</v>
      </c>
      <c r="CD297" s="112">
        <v>0</v>
      </c>
      <c r="CE297" s="113">
        <v>0</v>
      </c>
      <c r="CF297" s="117">
        <v>102307.00900000002</v>
      </c>
    </row>
    <row r="298" spans="1:84">
      <c r="A298" s="280"/>
      <c r="B298" s="28" t="s">
        <v>97</v>
      </c>
      <c r="C298" s="110">
        <v>0</v>
      </c>
      <c r="D298" s="111">
        <v>0</v>
      </c>
      <c r="E298" s="111">
        <v>0</v>
      </c>
      <c r="F298" s="111">
        <v>0</v>
      </c>
      <c r="G298" s="111">
        <v>0</v>
      </c>
      <c r="H298" s="111">
        <v>0</v>
      </c>
      <c r="I298" s="111">
        <v>0</v>
      </c>
      <c r="J298" s="111">
        <v>0</v>
      </c>
      <c r="K298" s="111">
        <v>0</v>
      </c>
      <c r="L298" s="111">
        <v>0</v>
      </c>
      <c r="M298" s="111">
        <v>0</v>
      </c>
      <c r="N298" s="111">
        <v>0</v>
      </c>
      <c r="O298" s="111">
        <v>0</v>
      </c>
      <c r="P298" s="111">
        <v>0</v>
      </c>
      <c r="Q298" s="111">
        <v>0</v>
      </c>
      <c r="R298" s="111">
        <v>0</v>
      </c>
      <c r="S298" s="111">
        <v>0</v>
      </c>
      <c r="T298" s="111">
        <v>0</v>
      </c>
      <c r="U298" s="111">
        <v>0</v>
      </c>
      <c r="V298" s="111">
        <v>0</v>
      </c>
      <c r="W298" s="111">
        <v>0</v>
      </c>
      <c r="X298" s="111">
        <v>0</v>
      </c>
      <c r="Y298" s="111">
        <v>0</v>
      </c>
      <c r="Z298" s="111">
        <v>0</v>
      </c>
      <c r="AA298" s="111">
        <v>0</v>
      </c>
      <c r="AB298" s="111">
        <v>0</v>
      </c>
      <c r="AC298" s="111">
        <v>0</v>
      </c>
      <c r="AD298" s="111">
        <v>0</v>
      </c>
      <c r="AE298" s="111">
        <v>0</v>
      </c>
      <c r="AF298" s="111">
        <v>0</v>
      </c>
      <c r="AG298" s="111">
        <v>0</v>
      </c>
      <c r="AH298" s="111">
        <v>0</v>
      </c>
      <c r="AI298" s="112">
        <v>0</v>
      </c>
      <c r="AJ298" s="110">
        <v>0</v>
      </c>
      <c r="AK298" s="111">
        <v>0</v>
      </c>
      <c r="AL298" s="111">
        <v>0</v>
      </c>
      <c r="AM298" s="111">
        <v>0</v>
      </c>
      <c r="AN298" s="111">
        <v>0</v>
      </c>
      <c r="AO298" s="111">
        <v>0</v>
      </c>
      <c r="AP298" s="111">
        <v>0</v>
      </c>
      <c r="AQ298" s="111">
        <v>0</v>
      </c>
      <c r="AR298" s="111">
        <v>0</v>
      </c>
      <c r="AS298" s="111">
        <v>0</v>
      </c>
      <c r="AT298" s="111">
        <v>0</v>
      </c>
      <c r="AU298" s="111">
        <v>0</v>
      </c>
      <c r="AV298" s="111">
        <v>0</v>
      </c>
      <c r="AW298" s="111">
        <v>0</v>
      </c>
      <c r="AX298" s="111">
        <v>0</v>
      </c>
      <c r="AY298" s="111">
        <v>0</v>
      </c>
      <c r="AZ298" s="111">
        <v>0</v>
      </c>
      <c r="BA298" s="111">
        <v>0</v>
      </c>
      <c r="BB298" s="111">
        <v>0</v>
      </c>
      <c r="BC298" s="111">
        <v>0</v>
      </c>
      <c r="BD298" s="111">
        <v>0</v>
      </c>
      <c r="BE298" s="111">
        <v>0</v>
      </c>
      <c r="BF298" s="111">
        <v>0</v>
      </c>
      <c r="BG298" s="115">
        <v>51951.452999999994</v>
      </c>
      <c r="BH298" s="111">
        <v>0</v>
      </c>
      <c r="BI298" s="111">
        <v>0</v>
      </c>
      <c r="BJ298" s="111">
        <v>0</v>
      </c>
      <c r="BK298" s="111">
        <v>0</v>
      </c>
      <c r="BL298" s="111">
        <v>0</v>
      </c>
      <c r="BM298" s="111">
        <v>0</v>
      </c>
      <c r="BN298" s="111">
        <v>0</v>
      </c>
      <c r="BO298" s="111">
        <v>0</v>
      </c>
      <c r="BP298" s="112">
        <v>0</v>
      </c>
      <c r="BQ298" s="110">
        <v>0</v>
      </c>
      <c r="BR298" s="111"/>
      <c r="BS298" s="111"/>
      <c r="BT298" s="112">
        <v>0</v>
      </c>
      <c r="BU298" s="110">
        <v>0</v>
      </c>
      <c r="BV298" s="111"/>
      <c r="BW298" s="112">
        <v>0</v>
      </c>
      <c r="BX298" s="110">
        <v>0</v>
      </c>
      <c r="BY298" s="111">
        <v>0</v>
      </c>
      <c r="BZ298" s="111">
        <v>0</v>
      </c>
      <c r="CA298" s="111">
        <v>0</v>
      </c>
      <c r="CB298" s="111">
        <v>0</v>
      </c>
      <c r="CC298" s="111">
        <v>0</v>
      </c>
      <c r="CD298" s="112">
        <v>0</v>
      </c>
      <c r="CE298" s="113">
        <v>0</v>
      </c>
      <c r="CF298" s="117">
        <v>51951.452999999994</v>
      </c>
    </row>
    <row r="299" spans="1:84">
      <c r="A299" s="280"/>
      <c r="B299" s="28" t="s">
        <v>98</v>
      </c>
      <c r="C299" s="110">
        <v>0</v>
      </c>
      <c r="D299" s="111">
        <v>0</v>
      </c>
      <c r="E299" s="111">
        <v>0</v>
      </c>
      <c r="F299" s="111">
        <v>0</v>
      </c>
      <c r="G299" s="111">
        <v>0</v>
      </c>
      <c r="H299" s="111">
        <v>0</v>
      </c>
      <c r="I299" s="111">
        <v>0</v>
      </c>
      <c r="J299" s="111">
        <v>0</v>
      </c>
      <c r="K299" s="111">
        <v>0</v>
      </c>
      <c r="L299" s="111">
        <v>0</v>
      </c>
      <c r="M299" s="111">
        <v>0</v>
      </c>
      <c r="N299" s="111">
        <v>0</v>
      </c>
      <c r="O299" s="111">
        <v>0</v>
      </c>
      <c r="P299" s="111">
        <v>0</v>
      </c>
      <c r="Q299" s="111">
        <v>0</v>
      </c>
      <c r="R299" s="111">
        <v>0</v>
      </c>
      <c r="S299" s="111">
        <v>0</v>
      </c>
      <c r="T299" s="111">
        <v>0</v>
      </c>
      <c r="U299" s="111">
        <v>0</v>
      </c>
      <c r="V299" s="111">
        <v>0</v>
      </c>
      <c r="W299" s="111">
        <v>0</v>
      </c>
      <c r="X299" s="111">
        <v>0</v>
      </c>
      <c r="Y299" s="111">
        <v>0</v>
      </c>
      <c r="Z299" s="111">
        <v>0</v>
      </c>
      <c r="AA299" s="111">
        <v>0</v>
      </c>
      <c r="AB299" s="111">
        <v>0</v>
      </c>
      <c r="AC299" s="111">
        <v>0</v>
      </c>
      <c r="AD299" s="111">
        <v>0</v>
      </c>
      <c r="AE299" s="111">
        <v>0</v>
      </c>
      <c r="AF299" s="111">
        <v>0</v>
      </c>
      <c r="AG299" s="111">
        <v>0</v>
      </c>
      <c r="AH299" s="111">
        <v>0</v>
      </c>
      <c r="AI299" s="112">
        <v>0</v>
      </c>
      <c r="AJ299" s="110">
        <v>0</v>
      </c>
      <c r="AK299" s="111">
        <v>0</v>
      </c>
      <c r="AL299" s="111">
        <v>0</v>
      </c>
      <c r="AM299" s="111">
        <v>0</v>
      </c>
      <c r="AN299" s="111">
        <v>0</v>
      </c>
      <c r="AO299" s="111">
        <v>0</v>
      </c>
      <c r="AP299" s="111">
        <v>0</v>
      </c>
      <c r="AQ299" s="111">
        <v>0</v>
      </c>
      <c r="AR299" s="111">
        <v>0</v>
      </c>
      <c r="AS299" s="111">
        <v>0</v>
      </c>
      <c r="AT299" s="111">
        <v>0</v>
      </c>
      <c r="AU299" s="111">
        <v>0</v>
      </c>
      <c r="AV299" s="111">
        <v>0</v>
      </c>
      <c r="AW299" s="111">
        <v>0</v>
      </c>
      <c r="AX299" s="111">
        <v>0</v>
      </c>
      <c r="AY299" s="111">
        <v>0</v>
      </c>
      <c r="AZ299" s="111">
        <v>0</v>
      </c>
      <c r="BA299" s="111">
        <v>0</v>
      </c>
      <c r="BB299" s="111">
        <v>0</v>
      </c>
      <c r="BC299" s="111">
        <v>0</v>
      </c>
      <c r="BD299" s="111">
        <v>0</v>
      </c>
      <c r="BE299" s="111">
        <v>0</v>
      </c>
      <c r="BF299" s="111">
        <v>0</v>
      </c>
      <c r="BG299" s="111">
        <v>0</v>
      </c>
      <c r="BH299" s="115">
        <v>33978.014777243785</v>
      </c>
      <c r="BI299" s="111">
        <v>0</v>
      </c>
      <c r="BJ299" s="111">
        <v>0</v>
      </c>
      <c r="BK299" s="111">
        <v>0</v>
      </c>
      <c r="BL299" s="111">
        <v>0</v>
      </c>
      <c r="BM299" s="111">
        <v>0</v>
      </c>
      <c r="BN299" s="111">
        <v>0</v>
      </c>
      <c r="BO299" s="111">
        <v>0</v>
      </c>
      <c r="BP299" s="112">
        <v>0</v>
      </c>
      <c r="BQ299" s="110">
        <v>0</v>
      </c>
      <c r="BR299" s="111"/>
      <c r="BS299" s="111"/>
      <c r="BT299" s="112">
        <v>0</v>
      </c>
      <c r="BU299" s="110">
        <v>0</v>
      </c>
      <c r="BV299" s="111"/>
      <c r="BW299" s="112">
        <v>0</v>
      </c>
      <c r="BX299" s="110">
        <v>0</v>
      </c>
      <c r="BY299" s="111">
        <v>0</v>
      </c>
      <c r="BZ299" s="111">
        <v>0</v>
      </c>
      <c r="CA299" s="111">
        <v>0</v>
      </c>
      <c r="CB299" s="111">
        <v>0</v>
      </c>
      <c r="CC299" s="111">
        <v>0</v>
      </c>
      <c r="CD299" s="112">
        <v>0</v>
      </c>
      <c r="CE299" s="113">
        <v>0</v>
      </c>
      <c r="CF299" s="117">
        <v>33978.014777243792</v>
      </c>
    </row>
    <row r="300" spans="1:84">
      <c r="A300" s="280"/>
      <c r="B300" s="28" t="s">
        <v>99</v>
      </c>
      <c r="C300" s="110">
        <v>0</v>
      </c>
      <c r="D300" s="111">
        <v>0</v>
      </c>
      <c r="E300" s="111">
        <v>0</v>
      </c>
      <c r="F300" s="111">
        <v>0</v>
      </c>
      <c r="G300" s="111">
        <v>0</v>
      </c>
      <c r="H300" s="111">
        <v>0</v>
      </c>
      <c r="I300" s="111">
        <v>0</v>
      </c>
      <c r="J300" s="111">
        <v>0</v>
      </c>
      <c r="K300" s="111">
        <v>0</v>
      </c>
      <c r="L300" s="111">
        <v>0</v>
      </c>
      <c r="M300" s="111">
        <v>0</v>
      </c>
      <c r="N300" s="111">
        <v>0</v>
      </c>
      <c r="O300" s="111">
        <v>0</v>
      </c>
      <c r="P300" s="111">
        <v>0</v>
      </c>
      <c r="Q300" s="111">
        <v>0</v>
      </c>
      <c r="R300" s="111">
        <v>0</v>
      </c>
      <c r="S300" s="111">
        <v>0</v>
      </c>
      <c r="T300" s="111">
        <v>0</v>
      </c>
      <c r="U300" s="111">
        <v>0</v>
      </c>
      <c r="V300" s="111">
        <v>0</v>
      </c>
      <c r="W300" s="111">
        <v>0</v>
      </c>
      <c r="X300" s="111">
        <v>0</v>
      </c>
      <c r="Y300" s="111">
        <v>0</v>
      </c>
      <c r="Z300" s="111">
        <v>0</v>
      </c>
      <c r="AA300" s="111">
        <v>0</v>
      </c>
      <c r="AB300" s="111">
        <v>0</v>
      </c>
      <c r="AC300" s="111">
        <v>0</v>
      </c>
      <c r="AD300" s="111">
        <v>0</v>
      </c>
      <c r="AE300" s="111">
        <v>0</v>
      </c>
      <c r="AF300" s="111">
        <v>0</v>
      </c>
      <c r="AG300" s="111">
        <v>0</v>
      </c>
      <c r="AH300" s="111">
        <v>0</v>
      </c>
      <c r="AI300" s="112">
        <v>0</v>
      </c>
      <c r="AJ300" s="110">
        <v>0</v>
      </c>
      <c r="AK300" s="111">
        <v>0</v>
      </c>
      <c r="AL300" s="111">
        <v>0</v>
      </c>
      <c r="AM300" s="111">
        <v>0</v>
      </c>
      <c r="AN300" s="111">
        <v>0</v>
      </c>
      <c r="AO300" s="111">
        <v>0</v>
      </c>
      <c r="AP300" s="111">
        <v>0</v>
      </c>
      <c r="AQ300" s="111">
        <v>0</v>
      </c>
      <c r="AR300" s="111">
        <v>0</v>
      </c>
      <c r="AS300" s="111">
        <v>0</v>
      </c>
      <c r="AT300" s="111">
        <v>0</v>
      </c>
      <c r="AU300" s="111">
        <v>0</v>
      </c>
      <c r="AV300" s="111">
        <v>0</v>
      </c>
      <c r="AW300" s="111">
        <v>0</v>
      </c>
      <c r="AX300" s="111">
        <v>0</v>
      </c>
      <c r="AY300" s="111">
        <v>0</v>
      </c>
      <c r="AZ300" s="111">
        <v>0</v>
      </c>
      <c r="BA300" s="111">
        <v>0</v>
      </c>
      <c r="BB300" s="111">
        <v>0</v>
      </c>
      <c r="BC300" s="111">
        <v>0</v>
      </c>
      <c r="BD300" s="111">
        <v>0</v>
      </c>
      <c r="BE300" s="111">
        <v>0</v>
      </c>
      <c r="BF300" s="111">
        <v>0</v>
      </c>
      <c r="BG300" s="111">
        <v>0</v>
      </c>
      <c r="BH300" s="111">
        <v>0</v>
      </c>
      <c r="BI300" s="115">
        <v>68358.296123052918</v>
      </c>
      <c r="BJ300" s="111">
        <v>0</v>
      </c>
      <c r="BK300" s="111">
        <v>0</v>
      </c>
      <c r="BL300" s="111">
        <v>0</v>
      </c>
      <c r="BM300" s="111">
        <v>0</v>
      </c>
      <c r="BN300" s="111">
        <v>0</v>
      </c>
      <c r="BO300" s="111">
        <v>0</v>
      </c>
      <c r="BP300" s="112">
        <v>0</v>
      </c>
      <c r="BQ300" s="110">
        <v>0</v>
      </c>
      <c r="BR300" s="111"/>
      <c r="BS300" s="111"/>
      <c r="BT300" s="112">
        <v>0</v>
      </c>
      <c r="BU300" s="110">
        <v>0</v>
      </c>
      <c r="BV300" s="111"/>
      <c r="BW300" s="112">
        <v>0</v>
      </c>
      <c r="BX300" s="110">
        <v>0</v>
      </c>
      <c r="BY300" s="111">
        <v>0</v>
      </c>
      <c r="BZ300" s="111">
        <v>0</v>
      </c>
      <c r="CA300" s="111">
        <v>0</v>
      </c>
      <c r="CB300" s="111">
        <v>0</v>
      </c>
      <c r="CC300" s="111">
        <v>0</v>
      </c>
      <c r="CD300" s="112">
        <v>0</v>
      </c>
      <c r="CE300" s="113">
        <v>0</v>
      </c>
      <c r="CF300" s="117">
        <v>68358.296123052933</v>
      </c>
    </row>
    <row r="301" spans="1:84">
      <c r="A301" s="280"/>
      <c r="B301" s="28" t="s">
        <v>100</v>
      </c>
      <c r="C301" s="110">
        <v>0</v>
      </c>
      <c r="D301" s="111">
        <v>0</v>
      </c>
      <c r="E301" s="111">
        <v>0</v>
      </c>
      <c r="F301" s="111">
        <v>0</v>
      </c>
      <c r="G301" s="111">
        <v>0</v>
      </c>
      <c r="H301" s="111">
        <v>0</v>
      </c>
      <c r="I301" s="111">
        <v>0</v>
      </c>
      <c r="J301" s="111">
        <v>0</v>
      </c>
      <c r="K301" s="111">
        <v>0</v>
      </c>
      <c r="L301" s="111">
        <v>0</v>
      </c>
      <c r="M301" s="111">
        <v>0</v>
      </c>
      <c r="N301" s="111">
        <v>0</v>
      </c>
      <c r="O301" s="111">
        <v>0</v>
      </c>
      <c r="P301" s="111">
        <v>0</v>
      </c>
      <c r="Q301" s="111">
        <v>0</v>
      </c>
      <c r="R301" s="111">
        <v>0</v>
      </c>
      <c r="S301" s="111">
        <v>0</v>
      </c>
      <c r="T301" s="111">
        <v>0</v>
      </c>
      <c r="U301" s="111">
        <v>0</v>
      </c>
      <c r="V301" s="111">
        <v>0</v>
      </c>
      <c r="W301" s="111">
        <v>0</v>
      </c>
      <c r="X301" s="111">
        <v>0</v>
      </c>
      <c r="Y301" s="111">
        <v>0</v>
      </c>
      <c r="Z301" s="111">
        <v>0</v>
      </c>
      <c r="AA301" s="111">
        <v>0</v>
      </c>
      <c r="AB301" s="111">
        <v>0</v>
      </c>
      <c r="AC301" s="111">
        <v>0</v>
      </c>
      <c r="AD301" s="111">
        <v>0</v>
      </c>
      <c r="AE301" s="111">
        <v>0</v>
      </c>
      <c r="AF301" s="111">
        <v>0</v>
      </c>
      <c r="AG301" s="111">
        <v>0</v>
      </c>
      <c r="AH301" s="111">
        <v>0</v>
      </c>
      <c r="AI301" s="112">
        <v>0</v>
      </c>
      <c r="AJ301" s="110">
        <v>0</v>
      </c>
      <c r="AK301" s="111">
        <v>0</v>
      </c>
      <c r="AL301" s="111">
        <v>0</v>
      </c>
      <c r="AM301" s="111">
        <v>0</v>
      </c>
      <c r="AN301" s="111">
        <v>0</v>
      </c>
      <c r="AO301" s="111">
        <v>0</v>
      </c>
      <c r="AP301" s="111">
        <v>0</v>
      </c>
      <c r="AQ301" s="111">
        <v>0</v>
      </c>
      <c r="AR301" s="111">
        <v>0</v>
      </c>
      <c r="AS301" s="111">
        <v>0</v>
      </c>
      <c r="AT301" s="111">
        <v>0</v>
      </c>
      <c r="AU301" s="111">
        <v>0</v>
      </c>
      <c r="AV301" s="111">
        <v>0</v>
      </c>
      <c r="AW301" s="111">
        <v>0</v>
      </c>
      <c r="AX301" s="111">
        <v>0</v>
      </c>
      <c r="AY301" s="111">
        <v>0</v>
      </c>
      <c r="AZ301" s="111">
        <v>0</v>
      </c>
      <c r="BA301" s="111">
        <v>0</v>
      </c>
      <c r="BB301" s="111">
        <v>0</v>
      </c>
      <c r="BC301" s="111">
        <v>0</v>
      </c>
      <c r="BD301" s="111">
        <v>0</v>
      </c>
      <c r="BE301" s="111">
        <v>0</v>
      </c>
      <c r="BF301" s="111">
        <v>0</v>
      </c>
      <c r="BG301" s="111">
        <v>0</v>
      </c>
      <c r="BH301" s="111">
        <v>0</v>
      </c>
      <c r="BI301" s="111">
        <v>0</v>
      </c>
      <c r="BJ301" s="115">
        <v>51738.011936033465</v>
      </c>
      <c r="BK301" s="111">
        <v>0</v>
      </c>
      <c r="BL301" s="111">
        <v>0</v>
      </c>
      <c r="BM301" s="111">
        <v>0</v>
      </c>
      <c r="BN301" s="111">
        <v>0</v>
      </c>
      <c r="BO301" s="111">
        <v>0</v>
      </c>
      <c r="BP301" s="112">
        <v>0</v>
      </c>
      <c r="BQ301" s="110">
        <v>0</v>
      </c>
      <c r="BR301" s="111"/>
      <c r="BS301" s="111"/>
      <c r="BT301" s="112">
        <v>0</v>
      </c>
      <c r="BU301" s="110">
        <v>0</v>
      </c>
      <c r="BV301" s="111"/>
      <c r="BW301" s="112">
        <v>0</v>
      </c>
      <c r="BX301" s="110">
        <v>0</v>
      </c>
      <c r="BY301" s="111">
        <v>0</v>
      </c>
      <c r="BZ301" s="111">
        <v>0</v>
      </c>
      <c r="CA301" s="111">
        <v>0</v>
      </c>
      <c r="CB301" s="111">
        <v>0</v>
      </c>
      <c r="CC301" s="111">
        <v>0</v>
      </c>
      <c r="CD301" s="112">
        <v>0</v>
      </c>
      <c r="CE301" s="113">
        <v>0</v>
      </c>
      <c r="CF301" s="117">
        <v>51738.011936033472</v>
      </c>
    </row>
    <row r="302" spans="1:84">
      <c r="A302" s="280"/>
      <c r="B302" s="28" t="s">
        <v>101</v>
      </c>
      <c r="C302" s="110">
        <v>0</v>
      </c>
      <c r="D302" s="111">
        <v>0</v>
      </c>
      <c r="E302" s="111">
        <v>0</v>
      </c>
      <c r="F302" s="111">
        <v>0</v>
      </c>
      <c r="G302" s="111">
        <v>0</v>
      </c>
      <c r="H302" s="111">
        <v>0</v>
      </c>
      <c r="I302" s="111">
        <v>0</v>
      </c>
      <c r="J302" s="111">
        <v>0</v>
      </c>
      <c r="K302" s="111">
        <v>0</v>
      </c>
      <c r="L302" s="111">
        <v>0</v>
      </c>
      <c r="M302" s="111">
        <v>0</v>
      </c>
      <c r="N302" s="111">
        <v>0</v>
      </c>
      <c r="O302" s="111">
        <v>0</v>
      </c>
      <c r="P302" s="111">
        <v>0</v>
      </c>
      <c r="Q302" s="111">
        <v>0</v>
      </c>
      <c r="R302" s="111">
        <v>0</v>
      </c>
      <c r="S302" s="111">
        <v>0</v>
      </c>
      <c r="T302" s="111">
        <v>0</v>
      </c>
      <c r="U302" s="111">
        <v>0</v>
      </c>
      <c r="V302" s="111">
        <v>0</v>
      </c>
      <c r="W302" s="111">
        <v>0</v>
      </c>
      <c r="X302" s="111">
        <v>0</v>
      </c>
      <c r="Y302" s="111">
        <v>0</v>
      </c>
      <c r="Z302" s="111">
        <v>0</v>
      </c>
      <c r="AA302" s="111">
        <v>0</v>
      </c>
      <c r="AB302" s="111">
        <v>0</v>
      </c>
      <c r="AC302" s="111">
        <v>0</v>
      </c>
      <c r="AD302" s="111">
        <v>0</v>
      </c>
      <c r="AE302" s="111">
        <v>0</v>
      </c>
      <c r="AF302" s="111">
        <v>0</v>
      </c>
      <c r="AG302" s="111">
        <v>0</v>
      </c>
      <c r="AH302" s="111">
        <v>0</v>
      </c>
      <c r="AI302" s="112">
        <v>0</v>
      </c>
      <c r="AJ302" s="110">
        <v>0</v>
      </c>
      <c r="AK302" s="111">
        <v>0</v>
      </c>
      <c r="AL302" s="111">
        <v>0</v>
      </c>
      <c r="AM302" s="111">
        <v>0</v>
      </c>
      <c r="AN302" s="111">
        <v>0</v>
      </c>
      <c r="AO302" s="111">
        <v>0</v>
      </c>
      <c r="AP302" s="111">
        <v>0</v>
      </c>
      <c r="AQ302" s="111">
        <v>0</v>
      </c>
      <c r="AR302" s="111">
        <v>0</v>
      </c>
      <c r="AS302" s="111">
        <v>0</v>
      </c>
      <c r="AT302" s="111">
        <v>0</v>
      </c>
      <c r="AU302" s="111">
        <v>0</v>
      </c>
      <c r="AV302" s="111">
        <v>0</v>
      </c>
      <c r="AW302" s="111">
        <v>0</v>
      </c>
      <c r="AX302" s="111">
        <v>0</v>
      </c>
      <c r="AY302" s="111">
        <v>0</v>
      </c>
      <c r="AZ302" s="111">
        <v>0</v>
      </c>
      <c r="BA302" s="111">
        <v>0</v>
      </c>
      <c r="BB302" s="111">
        <v>0</v>
      </c>
      <c r="BC302" s="111">
        <v>0</v>
      </c>
      <c r="BD302" s="111">
        <v>0</v>
      </c>
      <c r="BE302" s="111">
        <v>0</v>
      </c>
      <c r="BF302" s="111">
        <v>0</v>
      </c>
      <c r="BG302" s="111">
        <v>0</v>
      </c>
      <c r="BH302" s="111">
        <v>0</v>
      </c>
      <c r="BI302" s="111">
        <v>0</v>
      </c>
      <c r="BJ302" s="111">
        <v>0</v>
      </c>
      <c r="BK302" s="115">
        <v>92686.291595032715</v>
      </c>
      <c r="BL302" s="111">
        <v>0</v>
      </c>
      <c r="BM302" s="111">
        <v>0</v>
      </c>
      <c r="BN302" s="111">
        <v>0</v>
      </c>
      <c r="BO302" s="111">
        <v>0</v>
      </c>
      <c r="BP302" s="112">
        <v>0</v>
      </c>
      <c r="BQ302" s="110">
        <v>0</v>
      </c>
      <c r="BR302" s="111"/>
      <c r="BS302" s="111"/>
      <c r="BT302" s="112">
        <v>0</v>
      </c>
      <c r="BU302" s="110">
        <v>0</v>
      </c>
      <c r="BV302" s="111"/>
      <c r="BW302" s="112">
        <v>0</v>
      </c>
      <c r="BX302" s="110">
        <v>0</v>
      </c>
      <c r="BY302" s="111">
        <v>0</v>
      </c>
      <c r="BZ302" s="111">
        <v>0</v>
      </c>
      <c r="CA302" s="111">
        <v>0</v>
      </c>
      <c r="CB302" s="111">
        <v>0</v>
      </c>
      <c r="CC302" s="111">
        <v>0</v>
      </c>
      <c r="CD302" s="112">
        <v>0</v>
      </c>
      <c r="CE302" s="113">
        <v>0</v>
      </c>
      <c r="CF302" s="117">
        <v>92686.29159503273</v>
      </c>
    </row>
    <row r="303" spans="1:84">
      <c r="A303" s="280"/>
      <c r="B303" s="28" t="s">
        <v>102</v>
      </c>
      <c r="C303" s="110">
        <v>0</v>
      </c>
      <c r="D303" s="111">
        <v>0</v>
      </c>
      <c r="E303" s="111">
        <v>0</v>
      </c>
      <c r="F303" s="111">
        <v>0</v>
      </c>
      <c r="G303" s="111">
        <v>0</v>
      </c>
      <c r="H303" s="111">
        <v>0</v>
      </c>
      <c r="I303" s="111">
        <v>0</v>
      </c>
      <c r="J303" s="111">
        <v>0</v>
      </c>
      <c r="K303" s="111">
        <v>0</v>
      </c>
      <c r="L303" s="111">
        <v>0</v>
      </c>
      <c r="M303" s="111">
        <v>0</v>
      </c>
      <c r="N303" s="111">
        <v>0</v>
      </c>
      <c r="O303" s="111">
        <v>0</v>
      </c>
      <c r="P303" s="111">
        <v>0</v>
      </c>
      <c r="Q303" s="111">
        <v>0</v>
      </c>
      <c r="R303" s="111">
        <v>0</v>
      </c>
      <c r="S303" s="111">
        <v>0</v>
      </c>
      <c r="T303" s="111">
        <v>0</v>
      </c>
      <c r="U303" s="111">
        <v>0</v>
      </c>
      <c r="V303" s="111">
        <v>0</v>
      </c>
      <c r="W303" s="111">
        <v>0</v>
      </c>
      <c r="X303" s="111">
        <v>0</v>
      </c>
      <c r="Y303" s="111">
        <v>0</v>
      </c>
      <c r="Z303" s="111">
        <v>0</v>
      </c>
      <c r="AA303" s="111">
        <v>0</v>
      </c>
      <c r="AB303" s="111">
        <v>0</v>
      </c>
      <c r="AC303" s="111">
        <v>0</v>
      </c>
      <c r="AD303" s="111">
        <v>0</v>
      </c>
      <c r="AE303" s="111">
        <v>0</v>
      </c>
      <c r="AF303" s="111">
        <v>0</v>
      </c>
      <c r="AG303" s="111">
        <v>0</v>
      </c>
      <c r="AH303" s="111">
        <v>0</v>
      </c>
      <c r="AI303" s="112">
        <v>0</v>
      </c>
      <c r="AJ303" s="110">
        <v>0</v>
      </c>
      <c r="AK303" s="111">
        <v>0</v>
      </c>
      <c r="AL303" s="111">
        <v>0</v>
      </c>
      <c r="AM303" s="111">
        <v>0</v>
      </c>
      <c r="AN303" s="111">
        <v>0</v>
      </c>
      <c r="AO303" s="111">
        <v>0</v>
      </c>
      <c r="AP303" s="111">
        <v>0</v>
      </c>
      <c r="AQ303" s="111">
        <v>0</v>
      </c>
      <c r="AR303" s="111">
        <v>0</v>
      </c>
      <c r="AS303" s="111">
        <v>0</v>
      </c>
      <c r="AT303" s="111">
        <v>0</v>
      </c>
      <c r="AU303" s="111">
        <v>0</v>
      </c>
      <c r="AV303" s="111">
        <v>0</v>
      </c>
      <c r="AW303" s="111">
        <v>0</v>
      </c>
      <c r="AX303" s="111">
        <v>0</v>
      </c>
      <c r="AY303" s="111">
        <v>0</v>
      </c>
      <c r="AZ303" s="111">
        <v>0</v>
      </c>
      <c r="BA303" s="111">
        <v>0</v>
      </c>
      <c r="BB303" s="111">
        <v>0</v>
      </c>
      <c r="BC303" s="111">
        <v>0</v>
      </c>
      <c r="BD303" s="111">
        <v>0</v>
      </c>
      <c r="BE303" s="111">
        <v>0</v>
      </c>
      <c r="BF303" s="111">
        <v>0</v>
      </c>
      <c r="BG303" s="111">
        <v>0</v>
      </c>
      <c r="BH303" s="111">
        <v>0</v>
      </c>
      <c r="BI303" s="111">
        <v>0</v>
      </c>
      <c r="BJ303" s="111">
        <v>0</v>
      </c>
      <c r="BK303" s="111">
        <v>0</v>
      </c>
      <c r="BL303" s="115">
        <v>48821.366518956798</v>
      </c>
      <c r="BM303" s="111">
        <v>0</v>
      </c>
      <c r="BN303" s="111">
        <v>0</v>
      </c>
      <c r="BO303" s="111">
        <v>0</v>
      </c>
      <c r="BP303" s="112">
        <v>0</v>
      </c>
      <c r="BQ303" s="110">
        <v>0</v>
      </c>
      <c r="BR303" s="111"/>
      <c r="BS303" s="111"/>
      <c r="BT303" s="112">
        <v>0</v>
      </c>
      <c r="BU303" s="110">
        <v>0</v>
      </c>
      <c r="BV303" s="111"/>
      <c r="BW303" s="112">
        <v>0</v>
      </c>
      <c r="BX303" s="110">
        <v>0</v>
      </c>
      <c r="BY303" s="111">
        <v>0</v>
      </c>
      <c r="BZ303" s="111">
        <v>0</v>
      </c>
      <c r="CA303" s="111">
        <v>0</v>
      </c>
      <c r="CB303" s="111">
        <v>0</v>
      </c>
      <c r="CC303" s="111">
        <v>0</v>
      </c>
      <c r="CD303" s="112">
        <v>0</v>
      </c>
      <c r="CE303" s="113">
        <v>0</v>
      </c>
      <c r="CF303" s="117">
        <v>48821.366518956798</v>
      </c>
    </row>
    <row r="304" spans="1:84">
      <c r="A304" s="280"/>
      <c r="B304" s="28" t="s">
        <v>103</v>
      </c>
      <c r="C304" s="110">
        <v>0</v>
      </c>
      <c r="D304" s="111">
        <v>0</v>
      </c>
      <c r="E304" s="111">
        <v>0</v>
      </c>
      <c r="F304" s="111">
        <v>0</v>
      </c>
      <c r="G304" s="111">
        <v>0</v>
      </c>
      <c r="H304" s="111">
        <v>0</v>
      </c>
      <c r="I304" s="111">
        <v>0</v>
      </c>
      <c r="J304" s="111">
        <v>0</v>
      </c>
      <c r="K304" s="111">
        <v>0</v>
      </c>
      <c r="L304" s="111">
        <v>0</v>
      </c>
      <c r="M304" s="111">
        <v>0</v>
      </c>
      <c r="N304" s="111">
        <v>0</v>
      </c>
      <c r="O304" s="111">
        <v>0</v>
      </c>
      <c r="P304" s="111">
        <v>0</v>
      </c>
      <c r="Q304" s="111">
        <v>0</v>
      </c>
      <c r="R304" s="111">
        <v>0</v>
      </c>
      <c r="S304" s="111">
        <v>0</v>
      </c>
      <c r="T304" s="111">
        <v>0</v>
      </c>
      <c r="U304" s="111">
        <v>0</v>
      </c>
      <c r="V304" s="111">
        <v>0</v>
      </c>
      <c r="W304" s="111">
        <v>0</v>
      </c>
      <c r="X304" s="111">
        <v>0</v>
      </c>
      <c r="Y304" s="111">
        <v>0</v>
      </c>
      <c r="Z304" s="111">
        <v>0</v>
      </c>
      <c r="AA304" s="111">
        <v>0</v>
      </c>
      <c r="AB304" s="111">
        <v>0</v>
      </c>
      <c r="AC304" s="111">
        <v>0</v>
      </c>
      <c r="AD304" s="111">
        <v>0</v>
      </c>
      <c r="AE304" s="111">
        <v>0</v>
      </c>
      <c r="AF304" s="111">
        <v>0</v>
      </c>
      <c r="AG304" s="111">
        <v>0</v>
      </c>
      <c r="AH304" s="111">
        <v>0</v>
      </c>
      <c r="AI304" s="112">
        <v>0</v>
      </c>
      <c r="AJ304" s="110">
        <v>0</v>
      </c>
      <c r="AK304" s="111">
        <v>0</v>
      </c>
      <c r="AL304" s="111">
        <v>0</v>
      </c>
      <c r="AM304" s="111">
        <v>0</v>
      </c>
      <c r="AN304" s="111">
        <v>0</v>
      </c>
      <c r="AO304" s="111">
        <v>0</v>
      </c>
      <c r="AP304" s="111">
        <v>0</v>
      </c>
      <c r="AQ304" s="111">
        <v>0</v>
      </c>
      <c r="AR304" s="111">
        <v>0</v>
      </c>
      <c r="AS304" s="111">
        <v>0</v>
      </c>
      <c r="AT304" s="111">
        <v>0</v>
      </c>
      <c r="AU304" s="111">
        <v>0</v>
      </c>
      <c r="AV304" s="111">
        <v>0</v>
      </c>
      <c r="AW304" s="111">
        <v>0</v>
      </c>
      <c r="AX304" s="111">
        <v>0</v>
      </c>
      <c r="AY304" s="111">
        <v>0</v>
      </c>
      <c r="AZ304" s="111">
        <v>0</v>
      </c>
      <c r="BA304" s="111">
        <v>0</v>
      </c>
      <c r="BB304" s="111">
        <v>0</v>
      </c>
      <c r="BC304" s="111">
        <v>0</v>
      </c>
      <c r="BD304" s="111">
        <v>0</v>
      </c>
      <c r="BE304" s="111">
        <v>0</v>
      </c>
      <c r="BF304" s="111">
        <v>0</v>
      </c>
      <c r="BG304" s="111">
        <v>0</v>
      </c>
      <c r="BH304" s="111">
        <v>0</v>
      </c>
      <c r="BI304" s="111">
        <v>0</v>
      </c>
      <c r="BJ304" s="111">
        <v>0</v>
      </c>
      <c r="BK304" s="111">
        <v>0</v>
      </c>
      <c r="BL304" s="111">
        <v>0</v>
      </c>
      <c r="BM304" s="115">
        <v>12497.736973482994</v>
      </c>
      <c r="BN304" s="111">
        <v>0</v>
      </c>
      <c r="BO304" s="111">
        <v>0</v>
      </c>
      <c r="BP304" s="112">
        <v>0</v>
      </c>
      <c r="BQ304" s="110">
        <v>0</v>
      </c>
      <c r="BR304" s="111"/>
      <c r="BS304" s="111"/>
      <c r="BT304" s="112">
        <v>0</v>
      </c>
      <c r="BU304" s="110">
        <v>0</v>
      </c>
      <c r="BV304" s="111"/>
      <c r="BW304" s="112">
        <v>0</v>
      </c>
      <c r="BX304" s="110">
        <v>0</v>
      </c>
      <c r="BY304" s="111">
        <v>0</v>
      </c>
      <c r="BZ304" s="111">
        <v>0</v>
      </c>
      <c r="CA304" s="111">
        <v>0</v>
      </c>
      <c r="CB304" s="111">
        <v>0</v>
      </c>
      <c r="CC304" s="111">
        <v>0</v>
      </c>
      <c r="CD304" s="112">
        <v>0</v>
      </c>
      <c r="CE304" s="113">
        <v>0</v>
      </c>
      <c r="CF304" s="117">
        <v>12497.736973482995</v>
      </c>
    </row>
    <row r="305" spans="1:84">
      <c r="A305" s="280"/>
      <c r="B305" s="28" t="s">
        <v>104</v>
      </c>
      <c r="C305" s="110">
        <v>0</v>
      </c>
      <c r="D305" s="111">
        <v>0</v>
      </c>
      <c r="E305" s="111">
        <v>0</v>
      </c>
      <c r="F305" s="111">
        <v>0</v>
      </c>
      <c r="G305" s="111">
        <v>0</v>
      </c>
      <c r="H305" s="111">
        <v>0</v>
      </c>
      <c r="I305" s="111">
        <v>0</v>
      </c>
      <c r="J305" s="111">
        <v>0</v>
      </c>
      <c r="K305" s="111">
        <v>0</v>
      </c>
      <c r="L305" s="111">
        <v>0</v>
      </c>
      <c r="M305" s="111">
        <v>0</v>
      </c>
      <c r="N305" s="111">
        <v>0</v>
      </c>
      <c r="O305" s="111">
        <v>0</v>
      </c>
      <c r="P305" s="111">
        <v>0</v>
      </c>
      <c r="Q305" s="111">
        <v>0</v>
      </c>
      <c r="R305" s="111">
        <v>0</v>
      </c>
      <c r="S305" s="111">
        <v>0</v>
      </c>
      <c r="T305" s="111">
        <v>0</v>
      </c>
      <c r="U305" s="111">
        <v>0</v>
      </c>
      <c r="V305" s="111">
        <v>0</v>
      </c>
      <c r="W305" s="111">
        <v>0</v>
      </c>
      <c r="X305" s="111">
        <v>0</v>
      </c>
      <c r="Y305" s="111">
        <v>0</v>
      </c>
      <c r="Z305" s="111">
        <v>0</v>
      </c>
      <c r="AA305" s="111">
        <v>0</v>
      </c>
      <c r="AB305" s="111">
        <v>0</v>
      </c>
      <c r="AC305" s="111">
        <v>0</v>
      </c>
      <c r="AD305" s="111">
        <v>0</v>
      </c>
      <c r="AE305" s="111">
        <v>0</v>
      </c>
      <c r="AF305" s="111">
        <v>0</v>
      </c>
      <c r="AG305" s="111">
        <v>0</v>
      </c>
      <c r="AH305" s="111">
        <v>0</v>
      </c>
      <c r="AI305" s="112">
        <v>0</v>
      </c>
      <c r="AJ305" s="110">
        <v>0</v>
      </c>
      <c r="AK305" s="111">
        <v>0</v>
      </c>
      <c r="AL305" s="111">
        <v>0</v>
      </c>
      <c r="AM305" s="111">
        <v>0</v>
      </c>
      <c r="AN305" s="111">
        <v>0</v>
      </c>
      <c r="AO305" s="111">
        <v>0</v>
      </c>
      <c r="AP305" s="111">
        <v>0</v>
      </c>
      <c r="AQ305" s="111">
        <v>0</v>
      </c>
      <c r="AR305" s="111">
        <v>0</v>
      </c>
      <c r="AS305" s="111">
        <v>0</v>
      </c>
      <c r="AT305" s="111">
        <v>0</v>
      </c>
      <c r="AU305" s="111">
        <v>0</v>
      </c>
      <c r="AV305" s="111">
        <v>0</v>
      </c>
      <c r="AW305" s="111">
        <v>0</v>
      </c>
      <c r="AX305" s="111">
        <v>0</v>
      </c>
      <c r="AY305" s="111">
        <v>0</v>
      </c>
      <c r="AZ305" s="111">
        <v>0</v>
      </c>
      <c r="BA305" s="111">
        <v>0</v>
      </c>
      <c r="BB305" s="111">
        <v>0</v>
      </c>
      <c r="BC305" s="111">
        <v>0</v>
      </c>
      <c r="BD305" s="111">
        <v>0</v>
      </c>
      <c r="BE305" s="111">
        <v>0</v>
      </c>
      <c r="BF305" s="111">
        <v>0</v>
      </c>
      <c r="BG305" s="111">
        <v>0</v>
      </c>
      <c r="BH305" s="111">
        <v>0</v>
      </c>
      <c r="BI305" s="111">
        <v>0</v>
      </c>
      <c r="BJ305" s="111">
        <v>0</v>
      </c>
      <c r="BK305" s="111">
        <v>0</v>
      </c>
      <c r="BL305" s="111">
        <v>0</v>
      </c>
      <c r="BM305" s="111">
        <v>0</v>
      </c>
      <c r="BN305" s="115">
        <v>11654.900466501786</v>
      </c>
      <c r="BO305" s="111">
        <v>0</v>
      </c>
      <c r="BP305" s="112">
        <v>0</v>
      </c>
      <c r="BQ305" s="110">
        <v>0</v>
      </c>
      <c r="BR305" s="111"/>
      <c r="BS305" s="111"/>
      <c r="BT305" s="112">
        <v>0</v>
      </c>
      <c r="BU305" s="110">
        <v>0</v>
      </c>
      <c r="BV305" s="111"/>
      <c r="BW305" s="112">
        <v>0</v>
      </c>
      <c r="BX305" s="110">
        <v>0</v>
      </c>
      <c r="BY305" s="111">
        <v>0</v>
      </c>
      <c r="BZ305" s="111">
        <v>0</v>
      </c>
      <c r="CA305" s="111">
        <v>0</v>
      </c>
      <c r="CB305" s="111">
        <v>0</v>
      </c>
      <c r="CC305" s="111">
        <v>0</v>
      </c>
      <c r="CD305" s="112">
        <v>0</v>
      </c>
      <c r="CE305" s="113">
        <v>0</v>
      </c>
      <c r="CF305" s="117">
        <v>11654.900466501786</v>
      </c>
    </row>
    <row r="306" spans="1:84">
      <c r="A306" s="280"/>
      <c r="B306" s="28" t="s">
        <v>105</v>
      </c>
      <c r="C306" s="110">
        <v>0</v>
      </c>
      <c r="D306" s="111">
        <v>0</v>
      </c>
      <c r="E306" s="111">
        <v>0</v>
      </c>
      <c r="F306" s="111">
        <v>0</v>
      </c>
      <c r="G306" s="111">
        <v>0</v>
      </c>
      <c r="H306" s="111">
        <v>0</v>
      </c>
      <c r="I306" s="111">
        <v>0</v>
      </c>
      <c r="J306" s="111">
        <v>0</v>
      </c>
      <c r="K306" s="111">
        <v>0</v>
      </c>
      <c r="L306" s="111">
        <v>0</v>
      </c>
      <c r="M306" s="111">
        <v>0</v>
      </c>
      <c r="N306" s="111">
        <v>0</v>
      </c>
      <c r="O306" s="111">
        <v>0</v>
      </c>
      <c r="P306" s="111">
        <v>0</v>
      </c>
      <c r="Q306" s="111">
        <v>0</v>
      </c>
      <c r="R306" s="111">
        <v>0</v>
      </c>
      <c r="S306" s="111">
        <v>0</v>
      </c>
      <c r="T306" s="111">
        <v>0</v>
      </c>
      <c r="U306" s="111">
        <v>0</v>
      </c>
      <c r="V306" s="111">
        <v>0</v>
      </c>
      <c r="W306" s="111">
        <v>0</v>
      </c>
      <c r="X306" s="111">
        <v>0</v>
      </c>
      <c r="Y306" s="111">
        <v>0</v>
      </c>
      <c r="Z306" s="111">
        <v>0</v>
      </c>
      <c r="AA306" s="111">
        <v>0</v>
      </c>
      <c r="AB306" s="111">
        <v>0</v>
      </c>
      <c r="AC306" s="111">
        <v>0</v>
      </c>
      <c r="AD306" s="111">
        <v>0</v>
      </c>
      <c r="AE306" s="111">
        <v>0</v>
      </c>
      <c r="AF306" s="111">
        <v>0</v>
      </c>
      <c r="AG306" s="111">
        <v>0</v>
      </c>
      <c r="AH306" s="111">
        <v>0</v>
      </c>
      <c r="AI306" s="112">
        <v>0</v>
      </c>
      <c r="AJ306" s="110">
        <v>0</v>
      </c>
      <c r="AK306" s="111">
        <v>0</v>
      </c>
      <c r="AL306" s="111">
        <v>0</v>
      </c>
      <c r="AM306" s="111">
        <v>0</v>
      </c>
      <c r="AN306" s="111">
        <v>0</v>
      </c>
      <c r="AO306" s="111">
        <v>0</v>
      </c>
      <c r="AP306" s="111">
        <v>0</v>
      </c>
      <c r="AQ306" s="111">
        <v>0</v>
      </c>
      <c r="AR306" s="111">
        <v>0</v>
      </c>
      <c r="AS306" s="111">
        <v>0</v>
      </c>
      <c r="AT306" s="111">
        <v>0</v>
      </c>
      <c r="AU306" s="111">
        <v>0</v>
      </c>
      <c r="AV306" s="111">
        <v>0</v>
      </c>
      <c r="AW306" s="111">
        <v>0</v>
      </c>
      <c r="AX306" s="111">
        <v>0</v>
      </c>
      <c r="AY306" s="111">
        <v>0</v>
      </c>
      <c r="AZ306" s="111">
        <v>0</v>
      </c>
      <c r="BA306" s="111">
        <v>0</v>
      </c>
      <c r="BB306" s="111">
        <v>0</v>
      </c>
      <c r="BC306" s="111">
        <v>0</v>
      </c>
      <c r="BD306" s="111">
        <v>0</v>
      </c>
      <c r="BE306" s="111">
        <v>0</v>
      </c>
      <c r="BF306" s="111">
        <v>0</v>
      </c>
      <c r="BG306" s="111">
        <v>0</v>
      </c>
      <c r="BH306" s="111">
        <v>0</v>
      </c>
      <c r="BI306" s="111">
        <v>0</v>
      </c>
      <c r="BJ306" s="111">
        <v>0</v>
      </c>
      <c r="BK306" s="111">
        <v>0</v>
      </c>
      <c r="BL306" s="111">
        <v>0</v>
      </c>
      <c r="BM306" s="111">
        <v>0</v>
      </c>
      <c r="BN306" s="111">
        <v>0</v>
      </c>
      <c r="BO306" s="115">
        <v>7820.8397258647346</v>
      </c>
      <c r="BP306" s="112">
        <v>0</v>
      </c>
      <c r="BQ306" s="110">
        <v>0</v>
      </c>
      <c r="BR306" s="111"/>
      <c r="BS306" s="111"/>
      <c r="BT306" s="112">
        <v>0</v>
      </c>
      <c r="BU306" s="110">
        <v>0</v>
      </c>
      <c r="BV306" s="111"/>
      <c r="BW306" s="112">
        <v>0</v>
      </c>
      <c r="BX306" s="110">
        <v>0</v>
      </c>
      <c r="BY306" s="111">
        <v>0</v>
      </c>
      <c r="BZ306" s="111">
        <v>0</v>
      </c>
      <c r="CA306" s="111">
        <v>0</v>
      </c>
      <c r="CB306" s="111">
        <v>0</v>
      </c>
      <c r="CC306" s="111">
        <v>0</v>
      </c>
      <c r="CD306" s="112">
        <v>0</v>
      </c>
      <c r="CE306" s="113">
        <v>0</v>
      </c>
      <c r="CF306" s="117">
        <v>7820.8397258647356</v>
      </c>
    </row>
    <row r="307" spans="1:84" ht="15" thickBot="1">
      <c r="A307" s="281"/>
      <c r="B307" s="42" t="s">
        <v>106</v>
      </c>
      <c r="C307" s="110">
        <v>0</v>
      </c>
      <c r="D307" s="111">
        <v>0</v>
      </c>
      <c r="E307" s="111">
        <v>0</v>
      </c>
      <c r="F307" s="111">
        <v>0</v>
      </c>
      <c r="G307" s="111">
        <v>0</v>
      </c>
      <c r="H307" s="111">
        <v>0</v>
      </c>
      <c r="I307" s="111">
        <v>0</v>
      </c>
      <c r="J307" s="111">
        <v>0</v>
      </c>
      <c r="K307" s="111">
        <v>0</v>
      </c>
      <c r="L307" s="111">
        <v>0</v>
      </c>
      <c r="M307" s="111">
        <v>0</v>
      </c>
      <c r="N307" s="111">
        <v>0</v>
      </c>
      <c r="O307" s="111">
        <v>0</v>
      </c>
      <c r="P307" s="111">
        <v>0</v>
      </c>
      <c r="Q307" s="111">
        <v>0</v>
      </c>
      <c r="R307" s="111">
        <v>0</v>
      </c>
      <c r="S307" s="111">
        <v>0</v>
      </c>
      <c r="T307" s="111">
        <v>0</v>
      </c>
      <c r="U307" s="111">
        <v>0</v>
      </c>
      <c r="V307" s="111">
        <v>0</v>
      </c>
      <c r="W307" s="111">
        <v>0</v>
      </c>
      <c r="X307" s="111">
        <v>0</v>
      </c>
      <c r="Y307" s="111">
        <v>0</v>
      </c>
      <c r="Z307" s="111">
        <v>0</v>
      </c>
      <c r="AA307" s="111">
        <v>0</v>
      </c>
      <c r="AB307" s="111">
        <v>0</v>
      </c>
      <c r="AC307" s="111">
        <v>0</v>
      </c>
      <c r="AD307" s="111">
        <v>0</v>
      </c>
      <c r="AE307" s="111">
        <v>0</v>
      </c>
      <c r="AF307" s="111">
        <v>0</v>
      </c>
      <c r="AG307" s="111">
        <v>0</v>
      </c>
      <c r="AH307" s="111">
        <v>0</v>
      </c>
      <c r="AI307" s="112">
        <v>0</v>
      </c>
      <c r="AJ307" s="110">
        <v>0</v>
      </c>
      <c r="AK307" s="111">
        <v>0</v>
      </c>
      <c r="AL307" s="111">
        <v>0</v>
      </c>
      <c r="AM307" s="111">
        <v>0</v>
      </c>
      <c r="AN307" s="111">
        <v>0</v>
      </c>
      <c r="AO307" s="111">
        <v>0</v>
      </c>
      <c r="AP307" s="111">
        <v>0</v>
      </c>
      <c r="AQ307" s="111">
        <v>0</v>
      </c>
      <c r="AR307" s="111">
        <v>0</v>
      </c>
      <c r="AS307" s="111">
        <v>0</v>
      </c>
      <c r="AT307" s="111">
        <v>0</v>
      </c>
      <c r="AU307" s="111">
        <v>0</v>
      </c>
      <c r="AV307" s="111">
        <v>0</v>
      </c>
      <c r="AW307" s="111">
        <v>0</v>
      </c>
      <c r="AX307" s="111">
        <v>0</v>
      </c>
      <c r="AY307" s="111">
        <v>0</v>
      </c>
      <c r="AZ307" s="111">
        <v>0</v>
      </c>
      <c r="BA307" s="111">
        <v>0</v>
      </c>
      <c r="BB307" s="111">
        <v>0</v>
      </c>
      <c r="BC307" s="111">
        <v>0</v>
      </c>
      <c r="BD307" s="111">
        <v>0</v>
      </c>
      <c r="BE307" s="111">
        <v>0</v>
      </c>
      <c r="BF307" s="111">
        <v>0</v>
      </c>
      <c r="BG307" s="111">
        <v>0</v>
      </c>
      <c r="BH307" s="111">
        <v>0</v>
      </c>
      <c r="BI307" s="111">
        <v>0</v>
      </c>
      <c r="BJ307" s="111">
        <v>0</v>
      </c>
      <c r="BK307" s="111">
        <v>0</v>
      </c>
      <c r="BL307" s="111">
        <v>0</v>
      </c>
      <c r="BM307" s="111">
        <v>0</v>
      </c>
      <c r="BN307" s="111">
        <v>0</v>
      </c>
      <c r="BO307" s="111">
        <v>0</v>
      </c>
      <c r="BP307" s="116">
        <v>1945.3419233888926</v>
      </c>
      <c r="BQ307" s="110">
        <v>0</v>
      </c>
      <c r="BR307" s="111"/>
      <c r="BS307" s="111"/>
      <c r="BT307" s="112">
        <v>0</v>
      </c>
      <c r="BU307" s="110">
        <v>0</v>
      </c>
      <c r="BV307" s="111"/>
      <c r="BW307" s="112">
        <v>0</v>
      </c>
      <c r="BX307" s="110">
        <v>0</v>
      </c>
      <c r="BY307" s="111">
        <v>0</v>
      </c>
      <c r="BZ307" s="111">
        <v>0</v>
      </c>
      <c r="CA307" s="111">
        <v>0</v>
      </c>
      <c r="CB307" s="111">
        <v>0</v>
      </c>
      <c r="CC307" s="111">
        <v>0</v>
      </c>
      <c r="CD307" s="112">
        <v>0</v>
      </c>
      <c r="CE307" s="113">
        <v>0</v>
      </c>
      <c r="CF307" s="117">
        <v>1945.3419233888926</v>
      </c>
    </row>
    <row r="308" spans="1:84">
      <c r="A308" s="280" t="s">
        <v>68</v>
      </c>
      <c r="B308" s="44" t="s">
        <v>74</v>
      </c>
      <c r="C308" s="114">
        <v>143.07823590530879</v>
      </c>
      <c r="D308" s="115">
        <v>0</v>
      </c>
      <c r="E308" s="115">
        <v>2948.2760170595957</v>
      </c>
      <c r="F308" s="115">
        <v>0.80286355196178172</v>
      </c>
      <c r="G308" s="115">
        <v>0</v>
      </c>
      <c r="H308" s="115">
        <v>47.293888174773144</v>
      </c>
      <c r="I308" s="115">
        <v>0</v>
      </c>
      <c r="J308" s="115">
        <v>0</v>
      </c>
      <c r="K308" s="115">
        <v>0</v>
      </c>
      <c r="L308" s="115">
        <v>5.2979158899536278</v>
      </c>
      <c r="M308" s="115">
        <v>0</v>
      </c>
      <c r="N308" s="115">
        <v>0</v>
      </c>
      <c r="O308" s="115">
        <v>0</v>
      </c>
      <c r="P308" s="115">
        <v>0</v>
      </c>
      <c r="Q308" s="115">
        <v>0</v>
      </c>
      <c r="R308" s="115">
        <v>0</v>
      </c>
      <c r="S308" s="115">
        <v>0</v>
      </c>
      <c r="T308" s="115">
        <v>0</v>
      </c>
      <c r="U308" s="115">
        <v>0</v>
      </c>
      <c r="V308" s="115">
        <v>1610.6116036461883</v>
      </c>
      <c r="W308" s="115">
        <v>0</v>
      </c>
      <c r="X308" s="115">
        <v>0</v>
      </c>
      <c r="Y308" s="115">
        <v>546.04976871135295</v>
      </c>
      <c r="Z308" s="115">
        <v>0</v>
      </c>
      <c r="AA308" s="115">
        <v>0</v>
      </c>
      <c r="AB308" s="115">
        <v>0</v>
      </c>
      <c r="AC308" s="115">
        <v>0</v>
      </c>
      <c r="AD308" s="115">
        <v>0</v>
      </c>
      <c r="AE308" s="115">
        <v>0</v>
      </c>
      <c r="AF308" s="115">
        <v>0</v>
      </c>
      <c r="AG308" s="115">
        <v>36.561041205969538</v>
      </c>
      <c r="AH308" s="115">
        <v>0</v>
      </c>
      <c r="AI308" s="116">
        <v>0</v>
      </c>
      <c r="AJ308" s="110">
        <v>0</v>
      </c>
      <c r="AK308" s="111">
        <v>0</v>
      </c>
      <c r="AL308" s="111">
        <v>0</v>
      </c>
      <c r="AM308" s="111">
        <v>0</v>
      </c>
      <c r="AN308" s="111">
        <v>0</v>
      </c>
      <c r="AO308" s="111">
        <v>0</v>
      </c>
      <c r="AP308" s="111">
        <v>0</v>
      </c>
      <c r="AQ308" s="111">
        <v>0</v>
      </c>
      <c r="AR308" s="111">
        <v>0</v>
      </c>
      <c r="AS308" s="111">
        <v>0</v>
      </c>
      <c r="AT308" s="111">
        <v>0</v>
      </c>
      <c r="AU308" s="111">
        <v>0</v>
      </c>
      <c r="AV308" s="111">
        <v>0</v>
      </c>
      <c r="AW308" s="111">
        <v>0</v>
      </c>
      <c r="AX308" s="111">
        <v>0</v>
      </c>
      <c r="AY308" s="111">
        <v>0</v>
      </c>
      <c r="AZ308" s="111">
        <v>0</v>
      </c>
      <c r="BA308" s="111">
        <v>0</v>
      </c>
      <c r="BB308" s="111">
        <v>0</v>
      </c>
      <c r="BC308" s="111">
        <v>0</v>
      </c>
      <c r="BD308" s="111">
        <v>0</v>
      </c>
      <c r="BE308" s="111">
        <v>0</v>
      </c>
      <c r="BF308" s="111">
        <v>0</v>
      </c>
      <c r="BG308" s="111">
        <v>0</v>
      </c>
      <c r="BH308" s="111">
        <v>0</v>
      </c>
      <c r="BI308" s="111">
        <v>0</v>
      </c>
      <c r="BJ308" s="111">
        <v>0</v>
      </c>
      <c r="BK308" s="111">
        <v>0</v>
      </c>
      <c r="BL308" s="111">
        <v>0</v>
      </c>
      <c r="BM308" s="111">
        <v>0</v>
      </c>
      <c r="BN308" s="111">
        <v>0</v>
      </c>
      <c r="BO308" s="111">
        <v>0</v>
      </c>
      <c r="BP308" s="112">
        <v>0</v>
      </c>
      <c r="BQ308" s="110">
        <v>0</v>
      </c>
      <c r="BR308" s="111"/>
      <c r="BS308" s="111"/>
      <c r="BT308" s="112">
        <v>0</v>
      </c>
      <c r="BU308" s="110">
        <v>0</v>
      </c>
      <c r="BV308" s="111"/>
      <c r="BW308" s="112">
        <v>0</v>
      </c>
      <c r="BX308" s="141" cm="1">
        <f t="array" aca="1" ref="BX308:CB308" ca="1">'2022 SAM'!BV37*F213:J213</f>
        <v>387.54161328952961</v>
      </c>
      <c r="BY308" s="142">
        <f ca="1"/>
        <v>2036.7337861424442</v>
      </c>
      <c r="BZ308" s="142">
        <f ca="1"/>
        <v>206.86275035389073</v>
      </c>
      <c r="CA308" s="142">
        <f ca="1"/>
        <v>93.651838906846578</v>
      </c>
      <c r="CB308" s="142">
        <f ca="1"/>
        <v>0</v>
      </c>
      <c r="CC308" s="115">
        <v>0</v>
      </c>
      <c r="CD308" s="116">
        <v>13478.351902081989</v>
      </c>
      <c r="CE308" s="117">
        <v>327.9915341696771</v>
      </c>
      <c r="CF308" s="117">
        <v>21869.104759089481</v>
      </c>
    </row>
    <row r="309" spans="1:84">
      <c r="A309" s="280"/>
      <c r="B309" s="44" t="s">
        <v>75</v>
      </c>
      <c r="C309" s="114">
        <v>0</v>
      </c>
      <c r="D309" s="115">
        <v>653.16941081642108</v>
      </c>
      <c r="E309" s="115">
        <v>101.44139136435791</v>
      </c>
      <c r="F309" s="115">
        <v>0</v>
      </c>
      <c r="G309" s="115">
        <v>0</v>
      </c>
      <c r="H309" s="115">
        <v>6.1203669341497218</v>
      </c>
      <c r="I309" s="115">
        <v>0</v>
      </c>
      <c r="J309" s="115">
        <v>22262.802475382508</v>
      </c>
      <c r="K309" s="115">
        <v>22.487696830331647</v>
      </c>
      <c r="L309" s="115">
        <v>0</v>
      </c>
      <c r="M309" s="115">
        <v>297.72952112198385</v>
      </c>
      <c r="N309" s="115">
        <v>23.711952651076075</v>
      </c>
      <c r="O309" s="115">
        <v>2.4323441930633103E-2</v>
      </c>
      <c r="P309" s="115">
        <v>0</v>
      </c>
      <c r="Q309" s="115">
        <v>0</v>
      </c>
      <c r="R309" s="115">
        <v>349.98526899996273</v>
      </c>
      <c r="S309" s="115">
        <v>0</v>
      </c>
      <c r="T309" s="115">
        <v>284.62506732249068</v>
      </c>
      <c r="U309" s="115">
        <v>60.706331757998363</v>
      </c>
      <c r="V309" s="115">
        <v>0</v>
      </c>
      <c r="W309" s="115">
        <v>0.68713536245575257</v>
      </c>
      <c r="X309" s="115">
        <v>0</v>
      </c>
      <c r="Y309" s="115">
        <v>0</v>
      </c>
      <c r="Z309" s="115">
        <v>407.34275326788526</v>
      </c>
      <c r="AA309" s="115">
        <v>0</v>
      </c>
      <c r="AB309" s="115">
        <v>0</v>
      </c>
      <c r="AC309" s="115">
        <v>0</v>
      </c>
      <c r="AD309" s="115">
        <v>0</v>
      </c>
      <c r="AE309" s="115">
        <v>0</v>
      </c>
      <c r="AF309" s="115">
        <v>0</v>
      </c>
      <c r="AG309" s="115">
        <v>0</v>
      </c>
      <c r="AH309" s="115">
        <v>0</v>
      </c>
      <c r="AI309" s="116">
        <v>0</v>
      </c>
      <c r="AJ309" s="110">
        <v>0</v>
      </c>
      <c r="AK309" s="111">
        <v>0</v>
      </c>
      <c r="AL309" s="111">
        <v>0</v>
      </c>
      <c r="AM309" s="111">
        <v>0</v>
      </c>
      <c r="AN309" s="111">
        <v>0</v>
      </c>
      <c r="AO309" s="111">
        <v>0</v>
      </c>
      <c r="AP309" s="111">
        <v>0</v>
      </c>
      <c r="AQ309" s="111">
        <v>0</v>
      </c>
      <c r="AR309" s="111">
        <v>0</v>
      </c>
      <c r="AS309" s="111">
        <v>0</v>
      </c>
      <c r="AT309" s="111">
        <v>0</v>
      </c>
      <c r="AU309" s="111">
        <v>0</v>
      </c>
      <c r="AV309" s="111">
        <v>0</v>
      </c>
      <c r="AW309" s="111">
        <v>0</v>
      </c>
      <c r="AX309" s="111">
        <v>0</v>
      </c>
      <c r="AY309" s="111">
        <v>0</v>
      </c>
      <c r="AZ309" s="111">
        <v>0</v>
      </c>
      <c r="BA309" s="111">
        <v>0</v>
      </c>
      <c r="BB309" s="111">
        <v>0</v>
      </c>
      <c r="BC309" s="111">
        <v>0</v>
      </c>
      <c r="BD309" s="111">
        <v>0</v>
      </c>
      <c r="BE309" s="111">
        <v>0</v>
      </c>
      <c r="BF309" s="111">
        <v>0</v>
      </c>
      <c r="BG309" s="111">
        <v>0</v>
      </c>
      <c r="BH309" s="111">
        <v>0</v>
      </c>
      <c r="BI309" s="111">
        <v>0</v>
      </c>
      <c r="BJ309" s="111">
        <v>0</v>
      </c>
      <c r="BK309" s="111">
        <v>0</v>
      </c>
      <c r="BL309" s="111">
        <v>0</v>
      </c>
      <c r="BM309" s="111">
        <v>0</v>
      </c>
      <c r="BN309" s="111">
        <v>0</v>
      </c>
      <c r="BO309" s="111">
        <v>0</v>
      </c>
      <c r="BP309" s="112">
        <v>0</v>
      </c>
      <c r="BQ309" s="110">
        <v>0</v>
      </c>
      <c r="BR309" s="111"/>
      <c r="BS309" s="111"/>
      <c r="BT309" s="112">
        <v>0</v>
      </c>
      <c r="BU309" s="110">
        <v>0</v>
      </c>
      <c r="BV309" s="111"/>
      <c r="BW309" s="112">
        <v>0</v>
      </c>
      <c r="BX309" s="141" cm="1">
        <f t="array" aca="1" ref="BX309:CB309" ca="1">'2022 SAM'!BV38*F214:J214</f>
        <v>16.849359213951164</v>
      </c>
      <c r="BY309" s="142">
        <f ca="1"/>
        <v>437.35053589275822</v>
      </c>
      <c r="BZ309" s="142">
        <f ca="1"/>
        <v>48.49615646210092</v>
      </c>
      <c r="CA309" s="142">
        <f ca="1"/>
        <v>11.382007986182469</v>
      </c>
      <c r="CB309" s="142">
        <f ca="1"/>
        <v>0</v>
      </c>
      <c r="CC309" s="115">
        <v>0</v>
      </c>
      <c r="CD309" s="116">
        <v>125317.36036255097</v>
      </c>
      <c r="CE309" s="117">
        <v>521.2328051112944</v>
      </c>
      <c r="CF309" s="117">
        <v>150823.50492247081</v>
      </c>
    </row>
    <row r="310" spans="1:84">
      <c r="A310" s="280"/>
      <c r="B310" s="44" t="s">
        <v>76</v>
      </c>
      <c r="C310" s="114">
        <v>443.27858699773691</v>
      </c>
      <c r="D310" s="115">
        <v>0</v>
      </c>
      <c r="E310" s="115">
        <v>8805.5268241051217</v>
      </c>
      <c r="F310" s="115">
        <v>0</v>
      </c>
      <c r="G310" s="115">
        <v>0</v>
      </c>
      <c r="H310" s="115">
        <v>2.3586798746378018E-2</v>
      </c>
      <c r="I310" s="115">
        <v>0.24330826989269344</v>
      </c>
      <c r="J310" s="115">
        <v>0</v>
      </c>
      <c r="K310" s="115">
        <v>45.323193258002348</v>
      </c>
      <c r="L310" s="115">
        <v>0</v>
      </c>
      <c r="M310" s="115">
        <v>0</v>
      </c>
      <c r="N310" s="115">
        <v>4.1326843550814116</v>
      </c>
      <c r="O310" s="115">
        <v>0</v>
      </c>
      <c r="P310" s="115">
        <v>0.37408767626039047</v>
      </c>
      <c r="Q310" s="115">
        <v>8.6673367614887933E-2</v>
      </c>
      <c r="R310" s="115">
        <v>0.23063435453130504</v>
      </c>
      <c r="S310" s="115">
        <v>4.8891826825966378E-2</v>
      </c>
      <c r="T310" s="115">
        <v>0.90742099991843894</v>
      </c>
      <c r="U310" s="115">
        <v>44.82131171797139</v>
      </c>
      <c r="V310" s="115">
        <v>9221.4896063921806</v>
      </c>
      <c r="W310" s="115">
        <v>5.7621653420335858E-2</v>
      </c>
      <c r="X310" s="115">
        <v>0</v>
      </c>
      <c r="Y310" s="115">
        <v>2734.1726592034756</v>
      </c>
      <c r="Z310" s="115">
        <v>47.926888375112767</v>
      </c>
      <c r="AA310" s="115">
        <v>0</v>
      </c>
      <c r="AB310" s="115">
        <v>0</v>
      </c>
      <c r="AC310" s="115">
        <v>52.972689877271435</v>
      </c>
      <c r="AD310" s="115">
        <v>61.641520505996795</v>
      </c>
      <c r="AE310" s="115">
        <v>91.856638011086147</v>
      </c>
      <c r="AF310" s="115">
        <v>5.6700134628609913</v>
      </c>
      <c r="AG310" s="115">
        <v>258.32034603018809</v>
      </c>
      <c r="AH310" s="115">
        <v>386.26082050460712</v>
      </c>
      <c r="AI310" s="116">
        <v>0</v>
      </c>
      <c r="AJ310" s="110">
        <v>0</v>
      </c>
      <c r="AK310" s="111">
        <v>0</v>
      </c>
      <c r="AL310" s="111">
        <v>0</v>
      </c>
      <c r="AM310" s="111">
        <v>0</v>
      </c>
      <c r="AN310" s="111">
        <v>0</v>
      </c>
      <c r="AO310" s="111">
        <v>0</v>
      </c>
      <c r="AP310" s="111">
        <v>0</v>
      </c>
      <c r="AQ310" s="111">
        <v>0</v>
      </c>
      <c r="AR310" s="111">
        <v>0</v>
      </c>
      <c r="AS310" s="111">
        <v>0</v>
      </c>
      <c r="AT310" s="111">
        <v>0</v>
      </c>
      <c r="AU310" s="111">
        <v>0</v>
      </c>
      <c r="AV310" s="111">
        <v>0</v>
      </c>
      <c r="AW310" s="111">
        <v>0</v>
      </c>
      <c r="AX310" s="111">
        <v>0</v>
      </c>
      <c r="AY310" s="111">
        <v>0</v>
      </c>
      <c r="AZ310" s="111">
        <v>0</v>
      </c>
      <c r="BA310" s="111">
        <v>0</v>
      </c>
      <c r="BB310" s="111">
        <v>0</v>
      </c>
      <c r="BC310" s="111">
        <v>0</v>
      </c>
      <c r="BD310" s="111">
        <v>0</v>
      </c>
      <c r="BE310" s="111">
        <v>0</v>
      </c>
      <c r="BF310" s="111">
        <v>0</v>
      </c>
      <c r="BG310" s="111">
        <v>0</v>
      </c>
      <c r="BH310" s="111">
        <v>0</v>
      </c>
      <c r="BI310" s="111">
        <v>0</v>
      </c>
      <c r="BJ310" s="111">
        <v>0</v>
      </c>
      <c r="BK310" s="111">
        <v>0</v>
      </c>
      <c r="BL310" s="111">
        <v>0</v>
      </c>
      <c r="BM310" s="111">
        <v>0</v>
      </c>
      <c r="BN310" s="111">
        <v>0</v>
      </c>
      <c r="BO310" s="111">
        <v>0</v>
      </c>
      <c r="BP310" s="112">
        <v>0</v>
      </c>
      <c r="BQ310" s="110">
        <v>0</v>
      </c>
      <c r="BR310" s="111"/>
      <c r="BS310" s="111"/>
      <c r="BT310" s="112">
        <v>0</v>
      </c>
      <c r="BU310" s="110">
        <v>0</v>
      </c>
      <c r="BV310" s="111"/>
      <c r="BW310" s="112">
        <v>0</v>
      </c>
      <c r="BX310" s="141" cm="1">
        <f t="array" aca="1" ref="BX310:CB310" ca="1">'2022 SAM'!BV39*F215:J215</f>
        <v>1253.1684939058321</v>
      </c>
      <c r="BY310" s="142">
        <f ca="1"/>
        <v>6198.5988946857278</v>
      </c>
      <c r="BZ310" s="142">
        <f ca="1"/>
        <v>1076.7230496167133</v>
      </c>
      <c r="CA310" s="142">
        <f ca="1"/>
        <v>607.27187860114759</v>
      </c>
      <c r="CB310" s="142">
        <f ca="1"/>
        <v>0</v>
      </c>
      <c r="CC310" s="115">
        <v>0</v>
      </c>
      <c r="CD310" s="116">
        <v>40267.724701005194</v>
      </c>
      <c r="CE310" s="117">
        <v>187.14831260354563</v>
      </c>
      <c r="CF310" s="117">
        <v>71796.001338162067</v>
      </c>
    </row>
    <row r="311" spans="1:84">
      <c r="A311" s="280"/>
      <c r="B311" s="44" t="s">
        <v>77</v>
      </c>
      <c r="C311" s="114">
        <v>9.8214309387835055</v>
      </c>
      <c r="D311" s="115">
        <v>0</v>
      </c>
      <c r="E311" s="115">
        <v>40.776498420445073</v>
      </c>
      <c r="F311" s="115">
        <v>847.77562503103979</v>
      </c>
      <c r="G311" s="115">
        <v>2.7194626952667775</v>
      </c>
      <c r="H311" s="115">
        <v>24.203471482992004</v>
      </c>
      <c r="I311" s="115">
        <v>14.517658738705769</v>
      </c>
      <c r="J311" s="115">
        <v>1.4346228140804382E-3</v>
      </c>
      <c r="K311" s="115">
        <v>3.9443526400293405</v>
      </c>
      <c r="L311" s="115">
        <v>0.2772327233887632</v>
      </c>
      <c r="M311" s="115">
        <v>3.1923404967877418</v>
      </c>
      <c r="N311" s="115">
        <v>15.217026077527342</v>
      </c>
      <c r="O311" s="115">
        <v>4.474749151108508</v>
      </c>
      <c r="P311" s="115">
        <v>2.6666000697492152</v>
      </c>
      <c r="Q311" s="115">
        <v>69.702729973059306</v>
      </c>
      <c r="R311" s="115">
        <v>74.578343452838638</v>
      </c>
      <c r="S311" s="115">
        <v>0.58925542747739501</v>
      </c>
      <c r="T311" s="115">
        <v>122.7376543392551</v>
      </c>
      <c r="U311" s="115">
        <v>137.09779810140287</v>
      </c>
      <c r="V311" s="115">
        <v>490.7492417506129</v>
      </c>
      <c r="W311" s="115">
        <v>15.468951235922477</v>
      </c>
      <c r="X311" s="115">
        <v>1.7603693104953213E-2</v>
      </c>
      <c r="Y311" s="115">
        <v>246.62359594030562</v>
      </c>
      <c r="Z311" s="115">
        <v>176.32222278972475</v>
      </c>
      <c r="AA311" s="115">
        <v>83.761824909061872</v>
      </c>
      <c r="AB311" s="115">
        <v>0</v>
      </c>
      <c r="AC311" s="115">
        <v>1.8691740278591968</v>
      </c>
      <c r="AD311" s="115">
        <v>136.27980428647743</v>
      </c>
      <c r="AE311" s="115">
        <v>390.7564621650813</v>
      </c>
      <c r="AF311" s="115">
        <v>14.621530560217048</v>
      </c>
      <c r="AG311" s="115">
        <v>19.954025889379952</v>
      </c>
      <c r="AH311" s="115">
        <v>55.460526419644168</v>
      </c>
      <c r="AI311" s="116">
        <v>0</v>
      </c>
      <c r="AJ311" s="110">
        <v>0</v>
      </c>
      <c r="AK311" s="111">
        <v>0</v>
      </c>
      <c r="AL311" s="111">
        <v>0</v>
      </c>
      <c r="AM311" s="111">
        <v>0</v>
      </c>
      <c r="AN311" s="111">
        <v>0</v>
      </c>
      <c r="AO311" s="111">
        <v>0</v>
      </c>
      <c r="AP311" s="111">
        <v>0</v>
      </c>
      <c r="AQ311" s="111">
        <v>0</v>
      </c>
      <c r="AR311" s="111">
        <v>0</v>
      </c>
      <c r="AS311" s="111">
        <v>0</v>
      </c>
      <c r="AT311" s="111">
        <v>0</v>
      </c>
      <c r="AU311" s="111">
        <v>0</v>
      </c>
      <c r="AV311" s="111">
        <v>0</v>
      </c>
      <c r="AW311" s="111">
        <v>0</v>
      </c>
      <c r="AX311" s="111">
        <v>0</v>
      </c>
      <c r="AY311" s="111">
        <v>0</v>
      </c>
      <c r="AZ311" s="111">
        <v>0</v>
      </c>
      <c r="BA311" s="111">
        <v>0</v>
      </c>
      <c r="BB311" s="111">
        <v>0</v>
      </c>
      <c r="BC311" s="111">
        <v>0</v>
      </c>
      <c r="BD311" s="111">
        <v>0</v>
      </c>
      <c r="BE311" s="111">
        <v>0</v>
      </c>
      <c r="BF311" s="111">
        <v>0</v>
      </c>
      <c r="BG311" s="111">
        <v>0</v>
      </c>
      <c r="BH311" s="111">
        <v>0</v>
      </c>
      <c r="BI311" s="111">
        <v>0</v>
      </c>
      <c r="BJ311" s="111">
        <v>0</v>
      </c>
      <c r="BK311" s="111">
        <v>0</v>
      </c>
      <c r="BL311" s="111">
        <v>0</v>
      </c>
      <c r="BM311" s="111">
        <v>0</v>
      </c>
      <c r="BN311" s="111">
        <v>0</v>
      </c>
      <c r="BO311" s="111">
        <v>0</v>
      </c>
      <c r="BP311" s="112">
        <v>0</v>
      </c>
      <c r="BQ311" s="110">
        <v>0</v>
      </c>
      <c r="BR311" s="111"/>
      <c r="BS311" s="111"/>
      <c r="BT311" s="112">
        <v>0</v>
      </c>
      <c r="BU311" s="110">
        <v>0</v>
      </c>
      <c r="BV311" s="111"/>
      <c r="BW311" s="112">
        <v>0</v>
      </c>
      <c r="BX311" s="141" cm="1">
        <f t="array" aca="1" ref="BX311:CB311" ca="1">'2022 SAM'!BV40*F216:J216</f>
        <v>470.47534986483754</v>
      </c>
      <c r="BY311" s="142">
        <f ca="1"/>
        <v>2116.3817131144733</v>
      </c>
      <c r="BZ311" s="142">
        <f ca="1"/>
        <v>112.03074901896731</v>
      </c>
      <c r="CA311" s="142">
        <f ca="1"/>
        <v>70.664693893986126</v>
      </c>
      <c r="CB311" s="142">
        <f ca="1"/>
        <v>0</v>
      </c>
      <c r="CC311" s="115">
        <v>0</v>
      </c>
      <c r="CD311" s="116">
        <v>18250.608304205467</v>
      </c>
      <c r="CE311" s="117">
        <v>2712.2571658698798</v>
      </c>
      <c r="CF311" s="117">
        <v>26738.596604017675</v>
      </c>
    </row>
    <row r="312" spans="1:84">
      <c r="A312" s="280"/>
      <c r="B312" s="44" t="s">
        <v>78</v>
      </c>
      <c r="C312" s="114">
        <v>0</v>
      </c>
      <c r="D312" s="115">
        <v>0</v>
      </c>
      <c r="E312" s="115">
        <v>0</v>
      </c>
      <c r="F312" s="115">
        <v>4.713775331519289E-2</v>
      </c>
      <c r="G312" s="115">
        <v>4.6397824460873478</v>
      </c>
      <c r="H312" s="115">
        <v>0</v>
      </c>
      <c r="I312" s="115">
        <v>43.061949577901792</v>
      </c>
      <c r="J312" s="115">
        <v>0</v>
      </c>
      <c r="K312" s="115">
        <v>0</v>
      </c>
      <c r="L312" s="115">
        <v>0</v>
      </c>
      <c r="M312" s="115">
        <v>0</v>
      </c>
      <c r="N312" s="115">
        <v>0</v>
      </c>
      <c r="O312" s="115">
        <v>0</v>
      </c>
      <c r="P312" s="115">
        <v>0.73110918406191894</v>
      </c>
      <c r="Q312" s="115">
        <v>0</v>
      </c>
      <c r="R312" s="115">
        <v>0.4500176305031956</v>
      </c>
      <c r="S312" s="115">
        <v>0</v>
      </c>
      <c r="T312" s="115">
        <v>90.826996301885586</v>
      </c>
      <c r="U312" s="115">
        <v>0</v>
      </c>
      <c r="V312" s="115">
        <v>31.612477097999907</v>
      </c>
      <c r="W312" s="115">
        <v>0</v>
      </c>
      <c r="X312" s="115">
        <v>0</v>
      </c>
      <c r="Y312" s="115">
        <v>84.179349743445556</v>
      </c>
      <c r="Z312" s="115">
        <v>0</v>
      </c>
      <c r="AA312" s="115">
        <v>31.790731274214725</v>
      </c>
      <c r="AB312" s="115">
        <v>0</v>
      </c>
      <c r="AC312" s="115">
        <v>0</v>
      </c>
      <c r="AD312" s="115">
        <v>0.31434999410404901</v>
      </c>
      <c r="AE312" s="115">
        <v>189.05612878939084</v>
      </c>
      <c r="AF312" s="115">
        <v>0</v>
      </c>
      <c r="AG312" s="115">
        <v>0</v>
      </c>
      <c r="AH312" s="115">
        <v>1.5814537660081827</v>
      </c>
      <c r="AI312" s="116">
        <v>0</v>
      </c>
      <c r="AJ312" s="110">
        <v>0</v>
      </c>
      <c r="AK312" s="111">
        <v>0</v>
      </c>
      <c r="AL312" s="111">
        <v>0</v>
      </c>
      <c r="AM312" s="111">
        <v>0</v>
      </c>
      <c r="AN312" s="111">
        <v>0</v>
      </c>
      <c r="AO312" s="111">
        <v>0</v>
      </c>
      <c r="AP312" s="111">
        <v>0</v>
      </c>
      <c r="AQ312" s="111">
        <v>0</v>
      </c>
      <c r="AR312" s="111">
        <v>0</v>
      </c>
      <c r="AS312" s="111">
        <v>0</v>
      </c>
      <c r="AT312" s="111">
        <v>0</v>
      </c>
      <c r="AU312" s="111">
        <v>0</v>
      </c>
      <c r="AV312" s="111">
        <v>0</v>
      </c>
      <c r="AW312" s="111">
        <v>0</v>
      </c>
      <c r="AX312" s="111">
        <v>0</v>
      </c>
      <c r="AY312" s="111">
        <v>0</v>
      </c>
      <c r="AZ312" s="111">
        <v>0</v>
      </c>
      <c r="BA312" s="111">
        <v>0</v>
      </c>
      <c r="BB312" s="111">
        <v>0</v>
      </c>
      <c r="BC312" s="111">
        <v>0</v>
      </c>
      <c r="BD312" s="111">
        <v>0</v>
      </c>
      <c r="BE312" s="111">
        <v>0</v>
      </c>
      <c r="BF312" s="111">
        <v>0</v>
      </c>
      <c r="BG312" s="111">
        <v>0</v>
      </c>
      <c r="BH312" s="111">
        <v>0</v>
      </c>
      <c r="BI312" s="111">
        <v>0</v>
      </c>
      <c r="BJ312" s="111">
        <v>0</v>
      </c>
      <c r="BK312" s="111">
        <v>0</v>
      </c>
      <c r="BL312" s="111">
        <v>0</v>
      </c>
      <c r="BM312" s="111">
        <v>0</v>
      </c>
      <c r="BN312" s="111">
        <v>0</v>
      </c>
      <c r="BO312" s="111">
        <v>0</v>
      </c>
      <c r="BP312" s="112">
        <v>0</v>
      </c>
      <c r="BQ312" s="110">
        <v>0</v>
      </c>
      <c r="BR312" s="111"/>
      <c r="BS312" s="111"/>
      <c r="BT312" s="112">
        <v>0</v>
      </c>
      <c r="BU312" s="110">
        <v>0</v>
      </c>
      <c r="BV312" s="111"/>
      <c r="BW312" s="112">
        <v>0</v>
      </c>
      <c r="BX312" s="141" cm="1">
        <f t="array" aca="1" ref="BX312:CB312" ca="1">'2022 SAM'!BV41*F217:J217</f>
        <v>332.34663367367568</v>
      </c>
      <c r="BY312" s="142">
        <f ca="1"/>
        <v>1495.0248469429764</v>
      </c>
      <c r="BZ312" s="142">
        <f ca="1"/>
        <v>79.139198929531332</v>
      </c>
      <c r="CA312" s="142">
        <f ca="1"/>
        <v>49.917967311133452</v>
      </c>
      <c r="CB312" s="142">
        <f ca="1"/>
        <v>0</v>
      </c>
      <c r="CC312" s="115">
        <v>0</v>
      </c>
      <c r="CD312" s="116">
        <v>11177.054523798743</v>
      </c>
      <c r="CE312" s="117">
        <v>1235.1536008192618</v>
      </c>
      <c r="CF312" s="117">
        <v>14846.92825503424</v>
      </c>
    </row>
    <row r="313" spans="1:84">
      <c r="A313" s="280"/>
      <c r="B313" s="44" t="s">
        <v>79</v>
      </c>
      <c r="C313" s="114">
        <v>0</v>
      </c>
      <c r="D313" s="115">
        <v>0</v>
      </c>
      <c r="E313" s="115">
        <v>0</v>
      </c>
      <c r="F313" s="115">
        <v>0</v>
      </c>
      <c r="G313" s="115">
        <v>0</v>
      </c>
      <c r="H313" s="115">
        <v>442.57758521273331</v>
      </c>
      <c r="I313" s="115">
        <v>17.960526618936118</v>
      </c>
      <c r="J313" s="115">
        <v>0</v>
      </c>
      <c r="K313" s="115">
        <v>0</v>
      </c>
      <c r="L313" s="115">
        <v>0</v>
      </c>
      <c r="M313" s="115">
        <v>2.5637884671315665</v>
      </c>
      <c r="N313" s="115">
        <v>120.23754224409839</v>
      </c>
      <c r="O313" s="115">
        <v>0</v>
      </c>
      <c r="P313" s="115">
        <v>13.401102665043434</v>
      </c>
      <c r="Q313" s="115">
        <v>0.50438249462474194</v>
      </c>
      <c r="R313" s="115">
        <v>845.54257731350742</v>
      </c>
      <c r="S313" s="115">
        <v>0</v>
      </c>
      <c r="T313" s="115">
        <v>1600.1933226217254</v>
      </c>
      <c r="U313" s="115">
        <v>11.336138354601175</v>
      </c>
      <c r="V313" s="115">
        <v>0</v>
      </c>
      <c r="W313" s="115">
        <v>0</v>
      </c>
      <c r="X313" s="115">
        <v>0</v>
      </c>
      <c r="Y313" s="115">
        <v>0</v>
      </c>
      <c r="Z313" s="115">
        <v>1396.7649079909966</v>
      </c>
      <c r="AA313" s="115">
        <v>0</v>
      </c>
      <c r="AB313" s="115">
        <v>0</v>
      </c>
      <c r="AC313" s="115">
        <v>0</v>
      </c>
      <c r="AD313" s="115">
        <v>48.06239381927665</v>
      </c>
      <c r="AE313" s="115">
        <v>0</v>
      </c>
      <c r="AF313" s="115">
        <v>0</v>
      </c>
      <c r="AG313" s="115">
        <v>0</v>
      </c>
      <c r="AH313" s="115">
        <v>2.0149160434290923</v>
      </c>
      <c r="AI313" s="116">
        <v>0</v>
      </c>
      <c r="AJ313" s="110">
        <v>0</v>
      </c>
      <c r="AK313" s="111">
        <v>0</v>
      </c>
      <c r="AL313" s="111">
        <v>0</v>
      </c>
      <c r="AM313" s="111">
        <v>0</v>
      </c>
      <c r="AN313" s="111">
        <v>0</v>
      </c>
      <c r="AO313" s="111">
        <v>0</v>
      </c>
      <c r="AP313" s="111">
        <v>0</v>
      </c>
      <c r="AQ313" s="111">
        <v>0</v>
      </c>
      <c r="AR313" s="111">
        <v>0</v>
      </c>
      <c r="AS313" s="111">
        <v>0</v>
      </c>
      <c r="AT313" s="111">
        <v>0</v>
      </c>
      <c r="AU313" s="111">
        <v>0</v>
      </c>
      <c r="AV313" s="111">
        <v>0</v>
      </c>
      <c r="AW313" s="111">
        <v>0</v>
      </c>
      <c r="AX313" s="111">
        <v>0</v>
      </c>
      <c r="AY313" s="111">
        <v>0</v>
      </c>
      <c r="AZ313" s="111">
        <v>0</v>
      </c>
      <c r="BA313" s="111">
        <v>0</v>
      </c>
      <c r="BB313" s="111">
        <v>0</v>
      </c>
      <c r="BC313" s="111">
        <v>0</v>
      </c>
      <c r="BD313" s="111">
        <v>0</v>
      </c>
      <c r="BE313" s="111">
        <v>0</v>
      </c>
      <c r="BF313" s="111">
        <v>0</v>
      </c>
      <c r="BG313" s="111">
        <v>0</v>
      </c>
      <c r="BH313" s="111">
        <v>0</v>
      </c>
      <c r="BI313" s="111">
        <v>0</v>
      </c>
      <c r="BJ313" s="111">
        <v>0</v>
      </c>
      <c r="BK313" s="111">
        <v>0</v>
      </c>
      <c r="BL313" s="111">
        <v>0</v>
      </c>
      <c r="BM313" s="111">
        <v>0</v>
      </c>
      <c r="BN313" s="111">
        <v>0</v>
      </c>
      <c r="BO313" s="111">
        <v>0</v>
      </c>
      <c r="BP313" s="112">
        <v>0</v>
      </c>
      <c r="BQ313" s="110">
        <v>0</v>
      </c>
      <c r="BR313" s="111"/>
      <c r="BS313" s="111"/>
      <c r="BT313" s="112">
        <v>0</v>
      </c>
      <c r="BU313" s="110">
        <v>0</v>
      </c>
      <c r="BV313" s="111"/>
      <c r="BW313" s="112">
        <v>0</v>
      </c>
      <c r="BX313" s="141" cm="1">
        <f t="array" aca="1" ref="BX313:CB313" ca="1">'2022 SAM'!BV42*F218:J218</f>
        <v>0</v>
      </c>
      <c r="BY313" s="142">
        <f ca="1"/>
        <v>0</v>
      </c>
      <c r="BZ313" s="142">
        <f ca="1"/>
        <v>0</v>
      </c>
      <c r="CA313" s="142">
        <f ca="1"/>
        <v>0</v>
      </c>
      <c r="CB313" s="142">
        <f ca="1"/>
        <v>0</v>
      </c>
      <c r="CC313" s="115">
        <v>0</v>
      </c>
      <c r="CD313" s="116">
        <v>2027.6278314589742</v>
      </c>
      <c r="CE313" s="117">
        <v>37.222327457974046</v>
      </c>
      <c r="CF313" s="117">
        <v>6566.0093427630527</v>
      </c>
    </row>
    <row r="314" spans="1:84">
      <c r="A314" s="280"/>
      <c r="B314" s="44" t="s">
        <v>80</v>
      </c>
      <c r="C314" s="114">
        <v>0</v>
      </c>
      <c r="D314" s="115">
        <v>0</v>
      </c>
      <c r="E314" s="115">
        <v>232.23009952330443</v>
      </c>
      <c r="F314" s="115">
        <v>5.5587769457393339</v>
      </c>
      <c r="G314" s="115">
        <v>0.30999411114557252</v>
      </c>
      <c r="H314" s="115">
        <v>28.845784008169488</v>
      </c>
      <c r="I314" s="115">
        <v>2353.369915248335</v>
      </c>
      <c r="J314" s="115">
        <v>0.16826760910603758</v>
      </c>
      <c r="K314" s="115">
        <v>33.623036901223301</v>
      </c>
      <c r="L314" s="115">
        <v>18.961867927395684</v>
      </c>
      <c r="M314" s="115">
        <v>23.997227113614169</v>
      </c>
      <c r="N314" s="115">
        <v>192.10008968440673</v>
      </c>
      <c r="O314" s="115">
        <v>6.5156528284447894</v>
      </c>
      <c r="P314" s="115">
        <v>8.2368064719375464</v>
      </c>
      <c r="Q314" s="115">
        <v>0.40523783797668544</v>
      </c>
      <c r="R314" s="115">
        <v>14.535779216788443</v>
      </c>
      <c r="S314" s="115">
        <v>6.1360101636493694</v>
      </c>
      <c r="T314" s="115">
        <v>231.95063936060666</v>
      </c>
      <c r="U314" s="115">
        <v>1091.805351624683</v>
      </c>
      <c r="V314" s="115">
        <v>365.7775956846159</v>
      </c>
      <c r="W314" s="115">
        <v>66.801477858256376</v>
      </c>
      <c r="X314" s="115">
        <v>5.9089027671945145</v>
      </c>
      <c r="Y314" s="115">
        <v>119.59023388314377</v>
      </c>
      <c r="Z314" s="115">
        <v>49.638261341446594</v>
      </c>
      <c r="AA314" s="115">
        <v>197.47850495011454</v>
      </c>
      <c r="AB314" s="115">
        <v>184.88434370227444</v>
      </c>
      <c r="AC314" s="115">
        <v>30.587657924839966</v>
      </c>
      <c r="AD314" s="115">
        <v>2995.4107956339744</v>
      </c>
      <c r="AE314" s="115">
        <v>666.79726769048966</v>
      </c>
      <c r="AF314" s="115">
        <v>782.20715424322282</v>
      </c>
      <c r="AG314" s="115">
        <v>91.815263601805341</v>
      </c>
      <c r="AH314" s="115">
        <v>40.396299772087474</v>
      </c>
      <c r="AI314" s="116">
        <v>0</v>
      </c>
      <c r="AJ314" s="110">
        <v>0</v>
      </c>
      <c r="AK314" s="111">
        <v>0</v>
      </c>
      <c r="AL314" s="111">
        <v>0</v>
      </c>
      <c r="AM314" s="111">
        <v>0</v>
      </c>
      <c r="AN314" s="111">
        <v>0</v>
      </c>
      <c r="AO314" s="111">
        <v>0</v>
      </c>
      <c r="AP314" s="111">
        <v>0</v>
      </c>
      <c r="AQ314" s="111">
        <v>0</v>
      </c>
      <c r="AR314" s="111">
        <v>0</v>
      </c>
      <c r="AS314" s="111">
        <v>0</v>
      </c>
      <c r="AT314" s="111">
        <v>0</v>
      </c>
      <c r="AU314" s="111">
        <v>0</v>
      </c>
      <c r="AV314" s="111">
        <v>0</v>
      </c>
      <c r="AW314" s="111">
        <v>0</v>
      </c>
      <c r="AX314" s="111">
        <v>0</v>
      </c>
      <c r="AY314" s="111">
        <v>0</v>
      </c>
      <c r="AZ314" s="111">
        <v>0</v>
      </c>
      <c r="BA314" s="111">
        <v>0</v>
      </c>
      <c r="BB314" s="111">
        <v>0</v>
      </c>
      <c r="BC314" s="111">
        <v>0</v>
      </c>
      <c r="BD314" s="111">
        <v>0</v>
      </c>
      <c r="BE314" s="111">
        <v>0</v>
      </c>
      <c r="BF314" s="111">
        <v>0</v>
      </c>
      <c r="BG314" s="111">
        <v>0</v>
      </c>
      <c r="BH314" s="111">
        <v>0</v>
      </c>
      <c r="BI314" s="111">
        <v>0</v>
      </c>
      <c r="BJ314" s="111">
        <v>0</v>
      </c>
      <c r="BK314" s="111">
        <v>0</v>
      </c>
      <c r="BL314" s="111">
        <v>0</v>
      </c>
      <c r="BM314" s="111">
        <v>0</v>
      </c>
      <c r="BN314" s="111">
        <v>0</v>
      </c>
      <c r="BO314" s="111">
        <v>0</v>
      </c>
      <c r="BP314" s="112">
        <v>0</v>
      </c>
      <c r="BQ314" s="110">
        <v>0</v>
      </c>
      <c r="BR314" s="111"/>
      <c r="BS314" s="111"/>
      <c r="BT314" s="112">
        <v>0</v>
      </c>
      <c r="BU314" s="110">
        <v>0</v>
      </c>
      <c r="BV314" s="111"/>
      <c r="BW314" s="112">
        <v>0</v>
      </c>
      <c r="BX314" s="141" cm="1">
        <f t="array" aca="1" ref="BX314:CB314" ca="1">'2022 SAM'!BV43*F219:J219</f>
        <v>31.846153433626526</v>
      </c>
      <c r="BY314" s="142">
        <f ca="1"/>
        <v>184.700717859397</v>
      </c>
      <c r="BZ314" s="142">
        <f ca="1"/>
        <v>27.655456732140468</v>
      </c>
      <c r="CA314" s="142">
        <f ca="1"/>
        <v>12.10187740341043</v>
      </c>
      <c r="CB314" s="142">
        <f ca="1"/>
        <v>0</v>
      </c>
      <c r="CC314" s="115">
        <v>0</v>
      </c>
      <c r="CD314" s="116">
        <v>3806.5155733022907</v>
      </c>
      <c r="CE314" s="117">
        <v>621.12181188369561</v>
      </c>
      <c r="CF314" s="117">
        <v>14529.985886244553</v>
      </c>
    </row>
    <row r="315" spans="1:84">
      <c r="A315" s="280"/>
      <c r="B315" s="44" t="s">
        <v>81</v>
      </c>
      <c r="C315" s="114">
        <v>36.592313199241772</v>
      </c>
      <c r="D315" s="115">
        <v>494.32314984266588</v>
      </c>
      <c r="E315" s="115">
        <v>413.30215346277959</v>
      </c>
      <c r="F315" s="115">
        <v>7.4312132619848148</v>
      </c>
      <c r="G315" s="115">
        <v>0.12144778720273028</v>
      </c>
      <c r="H315" s="115">
        <v>9.4906176447736801</v>
      </c>
      <c r="I315" s="115">
        <v>15.137527556029266</v>
      </c>
      <c r="J315" s="115">
        <v>1608.8146892468444</v>
      </c>
      <c r="K315" s="115">
        <v>138.00557269882009</v>
      </c>
      <c r="L315" s="115">
        <v>10.506635906265135</v>
      </c>
      <c r="M315" s="115">
        <v>445.57349707096478</v>
      </c>
      <c r="N315" s="115">
        <v>288.39333872385356</v>
      </c>
      <c r="O315" s="115">
        <v>58.496669630223849</v>
      </c>
      <c r="P315" s="115">
        <v>23.440947692759678</v>
      </c>
      <c r="Q315" s="115">
        <v>9.1102493547948615</v>
      </c>
      <c r="R315" s="115">
        <v>213.21580161914065</v>
      </c>
      <c r="S315" s="115">
        <v>10967.363264909925</v>
      </c>
      <c r="T315" s="115">
        <v>2161.7112940069615</v>
      </c>
      <c r="U315" s="115">
        <v>1072.5682527583845</v>
      </c>
      <c r="V315" s="115">
        <v>178.57843632128751</v>
      </c>
      <c r="W315" s="115">
        <v>2721.1057177201351</v>
      </c>
      <c r="X315" s="115">
        <v>52.545397381999422</v>
      </c>
      <c r="Y315" s="115">
        <v>27097.858571924095</v>
      </c>
      <c r="Z315" s="115">
        <v>1120.7656727889998</v>
      </c>
      <c r="AA315" s="115">
        <v>387.99220488429273</v>
      </c>
      <c r="AB315" s="115">
        <v>11.690594306474955</v>
      </c>
      <c r="AC315" s="115">
        <v>44.5239534777741</v>
      </c>
      <c r="AD315" s="115">
        <v>1167.3757193320623</v>
      </c>
      <c r="AE315" s="115">
        <v>828.83293998682007</v>
      </c>
      <c r="AF315" s="115">
        <v>60.792723051457884</v>
      </c>
      <c r="AG315" s="115">
        <v>60.668637076505682</v>
      </c>
      <c r="AH315" s="115">
        <v>274.72731047807525</v>
      </c>
      <c r="AI315" s="116">
        <v>0</v>
      </c>
      <c r="AJ315" s="110">
        <v>0</v>
      </c>
      <c r="AK315" s="111">
        <v>0</v>
      </c>
      <c r="AL315" s="111">
        <v>0</v>
      </c>
      <c r="AM315" s="111">
        <v>0</v>
      </c>
      <c r="AN315" s="111">
        <v>0</v>
      </c>
      <c r="AO315" s="111">
        <v>0</v>
      </c>
      <c r="AP315" s="111">
        <v>0</v>
      </c>
      <c r="AQ315" s="111">
        <v>0</v>
      </c>
      <c r="AR315" s="111">
        <v>0</v>
      </c>
      <c r="AS315" s="111">
        <v>0</v>
      </c>
      <c r="AT315" s="111">
        <v>0</v>
      </c>
      <c r="AU315" s="111">
        <v>0</v>
      </c>
      <c r="AV315" s="111">
        <v>0</v>
      </c>
      <c r="AW315" s="111">
        <v>0</v>
      </c>
      <c r="AX315" s="111">
        <v>0</v>
      </c>
      <c r="AY315" s="111">
        <v>0</v>
      </c>
      <c r="AZ315" s="111">
        <v>0</v>
      </c>
      <c r="BA315" s="111">
        <v>0</v>
      </c>
      <c r="BB315" s="111">
        <v>0</v>
      </c>
      <c r="BC315" s="111">
        <v>0</v>
      </c>
      <c r="BD315" s="111">
        <v>0</v>
      </c>
      <c r="BE315" s="111">
        <v>0</v>
      </c>
      <c r="BF315" s="111">
        <v>0</v>
      </c>
      <c r="BG315" s="111">
        <v>0</v>
      </c>
      <c r="BH315" s="111">
        <v>0</v>
      </c>
      <c r="BI315" s="111">
        <v>0</v>
      </c>
      <c r="BJ315" s="111">
        <v>0</v>
      </c>
      <c r="BK315" s="111">
        <v>0</v>
      </c>
      <c r="BL315" s="111">
        <v>0</v>
      </c>
      <c r="BM315" s="111">
        <v>0</v>
      </c>
      <c r="BN315" s="111">
        <v>0</v>
      </c>
      <c r="BO315" s="111">
        <v>0</v>
      </c>
      <c r="BP315" s="112">
        <v>0</v>
      </c>
      <c r="BQ315" s="110">
        <v>0</v>
      </c>
      <c r="BR315" s="111"/>
      <c r="BS315" s="111"/>
      <c r="BT315" s="112">
        <v>0</v>
      </c>
      <c r="BU315" s="110">
        <v>0</v>
      </c>
      <c r="BV315" s="111"/>
      <c r="BW315" s="112">
        <v>0</v>
      </c>
      <c r="BX315" s="141" cm="1">
        <f t="array" aca="1" ref="BX315:CB315" ca="1">'2022 SAM'!BV44*F220:J220</f>
        <v>59.196169609987869</v>
      </c>
      <c r="BY315" s="142">
        <f ca="1"/>
        <v>1536.5258804792102</v>
      </c>
      <c r="BZ315" s="142">
        <f ca="1"/>
        <v>170.37957746108481</v>
      </c>
      <c r="CA315" s="142">
        <f ca="1"/>
        <v>39.987946526442116</v>
      </c>
      <c r="CB315" s="142">
        <f ca="1"/>
        <v>0</v>
      </c>
      <c r="CC315" s="115">
        <v>0</v>
      </c>
      <c r="CD315" s="116">
        <v>23605.032081154142</v>
      </c>
      <c r="CE315" s="117">
        <v>126.2384962122496</v>
      </c>
      <c r="CF315" s="117">
        <v>77518.41666654672</v>
      </c>
    </row>
    <row r="316" spans="1:84">
      <c r="A316" s="280"/>
      <c r="B316" s="44" t="s">
        <v>82</v>
      </c>
      <c r="C316" s="114">
        <v>6.3345435022400052</v>
      </c>
      <c r="D316" s="115">
        <v>0</v>
      </c>
      <c r="E316" s="115">
        <v>96.322723128105849</v>
      </c>
      <c r="F316" s="115">
        <v>1.9305359981046426</v>
      </c>
      <c r="G316" s="115">
        <v>0.78651651512938248</v>
      </c>
      <c r="H316" s="115">
        <v>387.75161679139399</v>
      </c>
      <c r="I316" s="115">
        <v>347.68441620986312</v>
      </c>
      <c r="J316" s="115">
        <v>679.94070258648492</v>
      </c>
      <c r="K316" s="115">
        <v>5025.1749013820399</v>
      </c>
      <c r="L316" s="115">
        <v>2086.9589526103682</v>
      </c>
      <c r="M316" s="115">
        <v>280.77505966041906</v>
      </c>
      <c r="N316" s="115">
        <v>1201.9456712853571</v>
      </c>
      <c r="O316" s="115">
        <v>4.6280511462071408</v>
      </c>
      <c r="P316" s="115">
        <v>340.9208605909285</v>
      </c>
      <c r="Q316" s="115">
        <v>81.560034931273492</v>
      </c>
      <c r="R316" s="115">
        <v>50.836776936286007</v>
      </c>
      <c r="S316" s="115">
        <v>14.910195777397515</v>
      </c>
      <c r="T316" s="115">
        <v>1203.5115894638459</v>
      </c>
      <c r="U316" s="115">
        <v>116.20495298552665</v>
      </c>
      <c r="V316" s="115">
        <v>239.50491434390656</v>
      </c>
      <c r="W316" s="115">
        <v>4.296756977169248</v>
      </c>
      <c r="X316" s="115">
        <v>5.5558081158493318E-2</v>
      </c>
      <c r="Y316" s="115">
        <v>415.14746118495719</v>
      </c>
      <c r="Z316" s="115">
        <v>5.8966489377843043</v>
      </c>
      <c r="AA316" s="115">
        <v>3.6393651597300427</v>
      </c>
      <c r="AB316" s="115">
        <v>0</v>
      </c>
      <c r="AC316" s="115">
        <v>3.6782049596675863</v>
      </c>
      <c r="AD316" s="115">
        <v>737.07098911566857</v>
      </c>
      <c r="AE316" s="115">
        <v>24.747849616131585</v>
      </c>
      <c r="AF316" s="115">
        <v>3.53606005664696</v>
      </c>
      <c r="AG316" s="115">
        <v>916.62251044862671</v>
      </c>
      <c r="AH316" s="115">
        <v>226.62070858688551</v>
      </c>
      <c r="AI316" s="116">
        <v>0</v>
      </c>
      <c r="AJ316" s="110">
        <v>0</v>
      </c>
      <c r="AK316" s="111">
        <v>0</v>
      </c>
      <c r="AL316" s="111">
        <v>0</v>
      </c>
      <c r="AM316" s="111">
        <v>0</v>
      </c>
      <c r="AN316" s="111">
        <v>0</v>
      </c>
      <c r="AO316" s="111">
        <v>0</v>
      </c>
      <c r="AP316" s="111">
        <v>0</v>
      </c>
      <c r="AQ316" s="111">
        <v>0</v>
      </c>
      <c r="AR316" s="111">
        <v>0</v>
      </c>
      <c r="AS316" s="111">
        <v>0</v>
      </c>
      <c r="AT316" s="111">
        <v>0</v>
      </c>
      <c r="AU316" s="111">
        <v>0</v>
      </c>
      <c r="AV316" s="111">
        <v>0</v>
      </c>
      <c r="AW316" s="111">
        <v>0</v>
      </c>
      <c r="AX316" s="111">
        <v>0</v>
      </c>
      <c r="AY316" s="111">
        <v>0</v>
      </c>
      <c r="AZ316" s="111">
        <v>0</v>
      </c>
      <c r="BA316" s="111">
        <v>0</v>
      </c>
      <c r="BB316" s="111">
        <v>0</v>
      </c>
      <c r="BC316" s="111">
        <v>0</v>
      </c>
      <c r="BD316" s="111">
        <v>0</v>
      </c>
      <c r="BE316" s="111">
        <v>0</v>
      </c>
      <c r="BF316" s="111">
        <v>0</v>
      </c>
      <c r="BG316" s="111">
        <v>0</v>
      </c>
      <c r="BH316" s="111">
        <v>0</v>
      </c>
      <c r="BI316" s="111">
        <v>0</v>
      </c>
      <c r="BJ316" s="111">
        <v>0</v>
      </c>
      <c r="BK316" s="111">
        <v>0</v>
      </c>
      <c r="BL316" s="111">
        <v>0</v>
      </c>
      <c r="BM316" s="111">
        <v>0</v>
      </c>
      <c r="BN316" s="111">
        <v>0</v>
      </c>
      <c r="BO316" s="111">
        <v>0</v>
      </c>
      <c r="BP316" s="112">
        <v>0</v>
      </c>
      <c r="BQ316" s="110">
        <v>0</v>
      </c>
      <c r="BR316" s="111"/>
      <c r="BS316" s="111"/>
      <c r="BT316" s="112">
        <v>0</v>
      </c>
      <c r="BU316" s="110">
        <v>0</v>
      </c>
      <c r="BV316" s="111"/>
      <c r="BW316" s="112">
        <v>0</v>
      </c>
      <c r="BX316" s="141" cm="1">
        <f t="array" aca="1" ref="BX316:CB316" ca="1">'2022 SAM'!BV45*F221:J221</f>
        <v>361.08736665848602</v>
      </c>
      <c r="BY316" s="142">
        <f ca="1"/>
        <v>1897.7028897103289</v>
      </c>
      <c r="BZ316" s="142">
        <f ca="1"/>
        <v>192.74194879612503</v>
      </c>
      <c r="CA316" s="142">
        <f ca="1"/>
        <v>87.259005830514283</v>
      </c>
      <c r="CB316" s="142">
        <f ca="1"/>
        <v>0</v>
      </c>
      <c r="CC316" s="115">
        <v>0</v>
      </c>
      <c r="CD316" s="116">
        <v>44799.937548905371</v>
      </c>
      <c r="CE316" s="117">
        <v>1384.6515007422354</v>
      </c>
      <c r="CF316" s="117">
        <v>63232.375389612367</v>
      </c>
    </row>
    <row r="317" spans="1:84">
      <c r="A317" s="280"/>
      <c r="B317" s="44" t="s">
        <v>83</v>
      </c>
      <c r="C317" s="114">
        <v>0</v>
      </c>
      <c r="D317" s="115">
        <v>0</v>
      </c>
      <c r="E317" s="115">
        <v>1298.9289671204074</v>
      </c>
      <c r="F317" s="115">
        <v>31.663666775383735</v>
      </c>
      <c r="G317" s="115">
        <v>0.6054561238358217</v>
      </c>
      <c r="H317" s="115">
        <v>73.899941468080385</v>
      </c>
      <c r="I317" s="115">
        <v>160.1655910870229</v>
      </c>
      <c r="J317" s="115">
        <v>244.93127905282185</v>
      </c>
      <c r="K317" s="115">
        <v>571.52178084879131</v>
      </c>
      <c r="L317" s="115">
        <v>708.09948836558499</v>
      </c>
      <c r="M317" s="115">
        <v>143.6855334211935</v>
      </c>
      <c r="N317" s="115">
        <v>275.00095074776988</v>
      </c>
      <c r="O317" s="115">
        <v>16.083088085939281</v>
      </c>
      <c r="P317" s="115">
        <v>196.63702880828413</v>
      </c>
      <c r="Q317" s="115">
        <v>35.308232952191965</v>
      </c>
      <c r="R317" s="115">
        <v>54.534899072201554</v>
      </c>
      <c r="S317" s="115">
        <v>1.496756290758475</v>
      </c>
      <c r="T317" s="115">
        <v>234.32823995012137</v>
      </c>
      <c r="U317" s="115">
        <v>585.74361574383022</v>
      </c>
      <c r="V317" s="115">
        <v>191.03213796467725</v>
      </c>
      <c r="W317" s="115">
        <v>176.39960579554761</v>
      </c>
      <c r="X317" s="115">
        <v>8.714776642152032E-2</v>
      </c>
      <c r="Y317" s="115">
        <v>0</v>
      </c>
      <c r="Z317" s="115">
        <v>109.88555141823031</v>
      </c>
      <c r="AA317" s="115">
        <v>114.62627829341547</v>
      </c>
      <c r="AB317" s="115">
        <v>0</v>
      </c>
      <c r="AC317" s="115">
        <v>0</v>
      </c>
      <c r="AD317" s="115">
        <v>346.20003469866197</v>
      </c>
      <c r="AE317" s="115">
        <v>0</v>
      </c>
      <c r="AF317" s="115">
        <v>0</v>
      </c>
      <c r="AG317" s="115">
        <v>3.6852382624889413</v>
      </c>
      <c r="AH317" s="115">
        <v>18.458981064343213</v>
      </c>
      <c r="AI317" s="116">
        <v>0</v>
      </c>
      <c r="AJ317" s="110">
        <v>0</v>
      </c>
      <c r="AK317" s="111">
        <v>0</v>
      </c>
      <c r="AL317" s="111">
        <v>0</v>
      </c>
      <c r="AM317" s="111">
        <v>0</v>
      </c>
      <c r="AN317" s="111">
        <v>0</v>
      </c>
      <c r="AO317" s="111">
        <v>0</v>
      </c>
      <c r="AP317" s="111">
        <v>0</v>
      </c>
      <c r="AQ317" s="111">
        <v>0</v>
      </c>
      <c r="AR317" s="111">
        <v>0</v>
      </c>
      <c r="AS317" s="111">
        <v>0</v>
      </c>
      <c r="AT317" s="111">
        <v>0</v>
      </c>
      <c r="AU317" s="111">
        <v>0</v>
      </c>
      <c r="AV317" s="111">
        <v>0</v>
      </c>
      <c r="AW317" s="111">
        <v>0</v>
      </c>
      <c r="AX317" s="111">
        <v>0</v>
      </c>
      <c r="AY317" s="111">
        <v>0</v>
      </c>
      <c r="AZ317" s="111">
        <v>0</v>
      </c>
      <c r="BA317" s="111">
        <v>0</v>
      </c>
      <c r="BB317" s="111">
        <v>0</v>
      </c>
      <c r="BC317" s="111">
        <v>0</v>
      </c>
      <c r="BD317" s="111">
        <v>0</v>
      </c>
      <c r="BE317" s="111">
        <v>0</v>
      </c>
      <c r="BF317" s="111">
        <v>0</v>
      </c>
      <c r="BG317" s="111">
        <v>0</v>
      </c>
      <c r="BH317" s="111">
        <v>0</v>
      </c>
      <c r="BI317" s="111">
        <v>0</v>
      </c>
      <c r="BJ317" s="111">
        <v>0</v>
      </c>
      <c r="BK317" s="111">
        <v>0</v>
      </c>
      <c r="BL317" s="111">
        <v>0</v>
      </c>
      <c r="BM317" s="111">
        <v>0</v>
      </c>
      <c r="BN317" s="111">
        <v>0</v>
      </c>
      <c r="BO317" s="111">
        <v>0</v>
      </c>
      <c r="BP317" s="112">
        <v>0</v>
      </c>
      <c r="BQ317" s="110">
        <v>0</v>
      </c>
      <c r="BR317" s="111"/>
      <c r="BS317" s="111"/>
      <c r="BT317" s="112">
        <v>0</v>
      </c>
      <c r="BU317" s="110">
        <v>0</v>
      </c>
      <c r="BV317" s="111"/>
      <c r="BW317" s="112">
        <v>0</v>
      </c>
      <c r="BX317" s="141" cm="1">
        <f t="array" aca="1" ref="BX317:CB317" ca="1">'2022 SAM'!BV46*F222:J222</f>
        <v>1.0611083564335282</v>
      </c>
      <c r="BY317" s="142">
        <f ca="1"/>
        <v>5.5766791647523855</v>
      </c>
      <c r="BZ317" s="142">
        <f ca="1"/>
        <v>0.56640057611399397</v>
      </c>
      <c r="CA317" s="142">
        <f ca="1"/>
        <v>0.25642342770859899</v>
      </c>
      <c r="CB317" s="142">
        <f ca="1"/>
        <v>0</v>
      </c>
      <c r="CC317" s="115">
        <v>0</v>
      </c>
      <c r="CD317" s="116">
        <v>11455.931012608735</v>
      </c>
      <c r="CE317" s="117">
        <v>1290.6427837664244</v>
      </c>
      <c r="CF317" s="117">
        <v>18347.043899078169</v>
      </c>
    </row>
    <row r="318" spans="1:84">
      <c r="A318" s="280"/>
      <c r="B318" s="44" t="s">
        <v>84</v>
      </c>
      <c r="C318" s="114">
        <v>0</v>
      </c>
      <c r="D318" s="115">
        <v>0</v>
      </c>
      <c r="E318" s="115">
        <v>3.6321957069980595</v>
      </c>
      <c r="F318" s="115">
        <v>9.3401169352699398</v>
      </c>
      <c r="G318" s="115">
        <v>0.46547114856015948</v>
      </c>
      <c r="H318" s="115">
        <v>31.308111981945761</v>
      </c>
      <c r="I318" s="115">
        <v>0</v>
      </c>
      <c r="J318" s="115">
        <v>0</v>
      </c>
      <c r="K318" s="115">
        <v>225.97732219833929</v>
      </c>
      <c r="L318" s="115">
        <v>5.0598814702095787</v>
      </c>
      <c r="M318" s="115">
        <v>1364.7264706633732</v>
      </c>
      <c r="N318" s="115">
        <v>253.9679344562791</v>
      </c>
      <c r="O318" s="115">
        <v>0</v>
      </c>
      <c r="P318" s="115">
        <v>0</v>
      </c>
      <c r="Q318" s="115">
        <v>4.0385607949445035</v>
      </c>
      <c r="R318" s="115">
        <v>349.02423026294349</v>
      </c>
      <c r="S318" s="115">
        <v>0</v>
      </c>
      <c r="T318" s="115">
        <v>6470.345464665259</v>
      </c>
      <c r="U318" s="115">
        <v>0</v>
      </c>
      <c r="V318" s="115">
        <v>16.971143372754582</v>
      </c>
      <c r="W318" s="115">
        <v>0</v>
      </c>
      <c r="X318" s="115">
        <v>0</v>
      </c>
      <c r="Y318" s="115">
        <v>0</v>
      </c>
      <c r="Z318" s="115">
        <v>0</v>
      </c>
      <c r="AA318" s="115">
        <v>0</v>
      </c>
      <c r="AB318" s="115">
        <v>0</v>
      </c>
      <c r="AC318" s="115">
        <v>0</v>
      </c>
      <c r="AD318" s="115">
        <v>0</v>
      </c>
      <c r="AE318" s="115">
        <v>0</v>
      </c>
      <c r="AF318" s="115">
        <v>0.12730818027996194</v>
      </c>
      <c r="AG318" s="115">
        <v>47.171651052028288</v>
      </c>
      <c r="AH318" s="115">
        <v>0</v>
      </c>
      <c r="AI318" s="116">
        <v>0</v>
      </c>
      <c r="AJ318" s="110">
        <v>0</v>
      </c>
      <c r="AK318" s="111">
        <v>0</v>
      </c>
      <c r="AL318" s="111">
        <v>0</v>
      </c>
      <c r="AM318" s="111">
        <v>0</v>
      </c>
      <c r="AN318" s="111">
        <v>0</v>
      </c>
      <c r="AO318" s="111">
        <v>0</v>
      </c>
      <c r="AP318" s="111">
        <v>0</v>
      </c>
      <c r="AQ318" s="111">
        <v>0</v>
      </c>
      <c r="AR318" s="111">
        <v>0</v>
      </c>
      <c r="AS318" s="111">
        <v>0</v>
      </c>
      <c r="AT318" s="111">
        <v>0</v>
      </c>
      <c r="AU318" s="111">
        <v>0</v>
      </c>
      <c r="AV318" s="111">
        <v>0</v>
      </c>
      <c r="AW318" s="111">
        <v>0</v>
      </c>
      <c r="AX318" s="111">
        <v>0</v>
      </c>
      <c r="AY318" s="111">
        <v>0</v>
      </c>
      <c r="AZ318" s="111">
        <v>0</v>
      </c>
      <c r="BA318" s="111">
        <v>0</v>
      </c>
      <c r="BB318" s="111">
        <v>0</v>
      </c>
      <c r="BC318" s="111">
        <v>0</v>
      </c>
      <c r="BD318" s="111">
        <v>0</v>
      </c>
      <c r="BE318" s="111">
        <v>0</v>
      </c>
      <c r="BF318" s="111">
        <v>0</v>
      </c>
      <c r="BG318" s="111">
        <v>0</v>
      </c>
      <c r="BH318" s="111">
        <v>0</v>
      </c>
      <c r="BI318" s="111">
        <v>0</v>
      </c>
      <c r="BJ318" s="111">
        <v>0</v>
      </c>
      <c r="BK318" s="111">
        <v>0</v>
      </c>
      <c r="BL318" s="111">
        <v>0</v>
      </c>
      <c r="BM318" s="111">
        <v>0</v>
      </c>
      <c r="BN318" s="111">
        <v>0</v>
      </c>
      <c r="BO318" s="111">
        <v>0</v>
      </c>
      <c r="BP318" s="112">
        <v>0</v>
      </c>
      <c r="BQ318" s="110">
        <v>0</v>
      </c>
      <c r="BR318" s="111"/>
      <c r="BS318" s="111"/>
      <c r="BT318" s="112">
        <v>0</v>
      </c>
      <c r="BU318" s="110">
        <v>0</v>
      </c>
      <c r="BV318" s="111"/>
      <c r="BW318" s="112">
        <v>0</v>
      </c>
      <c r="BX318" s="141" cm="1">
        <f t="array" aca="1" ref="BX318:CB318" ca="1">'2022 SAM'!BV47*F223:J223</f>
        <v>12.707078162001828</v>
      </c>
      <c r="BY318" s="142">
        <f ca="1"/>
        <v>66.7823390526232</v>
      </c>
      <c r="BZ318" s="142">
        <f ca="1"/>
        <v>6.782810019397159</v>
      </c>
      <c r="CA318" s="142">
        <f ca="1"/>
        <v>3.0707443954294318</v>
      </c>
      <c r="CB318" s="142">
        <f ca="1"/>
        <v>0</v>
      </c>
      <c r="CC318" s="115">
        <v>0</v>
      </c>
      <c r="CD318" s="116">
        <v>4728.6532694254747</v>
      </c>
      <c r="CE318" s="117">
        <v>734.57117772375295</v>
      </c>
      <c r="CF318" s="117">
        <v>14334.723281667866</v>
      </c>
    </row>
    <row r="319" spans="1:84">
      <c r="A319" s="280"/>
      <c r="B319" s="44" t="s">
        <v>85</v>
      </c>
      <c r="C319" s="114">
        <v>0</v>
      </c>
      <c r="D319" s="115">
        <v>0</v>
      </c>
      <c r="E319" s="115">
        <v>15.07720472681059</v>
      </c>
      <c r="F319" s="115">
        <v>82.436696404822627</v>
      </c>
      <c r="G319" s="115">
        <v>0</v>
      </c>
      <c r="H319" s="115">
        <v>108.81532339293815</v>
      </c>
      <c r="I319" s="115">
        <v>31.051592598639381</v>
      </c>
      <c r="J319" s="115">
        <v>0</v>
      </c>
      <c r="K319" s="115">
        <v>1.7759274318138933</v>
      </c>
      <c r="L319" s="115">
        <v>382.468836721287</v>
      </c>
      <c r="M319" s="115">
        <v>132.11199490888916</v>
      </c>
      <c r="N319" s="115">
        <v>14746.857733611136</v>
      </c>
      <c r="O319" s="115">
        <v>1842.6759591066773</v>
      </c>
      <c r="P319" s="115">
        <v>2666.1365789535334</v>
      </c>
      <c r="Q319" s="115">
        <v>232.726976818021</v>
      </c>
      <c r="R319" s="115">
        <v>2332.262990294807</v>
      </c>
      <c r="S319" s="115">
        <v>3.643172099091993E-4</v>
      </c>
      <c r="T319" s="115">
        <v>6395.6390333875834</v>
      </c>
      <c r="U319" s="115">
        <v>142.76294923666291</v>
      </c>
      <c r="V319" s="115">
        <v>499.74631507464375</v>
      </c>
      <c r="W319" s="115">
        <v>0</v>
      </c>
      <c r="X319" s="115">
        <v>0</v>
      </c>
      <c r="Y319" s="115">
        <v>0</v>
      </c>
      <c r="Z319" s="115">
        <v>9.0288998001675308E-2</v>
      </c>
      <c r="AA319" s="115">
        <v>0</v>
      </c>
      <c r="AB319" s="115">
        <v>0</v>
      </c>
      <c r="AC319" s="115">
        <v>0</v>
      </c>
      <c r="AD319" s="115">
        <v>35.405645245469941</v>
      </c>
      <c r="AE319" s="115">
        <v>161.21949586138052</v>
      </c>
      <c r="AF319" s="115">
        <v>0</v>
      </c>
      <c r="AG319" s="115">
        <v>0</v>
      </c>
      <c r="AH319" s="115">
        <v>0.60532123859413645</v>
      </c>
      <c r="AI319" s="116">
        <v>0</v>
      </c>
      <c r="AJ319" s="110">
        <v>0</v>
      </c>
      <c r="AK319" s="111">
        <v>0</v>
      </c>
      <c r="AL319" s="111">
        <v>0</v>
      </c>
      <c r="AM319" s="111">
        <v>0</v>
      </c>
      <c r="AN319" s="111">
        <v>0</v>
      </c>
      <c r="AO319" s="111">
        <v>0</v>
      </c>
      <c r="AP319" s="111">
        <v>0</v>
      </c>
      <c r="AQ319" s="111">
        <v>0</v>
      </c>
      <c r="AR319" s="111">
        <v>0</v>
      </c>
      <c r="AS319" s="111">
        <v>0</v>
      </c>
      <c r="AT319" s="111">
        <v>0</v>
      </c>
      <c r="AU319" s="111">
        <v>0</v>
      </c>
      <c r="AV319" s="111">
        <v>0</v>
      </c>
      <c r="AW319" s="111">
        <v>0</v>
      </c>
      <c r="AX319" s="111">
        <v>0</v>
      </c>
      <c r="AY319" s="111">
        <v>0</v>
      </c>
      <c r="AZ319" s="111">
        <v>0</v>
      </c>
      <c r="BA319" s="111">
        <v>0</v>
      </c>
      <c r="BB319" s="111">
        <v>0</v>
      </c>
      <c r="BC319" s="111">
        <v>0</v>
      </c>
      <c r="BD319" s="111">
        <v>0</v>
      </c>
      <c r="BE319" s="111">
        <v>0</v>
      </c>
      <c r="BF319" s="111">
        <v>0</v>
      </c>
      <c r="BG319" s="111">
        <v>0</v>
      </c>
      <c r="BH319" s="111">
        <v>0</v>
      </c>
      <c r="BI319" s="111">
        <v>0</v>
      </c>
      <c r="BJ319" s="111">
        <v>0</v>
      </c>
      <c r="BK319" s="111">
        <v>0</v>
      </c>
      <c r="BL319" s="111">
        <v>0</v>
      </c>
      <c r="BM319" s="111">
        <v>0</v>
      </c>
      <c r="BN319" s="111">
        <v>0</v>
      </c>
      <c r="BO319" s="111">
        <v>0</v>
      </c>
      <c r="BP319" s="112">
        <v>0</v>
      </c>
      <c r="BQ319" s="110">
        <v>0</v>
      </c>
      <c r="BR319" s="111"/>
      <c r="BS319" s="111"/>
      <c r="BT319" s="112">
        <v>0</v>
      </c>
      <c r="BU319" s="110">
        <v>0</v>
      </c>
      <c r="BV319" s="111"/>
      <c r="BW319" s="112">
        <v>0</v>
      </c>
      <c r="BX319" s="141" cm="1">
        <f t="array" aca="1" ref="BX319:CB319" ca="1">'2022 SAM'!BV48*F224:J224</f>
        <v>13.497061083138696</v>
      </c>
      <c r="BY319" s="142">
        <f ca="1"/>
        <v>70.934112309429295</v>
      </c>
      <c r="BZ319" s="142">
        <f ca="1"/>
        <v>7.2044887093624732</v>
      </c>
      <c r="CA319" s="142">
        <f ca="1"/>
        <v>3.2616486770147941</v>
      </c>
      <c r="CB319" s="142">
        <f ca="1"/>
        <v>0</v>
      </c>
      <c r="CC319" s="115">
        <v>0</v>
      </c>
      <c r="CD319" s="116">
        <v>129405.85466863023</v>
      </c>
      <c r="CE319" s="117">
        <v>5189.9998898448293</v>
      </c>
      <c r="CF319" s="117">
        <v>164500.61909758291</v>
      </c>
    </row>
    <row r="320" spans="1:84">
      <c r="A320" s="280"/>
      <c r="B320" s="44" t="s">
        <v>86</v>
      </c>
      <c r="C320" s="114">
        <v>0</v>
      </c>
      <c r="D320" s="115">
        <v>0</v>
      </c>
      <c r="E320" s="115">
        <v>124.53197137555694</v>
      </c>
      <c r="F320" s="115">
        <v>1.9763583921474857</v>
      </c>
      <c r="G320" s="115">
        <v>2.0711289967407672E-2</v>
      </c>
      <c r="H320" s="115">
        <v>11.931422825279867</v>
      </c>
      <c r="I320" s="115">
        <v>31.869563671642425</v>
      </c>
      <c r="J320" s="115">
        <v>0</v>
      </c>
      <c r="K320" s="115">
        <v>35.325610805117471</v>
      </c>
      <c r="L320" s="115">
        <v>14.666917956863252</v>
      </c>
      <c r="M320" s="115">
        <v>285.36399297911566</v>
      </c>
      <c r="N320" s="115">
        <v>665.34982243942204</v>
      </c>
      <c r="O320" s="115">
        <v>937.64181898162383</v>
      </c>
      <c r="P320" s="115">
        <v>138.33712805952695</v>
      </c>
      <c r="Q320" s="115">
        <v>42.58633465492747</v>
      </c>
      <c r="R320" s="115">
        <v>239.91281551950544</v>
      </c>
      <c r="S320" s="115">
        <v>8.8472112610363656</v>
      </c>
      <c r="T320" s="115">
        <v>6843.1120314195596</v>
      </c>
      <c r="U320" s="115">
        <v>201.37955638556292</v>
      </c>
      <c r="V320" s="115">
        <v>0</v>
      </c>
      <c r="W320" s="115">
        <v>0</v>
      </c>
      <c r="X320" s="115">
        <v>0</v>
      </c>
      <c r="Y320" s="115">
        <v>0</v>
      </c>
      <c r="Z320" s="115">
        <v>842.32798646457945</v>
      </c>
      <c r="AA320" s="115">
        <v>0</v>
      </c>
      <c r="AB320" s="115">
        <v>0</v>
      </c>
      <c r="AC320" s="115">
        <v>276.01649045546816</v>
      </c>
      <c r="AD320" s="115">
        <v>122.0917259107859</v>
      </c>
      <c r="AE320" s="115">
        <v>60.309569759160006</v>
      </c>
      <c r="AF320" s="115">
        <v>8.429948675701052</v>
      </c>
      <c r="AG320" s="115">
        <v>40.092570487265547</v>
      </c>
      <c r="AH320" s="115">
        <v>50.746488085104637</v>
      </c>
      <c r="AI320" s="116">
        <v>0</v>
      </c>
      <c r="AJ320" s="110">
        <v>0</v>
      </c>
      <c r="AK320" s="111">
        <v>0</v>
      </c>
      <c r="AL320" s="111">
        <v>0</v>
      </c>
      <c r="AM320" s="111">
        <v>0</v>
      </c>
      <c r="AN320" s="111">
        <v>0</v>
      </c>
      <c r="AO320" s="111">
        <v>0</v>
      </c>
      <c r="AP320" s="111">
        <v>0</v>
      </c>
      <c r="AQ320" s="111">
        <v>0</v>
      </c>
      <c r="AR320" s="111">
        <v>0</v>
      </c>
      <c r="AS320" s="111">
        <v>0</v>
      </c>
      <c r="AT320" s="111">
        <v>0</v>
      </c>
      <c r="AU320" s="111">
        <v>0</v>
      </c>
      <c r="AV320" s="111">
        <v>0</v>
      </c>
      <c r="AW320" s="111">
        <v>0</v>
      </c>
      <c r="AX320" s="111">
        <v>0</v>
      </c>
      <c r="AY320" s="111">
        <v>0</v>
      </c>
      <c r="AZ320" s="111">
        <v>0</v>
      </c>
      <c r="BA320" s="111">
        <v>0</v>
      </c>
      <c r="BB320" s="111">
        <v>0</v>
      </c>
      <c r="BC320" s="111">
        <v>0</v>
      </c>
      <c r="BD320" s="111">
        <v>0</v>
      </c>
      <c r="BE320" s="111">
        <v>0</v>
      </c>
      <c r="BF320" s="111">
        <v>0</v>
      </c>
      <c r="BG320" s="111">
        <v>0</v>
      </c>
      <c r="BH320" s="111">
        <v>0</v>
      </c>
      <c r="BI320" s="111">
        <v>0</v>
      </c>
      <c r="BJ320" s="111">
        <v>0</v>
      </c>
      <c r="BK320" s="111">
        <v>0</v>
      </c>
      <c r="BL320" s="111">
        <v>0</v>
      </c>
      <c r="BM320" s="111">
        <v>0</v>
      </c>
      <c r="BN320" s="111">
        <v>0</v>
      </c>
      <c r="BO320" s="111">
        <v>0</v>
      </c>
      <c r="BP320" s="112">
        <v>0</v>
      </c>
      <c r="BQ320" s="110">
        <v>0</v>
      </c>
      <c r="BR320" s="111"/>
      <c r="BS320" s="111"/>
      <c r="BT320" s="112">
        <v>0</v>
      </c>
      <c r="BU320" s="110">
        <v>0</v>
      </c>
      <c r="BV320" s="111"/>
      <c r="BW320" s="112">
        <v>0</v>
      </c>
      <c r="BX320" s="141" cm="1">
        <f t="array" aca="1" ref="BX320:CB320" ca="1">'2022 SAM'!BV49*F225:J225</f>
        <v>3.3748911794284022</v>
      </c>
      <c r="BY320" s="142">
        <f ca="1"/>
        <v>17.73681755450766</v>
      </c>
      <c r="BZ320" s="142">
        <f ca="1"/>
        <v>1.8014562761291661</v>
      </c>
      <c r="CA320" s="142">
        <f ca="1"/>
        <v>0.81556342396664483</v>
      </c>
      <c r="CB320" s="142">
        <f ca="1"/>
        <v>0</v>
      </c>
      <c r="CC320" s="115">
        <v>0</v>
      </c>
      <c r="CD320" s="116">
        <v>40306.887845423233</v>
      </c>
      <c r="CE320" s="117">
        <v>16971.40369523162</v>
      </c>
      <c r="CF320" s="117">
        <v>68284.888316943805</v>
      </c>
    </row>
    <row r="321" spans="1:84">
      <c r="A321" s="280"/>
      <c r="B321" s="44" t="s">
        <v>87</v>
      </c>
      <c r="C321" s="114">
        <v>0</v>
      </c>
      <c r="D321" s="115">
        <v>0</v>
      </c>
      <c r="E321" s="115">
        <v>0</v>
      </c>
      <c r="F321" s="115">
        <v>0</v>
      </c>
      <c r="G321" s="115">
        <v>0</v>
      </c>
      <c r="H321" s="115">
        <v>0</v>
      </c>
      <c r="I321" s="115">
        <v>1.3265466476407349E-2</v>
      </c>
      <c r="J321" s="115">
        <v>0</v>
      </c>
      <c r="K321" s="115">
        <v>0.16990156587429248</v>
      </c>
      <c r="L321" s="115">
        <v>15.244195812808075</v>
      </c>
      <c r="M321" s="115">
        <v>0</v>
      </c>
      <c r="N321" s="115">
        <v>1.4777645710533323</v>
      </c>
      <c r="O321" s="115">
        <v>467.54110226635294</v>
      </c>
      <c r="P321" s="115">
        <v>284.26044978225582</v>
      </c>
      <c r="Q321" s="115">
        <v>217.21441187664448</v>
      </c>
      <c r="R321" s="115">
        <v>2.6613348122640494</v>
      </c>
      <c r="S321" s="115">
        <v>373.88934367224795</v>
      </c>
      <c r="T321" s="115">
        <v>4921.8199828824982</v>
      </c>
      <c r="U321" s="115">
        <v>22.310380842209476</v>
      </c>
      <c r="V321" s="115">
        <v>46.162148109248839</v>
      </c>
      <c r="W321" s="115">
        <v>0</v>
      </c>
      <c r="X321" s="115">
        <v>0</v>
      </c>
      <c r="Y321" s="115">
        <v>0</v>
      </c>
      <c r="Z321" s="115">
        <v>0</v>
      </c>
      <c r="AA321" s="115">
        <v>1200.9764004256233</v>
      </c>
      <c r="AB321" s="115">
        <v>0</v>
      </c>
      <c r="AC321" s="115">
        <v>0</v>
      </c>
      <c r="AD321" s="115">
        <v>808.87255063610667</v>
      </c>
      <c r="AE321" s="115">
        <v>4.3134055090234087</v>
      </c>
      <c r="AF321" s="115">
        <v>0.14341083210589445</v>
      </c>
      <c r="AG321" s="115">
        <v>3.1342586139537754</v>
      </c>
      <c r="AH321" s="115">
        <v>0.69624755354770262</v>
      </c>
      <c r="AI321" s="116">
        <v>0</v>
      </c>
      <c r="AJ321" s="110">
        <v>0</v>
      </c>
      <c r="AK321" s="111">
        <v>0</v>
      </c>
      <c r="AL321" s="111">
        <v>0</v>
      </c>
      <c r="AM321" s="111">
        <v>0</v>
      </c>
      <c r="AN321" s="111">
        <v>0</v>
      </c>
      <c r="AO321" s="111">
        <v>0</v>
      </c>
      <c r="AP321" s="111">
        <v>0</v>
      </c>
      <c r="AQ321" s="111">
        <v>0</v>
      </c>
      <c r="AR321" s="111">
        <v>0</v>
      </c>
      <c r="AS321" s="111">
        <v>0</v>
      </c>
      <c r="AT321" s="111">
        <v>0</v>
      </c>
      <c r="AU321" s="111">
        <v>0</v>
      </c>
      <c r="AV321" s="111">
        <v>0</v>
      </c>
      <c r="AW321" s="111">
        <v>0</v>
      </c>
      <c r="AX321" s="111">
        <v>0</v>
      </c>
      <c r="AY321" s="111">
        <v>0</v>
      </c>
      <c r="AZ321" s="111">
        <v>0</v>
      </c>
      <c r="BA321" s="111">
        <v>0</v>
      </c>
      <c r="BB321" s="111">
        <v>0</v>
      </c>
      <c r="BC321" s="111">
        <v>0</v>
      </c>
      <c r="BD321" s="111">
        <v>0</v>
      </c>
      <c r="BE321" s="111">
        <v>0</v>
      </c>
      <c r="BF321" s="111">
        <v>0</v>
      </c>
      <c r="BG321" s="111">
        <v>0</v>
      </c>
      <c r="BH321" s="111">
        <v>0</v>
      </c>
      <c r="BI321" s="111">
        <v>0</v>
      </c>
      <c r="BJ321" s="111">
        <v>0</v>
      </c>
      <c r="BK321" s="111">
        <v>0</v>
      </c>
      <c r="BL321" s="111">
        <v>0</v>
      </c>
      <c r="BM321" s="111">
        <v>0</v>
      </c>
      <c r="BN321" s="111">
        <v>0</v>
      </c>
      <c r="BO321" s="111">
        <v>0</v>
      </c>
      <c r="BP321" s="112">
        <v>0</v>
      </c>
      <c r="BQ321" s="110">
        <v>0</v>
      </c>
      <c r="BR321" s="111"/>
      <c r="BS321" s="111"/>
      <c r="BT321" s="112">
        <v>0</v>
      </c>
      <c r="BU321" s="110">
        <v>0</v>
      </c>
      <c r="BV321" s="111"/>
      <c r="BW321" s="112">
        <v>0</v>
      </c>
      <c r="BX321" s="141" cm="1">
        <f t="array" aca="1" ref="BX321:CB321" ca="1">'2022 SAM'!BV50*F226:J226</f>
        <v>134.55376452307095</v>
      </c>
      <c r="BY321" s="142">
        <f ca="1"/>
        <v>218.40146218415205</v>
      </c>
      <c r="BZ321" s="142">
        <f ca="1"/>
        <v>10.308363118469112</v>
      </c>
      <c r="CA321" s="142">
        <f ca="1"/>
        <v>5.8173790380324917</v>
      </c>
      <c r="CB321" s="142">
        <f ca="1"/>
        <v>0</v>
      </c>
      <c r="CC321" s="115">
        <v>0</v>
      </c>
      <c r="CD321" s="116">
        <v>127465.50584737753</v>
      </c>
      <c r="CE321" s="117">
        <v>8519.5669346308005</v>
      </c>
      <c r="CF321" s="117">
        <v>144725.05430610233</v>
      </c>
    </row>
    <row r="322" spans="1:84">
      <c r="A322" s="280"/>
      <c r="B322" s="44" t="s">
        <v>88</v>
      </c>
      <c r="C322" s="114">
        <v>0</v>
      </c>
      <c r="D322" s="115">
        <v>0</v>
      </c>
      <c r="E322" s="115">
        <v>108.8621124484515</v>
      </c>
      <c r="F322" s="115">
        <v>4.2760771921233713</v>
      </c>
      <c r="G322" s="115">
        <v>2.2132698837119057E-2</v>
      </c>
      <c r="H322" s="115">
        <v>5.370434031960758</v>
      </c>
      <c r="I322" s="115">
        <v>9.7760438343851508</v>
      </c>
      <c r="J322" s="115">
        <v>50.119072195723682</v>
      </c>
      <c r="K322" s="115">
        <v>56.772518876648519</v>
      </c>
      <c r="L322" s="115">
        <v>21.852723717009248</v>
      </c>
      <c r="M322" s="115">
        <v>102.79118125281248</v>
      </c>
      <c r="N322" s="115">
        <v>289.94171741785271</v>
      </c>
      <c r="O322" s="115">
        <v>63.96054707997456</v>
      </c>
      <c r="P322" s="115">
        <v>107.81758362668471</v>
      </c>
      <c r="Q322" s="115">
        <v>76.367425900560804</v>
      </c>
      <c r="R322" s="115">
        <v>114.22084988221437</v>
      </c>
      <c r="S322" s="115">
        <v>10.885020588384458</v>
      </c>
      <c r="T322" s="115">
        <v>515.33658128204866</v>
      </c>
      <c r="U322" s="115">
        <v>311.55667950037031</v>
      </c>
      <c r="V322" s="115">
        <v>142.09715253135687</v>
      </c>
      <c r="W322" s="115">
        <v>476.11031604443485</v>
      </c>
      <c r="X322" s="115">
        <v>8.0254186491223471</v>
      </c>
      <c r="Y322" s="115">
        <v>1177.2064158885239</v>
      </c>
      <c r="Z322" s="115">
        <v>259.5918736918685</v>
      </c>
      <c r="AA322" s="115">
        <v>390.65680980919063</v>
      </c>
      <c r="AB322" s="115">
        <v>0</v>
      </c>
      <c r="AC322" s="115">
        <v>7.0111895100536694</v>
      </c>
      <c r="AD322" s="115">
        <v>684.94257877529799</v>
      </c>
      <c r="AE322" s="115">
        <v>3.5516160964531642</v>
      </c>
      <c r="AF322" s="115">
        <v>0.99362634796281157</v>
      </c>
      <c r="AG322" s="115">
        <v>22.374059953337671</v>
      </c>
      <c r="AH322" s="115">
        <v>147.53888513789909</v>
      </c>
      <c r="AI322" s="116">
        <v>0</v>
      </c>
      <c r="AJ322" s="110">
        <v>0</v>
      </c>
      <c r="AK322" s="111">
        <v>0</v>
      </c>
      <c r="AL322" s="111">
        <v>0</v>
      </c>
      <c r="AM322" s="111">
        <v>0</v>
      </c>
      <c r="AN322" s="111">
        <v>0</v>
      </c>
      <c r="AO322" s="111">
        <v>0</v>
      </c>
      <c r="AP322" s="111">
        <v>0</v>
      </c>
      <c r="AQ322" s="111">
        <v>0</v>
      </c>
      <c r="AR322" s="111">
        <v>0</v>
      </c>
      <c r="AS322" s="111">
        <v>0</v>
      </c>
      <c r="AT322" s="111">
        <v>0</v>
      </c>
      <c r="AU322" s="111">
        <v>0</v>
      </c>
      <c r="AV322" s="111">
        <v>0</v>
      </c>
      <c r="AW322" s="111">
        <v>0</v>
      </c>
      <c r="AX322" s="111">
        <v>0</v>
      </c>
      <c r="AY322" s="111">
        <v>0</v>
      </c>
      <c r="AZ322" s="111">
        <v>0</v>
      </c>
      <c r="BA322" s="111">
        <v>0</v>
      </c>
      <c r="BB322" s="111">
        <v>0</v>
      </c>
      <c r="BC322" s="111">
        <v>0</v>
      </c>
      <c r="BD322" s="111">
        <v>0</v>
      </c>
      <c r="BE322" s="111">
        <v>0</v>
      </c>
      <c r="BF322" s="111">
        <v>0</v>
      </c>
      <c r="BG322" s="111">
        <v>0</v>
      </c>
      <c r="BH322" s="111">
        <v>0</v>
      </c>
      <c r="BI322" s="111">
        <v>0</v>
      </c>
      <c r="BJ322" s="111">
        <v>0</v>
      </c>
      <c r="BK322" s="111">
        <v>0</v>
      </c>
      <c r="BL322" s="111">
        <v>0</v>
      </c>
      <c r="BM322" s="111">
        <v>0</v>
      </c>
      <c r="BN322" s="111">
        <v>0</v>
      </c>
      <c r="BO322" s="111">
        <v>0</v>
      </c>
      <c r="BP322" s="112">
        <v>0</v>
      </c>
      <c r="BQ322" s="110">
        <v>0</v>
      </c>
      <c r="BR322" s="111"/>
      <c r="BS322" s="111"/>
      <c r="BT322" s="112">
        <v>0</v>
      </c>
      <c r="BU322" s="110">
        <v>0</v>
      </c>
      <c r="BV322" s="111"/>
      <c r="BW322" s="112">
        <v>0</v>
      </c>
      <c r="BX322" s="141" cm="1">
        <f t="array" aca="1" ref="BX322:CB322" ca="1">'2022 SAM'!BV51*F227:J227</f>
        <v>80.858449344339988</v>
      </c>
      <c r="BY322" s="142">
        <f ca="1"/>
        <v>411.2485567588123</v>
      </c>
      <c r="BZ322" s="142">
        <f ca="1"/>
        <v>42.050905119253322</v>
      </c>
      <c r="CA322" s="142">
        <f ca="1"/>
        <v>11.345132568049051</v>
      </c>
      <c r="CB322" s="142">
        <f ca="1"/>
        <v>0</v>
      </c>
      <c r="CC322" s="115">
        <v>0</v>
      </c>
      <c r="CD322" s="116">
        <v>32111.616276144228</v>
      </c>
      <c r="CE322" s="117">
        <v>13540.613431654505</v>
      </c>
      <c r="CF322" s="117">
        <v>51367.761395550733</v>
      </c>
    </row>
    <row r="323" spans="1:84">
      <c r="A323" s="280"/>
      <c r="B323" s="44" t="s">
        <v>89</v>
      </c>
      <c r="C323" s="114">
        <v>0</v>
      </c>
      <c r="D323" s="115">
        <v>43.836212145634725</v>
      </c>
      <c r="E323" s="115">
        <v>84.357761163543756</v>
      </c>
      <c r="F323" s="115">
        <v>37.635419123920322</v>
      </c>
      <c r="G323" s="115">
        <v>0.90100513770996316</v>
      </c>
      <c r="H323" s="115">
        <v>11.410638198028126</v>
      </c>
      <c r="I323" s="115">
        <v>80.054425731284837</v>
      </c>
      <c r="J323" s="115">
        <v>47.737613194956801</v>
      </c>
      <c r="K323" s="115">
        <v>53.146659025120606</v>
      </c>
      <c r="L323" s="115">
        <v>20.000170590060446</v>
      </c>
      <c r="M323" s="115">
        <v>72.877999029885103</v>
      </c>
      <c r="N323" s="115">
        <v>442.42015643056624</v>
      </c>
      <c r="O323" s="115">
        <v>12.70391786781361</v>
      </c>
      <c r="P323" s="115">
        <v>20.368926842903946</v>
      </c>
      <c r="Q323" s="115">
        <v>16.827822580278568</v>
      </c>
      <c r="R323" s="115">
        <v>673.81103429410007</v>
      </c>
      <c r="S323" s="115">
        <v>239.46691641713946</v>
      </c>
      <c r="T323" s="115">
        <v>360.48846848961512</v>
      </c>
      <c r="U323" s="115">
        <v>303.89617885648181</v>
      </c>
      <c r="V323" s="115">
        <v>803.68960580865905</v>
      </c>
      <c r="W323" s="115">
        <v>44.901193915484527</v>
      </c>
      <c r="X323" s="115">
        <v>3.1068620601778489</v>
      </c>
      <c r="Y323" s="115">
        <v>1288.2261767467105</v>
      </c>
      <c r="Z323" s="115">
        <v>210.11503610536607</v>
      </c>
      <c r="AA323" s="115">
        <v>1918.9338027989381</v>
      </c>
      <c r="AB323" s="115">
        <v>225.68191162850573</v>
      </c>
      <c r="AC323" s="115">
        <v>59.687596587940796</v>
      </c>
      <c r="AD323" s="115">
        <v>487.62204518696711</v>
      </c>
      <c r="AE323" s="115">
        <v>279.99655182575276</v>
      </c>
      <c r="AF323" s="115">
        <v>24.025333305825498</v>
      </c>
      <c r="AG323" s="115">
        <v>187.07915337321188</v>
      </c>
      <c r="AH323" s="115">
        <v>41.441281260299448</v>
      </c>
      <c r="AI323" s="116">
        <v>0</v>
      </c>
      <c r="AJ323" s="110">
        <v>0</v>
      </c>
      <c r="AK323" s="111">
        <v>0</v>
      </c>
      <c r="AL323" s="111">
        <v>0</v>
      </c>
      <c r="AM323" s="111">
        <v>0</v>
      </c>
      <c r="AN323" s="111">
        <v>0</v>
      </c>
      <c r="AO323" s="111">
        <v>0</v>
      </c>
      <c r="AP323" s="111">
        <v>0</v>
      </c>
      <c r="AQ323" s="111">
        <v>0</v>
      </c>
      <c r="AR323" s="111">
        <v>0</v>
      </c>
      <c r="AS323" s="111">
        <v>0</v>
      </c>
      <c r="AT323" s="111">
        <v>0</v>
      </c>
      <c r="AU323" s="111">
        <v>0</v>
      </c>
      <c r="AV323" s="111">
        <v>0</v>
      </c>
      <c r="AW323" s="111">
        <v>0</v>
      </c>
      <c r="AX323" s="111">
        <v>0</v>
      </c>
      <c r="AY323" s="111">
        <v>0</v>
      </c>
      <c r="AZ323" s="111">
        <v>0</v>
      </c>
      <c r="BA323" s="111">
        <v>0</v>
      </c>
      <c r="BB323" s="111">
        <v>0</v>
      </c>
      <c r="BC323" s="111">
        <v>0</v>
      </c>
      <c r="BD323" s="111">
        <v>0</v>
      </c>
      <c r="BE323" s="111">
        <v>0</v>
      </c>
      <c r="BF323" s="111">
        <v>0</v>
      </c>
      <c r="BG323" s="111">
        <v>0</v>
      </c>
      <c r="BH323" s="111">
        <v>0</v>
      </c>
      <c r="BI323" s="111">
        <v>0</v>
      </c>
      <c r="BJ323" s="111">
        <v>0</v>
      </c>
      <c r="BK323" s="111">
        <v>0</v>
      </c>
      <c r="BL323" s="111">
        <v>0</v>
      </c>
      <c r="BM323" s="111">
        <v>0</v>
      </c>
      <c r="BN323" s="111">
        <v>0</v>
      </c>
      <c r="BO323" s="111">
        <v>0</v>
      </c>
      <c r="BP323" s="112">
        <v>0</v>
      </c>
      <c r="BQ323" s="110">
        <v>0</v>
      </c>
      <c r="BR323" s="111"/>
      <c r="BS323" s="111"/>
      <c r="BT323" s="112">
        <v>0</v>
      </c>
      <c r="BU323" s="110">
        <v>0</v>
      </c>
      <c r="BV323" s="111"/>
      <c r="BW323" s="112">
        <v>0</v>
      </c>
      <c r="BX323" s="141" cm="1">
        <f t="array" aca="1" ref="BX323:CB323" ca="1">'2022 SAM'!BV52*F228:J228</f>
        <v>150.09153296736145</v>
      </c>
      <c r="BY323" s="142">
        <f ca="1"/>
        <v>243.62165100116553</v>
      </c>
      <c r="BZ323" s="142">
        <f ca="1"/>
        <v>11.498734563981319</v>
      </c>
      <c r="CA323" s="142">
        <f ca="1"/>
        <v>6.4891483398131182</v>
      </c>
      <c r="CB323" s="142">
        <f ca="1"/>
        <v>0</v>
      </c>
      <c r="CC323" s="115">
        <v>0</v>
      </c>
      <c r="CD323" s="116">
        <v>45765.019005968468</v>
      </c>
      <c r="CE323" s="117">
        <v>6382.4035667759808</v>
      </c>
      <c r="CF323" s="117">
        <v>60655.571515339652</v>
      </c>
    </row>
    <row r="324" spans="1:84">
      <c r="A324" s="280"/>
      <c r="B324" s="44" t="s">
        <v>90</v>
      </c>
      <c r="C324" s="114">
        <v>16.409150005054705</v>
      </c>
      <c r="D324" s="115">
        <v>157.05696702114483</v>
      </c>
      <c r="E324" s="115">
        <v>604.68767376255175</v>
      </c>
      <c r="F324" s="115">
        <v>56.086127607908502</v>
      </c>
      <c r="G324" s="115">
        <v>0.34445050764780394</v>
      </c>
      <c r="H324" s="115">
        <v>25.085299636660217</v>
      </c>
      <c r="I324" s="115">
        <v>192.33556631038635</v>
      </c>
      <c r="J324" s="115">
        <v>241.64585703639705</v>
      </c>
      <c r="K324" s="115">
        <v>147.96857935357662</v>
      </c>
      <c r="L324" s="115">
        <v>176.60018378309925</v>
      </c>
      <c r="M324" s="115">
        <v>289.01531720039793</v>
      </c>
      <c r="N324" s="115">
        <v>2370.9832914234757</v>
      </c>
      <c r="O324" s="115">
        <v>49.878249535881473</v>
      </c>
      <c r="P324" s="115">
        <v>41.917906810961817</v>
      </c>
      <c r="Q324" s="115">
        <v>10.295644013501617</v>
      </c>
      <c r="R324" s="115">
        <v>344.22981214554648</v>
      </c>
      <c r="S324" s="115">
        <v>388.21793345209409</v>
      </c>
      <c r="T324" s="115">
        <v>736.3690543816125</v>
      </c>
      <c r="U324" s="115">
        <v>6479.2333866413364</v>
      </c>
      <c r="V324" s="115">
        <v>2630.9081985470498</v>
      </c>
      <c r="W324" s="115">
        <v>156.38259067307163</v>
      </c>
      <c r="X324" s="115">
        <v>11.983668962028872</v>
      </c>
      <c r="Y324" s="115">
        <v>159.058517179544</v>
      </c>
      <c r="Z324" s="115">
        <v>1400.4379816006729</v>
      </c>
      <c r="AA324" s="115">
        <v>265.11002798475499</v>
      </c>
      <c r="AB324" s="115">
        <v>347.61047493799089</v>
      </c>
      <c r="AC324" s="115">
        <v>1335.2772265504886</v>
      </c>
      <c r="AD324" s="115">
        <v>906.68073372506194</v>
      </c>
      <c r="AE324" s="115">
        <v>2448.3662129703853</v>
      </c>
      <c r="AF324" s="115">
        <v>179.68657264634859</v>
      </c>
      <c r="AG324" s="115">
        <v>259.87707729170057</v>
      </c>
      <c r="AH324" s="115">
        <v>402.9521632750953</v>
      </c>
      <c r="AI324" s="116">
        <v>0</v>
      </c>
      <c r="AJ324" s="110">
        <v>0</v>
      </c>
      <c r="AK324" s="111">
        <v>0</v>
      </c>
      <c r="AL324" s="111">
        <v>0</v>
      </c>
      <c r="AM324" s="111">
        <v>0</v>
      </c>
      <c r="AN324" s="111">
        <v>0</v>
      </c>
      <c r="AO324" s="111">
        <v>0</v>
      </c>
      <c r="AP324" s="111">
        <v>0</v>
      </c>
      <c r="AQ324" s="111">
        <v>0</v>
      </c>
      <c r="AR324" s="111">
        <v>0</v>
      </c>
      <c r="AS324" s="111">
        <v>0</v>
      </c>
      <c r="AT324" s="111">
        <v>0</v>
      </c>
      <c r="AU324" s="111">
        <v>0</v>
      </c>
      <c r="AV324" s="111">
        <v>0</v>
      </c>
      <c r="AW324" s="111">
        <v>0</v>
      </c>
      <c r="AX324" s="111">
        <v>0</v>
      </c>
      <c r="AY324" s="111">
        <v>0</v>
      </c>
      <c r="AZ324" s="111">
        <v>0</v>
      </c>
      <c r="BA324" s="111">
        <v>0</v>
      </c>
      <c r="BB324" s="111">
        <v>0</v>
      </c>
      <c r="BC324" s="111">
        <v>0</v>
      </c>
      <c r="BD324" s="111">
        <v>0</v>
      </c>
      <c r="BE324" s="111">
        <v>0</v>
      </c>
      <c r="BF324" s="111">
        <v>0</v>
      </c>
      <c r="BG324" s="111">
        <v>0</v>
      </c>
      <c r="BH324" s="111">
        <v>0</v>
      </c>
      <c r="BI324" s="111">
        <v>0</v>
      </c>
      <c r="BJ324" s="111">
        <v>0</v>
      </c>
      <c r="BK324" s="111">
        <v>0</v>
      </c>
      <c r="BL324" s="111">
        <v>0</v>
      </c>
      <c r="BM324" s="111">
        <v>0</v>
      </c>
      <c r="BN324" s="111">
        <v>0</v>
      </c>
      <c r="BO324" s="111">
        <v>0</v>
      </c>
      <c r="BP324" s="112">
        <v>0</v>
      </c>
      <c r="BQ324" s="110">
        <v>0</v>
      </c>
      <c r="BR324" s="111"/>
      <c r="BS324" s="111"/>
      <c r="BT324" s="112">
        <v>0</v>
      </c>
      <c r="BU324" s="110">
        <v>0</v>
      </c>
      <c r="BV324" s="111"/>
      <c r="BW324" s="112">
        <v>0</v>
      </c>
      <c r="BX324" s="141" cm="1">
        <f t="array" aca="1" ref="BX324:CB324" ca="1">'2022 SAM'!BV53*F229:J229</f>
        <v>170.94424202233517</v>
      </c>
      <c r="BY324" s="142">
        <f ca="1"/>
        <v>4437.1156734759816</v>
      </c>
      <c r="BZ324" s="142">
        <f ca="1"/>
        <v>492.01507322285772</v>
      </c>
      <c r="CA324" s="142">
        <f ca="1"/>
        <v>115.47553252227597</v>
      </c>
      <c r="CB324" s="142">
        <f ca="1"/>
        <v>0</v>
      </c>
      <c r="CC324" s="115">
        <v>4719.0733364380803</v>
      </c>
      <c r="CD324" s="116">
        <v>0</v>
      </c>
      <c r="CE324" s="117">
        <v>0</v>
      </c>
      <c r="CF324" s="117">
        <v>32767.315754654959</v>
      </c>
    </row>
    <row r="325" spans="1:84">
      <c r="A325" s="280"/>
      <c r="B325" s="44" t="s">
        <v>91</v>
      </c>
      <c r="C325" s="114">
        <v>0</v>
      </c>
      <c r="D325" s="115">
        <v>98.378507421628584</v>
      </c>
      <c r="E325" s="115">
        <v>84.246232863902193</v>
      </c>
      <c r="F325" s="115">
        <v>52.472508825843803</v>
      </c>
      <c r="G325" s="115">
        <v>0.61928201889320733</v>
      </c>
      <c r="H325" s="115">
        <v>4.7809193286657674</v>
      </c>
      <c r="I325" s="115">
        <v>24.428285483568299</v>
      </c>
      <c r="J325" s="115">
        <v>1.5757930179361619E-3</v>
      </c>
      <c r="K325" s="115">
        <v>14.838817168875128</v>
      </c>
      <c r="L325" s="115">
        <v>15.603037679737835</v>
      </c>
      <c r="M325" s="115">
        <v>33.727772418762392</v>
      </c>
      <c r="N325" s="115">
        <v>156.22110267781628</v>
      </c>
      <c r="O325" s="115">
        <v>0</v>
      </c>
      <c r="P325" s="115">
        <v>10.823508320353993</v>
      </c>
      <c r="Q325" s="115">
        <v>0</v>
      </c>
      <c r="R325" s="115">
        <v>668.28235903001962</v>
      </c>
      <c r="S325" s="115">
        <v>253.74372426550963</v>
      </c>
      <c r="T325" s="115">
        <v>14178.059875435005</v>
      </c>
      <c r="U325" s="115">
        <v>2674.4312130159137</v>
      </c>
      <c r="V325" s="115">
        <v>2228.0177929223128</v>
      </c>
      <c r="W325" s="115">
        <v>260.62140222906976</v>
      </c>
      <c r="X325" s="115">
        <v>58.017067840485595</v>
      </c>
      <c r="Y325" s="115">
        <v>549.17032161449958</v>
      </c>
      <c r="Z325" s="115">
        <v>709.84728891642135</v>
      </c>
      <c r="AA325" s="115">
        <v>186.13952984216579</v>
      </c>
      <c r="AB325" s="115">
        <v>335.91183128506339</v>
      </c>
      <c r="AC325" s="115">
        <v>3570.500690326418</v>
      </c>
      <c r="AD325" s="115">
        <v>2389.4092862303037</v>
      </c>
      <c r="AE325" s="115">
        <v>1531.2473396920543</v>
      </c>
      <c r="AF325" s="115">
        <v>291.04564142638111</v>
      </c>
      <c r="AG325" s="115">
        <v>294.11548811733036</v>
      </c>
      <c r="AH325" s="115">
        <v>533.5816022838419</v>
      </c>
      <c r="AI325" s="116">
        <v>0</v>
      </c>
      <c r="AJ325" s="110">
        <v>0</v>
      </c>
      <c r="AK325" s="111">
        <v>0</v>
      </c>
      <c r="AL325" s="111">
        <v>0</v>
      </c>
      <c r="AM325" s="111">
        <v>0</v>
      </c>
      <c r="AN325" s="111">
        <v>0</v>
      </c>
      <c r="AO325" s="111">
        <v>0</v>
      </c>
      <c r="AP325" s="111">
        <v>0</v>
      </c>
      <c r="AQ325" s="111">
        <v>0</v>
      </c>
      <c r="AR325" s="111">
        <v>0</v>
      </c>
      <c r="AS325" s="111">
        <v>0</v>
      </c>
      <c r="AT325" s="111">
        <v>0</v>
      </c>
      <c r="AU325" s="111">
        <v>0</v>
      </c>
      <c r="AV325" s="111">
        <v>0</v>
      </c>
      <c r="AW325" s="111">
        <v>0</v>
      </c>
      <c r="AX325" s="111">
        <v>0</v>
      </c>
      <c r="AY325" s="111">
        <v>0</v>
      </c>
      <c r="AZ325" s="111">
        <v>0</v>
      </c>
      <c r="BA325" s="111">
        <v>0</v>
      </c>
      <c r="BB325" s="111">
        <v>0</v>
      </c>
      <c r="BC325" s="111">
        <v>0</v>
      </c>
      <c r="BD325" s="111">
        <v>0</v>
      </c>
      <c r="BE325" s="111">
        <v>0</v>
      </c>
      <c r="BF325" s="111">
        <v>0</v>
      </c>
      <c r="BG325" s="111">
        <v>0</v>
      </c>
      <c r="BH325" s="111">
        <v>0</v>
      </c>
      <c r="BI325" s="111">
        <v>0</v>
      </c>
      <c r="BJ325" s="111">
        <v>0</v>
      </c>
      <c r="BK325" s="111">
        <v>0</v>
      </c>
      <c r="BL325" s="111">
        <v>0</v>
      </c>
      <c r="BM325" s="111">
        <v>0</v>
      </c>
      <c r="BN325" s="111">
        <v>0</v>
      </c>
      <c r="BO325" s="111">
        <v>0</v>
      </c>
      <c r="BP325" s="112">
        <v>0</v>
      </c>
      <c r="BQ325" s="110">
        <v>0</v>
      </c>
      <c r="BR325" s="111"/>
      <c r="BS325" s="111"/>
      <c r="BT325" s="112">
        <v>0</v>
      </c>
      <c r="BU325" s="110">
        <v>0</v>
      </c>
      <c r="BV325" s="111"/>
      <c r="BW325" s="112">
        <v>0</v>
      </c>
      <c r="BX325" s="141" cm="1">
        <f t="array" aca="1" ref="BX325:CB325" ca="1">'2022 SAM'!BV54*F230:J230</f>
        <v>201.44618340506113</v>
      </c>
      <c r="BY325" s="142">
        <f ca="1"/>
        <v>326.9781500579162</v>
      </c>
      <c r="BZ325" s="142">
        <f ca="1"/>
        <v>15.433090368965784</v>
      </c>
      <c r="CA325" s="142">
        <f ca="1"/>
        <v>8.7094464341896298</v>
      </c>
      <c r="CB325" s="142">
        <f ca="1"/>
        <v>0</v>
      </c>
      <c r="CC325" s="115">
        <v>0</v>
      </c>
      <c r="CD325" s="116">
        <v>10439.045282394723</v>
      </c>
      <c r="CE325" s="117">
        <v>49004.880244682296</v>
      </c>
      <c r="CF325" s="117">
        <v>91204.776401817013</v>
      </c>
    </row>
    <row r="326" spans="1:84">
      <c r="A326" s="280"/>
      <c r="B326" s="51" t="s">
        <v>92</v>
      </c>
      <c r="C326" s="114">
        <v>88.54025218109922</v>
      </c>
      <c r="D326" s="115">
        <v>260.01631390653125</v>
      </c>
      <c r="E326" s="115">
        <v>3028.2862245571669</v>
      </c>
      <c r="F326" s="115">
        <v>439.62475947746543</v>
      </c>
      <c r="G326" s="115">
        <v>2.326258131886322</v>
      </c>
      <c r="H326" s="115">
        <v>325.97222034939301</v>
      </c>
      <c r="I326" s="115">
        <v>1017.5385411269967</v>
      </c>
      <c r="J326" s="115">
        <v>405.65728375083006</v>
      </c>
      <c r="K326" s="115">
        <v>1070.5264745219904</v>
      </c>
      <c r="L326" s="115">
        <v>589.92886253078768</v>
      </c>
      <c r="M326" s="115">
        <v>923.60090921937729</v>
      </c>
      <c r="N326" s="115">
        <v>3531.2651127708446</v>
      </c>
      <c r="O326" s="115">
        <v>586.00437138108668</v>
      </c>
      <c r="P326" s="115">
        <v>577.34934058897625</v>
      </c>
      <c r="Q326" s="115">
        <v>136.11344586788476</v>
      </c>
      <c r="R326" s="115">
        <v>1268.6555225920929</v>
      </c>
      <c r="S326" s="115">
        <v>66.527298180444092</v>
      </c>
      <c r="T326" s="115">
        <v>8050.4725896804875</v>
      </c>
      <c r="U326" s="115">
        <v>12044.242094311774</v>
      </c>
      <c r="V326" s="115">
        <v>4242.8136348794596</v>
      </c>
      <c r="W326" s="115">
        <v>1833.7366625830207</v>
      </c>
      <c r="X326" s="115">
        <v>128.5134975156445</v>
      </c>
      <c r="Y326" s="115">
        <v>6410.1026786132661</v>
      </c>
      <c r="Z326" s="115">
        <v>3945.727147543626</v>
      </c>
      <c r="AA326" s="115">
        <v>1334.5401110790353</v>
      </c>
      <c r="AB326" s="115">
        <v>38.306032553693854</v>
      </c>
      <c r="AC326" s="115">
        <v>49.136494347897056</v>
      </c>
      <c r="AD326" s="115">
        <v>5971.404221724596</v>
      </c>
      <c r="AE326" s="115">
        <v>439.73007358244854</v>
      </c>
      <c r="AF326" s="115">
        <v>243.77675354203103</v>
      </c>
      <c r="AG326" s="115">
        <v>286.04726808732272</v>
      </c>
      <c r="AH326" s="115">
        <v>427.82116722346154</v>
      </c>
      <c r="AI326" s="116">
        <v>0</v>
      </c>
      <c r="AJ326" s="110">
        <v>0</v>
      </c>
      <c r="AK326" s="111">
        <v>0</v>
      </c>
      <c r="AL326" s="111">
        <v>0</v>
      </c>
      <c r="AM326" s="111">
        <v>0</v>
      </c>
      <c r="AN326" s="111">
        <v>0</v>
      </c>
      <c r="AO326" s="111">
        <v>0</v>
      </c>
      <c r="AP326" s="111">
        <v>0</v>
      </c>
      <c r="AQ326" s="111">
        <v>0</v>
      </c>
      <c r="AR326" s="111">
        <v>0</v>
      </c>
      <c r="AS326" s="111">
        <v>0</v>
      </c>
      <c r="AT326" s="111">
        <v>0</v>
      </c>
      <c r="AU326" s="111">
        <v>0</v>
      </c>
      <c r="AV326" s="111">
        <v>0</v>
      </c>
      <c r="AW326" s="111">
        <v>0</v>
      </c>
      <c r="AX326" s="111">
        <v>0</v>
      </c>
      <c r="AY326" s="111">
        <v>0</v>
      </c>
      <c r="AZ326" s="111">
        <v>0</v>
      </c>
      <c r="BA326" s="111">
        <v>0</v>
      </c>
      <c r="BB326" s="111">
        <v>0</v>
      </c>
      <c r="BC326" s="111">
        <v>0</v>
      </c>
      <c r="BD326" s="111">
        <v>0</v>
      </c>
      <c r="BE326" s="111">
        <v>0</v>
      </c>
      <c r="BF326" s="111">
        <v>0</v>
      </c>
      <c r="BG326" s="111">
        <v>0</v>
      </c>
      <c r="BH326" s="111">
        <v>0</v>
      </c>
      <c r="BI326" s="111">
        <v>0</v>
      </c>
      <c r="BJ326" s="111">
        <v>0</v>
      </c>
      <c r="BK326" s="111">
        <v>0</v>
      </c>
      <c r="BL326" s="111">
        <v>0</v>
      </c>
      <c r="BM326" s="111">
        <v>0</v>
      </c>
      <c r="BN326" s="111">
        <v>0</v>
      </c>
      <c r="BO326" s="111">
        <v>0</v>
      </c>
      <c r="BP326" s="112">
        <v>0</v>
      </c>
      <c r="BQ326" s="110">
        <v>0</v>
      </c>
      <c r="BR326" s="111"/>
      <c r="BS326" s="111"/>
      <c r="BT326" s="112">
        <v>0</v>
      </c>
      <c r="BU326" s="110">
        <v>0</v>
      </c>
      <c r="BV326" s="111"/>
      <c r="BW326" s="112">
        <v>0</v>
      </c>
      <c r="BX326" s="141" cm="1">
        <f t="array" aca="1" ref="BX326:CB326" ca="1">'2022 SAM'!BV55*F231:J231</f>
        <v>1813.0646182242203</v>
      </c>
      <c r="BY326" s="142">
        <f ca="1"/>
        <v>2942.8828324355504</v>
      </c>
      <c r="BZ326" s="142">
        <f ca="1"/>
        <v>138.90156479939466</v>
      </c>
      <c r="CA326" s="142">
        <f ca="1"/>
        <v>78.387135001692911</v>
      </c>
      <c r="CB326" s="142">
        <f ca="1"/>
        <v>0</v>
      </c>
      <c r="CC326" s="115">
        <v>0</v>
      </c>
      <c r="CD326" s="116">
        <v>120060.02418812897</v>
      </c>
      <c r="CE326" s="117">
        <v>7765.5932500341778</v>
      </c>
      <c r="CF326" s="117">
        <v>192563.15720702661</v>
      </c>
    </row>
    <row r="327" spans="1:84">
      <c r="A327" s="280"/>
      <c r="B327" s="44" t="s">
        <v>93</v>
      </c>
      <c r="C327" s="114">
        <v>0</v>
      </c>
      <c r="D327" s="115">
        <v>0</v>
      </c>
      <c r="E327" s="115">
        <v>0</v>
      </c>
      <c r="F327" s="115">
        <v>0</v>
      </c>
      <c r="G327" s="115">
        <v>0</v>
      </c>
      <c r="H327" s="115">
        <v>0</v>
      </c>
      <c r="I327" s="115">
        <v>0</v>
      </c>
      <c r="J327" s="115">
        <v>0</v>
      </c>
      <c r="K327" s="115">
        <v>0</v>
      </c>
      <c r="L327" s="115">
        <v>0</v>
      </c>
      <c r="M327" s="115">
        <v>0</v>
      </c>
      <c r="N327" s="115">
        <v>0</v>
      </c>
      <c r="O327" s="115">
        <v>0</v>
      </c>
      <c r="P327" s="115">
        <v>0</v>
      </c>
      <c r="Q327" s="115">
        <v>0</v>
      </c>
      <c r="R327" s="115">
        <v>0</v>
      </c>
      <c r="S327" s="115">
        <v>16.376989715250673</v>
      </c>
      <c r="T327" s="115">
        <v>0</v>
      </c>
      <c r="U327" s="115">
        <v>0</v>
      </c>
      <c r="V327" s="115">
        <v>0</v>
      </c>
      <c r="W327" s="115">
        <v>0</v>
      </c>
      <c r="X327" s="115">
        <v>0</v>
      </c>
      <c r="Y327" s="115">
        <v>1085.5702318945271</v>
      </c>
      <c r="Z327" s="115">
        <v>299.35888967297092</v>
      </c>
      <c r="AA327" s="115">
        <v>0</v>
      </c>
      <c r="AB327" s="115">
        <v>0</v>
      </c>
      <c r="AC327" s="115">
        <v>0</v>
      </c>
      <c r="AD327" s="115">
        <v>0</v>
      </c>
      <c r="AE327" s="115">
        <v>2558.348511895821</v>
      </c>
      <c r="AF327" s="115">
        <v>14.908059966147182</v>
      </c>
      <c r="AG327" s="115">
        <v>27.544715812863711</v>
      </c>
      <c r="AH327" s="115">
        <v>4.1447383928700381</v>
      </c>
      <c r="AI327" s="116">
        <v>0</v>
      </c>
      <c r="AJ327" s="110">
        <v>0</v>
      </c>
      <c r="AK327" s="111">
        <v>0</v>
      </c>
      <c r="AL327" s="111">
        <v>0</v>
      </c>
      <c r="AM327" s="111">
        <v>0</v>
      </c>
      <c r="AN327" s="111">
        <v>0</v>
      </c>
      <c r="AO327" s="111">
        <v>0</v>
      </c>
      <c r="AP327" s="111">
        <v>0</v>
      </c>
      <c r="AQ327" s="111">
        <v>0</v>
      </c>
      <c r="AR327" s="111">
        <v>0</v>
      </c>
      <c r="AS327" s="111">
        <v>0</v>
      </c>
      <c r="AT327" s="111">
        <v>0</v>
      </c>
      <c r="AU327" s="111">
        <v>0</v>
      </c>
      <c r="AV327" s="111">
        <v>0</v>
      </c>
      <c r="AW327" s="111">
        <v>0</v>
      </c>
      <c r="AX327" s="111">
        <v>0</v>
      </c>
      <c r="AY327" s="111">
        <v>0</v>
      </c>
      <c r="AZ327" s="111">
        <v>0</v>
      </c>
      <c r="BA327" s="111">
        <v>0</v>
      </c>
      <c r="BB327" s="111">
        <v>0</v>
      </c>
      <c r="BC327" s="111">
        <v>0</v>
      </c>
      <c r="BD327" s="111">
        <v>0</v>
      </c>
      <c r="BE327" s="111">
        <v>0</v>
      </c>
      <c r="BF327" s="111">
        <v>0</v>
      </c>
      <c r="BG327" s="111">
        <v>0</v>
      </c>
      <c r="BH327" s="111">
        <v>0</v>
      </c>
      <c r="BI327" s="111">
        <v>0</v>
      </c>
      <c r="BJ327" s="111">
        <v>0</v>
      </c>
      <c r="BK327" s="111">
        <v>0</v>
      </c>
      <c r="BL327" s="111">
        <v>0</v>
      </c>
      <c r="BM327" s="111">
        <v>0</v>
      </c>
      <c r="BN327" s="111">
        <v>0</v>
      </c>
      <c r="BO327" s="111">
        <v>0</v>
      </c>
      <c r="BP327" s="112">
        <v>0</v>
      </c>
      <c r="BQ327" s="110">
        <v>0</v>
      </c>
      <c r="BR327" s="111"/>
      <c r="BS327" s="111"/>
      <c r="BT327" s="112">
        <v>0</v>
      </c>
      <c r="BU327" s="110">
        <v>0</v>
      </c>
      <c r="BV327" s="111"/>
      <c r="BW327" s="112">
        <v>0</v>
      </c>
      <c r="BX327" s="141" cm="1">
        <f t="array" aca="1" ref="BX327:CB327" ca="1">'2022 SAM'!BV56*F232:J232</f>
        <v>525.67289549427733</v>
      </c>
      <c r="BY327" s="142">
        <f ca="1"/>
        <v>3791.3609564359776</v>
      </c>
      <c r="BZ327" s="142">
        <f ca="1"/>
        <v>677.51702274793604</v>
      </c>
      <c r="CA327" s="142">
        <f ca="1"/>
        <v>865.38559212731423</v>
      </c>
      <c r="CB327" s="142">
        <f ca="1"/>
        <v>0</v>
      </c>
      <c r="CC327" s="115">
        <v>0</v>
      </c>
      <c r="CD327" s="116">
        <v>53293.127960201848</v>
      </c>
      <c r="CE327" s="113">
        <v>0</v>
      </c>
      <c r="CF327" s="117">
        <v>63159.316564357803</v>
      </c>
    </row>
    <row r="328" spans="1:84">
      <c r="A328" s="280"/>
      <c r="B328" s="44" t="s">
        <v>94</v>
      </c>
      <c r="C328" s="114">
        <v>13.68140336836537</v>
      </c>
      <c r="D328" s="115">
        <v>2.88033319345837</v>
      </c>
      <c r="E328" s="115">
        <v>62.151318318010382</v>
      </c>
      <c r="F328" s="115">
        <v>1.4984045111068256</v>
      </c>
      <c r="G328" s="115">
        <v>0</v>
      </c>
      <c r="H328" s="115">
        <v>14.428877805528678</v>
      </c>
      <c r="I328" s="115">
        <v>18.948799086713887</v>
      </c>
      <c r="J328" s="115">
        <v>0</v>
      </c>
      <c r="K328" s="115">
        <v>18.31771991896083</v>
      </c>
      <c r="L328" s="115">
        <v>21.286462548178921</v>
      </c>
      <c r="M328" s="115">
        <v>58.582723225913867</v>
      </c>
      <c r="N328" s="115">
        <v>100.66553304237203</v>
      </c>
      <c r="O328" s="115">
        <v>26.406362957761367</v>
      </c>
      <c r="P328" s="115">
        <v>21.318321430744966</v>
      </c>
      <c r="Q328" s="115">
        <v>1.1586852397340299</v>
      </c>
      <c r="R328" s="115">
        <v>12.353387398511469</v>
      </c>
      <c r="S328" s="115">
        <v>187.94143881093908</v>
      </c>
      <c r="T328" s="115">
        <v>28.575483628247792</v>
      </c>
      <c r="U328" s="115">
        <v>1953.406715234783</v>
      </c>
      <c r="V328" s="115">
        <v>112.24328685950543</v>
      </c>
      <c r="W328" s="115">
        <v>185.41289004841721</v>
      </c>
      <c r="X328" s="115">
        <v>7.092513595869427</v>
      </c>
      <c r="Y328" s="115">
        <v>740.11001209489359</v>
      </c>
      <c r="Z328" s="115">
        <v>3460.7102076608626</v>
      </c>
      <c r="AA328" s="115">
        <v>613.08775995533233</v>
      </c>
      <c r="AB328" s="115">
        <v>31.148576784458509</v>
      </c>
      <c r="AC328" s="115">
        <v>1.988139417933495</v>
      </c>
      <c r="AD328" s="115">
        <v>172.51206487743136</v>
      </c>
      <c r="AE328" s="115">
        <v>570.03949619464095</v>
      </c>
      <c r="AF328" s="115">
        <v>535.2178495867056</v>
      </c>
      <c r="AG328" s="115">
        <v>135.35469451727337</v>
      </c>
      <c r="AH328" s="115">
        <v>27.621808484518432</v>
      </c>
      <c r="AI328" s="116">
        <v>0</v>
      </c>
      <c r="AJ328" s="110">
        <v>0</v>
      </c>
      <c r="AK328" s="111">
        <v>0</v>
      </c>
      <c r="AL328" s="111">
        <v>0</v>
      </c>
      <c r="AM328" s="111">
        <v>0</v>
      </c>
      <c r="AN328" s="111">
        <v>0</v>
      </c>
      <c r="AO328" s="111">
        <v>0</v>
      </c>
      <c r="AP328" s="111">
        <v>0</v>
      </c>
      <c r="AQ328" s="111">
        <v>0</v>
      </c>
      <c r="AR328" s="111">
        <v>0</v>
      </c>
      <c r="AS328" s="111">
        <v>0</v>
      </c>
      <c r="AT328" s="111">
        <v>0</v>
      </c>
      <c r="AU328" s="111">
        <v>0</v>
      </c>
      <c r="AV328" s="111">
        <v>0</v>
      </c>
      <c r="AW328" s="111">
        <v>0</v>
      </c>
      <c r="AX328" s="111">
        <v>0</v>
      </c>
      <c r="AY328" s="111">
        <v>0</v>
      </c>
      <c r="AZ328" s="111">
        <v>0</v>
      </c>
      <c r="BA328" s="111">
        <v>0</v>
      </c>
      <c r="BB328" s="111">
        <v>0</v>
      </c>
      <c r="BC328" s="111">
        <v>0</v>
      </c>
      <c r="BD328" s="111">
        <v>0</v>
      </c>
      <c r="BE328" s="111">
        <v>0</v>
      </c>
      <c r="BF328" s="111">
        <v>0</v>
      </c>
      <c r="BG328" s="111">
        <v>0</v>
      </c>
      <c r="BH328" s="111">
        <v>0</v>
      </c>
      <c r="BI328" s="111">
        <v>0</v>
      </c>
      <c r="BJ328" s="111">
        <v>0</v>
      </c>
      <c r="BK328" s="111">
        <v>0</v>
      </c>
      <c r="BL328" s="111">
        <v>0</v>
      </c>
      <c r="BM328" s="111">
        <v>0</v>
      </c>
      <c r="BN328" s="111">
        <v>0</v>
      </c>
      <c r="BO328" s="111">
        <v>0</v>
      </c>
      <c r="BP328" s="112">
        <v>0</v>
      </c>
      <c r="BQ328" s="110">
        <v>0</v>
      </c>
      <c r="BR328" s="111"/>
      <c r="BS328" s="111"/>
      <c r="BT328" s="112">
        <v>0</v>
      </c>
      <c r="BU328" s="110">
        <v>0</v>
      </c>
      <c r="BV328" s="111"/>
      <c r="BW328" s="112">
        <v>0</v>
      </c>
      <c r="BX328" s="141" cm="1">
        <f t="array" aca="1" ref="BX328:CB328" ca="1">'2022 SAM'!BV57*F233:J233</f>
        <v>154.97125679140566</v>
      </c>
      <c r="BY328" s="142">
        <f ca="1"/>
        <v>788.18857165019347</v>
      </c>
      <c r="BZ328" s="142">
        <f ca="1"/>
        <v>80.593700081919792</v>
      </c>
      <c r="CA328" s="142">
        <f ca="1"/>
        <v>21.743793837158702</v>
      </c>
      <c r="CB328" s="142">
        <f ca="1"/>
        <v>0</v>
      </c>
      <c r="CC328" s="115">
        <v>0</v>
      </c>
      <c r="CD328" s="116">
        <v>5980.5938984171889</v>
      </c>
      <c r="CE328" s="113">
        <v>0</v>
      </c>
      <c r="CF328" s="117">
        <v>16162.232490575039</v>
      </c>
    </row>
    <row r="329" spans="1:84">
      <c r="A329" s="280"/>
      <c r="B329" s="44" t="s">
        <v>95</v>
      </c>
      <c r="C329" s="114">
        <v>0</v>
      </c>
      <c r="D329" s="115">
        <v>0</v>
      </c>
      <c r="E329" s="115">
        <v>0</v>
      </c>
      <c r="F329" s="115">
        <v>0</v>
      </c>
      <c r="G329" s="115">
        <v>0</v>
      </c>
      <c r="H329" s="115">
        <v>0</v>
      </c>
      <c r="I329" s="115">
        <v>0</v>
      </c>
      <c r="J329" s="115">
        <v>0</v>
      </c>
      <c r="K329" s="115">
        <v>0</v>
      </c>
      <c r="L329" s="115">
        <v>0</v>
      </c>
      <c r="M329" s="115">
        <v>0</v>
      </c>
      <c r="N329" s="115">
        <v>0</v>
      </c>
      <c r="O329" s="115">
        <v>0</v>
      </c>
      <c r="P329" s="115">
        <v>0</v>
      </c>
      <c r="Q329" s="115">
        <v>0</v>
      </c>
      <c r="R329" s="115">
        <v>0</v>
      </c>
      <c r="S329" s="115">
        <v>0</v>
      </c>
      <c r="T329" s="115">
        <v>0</v>
      </c>
      <c r="U329" s="115">
        <v>935.66990277178718</v>
      </c>
      <c r="V329" s="115">
        <v>0</v>
      </c>
      <c r="W329" s="115">
        <v>0</v>
      </c>
      <c r="X329" s="115">
        <v>0</v>
      </c>
      <c r="Y329" s="115">
        <v>0</v>
      </c>
      <c r="Z329" s="115">
        <v>0</v>
      </c>
      <c r="AA329" s="115">
        <v>0</v>
      </c>
      <c r="AB329" s="115">
        <v>0</v>
      </c>
      <c r="AC329" s="115">
        <v>0</v>
      </c>
      <c r="AD329" s="115">
        <v>0</v>
      </c>
      <c r="AE329" s="115">
        <v>0</v>
      </c>
      <c r="AF329" s="115">
        <v>0</v>
      </c>
      <c r="AG329" s="115">
        <v>0</v>
      </c>
      <c r="AH329" s="115">
        <v>0</v>
      </c>
      <c r="AI329" s="116">
        <v>0</v>
      </c>
      <c r="AJ329" s="110">
        <v>0</v>
      </c>
      <c r="AK329" s="111">
        <v>0</v>
      </c>
      <c r="AL329" s="111">
        <v>0</v>
      </c>
      <c r="AM329" s="111">
        <v>0</v>
      </c>
      <c r="AN329" s="111">
        <v>0</v>
      </c>
      <c r="AO329" s="111">
        <v>0</v>
      </c>
      <c r="AP329" s="111">
        <v>0</v>
      </c>
      <c r="AQ329" s="111">
        <v>0</v>
      </c>
      <c r="AR329" s="111">
        <v>0</v>
      </c>
      <c r="AS329" s="111">
        <v>0</v>
      </c>
      <c r="AT329" s="111">
        <v>0</v>
      </c>
      <c r="AU329" s="111">
        <v>0</v>
      </c>
      <c r="AV329" s="111">
        <v>0</v>
      </c>
      <c r="AW329" s="111">
        <v>0</v>
      </c>
      <c r="AX329" s="111">
        <v>0</v>
      </c>
      <c r="AY329" s="111">
        <v>0</v>
      </c>
      <c r="AZ329" s="111">
        <v>0</v>
      </c>
      <c r="BA329" s="111">
        <v>0</v>
      </c>
      <c r="BB329" s="111">
        <v>0</v>
      </c>
      <c r="BC329" s="111">
        <v>0</v>
      </c>
      <c r="BD329" s="111">
        <v>0</v>
      </c>
      <c r="BE329" s="111">
        <v>0</v>
      </c>
      <c r="BF329" s="111">
        <v>0</v>
      </c>
      <c r="BG329" s="111">
        <v>0</v>
      </c>
      <c r="BH329" s="111">
        <v>0</v>
      </c>
      <c r="BI329" s="111">
        <v>0</v>
      </c>
      <c r="BJ329" s="111">
        <v>0</v>
      </c>
      <c r="BK329" s="111">
        <v>0</v>
      </c>
      <c r="BL329" s="111">
        <v>0</v>
      </c>
      <c r="BM329" s="111">
        <v>0</v>
      </c>
      <c r="BN329" s="111">
        <v>0</v>
      </c>
      <c r="BO329" s="111">
        <v>0</v>
      </c>
      <c r="BP329" s="112">
        <v>0</v>
      </c>
      <c r="BQ329" s="110">
        <v>0</v>
      </c>
      <c r="BR329" s="111"/>
      <c r="BS329" s="111"/>
      <c r="BT329" s="112">
        <v>0</v>
      </c>
      <c r="BU329" s="110">
        <v>0</v>
      </c>
      <c r="BV329" s="111"/>
      <c r="BW329" s="112">
        <v>0</v>
      </c>
      <c r="BX329" s="141" cm="1">
        <f t="array" aca="1" ref="BX329:CB329" ca="1">'2022 SAM'!BV58*F234:J234</f>
        <v>202.42545031603208</v>
      </c>
      <c r="BY329" s="142">
        <f ca="1"/>
        <v>1029.5420573700142</v>
      </c>
      <c r="BZ329" s="142">
        <f ca="1"/>
        <v>105.2725283997477</v>
      </c>
      <c r="CA329" s="142">
        <f ca="1"/>
        <v>28.402023382892963</v>
      </c>
      <c r="CB329" s="142">
        <f ca="1"/>
        <v>0</v>
      </c>
      <c r="CC329" s="115">
        <v>0</v>
      </c>
      <c r="CD329" s="116">
        <v>0</v>
      </c>
      <c r="CE329" s="113">
        <v>0</v>
      </c>
      <c r="CF329" s="117">
        <v>2301.3119622404738</v>
      </c>
    </row>
    <row r="330" spans="1:84">
      <c r="A330" s="280"/>
      <c r="B330" s="44" t="s">
        <v>96</v>
      </c>
      <c r="C330" s="114">
        <v>0</v>
      </c>
      <c r="D330" s="115">
        <v>9.3829953046411525</v>
      </c>
      <c r="E330" s="115">
        <v>128.3933892855984</v>
      </c>
      <c r="F330" s="115">
        <v>22.209036581435733</v>
      </c>
      <c r="G330" s="115">
        <v>0.20494068770605006</v>
      </c>
      <c r="H330" s="115">
        <v>9.3084874503627901</v>
      </c>
      <c r="I330" s="115">
        <v>27.025863405594048</v>
      </c>
      <c r="J330" s="115">
        <v>9.4866058272631228</v>
      </c>
      <c r="K330" s="115">
        <v>793.12033719371539</v>
      </c>
      <c r="L330" s="115">
        <v>22.457161585866931</v>
      </c>
      <c r="M330" s="115">
        <v>239.49492844877824</v>
      </c>
      <c r="N330" s="115">
        <v>671.70538179434095</v>
      </c>
      <c r="O330" s="115">
        <v>179.70086194858393</v>
      </c>
      <c r="P330" s="115">
        <v>114.70164177198711</v>
      </c>
      <c r="Q330" s="115">
        <v>40.136263469800177</v>
      </c>
      <c r="R330" s="115">
        <v>166.17672816060076</v>
      </c>
      <c r="S330" s="115">
        <v>3.6760305603529888</v>
      </c>
      <c r="T330" s="115">
        <v>505.06266050122781</v>
      </c>
      <c r="U330" s="115">
        <v>4298.7938333868942</v>
      </c>
      <c r="V330" s="115">
        <v>8.3257778577276262</v>
      </c>
      <c r="W330" s="115">
        <v>9.1194250396881316</v>
      </c>
      <c r="X330" s="115">
        <v>201.58934142370074</v>
      </c>
      <c r="Y330" s="115">
        <v>0</v>
      </c>
      <c r="Z330" s="115">
        <v>4257.8451593183572</v>
      </c>
      <c r="AA330" s="115">
        <v>1791.4008674267616</v>
      </c>
      <c r="AB330" s="115">
        <v>0</v>
      </c>
      <c r="AC330" s="115">
        <v>1.1296791549604801</v>
      </c>
      <c r="AD330" s="115">
        <v>358.88025113381298</v>
      </c>
      <c r="AE330" s="115">
        <v>298.98595671695733</v>
      </c>
      <c r="AF330" s="115">
        <v>27.415409493039409</v>
      </c>
      <c r="AG330" s="115">
        <v>48.186267854419711</v>
      </c>
      <c r="AH330" s="115">
        <v>21.951779410894122</v>
      </c>
      <c r="AI330" s="116">
        <v>0</v>
      </c>
      <c r="AJ330" s="110">
        <v>0</v>
      </c>
      <c r="AK330" s="111">
        <v>0</v>
      </c>
      <c r="AL330" s="111">
        <v>0</v>
      </c>
      <c r="AM330" s="111">
        <v>0</v>
      </c>
      <c r="AN330" s="111">
        <v>0</v>
      </c>
      <c r="AO330" s="111">
        <v>0</v>
      </c>
      <c r="AP330" s="111">
        <v>0</v>
      </c>
      <c r="AQ330" s="111">
        <v>0</v>
      </c>
      <c r="AR330" s="111">
        <v>0</v>
      </c>
      <c r="AS330" s="111">
        <v>0</v>
      </c>
      <c r="AT330" s="111">
        <v>0</v>
      </c>
      <c r="AU330" s="111">
        <v>0</v>
      </c>
      <c r="AV330" s="111">
        <v>0</v>
      </c>
      <c r="AW330" s="111">
        <v>0</v>
      </c>
      <c r="AX330" s="111">
        <v>0</v>
      </c>
      <c r="AY330" s="111">
        <v>0</v>
      </c>
      <c r="AZ330" s="111">
        <v>0</v>
      </c>
      <c r="BA330" s="111">
        <v>0</v>
      </c>
      <c r="BB330" s="111">
        <v>0</v>
      </c>
      <c r="BC330" s="111">
        <v>0</v>
      </c>
      <c r="BD330" s="111">
        <v>0</v>
      </c>
      <c r="BE330" s="111">
        <v>0</v>
      </c>
      <c r="BF330" s="111">
        <v>0</v>
      </c>
      <c r="BG330" s="111">
        <v>0</v>
      </c>
      <c r="BH330" s="111">
        <v>0</v>
      </c>
      <c r="BI330" s="111">
        <v>0</v>
      </c>
      <c r="BJ330" s="111">
        <v>0</v>
      </c>
      <c r="BK330" s="111">
        <v>0</v>
      </c>
      <c r="BL330" s="111">
        <v>0</v>
      </c>
      <c r="BM330" s="111">
        <v>0</v>
      </c>
      <c r="BN330" s="111">
        <v>0</v>
      </c>
      <c r="BO330" s="111">
        <v>0</v>
      </c>
      <c r="BP330" s="112">
        <v>0</v>
      </c>
      <c r="BQ330" s="110">
        <v>0</v>
      </c>
      <c r="BR330" s="111"/>
      <c r="BS330" s="111"/>
      <c r="BT330" s="112">
        <v>0</v>
      </c>
      <c r="BU330" s="110">
        <v>0</v>
      </c>
      <c r="BV330" s="111"/>
      <c r="BW330" s="112">
        <v>0</v>
      </c>
      <c r="BX330" s="141" cm="1">
        <f t="array" aca="1" ref="BX330:CB330" ca="1">'2022 SAM'!BV59*F235:J235</f>
        <v>471.93497426443167</v>
      </c>
      <c r="BY330" s="142">
        <f ca="1"/>
        <v>2400.2757735774007</v>
      </c>
      <c r="BZ330" s="142">
        <f ca="1"/>
        <v>245.43251801353057</v>
      </c>
      <c r="CA330" s="142">
        <f ca="1"/>
        <v>66.216516516756329</v>
      </c>
      <c r="CB330" s="142">
        <f ca="1"/>
        <v>0</v>
      </c>
      <c r="CC330" s="115">
        <v>0</v>
      </c>
      <c r="CD330" s="116">
        <v>86575.175357681437</v>
      </c>
      <c r="CE330" s="113">
        <v>0</v>
      </c>
      <c r="CF330" s="117">
        <v>104024.90220224863</v>
      </c>
    </row>
    <row r="331" spans="1:84">
      <c r="A331" s="280"/>
      <c r="B331" s="44" t="s">
        <v>97</v>
      </c>
      <c r="C331" s="114">
        <v>0</v>
      </c>
      <c r="D331" s="115">
        <v>0</v>
      </c>
      <c r="E331" s="115">
        <v>474.49559512592595</v>
      </c>
      <c r="F331" s="115">
        <v>23.925352059763153</v>
      </c>
      <c r="G331" s="115">
        <v>1.6074259320518136</v>
      </c>
      <c r="H331" s="115">
        <v>19.364831972058152</v>
      </c>
      <c r="I331" s="115">
        <v>99.849376068054951</v>
      </c>
      <c r="J331" s="115">
        <v>8.8716261451902891</v>
      </c>
      <c r="K331" s="115">
        <v>280.75122958334015</v>
      </c>
      <c r="L331" s="115">
        <v>140.48851630692897</v>
      </c>
      <c r="M331" s="115">
        <v>215.54271596592432</v>
      </c>
      <c r="N331" s="115">
        <v>412.29372349502404</v>
      </c>
      <c r="O331" s="115">
        <v>135.17580203009715</v>
      </c>
      <c r="P331" s="115">
        <v>39.934124386254418</v>
      </c>
      <c r="Q331" s="115">
        <v>14.750844037103636</v>
      </c>
      <c r="R331" s="115">
        <v>115.08846254579852</v>
      </c>
      <c r="S331" s="115">
        <v>2.1253760085069757</v>
      </c>
      <c r="T331" s="115">
        <v>213.87711414136177</v>
      </c>
      <c r="U331" s="115">
        <v>15895.031436475829</v>
      </c>
      <c r="V331" s="115">
        <v>154.7090321710879</v>
      </c>
      <c r="W331" s="115">
        <v>162.18595942603193</v>
      </c>
      <c r="X331" s="115">
        <v>1045.8785023014213</v>
      </c>
      <c r="Y331" s="115">
        <v>9037.6494858266778</v>
      </c>
      <c r="Z331" s="115">
        <v>12274.138281955116</v>
      </c>
      <c r="AA331" s="115">
        <v>2493.7286333687362</v>
      </c>
      <c r="AB331" s="115">
        <v>0</v>
      </c>
      <c r="AC331" s="115">
        <v>0.72950730220640714</v>
      </c>
      <c r="AD331" s="115">
        <v>737.62804223133435</v>
      </c>
      <c r="AE331" s="115">
        <v>0</v>
      </c>
      <c r="AF331" s="115">
        <v>5.4044961936968807</v>
      </c>
      <c r="AG331" s="115">
        <v>13.654251274105956</v>
      </c>
      <c r="AH331" s="115">
        <v>1.364856038082209</v>
      </c>
      <c r="AI331" s="116">
        <v>0</v>
      </c>
      <c r="AJ331" s="110">
        <v>0</v>
      </c>
      <c r="AK331" s="111">
        <v>0</v>
      </c>
      <c r="AL331" s="111">
        <v>0</v>
      </c>
      <c r="AM331" s="111">
        <v>0</v>
      </c>
      <c r="AN331" s="111">
        <v>0</v>
      </c>
      <c r="AO331" s="111">
        <v>0</v>
      </c>
      <c r="AP331" s="111">
        <v>0</v>
      </c>
      <c r="AQ331" s="111">
        <v>0</v>
      </c>
      <c r="AR331" s="111">
        <v>0</v>
      </c>
      <c r="AS331" s="111">
        <v>0</v>
      </c>
      <c r="AT331" s="111">
        <v>0</v>
      </c>
      <c r="AU331" s="111">
        <v>0</v>
      </c>
      <c r="AV331" s="111">
        <v>0</v>
      </c>
      <c r="AW331" s="111">
        <v>0</v>
      </c>
      <c r="AX331" s="111">
        <v>0</v>
      </c>
      <c r="AY331" s="111">
        <v>0</v>
      </c>
      <c r="AZ331" s="111">
        <v>0</v>
      </c>
      <c r="BA331" s="111">
        <v>0</v>
      </c>
      <c r="BB331" s="111">
        <v>0</v>
      </c>
      <c r="BC331" s="111">
        <v>0</v>
      </c>
      <c r="BD331" s="111">
        <v>0</v>
      </c>
      <c r="BE331" s="111">
        <v>0</v>
      </c>
      <c r="BF331" s="111">
        <v>0</v>
      </c>
      <c r="BG331" s="111">
        <v>0</v>
      </c>
      <c r="BH331" s="111">
        <v>0</v>
      </c>
      <c r="BI331" s="111">
        <v>0</v>
      </c>
      <c r="BJ331" s="111">
        <v>0</v>
      </c>
      <c r="BK331" s="111">
        <v>0</v>
      </c>
      <c r="BL331" s="111">
        <v>0</v>
      </c>
      <c r="BM331" s="111">
        <v>0</v>
      </c>
      <c r="BN331" s="111">
        <v>0</v>
      </c>
      <c r="BO331" s="111">
        <v>0</v>
      </c>
      <c r="BP331" s="112">
        <v>0</v>
      </c>
      <c r="BQ331" s="110">
        <v>0</v>
      </c>
      <c r="BR331" s="111"/>
      <c r="BS331" s="111"/>
      <c r="BT331" s="112">
        <v>0</v>
      </c>
      <c r="BU331" s="110">
        <v>0</v>
      </c>
      <c r="BV331" s="111"/>
      <c r="BW331" s="112">
        <v>0</v>
      </c>
      <c r="BX331" s="141" cm="1">
        <f t="array" aca="1" ref="BX331:CB331" ca="1">'2022 SAM'!BV60*F236:J236</f>
        <v>208.2449012956306</v>
      </c>
      <c r="BY331" s="142">
        <f ca="1"/>
        <v>1059.1399637841823</v>
      </c>
      <c r="BZ331" s="142">
        <f ca="1"/>
        <v>108.29896760274451</v>
      </c>
      <c r="CA331" s="142">
        <f ca="1"/>
        <v>29.218542168154944</v>
      </c>
      <c r="CB331" s="142">
        <f ca="1"/>
        <v>0</v>
      </c>
      <c r="CC331" s="115">
        <v>0</v>
      </c>
      <c r="CD331" s="116">
        <v>6757.0071099840179</v>
      </c>
      <c r="CE331" s="113">
        <v>0</v>
      </c>
      <c r="CF331" s="117">
        <v>52182.154085202441</v>
      </c>
    </row>
    <row r="332" spans="1:84">
      <c r="A332" s="280"/>
      <c r="B332" s="44" t="s">
        <v>98</v>
      </c>
      <c r="C332" s="114">
        <v>1.0128464575299647</v>
      </c>
      <c r="D332" s="115">
        <v>28.1189012272635</v>
      </c>
      <c r="E332" s="115">
        <v>23.354667597971332</v>
      </c>
      <c r="F332" s="115">
        <v>4.8220632758133206</v>
      </c>
      <c r="G332" s="115">
        <v>0.13579393073841184</v>
      </c>
      <c r="H332" s="115">
        <v>3.1411354891616501</v>
      </c>
      <c r="I332" s="115">
        <v>42.671726189633354</v>
      </c>
      <c r="J332" s="115">
        <v>0.49986986693006819</v>
      </c>
      <c r="K332" s="115">
        <v>26.262400466414491</v>
      </c>
      <c r="L332" s="115">
        <v>4.7919710352459344</v>
      </c>
      <c r="M332" s="115">
        <v>10.09941884361254</v>
      </c>
      <c r="N332" s="115">
        <v>47.517862971977465</v>
      </c>
      <c r="O332" s="115">
        <v>14.617501753667955</v>
      </c>
      <c r="P332" s="115">
        <v>11.92953600570894</v>
      </c>
      <c r="Q332" s="115">
        <v>1.4295233323730525</v>
      </c>
      <c r="R332" s="115">
        <v>43.010411797614324</v>
      </c>
      <c r="S332" s="115">
        <v>55.480345571498368</v>
      </c>
      <c r="T332" s="115">
        <v>141.42894240347232</v>
      </c>
      <c r="U332" s="115">
        <v>1455.1109116899559</v>
      </c>
      <c r="V332" s="115">
        <v>453.64041154636169</v>
      </c>
      <c r="W332" s="115">
        <v>41.748711728870809</v>
      </c>
      <c r="X332" s="115">
        <v>10.907013231567694</v>
      </c>
      <c r="Y332" s="115">
        <v>1628.164136025727</v>
      </c>
      <c r="Z332" s="115">
        <v>201.56349790420072</v>
      </c>
      <c r="AA332" s="115">
        <v>2238.2397882322375</v>
      </c>
      <c r="AB332" s="115">
        <v>3155.147270447118</v>
      </c>
      <c r="AC332" s="115">
        <v>297.17939903290664</v>
      </c>
      <c r="AD332" s="115">
        <v>5306.4631225035773</v>
      </c>
      <c r="AE332" s="115">
        <v>1111.3082069134564</v>
      </c>
      <c r="AF332" s="115">
        <v>95.192938974446662</v>
      </c>
      <c r="AG332" s="115">
        <v>285.80049085279103</v>
      </c>
      <c r="AH332" s="115">
        <v>256.81852650144583</v>
      </c>
      <c r="AI332" s="116">
        <v>0</v>
      </c>
      <c r="AJ332" s="110">
        <v>0</v>
      </c>
      <c r="AK332" s="111">
        <v>0</v>
      </c>
      <c r="AL332" s="111">
        <v>0</v>
      </c>
      <c r="AM332" s="111">
        <v>0</v>
      </c>
      <c r="AN332" s="111">
        <v>0</v>
      </c>
      <c r="AO332" s="111">
        <v>0</v>
      </c>
      <c r="AP332" s="111">
        <v>0</v>
      </c>
      <c r="AQ332" s="111">
        <v>0</v>
      </c>
      <c r="AR332" s="111">
        <v>0</v>
      </c>
      <c r="AS332" s="111">
        <v>0</v>
      </c>
      <c r="AT332" s="111">
        <v>0</v>
      </c>
      <c r="AU332" s="111">
        <v>0</v>
      </c>
      <c r="AV332" s="111">
        <v>0</v>
      </c>
      <c r="AW332" s="111">
        <v>0</v>
      </c>
      <c r="AX332" s="111">
        <v>0</v>
      </c>
      <c r="AY332" s="111">
        <v>0</v>
      </c>
      <c r="AZ332" s="111">
        <v>0</v>
      </c>
      <c r="BA332" s="111">
        <v>0</v>
      </c>
      <c r="BB332" s="111">
        <v>0</v>
      </c>
      <c r="BC332" s="111">
        <v>0</v>
      </c>
      <c r="BD332" s="111">
        <v>0</v>
      </c>
      <c r="BE332" s="111">
        <v>0</v>
      </c>
      <c r="BF332" s="111">
        <v>0</v>
      </c>
      <c r="BG332" s="111">
        <v>0</v>
      </c>
      <c r="BH332" s="111">
        <v>0</v>
      </c>
      <c r="BI332" s="111">
        <v>0</v>
      </c>
      <c r="BJ332" s="111">
        <v>0</v>
      </c>
      <c r="BK332" s="111">
        <v>0</v>
      </c>
      <c r="BL332" s="111">
        <v>0</v>
      </c>
      <c r="BM332" s="111">
        <v>0</v>
      </c>
      <c r="BN332" s="111">
        <v>0</v>
      </c>
      <c r="BO332" s="111">
        <v>0</v>
      </c>
      <c r="BP332" s="112">
        <v>0</v>
      </c>
      <c r="BQ332" s="110">
        <v>0</v>
      </c>
      <c r="BR332" s="111"/>
      <c r="BS332" s="111"/>
      <c r="BT332" s="112">
        <v>0</v>
      </c>
      <c r="BU332" s="110">
        <v>0</v>
      </c>
      <c r="BV332" s="111"/>
      <c r="BW332" s="112">
        <v>0</v>
      </c>
      <c r="BX332" s="141" cm="1">
        <f t="array" aca="1" ref="BX332:CB332" ca="1">'2022 SAM'!BV61*F237:J237</f>
        <v>561.32927797523075</v>
      </c>
      <c r="BY332" s="142">
        <f ca="1"/>
        <v>3255.5869208382337</v>
      </c>
      <c r="BZ332" s="142">
        <f ca="1"/>
        <v>487.46287654118879</v>
      </c>
      <c r="CA332" s="142">
        <f ca="1"/>
        <v>213.31110267867473</v>
      </c>
      <c r="CB332" s="142">
        <f ca="1"/>
        <v>0</v>
      </c>
      <c r="CC332" s="115">
        <v>0</v>
      </c>
      <c r="CD332" s="116">
        <v>13336.454154241277</v>
      </c>
      <c r="CE332" s="113">
        <v>0</v>
      </c>
      <c r="CF332" s="117">
        <v>34851.753676075896</v>
      </c>
    </row>
    <row r="333" spans="1:84">
      <c r="A333" s="280"/>
      <c r="B333" s="44" t="s">
        <v>99</v>
      </c>
      <c r="C333" s="114">
        <v>80.824755910255718</v>
      </c>
      <c r="D333" s="115">
        <v>950.15692950465086</v>
      </c>
      <c r="E333" s="115">
        <v>124.09327059405386</v>
      </c>
      <c r="F333" s="115">
        <v>19.9912384361958</v>
      </c>
      <c r="G333" s="115">
        <v>0.26959687087809858</v>
      </c>
      <c r="H333" s="115">
        <v>30.717189816220088</v>
      </c>
      <c r="I333" s="115">
        <v>64.758471670091453</v>
      </c>
      <c r="J333" s="115">
        <v>624.91151971619331</v>
      </c>
      <c r="K333" s="115">
        <v>54.800009955407106</v>
      </c>
      <c r="L333" s="115">
        <v>153.17316833668335</v>
      </c>
      <c r="M333" s="115">
        <v>443.04038222033034</v>
      </c>
      <c r="N333" s="115">
        <v>505.77297124358012</v>
      </c>
      <c r="O333" s="115">
        <v>83.819715664361482</v>
      </c>
      <c r="P333" s="115">
        <v>53.847905760314283</v>
      </c>
      <c r="Q333" s="115">
        <v>9.861823545888873</v>
      </c>
      <c r="R333" s="115">
        <v>310.7878306032074</v>
      </c>
      <c r="S333" s="115">
        <v>668.8289263993745</v>
      </c>
      <c r="T333" s="115">
        <v>2759.4034058498823</v>
      </c>
      <c r="U333" s="115">
        <v>10110.687256448957</v>
      </c>
      <c r="V333" s="115">
        <v>5241.894161583763</v>
      </c>
      <c r="W333" s="115">
        <v>95.574695530239794</v>
      </c>
      <c r="X333" s="115">
        <v>30.157077057257283</v>
      </c>
      <c r="Y333" s="115">
        <v>1141.3213515560838</v>
      </c>
      <c r="Z333" s="115">
        <v>316.02216305382797</v>
      </c>
      <c r="AA333" s="115">
        <v>617.00069658337361</v>
      </c>
      <c r="AB333" s="115">
        <v>7147.7901838376538</v>
      </c>
      <c r="AC333" s="115">
        <v>6210.0270666815231</v>
      </c>
      <c r="AD333" s="115">
        <v>6488.1542992922268</v>
      </c>
      <c r="AE333" s="115">
        <v>3754.8378961190492</v>
      </c>
      <c r="AF333" s="115">
        <v>776.63808960753011</v>
      </c>
      <c r="AG333" s="115">
        <v>752.08820890042682</v>
      </c>
      <c r="AH333" s="115">
        <v>1035.6187613327274</v>
      </c>
      <c r="AI333" s="116">
        <v>0</v>
      </c>
      <c r="AJ333" s="110">
        <v>0</v>
      </c>
      <c r="AK333" s="111">
        <v>0</v>
      </c>
      <c r="AL333" s="111">
        <v>0</v>
      </c>
      <c r="AM333" s="111">
        <v>0</v>
      </c>
      <c r="AN333" s="111">
        <v>0</v>
      </c>
      <c r="AO333" s="111">
        <v>0</v>
      </c>
      <c r="AP333" s="111">
        <v>0</v>
      </c>
      <c r="AQ333" s="111">
        <v>0</v>
      </c>
      <c r="AR333" s="111">
        <v>0</v>
      </c>
      <c r="AS333" s="111">
        <v>0</v>
      </c>
      <c r="AT333" s="111">
        <v>0</v>
      </c>
      <c r="AU333" s="111">
        <v>0</v>
      </c>
      <c r="AV333" s="111">
        <v>0</v>
      </c>
      <c r="AW333" s="111">
        <v>0</v>
      </c>
      <c r="AX333" s="111">
        <v>0</v>
      </c>
      <c r="AY333" s="111">
        <v>0</v>
      </c>
      <c r="AZ333" s="111">
        <v>0</v>
      </c>
      <c r="BA333" s="111">
        <v>0</v>
      </c>
      <c r="BB333" s="111">
        <v>0</v>
      </c>
      <c r="BC333" s="111">
        <v>0</v>
      </c>
      <c r="BD333" s="111">
        <v>0</v>
      </c>
      <c r="BE333" s="111">
        <v>0</v>
      </c>
      <c r="BF333" s="111">
        <v>0</v>
      </c>
      <c r="BG333" s="111">
        <v>0</v>
      </c>
      <c r="BH333" s="111">
        <v>0</v>
      </c>
      <c r="BI333" s="111">
        <v>0</v>
      </c>
      <c r="BJ333" s="111">
        <v>0</v>
      </c>
      <c r="BK333" s="111">
        <v>0</v>
      </c>
      <c r="BL333" s="111">
        <v>0</v>
      </c>
      <c r="BM333" s="111">
        <v>0</v>
      </c>
      <c r="BN333" s="111">
        <v>0</v>
      </c>
      <c r="BO333" s="111">
        <v>0</v>
      </c>
      <c r="BP333" s="112">
        <v>0</v>
      </c>
      <c r="BQ333" s="110">
        <v>0</v>
      </c>
      <c r="BR333" s="111"/>
      <c r="BS333" s="111"/>
      <c r="BT333" s="112">
        <v>0</v>
      </c>
      <c r="BU333" s="110">
        <v>0</v>
      </c>
      <c r="BV333" s="111"/>
      <c r="BW333" s="112">
        <v>0</v>
      </c>
      <c r="BX333" s="141" cm="1">
        <f t="array" aca="1" ref="BX333:CB333" ca="1">'2022 SAM'!BV62*F238:J238</f>
        <v>483.61197568069389</v>
      </c>
      <c r="BY333" s="142">
        <f ca="1"/>
        <v>2541.6337664778439</v>
      </c>
      <c r="BZ333" s="142">
        <f ca="1"/>
        <v>258.14338373682494</v>
      </c>
      <c r="CA333" s="142">
        <f ca="1"/>
        <v>116.86783892813453</v>
      </c>
      <c r="CB333" s="142">
        <f ca="1"/>
        <v>0</v>
      </c>
      <c r="CC333" s="115">
        <v>0</v>
      </c>
      <c r="CD333" s="116">
        <v>14947.814660519402</v>
      </c>
      <c r="CE333" s="113">
        <v>0</v>
      </c>
      <c r="CF333" s="117">
        <v>69004.942645025105</v>
      </c>
    </row>
    <row r="334" spans="1:84">
      <c r="A334" s="280"/>
      <c r="B334" s="44" t="s">
        <v>100</v>
      </c>
      <c r="C334" s="114">
        <v>0</v>
      </c>
      <c r="D334" s="115">
        <v>0</v>
      </c>
      <c r="E334" s="115">
        <v>102.68152644442898</v>
      </c>
      <c r="F334" s="115">
        <v>63.954875125513333</v>
      </c>
      <c r="G334" s="115">
        <v>0.75479722757780243</v>
      </c>
      <c r="H334" s="115">
        <v>65.712185630424358</v>
      </c>
      <c r="I334" s="115">
        <v>49.263899110178698</v>
      </c>
      <c r="J334" s="115">
        <v>0.49114390733449959</v>
      </c>
      <c r="K334" s="115">
        <v>17.420323082484138</v>
      </c>
      <c r="L334" s="115">
        <v>19.017393082886834</v>
      </c>
      <c r="M334" s="115">
        <v>41.108296926744416</v>
      </c>
      <c r="N334" s="115">
        <v>190.406392552922</v>
      </c>
      <c r="O334" s="115">
        <v>28.366437999088458</v>
      </c>
      <c r="P334" s="115">
        <v>27.879826917755842</v>
      </c>
      <c r="Q334" s="115">
        <v>28.926767563028044</v>
      </c>
      <c r="R334" s="115">
        <v>180.53110987852858</v>
      </c>
      <c r="S334" s="115">
        <v>99.112796025806972</v>
      </c>
      <c r="T334" s="115">
        <v>506.80039235342474</v>
      </c>
      <c r="U334" s="115">
        <v>3628.0795909673711</v>
      </c>
      <c r="V334" s="115">
        <v>736.7160956395295</v>
      </c>
      <c r="W334" s="115">
        <v>52.348509865672824</v>
      </c>
      <c r="X334" s="115">
        <v>24.584760165506207</v>
      </c>
      <c r="Y334" s="115">
        <v>656.06244526718967</v>
      </c>
      <c r="Z334" s="115">
        <v>545.76333968200731</v>
      </c>
      <c r="AA334" s="115">
        <v>620.07540998206696</v>
      </c>
      <c r="AB334" s="115">
        <v>330.66661018840597</v>
      </c>
      <c r="AC334" s="115">
        <v>2114.3099868104136</v>
      </c>
      <c r="AD334" s="115">
        <v>1561.897097615597</v>
      </c>
      <c r="AE334" s="115">
        <v>269.65535846726465</v>
      </c>
      <c r="AF334" s="115">
        <v>210.45317735520672</v>
      </c>
      <c r="AG334" s="115">
        <v>246.17056347855879</v>
      </c>
      <c r="AH334" s="115">
        <v>178.5834452438211</v>
      </c>
      <c r="AI334" s="116">
        <v>0</v>
      </c>
      <c r="AJ334" s="110">
        <v>0</v>
      </c>
      <c r="AK334" s="111">
        <v>0</v>
      </c>
      <c r="AL334" s="111">
        <v>0</v>
      </c>
      <c r="AM334" s="111">
        <v>0</v>
      </c>
      <c r="AN334" s="111">
        <v>0</v>
      </c>
      <c r="AO334" s="111">
        <v>0</v>
      </c>
      <c r="AP334" s="111">
        <v>0</v>
      </c>
      <c r="AQ334" s="111">
        <v>0</v>
      </c>
      <c r="AR334" s="111">
        <v>0</v>
      </c>
      <c r="AS334" s="111">
        <v>0</v>
      </c>
      <c r="AT334" s="111">
        <v>0</v>
      </c>
      <c r="AU334" s="111">
        <v>0</v>
      </c>
      <c r="AV334" s="111">
        <v>0</v>
      </c>
      <c r="AW334" s="111">
        <v>0</v>
      </c>
      <c r="AX334" s="111">
        <v>0</v>
      </c>
      <c r="AY334" s="111">
        <v>0</v>
      </c>
      <c r="AZ334" s="111">
        <v>0</v>
      </c>
      <c r="BA334" s="111">
        <v>0</v>
      </c>
      <c r="BB334" s="111">
        <v>0</v>
      </c>
      <c r="BC334" s="111">
        <v>0</v>
      </c>
      <c r="BD334" s="111">
        <v>0</v>
      </c>
      <c r="BE334" s="111">
        <v>0</v>
      </c>
      <c r="BF334" s="111">
        <v>0</v>
      </c>
      <c r="BG334" s="111">
        <v>0</v>
      </c>
      <c r="BH334" s="111">
        <v>0</v>
      </c>
      <c r="BI334" s="111">
        <v>0</v>
      </c>
      <c r="BJ334" s="111">
        <v>0</v>
      </c>
      <c r="BK334" s="111">
        <v>0</v>
      </c>
      <c r="BL334" s="111">
        <v>0</v>
      </c>
      <c r="BM334" s="111">
        <v>0</v>
      </c>
      <c r="BN334" s="111">
        <v>0</v>
      </c>
      <c r="BO334" s="111">
        <v>0</v>
      </c>
      <c r="BP334" s="112">
        <v>0</v>
      </c>
      <c r="BQ334" s="110">
        <v>0</v>
      </c>
      <c r="BR334" s="111"/>
      <c r="BS334" s="111"/>
      <c r="BT334" s="112">
        <v>0</v>
      </c>
      <c r="BU334" s="110">
        <v>0</v>
      </c>
      <c r="BV334" s="111"/>
      <c r="BW334" s="112">
        <v>0</v>
      </c>
      <c r="BX334" s="141" cm="1">
        <f t="array" aca="1" ref="BX334:CB334" ca="1">'2022 SAM'!BV63*F239:J239</f>
        <v>9533.4884321443878</v>
      </c>
      <c r="BY334" s="142">
        <f ca="1"/>
        <v>25071.057526596978</v>
      </c>
      <c r="BZ334" s="142">
        <f ca="1"/>
        <v>2826.186073890347</v>
      </c>
      <c r="CA334" s="142">
        <f ca="1"/>
        <v>3093.2765508871548</v>
      </c>
      <c r="CB334" s="142">
        <f ca="1"/>
        <v>0</v>
      </c>
      <c r="CC334" s="115">
        <v>0</v>
      </c>
      <c r="CD334" s="116">
        <v>0</v>
      </c>
      <c r="CE334" s="113">
        <v>0</v>
      </c>
      <c r="CF334" s="117">
        <v>53121.803138075607</v>
      </c>
    </row>
    <row r="335" spans="1:84">
      <c r="A335" s="280"/>
      <c r="B335" s="44" t="s">
        <v>101</v>
      </c>
      <c r="C335" s="114">
        <v>25.403330586668076</v>
      </c>
      <c r="D335" s="115">
        <v>262.65744373672476</v>
      </c>
      <c r="E335" s="115">
        <v>531.01346646037223</v>
      </c>
      <c r="F335" s="115">
        <v>36.964144600848719</v>
      </c>
      <c r="G335" s="115">
        <v>1.3361663977308427</v>
      </c>
      <c r="H335" s="115">
        <v>20.610504656663004</v>
      </c>
      <c r="I335" s="115">
        <v>237.46277769280277</v>
      </c>
      <c r="J335" s="115">
        <v>7.9273486319145707</v>
      </c>
      <c r="K335" s="115">
        <v>481.45466003233071</v>
      </c>
      <c r="L335" s="115">
        <v>55.472885127093932</v>
      </c>
      <c r="M335" s="115">
        <v>154.54546659084897</v>
      </c>
      <c r="N335" s="115">
        <v>735.0075355755431</v>
      </c>
      <c r="O335" s="115">
        <v>208.19965128082208</v>
      </c>
      <c r="P335" s="115">
        <v>59.126284963352873</v>
      </c>
      <c r="Q335" s="115">
        <v>56.630531790905216</v>
      </c>
      <c r="R335" s="115">
        <v>240.82096185202744</v>
      </c>
      <c r="S335" s="115">
        <v>59.414812668869217</v>
      </c>
      <c r="T335" s="115">
        <v>3090.9845935202438</v>
      </c>
      <c r="U335" s="115">
        <v>17070.655412849112</v>
      </c>
      <c r="V335" s="115">
        <v>3448.4935509613024</v>
      </c>
      <c r="W335" s="115">
        <v>1122.8716427044208</v>
      </c>
      <c r="X335" s="115">
        <v>188.34362930507166</v>
      </c>
      <c r="Y335" s="115">
        <v>15664.708724552256</v>
      </c>
      <c r="Z335" s="115">
        <v>946.78906447190013</v>
      </c>
      <c r="AA335" s="115">
        <v>4380.7892308026703</v>
      </c>
      <c r="AB335" s="115">
        <v>1758.8152277503309</v>
      </c>
      <c r="AC335" s="115">
        <v>3612.4163034236067</v>
      </c>
      <c r="AD335" s="115">
        <v>14671.077616264825</v>
      </c>
      <c r="AE335" s="115">
        <v>745.18929412413559</v>
      </c>
      <c r="AF335" s="115">
        <v>516.52435949631285</v>
      </c>
      <c r="AG335" s="115">
        <v>811.7572016440929</v>
      </c>
      <c r="AH335" s="115">
        <v>572.52287286737567</v>
      </c>
      <c r="AI335" s="116">
        <v>0</v>
      </c>
      <c r="AJ335" s="110">
        <v>0</v>
      </c>
      <c r="AK335" s="111">
        <v>0</v>
      </c>
      <c r="AL335" s="111">
        <v>0</v>
      </c>
      <c r="AM335" s="111">
        <v>0</v>
      </c>
      <c r="AN335" s="111">
        <v>0</v>
      </c>
      <c r="AO335" s="111">
        <v>0</v>
      </c>
      <c r="AP335" s="111">
        <v>0</v>
      </c>
      <c r="AQ335" s="111">
        <v>0</v>
      </c>
      <c r="AR335" s="111">
        <v>0</v>
      </c>
      <c r="AS335" s="111">
        <v>0</v>
      </c>
      <c r="AT335" s="111">
        <v>0</v>
      </c>
      <c r="AU335" s="111">
        <v>0</v>
      </c>
      <c r="AV335" s="111">
        <v>0</v>
      </c>
      <c r="AW335" s="111">
        <v>0</v>
      </c>
      <c r="AX335" s="111">
        <v>0</v>
      </c>
      <c r="AY335" s="111">
        <v>0</v>
      </c>
      <c r="AZ335" s="111">
        <v>0</v>
      </c>
      <c r="BA335" s="111">
        <v>0</v>
      </c>
      <c r="BB335" s="111">
        <v>0</v>
      </c>
      <c r="BC335" s="111">
        <v>0</v>
      </c>
      <c r="BD335" s="111">
        <v>0</v>
      </c>
      <c r="BE335" s="111">
        <v>0</v>
      </c>
      <c r="BF335" s="111">
        <v>0</v>
      </c>
      <c r="BG335" s="111">
        <v>0</v>
      </c>
      <c r="BH335" s="111">
        <v>0</v>
      </c>
      <c r="BI335" s="111">
        <v>0</v>
      </c>
      <c r="BJ335" s="111">
        <v>0</v>
      </c>
      <c r="BK335" s="111">
        <v>0</v>
      </c>
      <c r="BL335" s="111">
        <v>0</v>
      </c>
      <c r="BM335" s="111">
        <v>0</v>
      </c>
      <c r="BN335" s="111">
        <v>0</v>
      </c>
      <c r="BO335" s="111">
        <v>0</v>
      </c>
      <c r="BP335" s="112">
        <v>0</v>
      </c>
      <c r="BQ335" s="110">
        <v>0</v>
      </c>
      <c r="BR335" s="111"/>
      <c r="BS335" s="111"/>
      <c r="BT335" s="112">
        <v>0</v>
      </c>
      <c r="BU335" s="110">
        <v>0</v>
      </c>
      <c r="BV335" s="111"/>
      <c r="BW335" s="112">
        <v>0</v>
      </c>
      <c r="BX335" s="141" cm="1">
        <f t="array" aca="1" ref="BX335:CB335" ca="1">'2022 SAM'!BV64*F240:J240</f>
        <v>204.01639377898843</v>
      </c>
      <c r="BY335" s="142">
        <f ca="1"/>
        <v>1072.2128098955131</v>
      </c>
      <c r="BZ335" s="142">
        <f ca="1"/>
        <v>108.90028551043393</v>
      </c>
      <c r="CA335" s="142">
        <f ca="1"/>
        <v>49.301829247098844</v>
      </c>
      <c r="CB335" s="142">
        <f ca="1"/>
        <v>0</v>
      </c>
      <c r="CC335" s="115">
        <v>0</v>
      </c>
      <c r="CD335" s="116">
        <v>20041.790776604397</v>
      </c>
      <c r="CE335" s="113">
        <v>0</v>
      </c>
      <c r="CF335" s="117">
        <v>93252.208792419624</v>
      </c>
    </row>
    <row r="336" spans="1:84">
      <c r="A336" s="280"/>
      <c r="B336" s="44" t="s">
        <v>102</v>
      </c>
      <c r="C336" s="114">
        <v>0</v>
      </c>
      <c r="D336" s="115">
        <v>16.158441759955451</v>
      </c>
      <c r="E336" s="115">
        <v>29.313518339884322</v>
      </c>
      <c r="F336" s="115">
        <v>16.93249915663332</v>
      </c>
      <c r="G336" s="115">
        <v>9.7254387608382911E-2</v>
      </c>
      <c r="H336" s="115">
        <v>25.550333283160583</v>
      </c>
      <c r="I336" s="115">
        <v>36.021258350016694</v>
      </c>
      <c r="J336" s="115">
        <v>4.2444644198018278</v>
      </c>
      <c r="K336" s="115">
        <v>13.947234973629671</v>
      </c>
      <c r="L336" s="115">
        <v>9.7528969768637683</v>
      </c>
      <c r="M336" s="115">
        <v>26.371283228593651</v>
      </c>
      <c r="N336" s="115">
        <v>10.492397520902712</v>
      </c>
      <c r="O336" s="115">
        <v>34.772771100386016</v>
      </c>
      <c r="P336" s="115">
        <v>24.445595830160077</v>
      </c>
      <c r="Q336" s="115">
        <v>11.247359145781909</v>
      </c>
      <c r="R336" s="115">
        <v>119.76193044698435</v>
      </c>
      <c r="S336" s="115">
        <v>243.82468391627586</v>
      </c>
      <c r="T336" s="115">
        <v>772.02753096009451</v>
      </c>
      <c r="U336" s="115">
        <v>1918.0240480257899</v>
      </c>
      <c r="V336" s="115">
        <v>124.09615514533047</v>
      </c>
      <c r="W336" s="115">
        <v>6.2317611233489556</v>
      </c>
      <c r="X336" s="115">
        <v>1.1315947217384852</v>
      </c>
      <c r="Y336" s="115">
        <v>306.4268621493332</v>
      </c>
      <c r="Z336" s="115">
        <v>7.8298091368820613</v>
      </c>
      <c r="AA336" s="115">
        <v>398.75175609889351</v>
      </c>
      <c r="AB336" s="115">
        <v>50.076226811258614</v>
      </c>
      <c r="AC336" s="115">
        <v>182.32554137832699</v>
      </c>
      <c r="AD336" s="115">
        <v>2841.4111906484823</v>
      </c>
      <c r="AE336" s="115">
        <v>748.10864714835111</v>
      </c>
      <c r="AF336" s="115">
        <v>363.96825164287264</v>
      </c>
      <c r="AG336" s="115">
        <v>286.41179166556458</v>
      </c>
      <c r="AH336" s="115">
        <v>29.479708352504769</v>
      </c>
      <c r="AI336" s="116">
        <v>0</v>
      </c>
      <c r="AJ336" s="110">
        <v>0</v>
      </c>
      <c r="AK336" s="111">
        <v>0</v>
      </c>
      <c r="AL336" s="111">
        <v>0</v>
      </c>
      <c r="AM336" s="111">
        <v>0</v>
      </c>
      <c r="AN336" s="111">
        <v>0</v>
      </c>
      <c r="AO336" s="111">
        <v>0</v>
      </c>
      <c r="AP336" s="111">
        <v>0</v>
      </c>
      <c r="AQ336" s="111">
        <v>0</v>
      </c>
      <c r="AR336" s="111">
        <v>0</v>
      </c>
      <c r="AS336" s="111">
        <v>0</v>
      </c>
      <c r="AT336" s="111">
        <v>0</v>
      </c>
      <c r="AU336" s="111">
        <v>0</v>
      </c>
      <c r="AV336" s="111">
        <v>0</v>
      </c>
      <c r="AW336" s="111">
        <v>0</v>
      </c>
      <c r="AX336" s="111">
        <v>0</v>
      </c>
      <c r="AY336" s="111">
        <v>0</v>
      </c>
      <c r="AZ336" s="111">
        <v>0</v>
      </c>
      <c r="BA336" s="111">
        <v>0</v>
      </c>
      <c r="BB336" s="111">
        <v>0</v>
      </c>
      <c r="BC336" s="111">
        <v>0</v>
      </c>
      <c r="BD336" s="111">
        <v>0</v>
      </c>
      <c r="BE336" s="111">
        <v>0</v>
      </c>
      <c r="BF336" s="111">
        <v>0</v>
      </c>
      <c r="BG336" s="111">
        <v>0</v>
      </c>
      <c r="BH336" s="111">
        <v>0</v>
      </c>
      <c r="BI336" s="111">
        <v>0</v>
      </c>
      <c r="BJ336" s="111">
        <v>0</v>
      </c>
      <c r="BK336" s="111">
        <v>0</v>
      </c>
      <c r="BL336" s="111">
        <v>0</v>
      </c>
      <c r="BM336" s="111">
        <v>0</v>
      </c>
      <c r="BN336" s="111">
        <v>0</v>
      </c>
      <c r="BO336" s="111">
        <v>0</v>
      </c>
      <c r="BP336" s="112">
        <v>0</v>
      </c>
      <c r="BQ336" s="110">
        <v>0</v>
      </c>
      <c r="BR336" s="111"/>
      <c r="BS336" s="111"/>
      <c r="BT336" s="112">
        <v>0</v>
      </c>
      <c r="BU336" s="110">
        <v>0</v>
      </c>
      <c r="BV336" s="111"/>
      <c r="BW336" s="112">
        <v>0</v>
      </c>
      <c r="BX336" s="141" cm="1">
        <f t="array" aca="1" ref="BX336:CB336" ca="1">'2022 SAM'!BV65*F241:J241</f>
        <v>118.97775655263648</v>
      </c>
      <c r="BY336" s="142">
        <f ca="1"/>
        <v>625.29031273125554</v>
      </c>
      <c r="BZ336" s="142">
        <f ca="1"/>
        <v>63.508188817458745</v>
      </c>
      <c r="CA336" s="142">
        <f ca="1"/>
        <v>28.751714159379958</v>
      </c>
      <c r="CB336" s="142">
        <f ca="1"/>
        <v>0</v>
      </c>
      <c r="CC336" s="115">
        <v>36354.283510240697</v>
      </c>
      <c r="CD336" s="116">
        <v>3714.1774867520612</v>
      </c>
      <c r="CE336" s="113">
        <v>0</v>
      </c>
      <c r="CF336" s="117">
        <v>49564.223767098898</v>
      </c>
    </row>
    <row r="337" spans="1:91">
      <c r="A337" s="280"/>
      <c r="B337" s="44" t="s">
        <v>103</v>
      </c>
      <c r="C337" s="114">
        <v>0</v>
      </c>
      <c r="D337" s="115">
        <v>9.6867224632302147</v>
      </c>
      <c r="E337" s="115">
        <v>11.868728662024118</v>
      </c>
      <c r="F337" s="115">
        <v>0</v>
      </c>
      <c r="G337" s="115">
        <v>0</v>
      </c>
      <c r="H337" s="115">
        <v>0.60962383422582089</v>
      </c>
      <c r="I337" s="115">
        <v>4.7314668008204723</v>
      </c>
      <c r="J337" s="115">
        <v>3.5250508336734598</v>
      </c>
      <c r="K337" s="115">
        <v>6.8696171853024399</v>
      </c>
      <c r="L337" s="115">
        <v>1.6075891706204011</v>
      </c>
      <c r="M337" s="115">
        <v>4.1476718527025849</v>
      </c>
      <c r="N337" s="115">
        <v>59.73007056746664</v>
      </c>
      <c r="O337" s="115">
        <v>43.007639560460028</v>
      </c>
      <c r="P337" s="115">
        <v>10.293722099582558</v>
      </c>
      <c r="Q337" s="115">
        <v>0.27674092819254398</v>
      </c>
      <c r="R337" s="115">
        <v>50.064346538458508</v>
      </c>
      <c r="S337" s="115">
        <v>143.78372499185397</v>
      </c>
      <c r="T337" s="115">
        <v>70.440864258394981</v>
      </c>
      <c r="U337" s="115">
        <v>0</v>
      </c>
      <c r="V337" s="115">
        <v>0</v>
      </c>
      <c r="W337" s="115">
        <v>0</v>
      </c>
      <c r="X337" s="115">
        <v>0</v>
      </c>
      <c r="Y337" s="115">
        <v>0</v>
      </c>
      <c r="Z337" s="115">
        <v>40.221477022620064</v>
      </c>
      <c r="AA337" s="115">
        <v>13.757772941056045</v>
      </c>
      <c r="AB337" s="115">
        <v>0</v>
      </c>
      <c r="AC337" s="115">
        <v>235.84254058911685</v>
      </c>
      <c r="AD337" s="115">
        <v>639.6636883937291</v>
      </c>
      <c r="AE337" s="115">
        <v>281.66833760616868</v>
      </c>
      <c r="AF337" s="115">
        <v>47.974127706826486</v>
      </c>
      <c r="AG337" s="115">
        <v>0.14208993136254475</v>
      </c>
      <c r="AH337" s="115">
        <v>11.077181154816934</v>
      </c>
      <c r="AI337" s="116">
        <v>0</v>
      </c>
      <c r="AJ337" s="110">
        <v>0</v>
      </c>
      <c r="AK337" s="111">
        <v>0</v>
      </c>
      <c r="AL337" s="111">
        <v>0</v>
      </c>
      <c r="AM337" s="111">
        <v>0</v>
      </c>
      <c r="AN337" s="111">
        <v>0</v>
      </c>
      <c r="AO337" s="111">
        <v>0</v>
      </c>
      <c r="AP337" s="111">
        <v>0</v>
      </c>
      <c r="AQ337" s="111">
        <v>0</v>
      </c>
      <c r="AR337" s="111">
        <v>0</v>
      </c>
      <c r="AS337" s="111">
        <v>0</v>
      </c>
      <c r="AT337" s="111">
        <v>0</v>
      </c>
      <c r="AU337" s="111">
        <v>0</v>
      </c>
      <c r="AV337" s="111">
        <v>0</v>
      </c>
      <c r="AW337" s="111">
        <v>0</v>
      </c>
      <c r="AX337" s="111">
        <v>0</v>
      </c>
      <c r="AY337" s="111">
        <v>0</v>
      </c>
      <c r="AZ337" s="111">
        <v>0</v>
      </c>
      <c r="BA337" s="111">
        <v>0</v>
      </c>
      <c r="BB337" s="111">
        <v>0</v>
      </c>
      <c r="BC337" s="111">
        <v>0</v>
      </c>
      <c r="BD337" s="111">
        <v>0</v>
      </c>
      <c r="BE337" s="111">
        <v>0</v>
      </c>
      <c r="BF337" s="111">
        <v>0</v>
      </c>
      <c r="BG337" s="111">
        <v>0</v>
      </c>
      <c r="BH337" s="111">
        <v>0</v>
      </c>
      <c r="BI337" s="111">
        <v>0</v>
      </c>
      <c r="BJ337" s="111">
        <v>0</v>
      </c>
      <c r="BK337" s="111">
        <v>0</v>
      </c>
      <c r="BL337" s="111">
        <v>0</v>
      </c>
      <c r="BM337" s="111">
        <v>0</v>
      </c>
      <c r="BN337" s="111">
        <v>0</v>
      </c>
      <c r="BO337" s="111">
        <v>0</v>
      </c>
      <c r="BP337" s="112">
        <v>0</v>
      </c>
      <c r="BQ337" s="110">
        <v>0</v>
      </c>
      <c r="BR337" s="111"/>
      <c r="BS337" s="111"/>
      <c r="BT337" s="112">
        <v>0</v>
      </c>
      <c r="BU337" s="110">
        <v>0</v>
      </c>
      <c r="BV337" s="111"/>
      <c r="BW337" s="112">
        <v>0</v>
      </c>
      <c r="BX337" s="141" cm="1">
        <f t="array" aca="1" ref="BX337:CB337" ca="1">'2022 SAM'!BV66*F242:J242</f>
        <v>714.00931439748001</v>
      </c>
      <c r="BY337" s="142">
        <f ca="1"/>
        <v>7902.2554223428888</v>
      </c>
      <c r="BZ337" s="142">
        <f ca="1"/>
        <v>8.1401648933052844</v>
      </c>
      <c r="CA337" s="142">
        <f ca="1"/>
        <v>0</v>
      </c>
      <c r="CB337" s="142">
        <f ca="1"/>
        <v>0</v>
      </c>
      <c r="CC337" s="115">
        <v>6481.659125895163</v>
      </c>
      <c r="CD337" s="116">
        <v>0</v>
      </c>
      <c r="CE337" s="113">
        <v>0</v>
      </c>
      <c r="CF337" s="117">
        <v>16797.054822621543</v>
      </c>
    </row>
    <row r="338" spans="1:91">
      <c r="A338" s="280"/>
      <c r="B338" s="44" t="s">
        <v>104</v>
      </c>
      <c r="C338" s="114">
        <v>0</v>
      </c>
      <c r="D338" s="115">
        <v>0</v>
      </c>
      <c r="E338" s="115">
        <v>1.7613562511032008</v>
      </c>
      <c r="F338" s="115">
        <v>0.13218532119561083</v>
      </c>
      <c r="G338" s="115">
        <v>2.6053953538989073E-2</v>
      </c>
      <c r="H338" s="115">
        <v>0.51660180151109814</v>
      </c>
      <c r="I338" s="115">
        <v>0.92969730537578654</v>
      </c>
      <c r="J338" s="115">
        <v>5.1971810460649623E-2</v>
      </c>
      <c r="K338" s="115">
        <v>0.21500693177421751</v>
      </c>
      <c r="L338" s="115">
        <v>0.41100771077110954</v>
      </c>
      <c r="M338" s="115">
        <v>1.4665076718432655</v>
      </c>
      <c r="N338" s="115">
        <v>9.4627750309894019</v>
      </c>
      <c r="O338" s="115">
        <v>0.81535490668711352</v>
      </c>
      <c r="P338" s="115">
        <v>0.22262931442463482</v>
      </c>
      <c r="Q338" s="115">
        <v>1.4520958047394665</v>
      </c>
      <c r="R338" s="115">
        <v>14.293839695638901</v>
      </c>
      <c r="S338" s="115">
        <v>0.18407815627779514</v>
      </c>
      <c r="T338" s="115">
        <v>24.247881876540823</v>
      </c>
      <c r="U338" s="115">
        <v>66.614070137425628</v>
      </c>
      <c r="V338" s="115">
        <v>24.24192504691641</v>
      </c>
      <c r="W338" s="115">
        <v>9.7121162076696876</v>
      </c>
      <c r="X338" s="115">
        <v>5.6718173089010775E-2</v>
      </c>
      <c r="Y338" s="115">
        <v>0</v>
      </c>
      <c r="Z338" s="115">
        <v>4.6353968786181952</v>
      </c>
      <c r="AA338" s="115">
        <v>23.336307479111866</v>
      </c>
      <c r="AB338" s="115">
        <v>0</v>
      </c>
      <c r="AC338" s="115">
        <v>1.0960246218203051</v>
      </c>
      <c r="AD338" s="115">
        <v>37.775411485324305</v>
      </c>
      <c r="AE338" s="115">
        <v>0</v>
      </c>
      <c r="AF338" s="115">
        <v>1.3647556177141669</v>
      </c>
      <c r="AG338" s="115">
        <v>4.743435239009262</v>
      </c>
      <c r="AH338" s="115">
        <v>8.2029443689674473</v>
      </c>
      <c r="AI338" s="116">
        <v>0</v>
      </c>
      <c r="AJ338" s="110">
        <v>0</v>
      </c>
      <c r="AK338" s="111">
        <v>0</v>
      </c>
      <c r="AL338" s="111">
        <v>0</v>
      </c>
      <c r="AM338" s="111">
        <v>0</v>
      </c>
      <c r="AN338" s="111">
        <v>0</v>
      </c>
      <c r="AO338" s="111">
        <v>0</v>
      </c>
      <c r="AP338" s="111">
        <v>0</v>
      </c>
      <c r="AQ338" s="111">
        <v>0</v>
      </c>
      <c r="AR338" s="111">
        <v>0</v>
      </c>
      <c r="AS338" s="111">
        <v>0</v>
      </c>
      <c r="AT338" s="111">
        <v>0</v>
      </c>
      <c r="AU338" s="111">
        <v>0</v>
      </c>
      <c r="AV338" s="111">
        <v>0</v>
      </c>
      <c r="AW338" s="111">
        <v>0</v>
      </c>
      <c r="AX338" s="111">
        <v>0</v>
      </c>
      <c r="AY338" s="111">
        <v>0</v>
      </c>
      <c r="AZ338" s="111">
        <v>0</v>
      </c>
      <c r="BA338" s="111">
        <v>0</v>
      </c>
      <c r="BB338" s="111">
        <v>0</v>
      </c>
      <c r="BC338" s="111">
        <v>0</v>
      </c>
      <c r="BD338" s="111">
        <v>0</v>
      </c>
      <c r="BE338" s="111">
        <v>0</v>
      </c>
      <c r="BF338" s="111">
        <v>0</v>
      </c>
      <c r="BG338" s="111">
        <v>0</v>
      </c>
      <c r="BH338" s="111">
        <v>0</v>
      </c>
      <c r="BI338" s="111">
        <v>0</v>
      </c>
      <c r="BJ338" s="111">
        <v>0</v>
      </c>
      <c r="BK338" s="111">
        <v>0</v>
      </c>
      <c r="BL338" s="111">
        <v>0</v>
      </c>
      <c r="BM338" s="111">
        <v>0</v>
      </c>
      <c r="BN338" s="111">
        <v>0</v>
      </c>
      <c r="BO338" s="111">
        <v>0</v>
      </c>
      <c r="BP338" s="112">
        <v>0</v>
      </c>
      <c r="BQ338" s="110">
        <v>0</v>
      </c>
      <c r="BR338" s="111"/>
      <c r="BS338" s="111"/>
      <c r="BT338" s="112">
        <v>0</v>
      </c>
      <c r="BU338" s="110">
        <v>0</v>
      </c>
      <c r="BV338" s="111"/>
      <c r="BW338" s="112">
        <v>0</v>
      </c>
      <c r="BX338" s="141" cm="1">
        <f t="array" aca="1" ref="BX338:CB338" ca="1">'2022 SAM'!BV67*F243:J243</f>
        <v>88.318246038534483</v>
      </c>
      <c r="BY338" s="142">
        <f ca="1"/>
        <v>522.89818542777812</v>
      </c>
      <c r="BZ338" s="142">
        <f ca="1"/>
        <v>22.374944770037043</v>
      </c>
      <c r="CA338" s="142">
        <f ca="1"/>
        <v>7.3148344638453668</v>
      </c>
      <c r="CB338" s="142">
        <f ca="1"/>
        <v>0</v>
      </c>
      <c r="CC338" s="115">
        <v>6268.6283600417337</v>
      </c>
      <c r="CD338" s="116">
        <v>4894.6398789555178</v>
      </c>
      <c r="CE338" s="113">
        <v>0</v>
      </c>
      <c r="CF338" s="117">
        <v>12042.142598495986</v>
      </c>
    </row>
    <row r="339" spans="1:91">
      <c r="A339" s="280"/>
      <c r="B339" s="44" t="s">
        <v>105</v>
      </c>
      <c r="C339" s="114">
        <v>0</v>
      </c>
      <c r="D339" s="115">
        <v>2.5079417112793649</v>
      </c>
      <c r="E339" s="115">
        <v>1.6531121315214412</v>
      </c>
      <c r="F339" s="115">
        <v>0.87531765446333698</v>
      </c>
      <c r="G339" s="115">
        <v>0</v>
      </c>
      <c r="H339" s="115">
        <v>0</v>
      </c>
      <c r="I339" s="115">
        <v>2.1394867906526214</v>
      </c>
      <c r="J339" s="115">
        <v>0.39414836974546624</v>
      </c>
      <c r="K339" s="115">
        <v>13.529115170048287</v>
      </c>
      <c r="L339" s="115">
        <v>0.74804443404210996</v>
      </c>
      <c r="M339" s="115">
        <v>0</v>
      </c>
      <c r="N339" s="115">
        <v>7.3654646372801524</v>
      </c>
      <c r="O339" s="115">
        <v>1.5234002948193344</v>
      </c>
      <c r="P339" s="115">
        <v>3.1074453754925528</v>
      </c>
      <c r="Q339" s="115">
        <v>0.31420172415398401</v>
      </c>
      <c r="R339" s="115">
        <v>4.2829436533748613</v>
      </c>
      <c r="S339" s="115">
        <v>16.120567474951564</v>
      </c>
      <c r="T339" s="115">
        <v>18.758050704491509</v>
      </c>
      <c r="U339" s="115">
        <v>278.82358610340088</v>
      </c>
      <c r="V339" s="115">
        <v>362.49676130076023</v>
      </c>
      <c r="W339" s="115">
        <v>5.4448562776442424</v>
      </c>
      <c r="X339" s="115">
        <v>1.911725307440197</v>
      </c>
      <c r="Y339" s="115">
        <v>0</v>
      </c>
      <c r="Z339" s="115">
        <v>14.384203011911064</v>
      </c>
      <c r="AA339" s="115">
        <v>8.5417375540628786</v>
      </c>
      <c r="AB339" s="115">
        <v>193.1538885848673</v>
      </c>
      <c r="AC339" s="115">
        <v>80.547519408485769</v>
      </c>
      <c r="AD339" s="115">
        <v>973.18734137752335</v>
      </c>
      <c r="AE339" s="115">
        <v>30.422943451601924</v>
      </c>
      <c r="AF339" s="115">
        <v>9.7073331292773357</v>
      </c>
      <c r="AG339" s="115">
        <v>119.52356780771191</v>
      </c>
      <c r="AH339" s="115">
        <v>101.93045289374001</v>
      </c>
      <c r="AI339" s="116">
        <v>0</v>
      </c>
      <c r="AJ339" s="110">
        <v>0</v>
      </c>
      <c r="AK339" s="111">
        <v>0</v>
      </c>
      <c r="AL339" s="111">
        <v>0</v>
      </c>
      <c r="AM339" s="111">
        <v>0</v>
      </c>
      <c r="AN339" s="111">
        <v>0</v>
      </c>
      <c r="AO339" s="111">
        <v>0</v>
      </c>
      <c r="AP339" s="111">
        <v>0</v>
      </c>
      <c r="AQ339" s="111">
        <v>0</v>
      </c>
      <c r="AR339" s="111">
        <v>0</v>
      </c>
      <c r="AS339" s="111">
        <v>0</v>
      </c>
      <c r="AT339" s="111">
        <v>0</v>
      </c>
      <c r="AU339" s="111">
        <v>0</v>
      </c>
      <c r="AV339" s="111">
        <v>0</v>
      </c>
      <c r="AW339" s="111">
        <v>0</v>
      </c>
      <c r="AX339" s="111">
        <v>0</v>
      </c>
      <c r="AY339" s="111">
        <v>0</v>
      </c>
      <c r="AZ339" s="111">
        <v>0</v>
      </c>
      <c r="BA339" s="111">
        <v>0</v>
      </c>
      <c r="BB339" s="111">
        <v>0</v>
      </c>
      <c r="BC339" s="111">
        <v>0</v>
      </c>
      <c r="BD339" s="111">
        <v>0</v>
      </c>
      <c r="BE339" s="111">
        <v>0</v>
      </c>
      <c r="BF339" s="111">
        <v>0</v>
      </c>
      <c r="BG339" s="111">
        <v>0</v>
      </c>
      <c r="BH339" s="111">
        <v>0</v>
      </c>
      <c r="BI339" s="111">
        <v>0</v>
      </c>
      <c r="BJ339" s="111">
        <v>0</v>
      </c>
      <c r="BK339" s="111">
        <v>0</v>
      </c>
      <c r="BL339" s="111">
        <v>0</v>
      </c>
      <c r="BM339" s="111">
        <v>0</v>
      </c>
      <c r="BN339" s="111">
        <v>0</v>
      </c>
      <c r="BO339" s="111">
        <v>0</v>
      </c>
      <c r="BP339" s="112">
        <v>0</v>
      </c>
      <c r="BQ339" s="110">
        <v>0</v>
      </c>
      <c r="BR339" s="111"/>
      <c r="BS339" s="111"/>
      <c r="BT339" s="112">
        <v>0</v>
      </c>
      <c r="BU339" s="110">
        <v>0</v>
      </c>
      <c r="BV339" s="111"/>
      <c r="BW339" s="112">
        <v>0</v>
      </c>
      <c r="BX339" s="141" cm="1">
        <f t="array" aca="1" ref="BX339:CB339" ca="1">'2022 SAM'!BV68*F244:J244</f>
        <v>329.04058873397429</v>
      </c>
      <c r="BY339" s="142">
        <f ca="1"/>
        <v>1402.3227723678499</v>
      </c>
      <c r="BZ339" s="142">
        <f ca="1"/>
        <v>37.77675317445</v>
      </c>
      <c r="CA339" s="142">
        <f ca="1"/>
        <v>4.8462246224492711</v>
      </c>
      <c r="CB339" s="142">
        <f ca="1"/>
        <v>0</v>
      </c>
      <c r="CC339" s="115">
        <v>926.35566703432278</v>
      </c>
      <c r="CD339" s="116">
        <v>3516.9781825325385</v>
      </c>
      <c r="CE339" s="113">
        <v>0</v>
      </c>
      <c r="CF339" s="117">
        <v>8470.7153448003282</v>
      </c>
    </row>
    <row r="340" spans="1:91" ht="15" thickBot="1">
      <c r="A340" s="280"/>
      <c r="B340" s="44" t="s">
        <v>106</v>
      </c>
      <c r="C340" s="114">
        <v>0</v>
      </c>
      <c r="D340" s="115">
        <v>0</v>
      </c>
      <c r="E340" s="115">
        <v>0</v>
      </c>
      <c r="F340" s="115">
        <v>0</v>
      </c>
      <c r="G340" s="115">
        <v>0</v>
      </c>
      <c r="H340" s="115">
        <v>0</v>
      </c>
      <c r="I340" s="115">
        <v>0</v>
      </c>
      <c r="J340" s="115">
        <v>0</v>
      </c>
      <c r="K340" s="115">
        <v>0</v>
      </c>
      <c r="L340" s="115">
        <v>0</v>
      </c>
      <c r="M340" s="115">
        <v>0</v>
      </c>
      <c r="N340" s="115">
        <v>0</v>
      </c>
      <c r="O340" s="115">
        <v>0</v>
      </c>
      <c r="P340" s="115">
        <v>0</v>
      </c>
      <c r="Q340" s="115">
        <v>0</v>
      </c>
      <c r="R340" s="115">
        <v>0</v>
      </c>
      <c r="S340" s="115">
        <v>0</v>
      </c>
      <c r="T340" s="115">
        <v>0</v>
      </c>
      <c r="U340" s="115">
        <v>0</v>
      </c>
      <c r="V340" s="115">
        <v>0</v>
      </c>
      <c r="W340" s="115">
        <v>0</v>
      </c>
      <c r="X340" s="115">
        <v>0</v>
      </c>
      <c r="Y340" s="115">
        <v>0</v>
      </c>
      <c r="Z340" s="115">
        <v>0</v>
      </c>
      <c r="AA340" s="115">
        <v>0</v>
      </c>
      <c r="AB340" s="115">
        <v>0</v>
      </c>
      <c r="AC340" s="115">
        <v>0</v>
      </c>
      <c r="AD340" s="115">
        <v>0</v>
      </c>
      <c r="AE340" s="115">
        <v>0</v>
      </c>
      <c r="AF340" s="115">
        <v>0</v>
      </c>
      <c r="AG340" s="115">
        <v>0</v>
      </c>
      <c r="AH340" s="115">
        <v>0</v>
      </c>
      <c r="AI340" s="116">
        <v>0</v>
      </c>
      <c r="AJ340" s="110">
        <v>0</v>
      </c>
      <c r="AK340" s="111">
        <v>0</v>
      </c>
      <c r="AL340" s="111">
        <v>0</v>
      </c>
      <c r="AM340" s="111">
        <v>0</v>
      </c>
      <c r="AN340" s="111">
        <v>0</v>
      </c>
      <c r="AO340" s="111">
        <v>0</v>
      </c>
      <c r="AP340" s="111">
        <v>0</v>
      </c>
      <c r="AQ340" s="111">
        <v>0</v>
      </c>
      <c r="AR340" s="111">
        <v>0</v>
      </c>
      <c r="AS340" s="111">
        <v>0</v>
      </c>
      <c r="AT340" s="111">
        <v>0</v>
      </c>
      <c r="AU340" s="111">
        <v>0</v>
      </c>
      <c r="AV340" s="111">
        <v>0</v>
      </c>
      <c r="AW340" s="111">
        <v>0</v>
      </c>
      <c r="AX340" s="111">
        <v>0</v>
      </c>
      <c r="AY340" s="111">
        <v>0</v>
      </c>
      <c r="AZ340" s="111">
        <v>0</v>
      </c>
      <c r="BA340" s="111">
        <v>0</v>
      </c>
      <c r="BB340" s="111">
        <v>0</v>
      </c>
      <c r="BC340" s="111">
        <v>0</v>
      </c>
      <c r="BD340" s="111">
        <v>0</v>
      </c>
      <c r="BE340" s="111">
        <v>0</v>
      </c>
      <c r="BF340" s="111">
        <v>0</v>
      </c>
      <c r="BG340" s="111">
        <v>0</v>
      </c>
      <c r="BH340" s="111">
        <v>0</v>
      </c>
      <c r="BI340" s="111">
        <v>0</v>
      </c>
      <c r="BJ340" s="111">
        <v>0</v>
      </c>
      <c r="BK340" s="111">
        <v>0</v>
      </c>
      <c r="BL340" s="111">
        <v>0</v>
      </c>
      <c r="BM340" s="111">
        <v>0</v>
      </c>
      <c r="BN340" s="111">
        <v>0</v>
      </c>
      <c r="BO340" s="111">
        <v>0</v>
      </c>
      <c r="BP340" s="112">
        <v>0</v>
      </c>
      <c r="BQ340" s="110">
        <v>0</v>
      </c>
      <c r="BR340" s="111"/>
      <c r="BS340" s="111"/>
      <c r="BT340" s="112">
        <v>0</v>
      </c>
      <c r="BU340" s="110">
        <v>0</v>
      </c>
      <c r="BV340" s="111"/>
      <c r="BW340" s="112">
        <v>0</v>
      </c>
      <c r="BX340" s="141" cm="1">
        <f t="array" aca="1" ref="BX340:CB340" ca="1">'2022 SAM'!BV69*F245:J245</f>
        <v>709.20231916150044</v>
      </c>
      <c r="BY340" s="142">
        <f ca="1"/>
        <v>1151.1444814515417</v>
      </c>
      <c r="BZ340" s="142">
        <f ca="1"/>
        <v>54.333039705653533</v>
      </c>
      <c r="CA340" s="142">
        <f ca="1"/>
        <v>30.662083070197102</v>
      </c>
      <c r="CB340" s="142">
        <f ca="1"/>
        <v>0</v>
      </c>
      <c r="CC340" s="115">
        <v>0</v>
      </c>
      <c r="CD340" s="116">
        <v>0</v>
      </c>
      <c r="CE340" s="113">
        <v>0</v>
      </c>
      <c r="CF340" s="117">
        <v>1945.3419233888926</v>
      </c>
    </row>
    <row r="341" spans="1:91">
      <c r="A341" s="279" t="s">
        <v>69</v>
      </c>
      <c r="B341" s="134" t="s">
        <v>297</v>
      </c>
      <c r="C341" s="152">
        <f t="shared" ref="C341:AI341" ca="1" si="37">C17</f>
        <v>14.240860604754507</v>
      </c>
      <c r="D341" s="153">
        <f t="shared" ca="1" si="37"/>
        <v>90.36473365562405</v>
      </c>
      <c r="E341" s="153">
        <f t="shared" ca="1" si="37"/>
        <v>69.178651884330151</v>
      </c>
      <c r="F341" s="153">
        <f t="shared" ca="1" si="37"/>
        <v>21.6592214082422</v>
      </c>
      <c r="G341" s="153">
        <f t="shared" ca="1" si="37"/>
        <v>0.1931158784958236</v>
      </c>
      <c r="H341" s="153">
        <f t="shared" ca="1" si="37"/>
        <v>16.314918473340981</v>
      </c>
      <c r="I341" s="153">
        <f t="shared" ca="1" si="37"/>
        <v>33.47043771882548</v>
      </c>
      <c r="J341" s="153">
        <f t="shared" ca="1" si="37"/>
        <v>6.6922626232696052</v>
      </c>
      <c r="K341" s="153">
        <f t="shared" ca="1" si="37"/>
        <v>40.239677866678207</v>
      </c>
      <c r="L341" s="153">
        <f t="shared" ca="1" si="37"/>
        <v>18.177603966620001</v>
      </c>
      <c r="M341" s="153">
        <f t="shared" ca="1" si="37"/>
        <v>44.044585402310204</v>
      </c>
      <c r="N341" s="153">
        <f t="shared" ca="1" si="37"/>
        <v>104.69835124567608</v>
      </c>
      <c r="O341" s="153">
        <f t="shared" ca="1" si="37"/>
        <v>34.173652479162627</v>
      </c>
      <c r="P341" s="153">
        <f t="shared" ca="1" si="37"/>
        <v>19.647828158439758</v>
      </c>
      <c r="Q341" s="153">
        <f t="shared" ca="1" si="37"/>
        <v>7.7914024151849324</v>
      </c>
      <c r="R341" s="153">
        <f t="shared" ca="1" si="37"/>
        <v>74.58780928839829</v>
      </c>
      <c r="S341" s="153">
        <f t="shared" ca="1" si="37"/>
        <v>48.108216370243397</v>
      </c>
      <c r="T341" s="153">
        <f t="shared" ca="1" si="37"/>
        <v>1047.764845876356</v>
      </c>
      <c r="U341" s="153">
        <f t="shared" ca="1" si="37"/>
        <v>964.44286510162874</v>
      </c>
      <c r="V341" s="153">
        <f t="shared" ca="1" si="37"/>
        <v>161.51725173174293</v>
      </c>
      <c r="W341" s="153">
        <f t="shared" ca="1" si="37"/>
        <v>57.049090282828814</v>
      </c>
      <c r="X341" s="153">
        <f t="shared" ca="1" si="37"/>
        <v>1.9528972935735414</v>
      </c>
      <c r="Y341" s="153">
        <f t="shared" ca="1" si="37"/>
        <v>190.14758692186052</v>
      </c>
      <c r="Z341" s="153">
        <f t="shared" ca="1" si="37"/>
        <v>120.23245711524216</v>
      </c>
      <c r="AA341" s="153">
        <f t="shared" ca="1" si="37"/>
        <v>170.06176809459561</v>
      </c>
      <c r="AB341" s="153">
        <f t="shared" ca="1" si="37"/>
        <v>1001.5208876216442</v>
      </c>
      <c r="AC341" s="153">
        <f t="shared" ca="1" si="37"/>
        <v>129.87664871536109</v>
      </c>
      <c r="AD341" s="153">
        <f t="shared" ca="1" si="37"/>
        <v>1671.9806048934861</v>
      </c>
      <c r="AE341" s="153">
        <f t="shared" ca="1" si="37"/>
        <v>9787.3551065403699</v>
      </c>
      <c r="AF341" s="153">
        <f t="shared" ca="1" si="37"/>
        <v>392.06383868580497</v>
      </c>
      <c r="AG341" s="153">
        <f t="shared" ca="1" si="37"/>
        <v>380.6193652543476</v>
      </c>
      <c r="AH341" s="153">
        <f t="shared" ca="1" si="37"/>
        <v>66.802582473212055</v>
      </c>
      <c r="AI341" s="153">
        <f t="shared" ca="1" si="37"/>
        <v>147.79424060352491</v>
      </c>
      <c r="AJ341" s="110">
        <v>0</v>
      </c>
      <c r="AK341" s="111">
        <v>0</v>
      </c>
      <c r="AL341" s="111">
        <v>0</v>
      </c>
      <c r="AM341" s="111">
        <v>0</v>
      </c>
      <c r="AN341" s="111">
        <v>0</v>
      </c>
      <c r="AO341" s="111">
        <v>0</v>
      </c>
      <c r="AP341" s="111">
        <v>0</v>
      </c>
      <c r="AQ341" s="111">
        <v>0</v>
      </c>
      <c r="AR341" s="111">
        <v>0</v>
      </c>
      <c r="AS341" s="111">
        <v>0</v>
      </c>
      <c r="AT341" s="111">
        <v>0</v>
      </c>
      <c r="AU341" s="111">
        <v>0</v>
      </c>
      <c r="AV341" s="111">
        <v>0</v>
      </c>
      <c r="AW341" s="111">
        <v>0</v>
      </c>
      <c r="AX341" s="111">
        <v>0</v>
      </c>
      <c r="AY341" s="111">
        <v>0</v>
      </c>
      <c r="AZ341" s="111">
        <v>0</v>
      </c>
      <c r="BA341" s="111">
        <v>0</v>
      </c>
      <c r="BB341" s="111">
        <v>0</v>
      </c>
      <c r="BC341" s="111">
        <v>0</v>
      </c>
      <c r="BD341" s="111">
        <v>0</v>
      </c>
      <c r="BE341" s="111">
        <v>0</v>
      </c>
      <c r="BF341" s="111">
        <v>0</v>
      </c>
      <c r="BG341" s="111">
        <v>0</v>
      </c>
      <c r="BH341" s="111">
        <v>0</v>
      </c>
      <c r="BI341" s="111">
        <v>0</v>
      </c>
      <c r="BJ341" s="111">
        <v>0</v>
      </c>
      <c r="BK341" s="111">
        <v>0</v>
      </c>
      <c r="BL341" s="111">
        <v>0</v>
      </c>
      <c r="BM341" s="111">
        <v>0</v>
      </c>
      <c r="BN341" s="111">
        <v>0</v>
      </c>
      <c r="BO341" s="111">
        <v>0</v>
      </c>
      <c r="BP341" s="112">
        <v>0</v>
      </c>
      <c r="BQ341" s="157">
        <v>0</v>
      </c>
      <c r="BR341" s="158"/>
      <c r="BS341" s="158"/>
      <c r="BT341" s="159">
        <v>0</v>
      </c>
      <c r="BU341" s="157">
        <v>0</v>
      </c>
      <c r="BV341" s="158"/>
      <c r="BW341" s="159">
        <v>0</v>
      </c>
      <c r="BX341" s="157">
        <v>0</v>
      </c>
      <c r="BY341" s="158"/>
      <c r="BZ341" s="158"/>
      <c r="CA341" s="158"/>
      <c r="CB341" s="158"/>
      <c r="CC341" s="158">
        <v>0</v>
      </c>
      <c r="CD341" s="159">
        <v>0</v>
      </c>
      <c r="CE341" s="160">
        <v>0</v>
      </c>
      <c r="CF341" s="135">
        <f ca="1">SUM(C341:BP341)</f>
        <v>16934.765366645173</v>
      </c>
    </row>
    <row r="342" spans="1:91">
      <c r="A342" s="280"/>
      <c r="B342" s="136" t="s">
        <v>298</v>
      </c>
      <c r="C342" s="152">
        <f t="shared" ref="C342:AI342" ca="1" si="38">(C6-C17)*(1-commuting)</f>
        <v>155.77575607652062</v>
      </c>
      <c r="D342" s="153">
        <f t="shared" ca="1" si="38"/>
        <v>817.21729116822326</v>
      </c>
      <c r="E342" s="153">
        <f t="shared" ca="1" si="38"/>
        <v>1856.491257917748</v>
      </c>
      <c r="F342" s="153">
        <f t="shared" ca="1" si="38"/>
        <v>581.2509221044055</v>
      </c>
      <c r="G342" s="153">
        <f t="shared" ca="1" si="38"/>
        <v>5.1824938825356224</v>
      </c>
      <c r="H342" s="153">
        <f t="shared" ca="1" si="38"/>
        <v>437.83020764905979</v>
      </c>
      <c r="I342" s="153">
        <f t="shared" ca="1" si="38"/>
        <v>898.218935049165</v>
      </c>
      <c r="J342" s="153">
        <f t="shared" ca="1" si="38"/>
        <v>179.59481310164034</v>
      </c>
      <c r="K342" s="153">
        <f t="shared" ca="1" si="38"/>
        <v>1079.87953141706</v>
      </c>
      <c r="L342" s="153">
        <f t="shared" ca="1" si="38"/>
        <v>487.81758439506427</v>
      </c>
      <c r="M342" s="153">
        <f t="shared" ca="1" si="38"/>
        <v>1181.9887426358207</v>
      </c>
      <c r="N342" s="153">
        <f t="shared" ca="1" si="38"/>
        <v>2809.7045621964057</v>
      </c>
      <c r="O342" s="153">
        <f t="shared" ca="1" si="38"/>
        <v>917.09053805738085</v>
      </c>
      <c r="P342" s="153">
        <f t="shared" ca="1" si="38"/>
        <v>527.27279615398027</v>
      </c>
      <c r="Q342" s="153">
        <f t="shared" ca="1" si="38"/>
        <v>209.09153440711216</v>
      </c>
      <c r="R342" s="153">
        <f t="shared" ca="1" si="38"/>
        <v>2001.6524190537634</v>
      </c>
      <c r="S342" s="153">
        <f t="shared" ca="1" si="38"/>
        <v>3059.0529495947653</v>
      </c>
      <c r="T342" s="153">
        <f t="shared" ca="1" si="38"/>
        <v>13870.683886840949</v>
      </c>
      <c r="U342" s="153">
        <f t="shared" ca="1" si="38"/>
        <v>37216.963488704656</v>
      </c>
      <c r="V342" s="153">
        <f t="shared" ca="1" si="38"/>
        <v>9410.9699650681196</v>
      </c>
      <c r="W342" s="153">
        <f t="shared" ca="1" si="38"/>
        <v>3008.9968140554297</v>
      </c>
      <c r="X342" s="153">
        <f t="shared" ca="1" si="38"/>
        <v>103.00360102865571</v>
      </c>
      <c r="Y342" s="153">
        <f t="shared" ca="1" si="38"/>
        <v>10029.142978646558</v>
      </c>
      <c r="Z342" s="153">
        <f t="shared" ca="1" si="38"/>
        <v>6341.5398670206569</v>
      </c>
      <c r="AA342" s="153">
        <f t="shared" ca="1" si="38"/>
        <v>3431.9924011125927</v>
      </c>
      <c r="AB342" s="153">
        <f t="shared" ca="1" si="38"/>
        <v>7918.7507650753796</v>
      </c>
      <c r="AC342" s="153">
        <f t="shared" ca="1" si="38"/>
        <v>4889.9960709040179</v>
      </c>
      <c r="AD342" s="153">
        <f t="shared" ca="1" si="38"/>
        <v>25496.919788396601</v>
      </c>
      <c r="AE342" s="153">
        <f t="shared" ca="1" si="38"/>
        <v>10073.65594103548</v>
      </c>
      <c r="AF342" s="153">
        <f t="shared" ca="1" si="38"/>
        <v>4367.902277798943</v>
      </c>
      <c r="AG342" s="153">
        <f t="shared" ca="1" si="38"/>
        <v>3465.8557121026402</v>
      </c>
      <c r="AH342" s="153">
        <f t="shared" ca="1" si="38"/>
        <v>1850.1451791691188</v>
      </c>
      <c r="AI342" s="153">
        <f t="shared" ca="1" si="38"/>
        <v>1279.7686385538414</v>
      </c>
      <c r="AJ342" s="110">
        <v>0</v>
      </c>
      <c r="AK342" s="111">
        <v>0</v>
      </c>
      <c r="AL342" s="111">
        <v>0</v>
      </c>
      <c r="AM342" s="111">
        <v>0</v>
      </c>
      <c r="AN342" s="111">
        <v>0</v>
      </c>
      <c r="AO342" s="111">
        <v>0</v>
      </c>
      <c r="AP342" s="111">
        <v>0</v>
      </c>
      <c r="AQ342" s="111">
        <v>0</v>
      </c>
      <c r="AR342" s="111">
        <v>0</v>
      </c>
      <c r="AS342" s="111">
        <v>0</v>
      </c>
      <c r="AT342" s="111">
        <v>0</v>
      </c>
      <c r="AU342" s="111">
        <v>0</v>
      </c>
      <c r="AV342" s="111">
        <v>0</v>
      </c>
      <c r="AW342" s="111">
        <v>0</v>
      </c>
      <c r="AX342" s="111">
        <v>0</v>
      </c>
      <c r="AY342" s="111">
        <v>0</v>
      </c>
      <c r="AZ342" s="111">
        <v>0</v>
      </c>
      <c r="BA342" s="111">
        <v>0</v>
      </c>
      <c r="BB342" s="111">
        <v>0</v>
      </c>
      <c r="BC342" s="111">
        <v>0</v>
      </c>
      <c r="BD342" s="111">
        <v>0</v>
      </c>
      <c r="BE342" s="111">
        <v>0</v>
      </c>
      <c r="BF342" s="111">
        <v>0</v>
      </c>
      <c r="BG342" s="111">
        <v>0</v>
      </c>
      <c r="BH342" s="111">
        <v>0</v>
      </c>
      <c r="BI342" s="111">
        <v>0</v>
      </c>
      <c r="BJ342" s="111">
        <v>0</v>
      </c>
      <c r="BK342" s="111">
        <v>0</v>
      </c>
      <c r="BL342" s="111">
        <v>0</v>
      </c>
      <c r="BM342" s="111">
        <v>0</v>
      </c>
      <c r="BN342" s="111">
        <v>0</v>
      </c>
      <c r="BO342" s="111">
        <v>0</v>
      </c>
      <c r="BP342" s="112">
        <v>0</v>
      </c>
      <c r="BQ342" s="157"/>
      <c r="BR342" s="158"/>
      <c r="BS342" s="158"/>
      <c r="BT342" s="159"/>
      <c r="BU342" s="157"/>
      <c r="BV342" s="158"/>
      <c r="BW342" s="159"/>
      <c r="BX342" s="157"/>
      <c r="BY342" s="158"/>
      <c r="BZ342" s="158"/>
      <c r="CA342" s="158"/>
      <c r="CB342" s="158"/>
      <c r="CC342" s="158"/>
      <c r="CD342" s="159"/>
      <c r="CE342" s="160"/>
      <c r="CF342" s="135">
        <f ca="1">SUM(C342:BP342)</f>
        <v>159961.3997103743</v>
      </c>
    </row>
    <row r="343" spans="1:91">
      <c r="A343" s="280"/>
      <c r="B343" s="136" t="s">
        <v>299</v>
      </c>
      <c r="C343" s="152">
        <f t="shared" ref="C343:AH343" ca="1" si="39">(C6-C17)*(commuting)</f>
        <v>62.983383318724883</v>
      </c>
      <c r="D343" s="153">
        <f t="shared" ca="1" si="39"/>
        <v>330.41797517615271</v>
      </c>
      <c r="E343" s="153">
        <f t="shared" ca="1" si="39"/>
        <v>750.61809019792213</v>
      </c>
      <c r="F343" s="153">
        <f t="shared" ca="1" si="39"/>
        <v>235.01185648735236</v>
      </c>
      <c r="G343" s="153">
        <f t="shared" ca="1" si="39"/>
        <v>2.0953902389685548</v>
      </c>
      <c r="H343" s="153">
        <f t="shared" ca="1" si="39"/>
        <v>177.02387387759921</v>
      </c>
      <c r="I343" s="153">
        <f t="shared" ca="1" si="39"/>
        <v>363.16862723200984</v>
      </c>
      <c r="J343" s="153">
        <f t="shared" ca="1" si="39"/>
        <v>72.613924275090056</v>
      </c>
      <c r="K343" s="153">
        <f t="shared" ca="1" si="39"/>
        <v>436.61779071626165</v>
      </c>
      <c r="L343" s="153">
        <f t="shared" ca="1" si="39"/>
        <v>197.23481163831573</v>
      </c>
      <c r="M343" s="153">
        <f t="shared" ca="1" si="39"/>
        <v>477.90267196186898</v>
      </c>
      <c r="N343" s="153">
        <f t="shared" ca="1" si="39"/>
        <v>1136.0220865579186</v>
      </c>
      <c r="O343" s="153">
        <f t="shared" ca="1" si="39"/>
        <v>370.79880946345668</v>
      </c>
      <c r="P343" s="153">
        <f t="shared" ca="1" si="39"/>
        <v>213.18737568757999</v>
      </c>
      <c r="Q343" s="153">
        <f t="shared" ca="1" si="39"/>
        <v>84.540063177702962</v>
      </c>
      <c r="R343" s="153">
        <f t="shared" ca="1" si="39"/>
        <v>809.30977165783884</v>
      </c>
      <c r="S343" s="153">
        <f t="shared" ca="1" si="39"/>
        <v>1236.838834034992</v>
      </c>
      <c r="T343" s="153">
        <f t="shared" ca="1" si="39"/>
        <v>5608.206451000121</v>
      </c>
      <c r="U343" s="153">
        <f t="shared" ca="1" si="39"/>
        <v>15047.593646193718</v>
      </c>
      <c r="V343" s="153">
        <f t="shared" ca="1" si="39"/>
        <v>3805.0512071963717</v>
      </c>
      <c r="W343" s="153">
        <f t="shared" ca="1" si="39"/>
        <v>1216.6000956617415</v>
      </c>
      <c r="X343" s="153">
        <f t="shared" ca="1" si="39"/>
        <v>41.646501677770779</v>
      </c>
      <c r="Y343" s="153">
        <f t="shared" ca="1" si="39"/>
        <v>4054.9914344315812</v>
      </c>
      <c r="Z343" s="153">
        <f t="shared" ca="1" si="39"/>
        <v>2564.0166758641026</v>
      </c>
      <c r="AA343" s="153">
        <f t="shared" ca="1" si="39"/>
        <v>1387.6260233976552</v>
      </c>
      <c r="AB343" s="153">
        <f t="shared" ca="1" si="39"/>
        <v>3201.7158985714782</v>
      </c>
      <c r="AC343" s="153">
        <f t="shared" ca="1" si="39"/>
        <v>1977.1272803806219</v>
      </c>
      <c r="AD343" s="153">
        <f t="shared" ca="1" si="39"/>
        <v>10308.935824972139</v>
      </c>
      <c r="AE343" s="153">
        <f t="shared" ca="1" si="39"/>
        <v>4072.9889524241512</v>
      </c>
      <c r="AF343" s="153">
        <f t="shared" ca="1" si="39"/>
        <v>1766.0338835152525</v>
      </c>
      <c r="AG343" s="153">
        <f t="shared" ca="1" si="39"/>
        <v>1401.3176654749991</v>
      </c>
      <c r="AH343" s="153">
        <f t="shared" ca="1" si="39"/>
        <v>748.05223835766924</v>
      </c>
      <c r="AI343" s="153">
        <f ca="1">(AI6-AI17)*(commuting)</f>
        <v>517.43712084263393</v>
      </c>
      <c r="AJ343" s="110">
        <v>0</v>
      </c>
      <c r="AK343" s="111">
        <v>0</v>
      </c>
      <c r="AL343" s="111">
        <v>0</v>
      </c>
      <c r="AM343" s="111">
        <v>0</v>
      </c>
      <c r="AN343" s="111">
        <v>0</v>
      </c>
      <c r="AO343" s="111">
        <v>0</v>
      </c>
      <c r="AP343" s="111">
        <v>0</v>
      </c>
      <c r="AQ343" s="111">
        <v>0</v>
      </c>
      <c r="AR343" s="111">
        <v>0</v>
      </c>
      <c r="AS343" s="111">
        <v>0</v>
      </c>
      <c r="AT343" s="111">
        <v>0</v>
      </c>
      <c r="AU343" s="111">
        <v>0</v>
      </c>
      <c r="AV343" s="111">
        <v>0</v>
      </c>
      <c r="AW343" s="111">
        <v>0</v>
      </c>
      <c r="AX343" s="111">
        <v>0</v>
      </c>
      <c r="AY343" s="111">
        <v>0</v>
      </c>
      <c r="AZ343" s="111">
        <v>0</v>
      </c>
      <c r="BA343" s="111">
        <v>0</v>
      </c>
      <c r="BB343" s="111">
        <v>0</v>
      </c>
      <c r="BC343" s="111">
        <v>0</v>
      </c>
      <c r="BD343" s="111">
        <v>0</v>
      </c>
      <c r="BE343" s="111">
        <v>0</v>
      </c>
      <c r="BF343" s="111">
        <v>0</v>
      </c>
      <c r="BG343" s="111">
        <v>0</v>
      </c>
      <c r="BH343" s="111">
        <v>0</v>
      </c>
      <c r="BI343" s="111">
        <v>0</v>
      </c>
      <c r="BJ343" s="111">
        <v>0</v>
      </c>
      <c r="BK343" s="111">
        <v>0</v>
      </c>
      <c r="BL343" s="111">
        <v>0</v>
      </c>
      <c r="BM343" s="111">
        <v>0</v>
      </c>
      <c r="BN343" s="111">
        <v>0</v>
      </c>
      <c r="BO343" s="111">
        <v>0</v>
      </c>
      <c r="BP343" s="112">
        <v>0</v>
      </c>
      <c r="BQ343" s="157"/>
      <c r="BR343" s="158"/>
      <c r="BS343" s="158"/>
      <c r="BT343" s="159"/>
      <c r="BU343" s="157"/>
      <c r="BV343" s="158"/>
      <c r="BW343" s="159"/>
      <c r="BX343" s="157"/>
      <c r="BY343" s="158"/>
      <c r="BZ343" s="158"/>
      <c r="CA343" s="158"/>
      <c r="CB343" s="158"/>
      <c r="CC343" s="158"/>
      <c r="CD343" s="159"/>
      <c r="CE343" s="160"/>
      <c r="CF343" s="135">
        <f ca="1">SUM(C343:BP343)</f>
        <v>64675.726235661765</v>
      </c>
    </row>
    <row r="344" spans="1:91" ht="15" thickBot="1">
      <c r="A344" s="280"/>
      <c r="B344" s="28" t="s">
        <v>72</v>
      </c>
      <c r="C344" s="114">
        <v>414.32236557237968</v>
      </c>
      <c r="D344" s="115">
        <v>7222.3982615262066</v>
      </c>
      <c r="E344" s="115">
        <v>3400.1650000000004</v>
      </c>
      <c r="F344" s="115">
        <v>812.75200000000018</v>
      </c>
      <c r="G344" s="115">
        <v>3.8130000000000006</v>
      </c>
      <c r="H344" s="115">
        <v>307.87300000000005</v>
      </c>
      <c r="I344" s="115">
        <v>879.57399999999961</v>
      </c>
      <c r="J344" s="115">
        <v>1928.287</v>
      </c>
      <c r="K344" s="115">
        <v>2437.259</v>
      </c>
      <c r="L344" s="115">
        <v>1202.5650000000001</v>
      </c>
      <c r="M344" s="115">
        <v>847.07500000000005</v>
      </c>
      <c r="N344" s="115">
        <v>7323.4360000000015</v>
      </c>
      <c r="O344" s="115">
        <v>982.25</v>
      </c>
      <c r="P344" s="115">
        <v>685.34699999999998</v>
      </c>
      <c r="Q344" s="115">
        <v>614.31600000000003</v>
      </c>
      <c r="R344" s="115">
        <v>2003.8069999999998</v>
      </c>
      <c r="S344" s="115">
        <v>14343.292290434718</v>
      </c>
      <c r="T344" s="115">
        <v>6345.6596327770749</v>
      </c>
      <c r="U344" s="115">
        <v>54326.708782502654</v>
      </c>
      <c r="V344" s="115">
        <v>14840.133197189909</v>
      </c>
      <c r="W344" s="115">
        <v>4127.5230000000001</v>
      </c>
      <c r="X344" s="115">
        <v>363.01099999999997</v>
      </c>
      <c r="Y344" s="115">
        <v>16945.328000000001</v>
      </c>
      <c r="Z344" s="115">
        <v>9873.7219999999979</v>
      </c>
      <c r="AA344" s="115">
        <v>9673.9790328041054</v>
      </c>
      <c r="AB344" s="115">
        <v>42425.425398966334</v>
      </c>
      <c r="AC344" s="115">
        <v>26572.158860166492</v>
      </c>
      <c r="AD344" s="115">
        <v>4521.020856125826</v>
      </c>
      <c r="AE344" s="115">
        <v>7398.0203187636944</v>
      </c>
      <c r="AF344" s="115">
        <v>1751.9120483821771</v>
      </c>
      <c r="AG344" s="115">
        <v>1148.211855200504</v>
      </c>
      <c r="AH344" s="115">
        <v>295.61847813004897</v>
      </c>
      <c r="AI344" s="116">
        <v>0.34192338889261009</v>
      </c>
      <c r="AJ344" s="110">
        <v>0</v>
      </c>
      <c r="AK344" s="111">
        <v>0</v>
      </c>
      <c r="AL344" s="111">
        <v>0</v>
      </c>
      <c r="AM344" s="111">
        <v>0</v>
      </c>
      <c r="AN344" s="111">
        <v>0</v>
      </c>
      <c r="AO344" s="111">
        <v>0</v>
      </c>
      <c r="AP344" s="111">
        <v>0</v>
      </c>
      <c r="AQ344" s="111">
        <v>0</v>
      </c>
      <c r="AR344" s="111">
        <v>0</v>
      </c>
      <c r="AS344" s="111">
        <v>0</v>
      </c>
      <c r="AT344" s="111">
        <v>0</v>
      </c>
      <c r="AU344" s="111">
        <v>0</v>
      </c>
      <c r="AV344" s="111">
        <v>0</v>
      </c>
      <c r="AW344" s="111">
        <v>0</v>
      </c>
      <c r="AX344" s="111">
        <v>0</v>
      </c>
      <c r="AY344" s="111">
        <v>0</v>
      </c>
      <c r="AZ344" s="111">
        <v>0</v>
      </c>
      <c r="BA344" s="111">
        <v>0</v>
      </c>
      <c r="BB344" s="111">
        <v>0</v>
      </c>
      <c r="BC344" s="111">
        <v>0</v>
      </c>
      <c r="BD344" s="111">
        <v>0</v>
      </c>
      <c r="BE344" s="111">
        <v>0</v>
      </c>
      <c r="BF344" s="111">
        <v>0</v>
      </c>
      <c r="BG344" s="111">
        <v>0</v>
      </c>
      <c r="BH344" s="111">
        <v>0</v>
      </c>
      <c r="BI344" s="111">
        <v>0</v>
      </c>
      <c r="BJ344" s="111">
        <v>0</v>
      </c>
      <c r="BK344" s="111">
        <v>0</v>
      </c>
      <c r="BL344" s="111">
        <v>0</v>
      </c>
      <c r="BM344" s="111">
        <v>0</v>
      </c>
      <c r="BN344" s="111">
        <v>0</v>
      </c>
      <c r="BO344" s="111">
        <v>0</v>
      </c>
      <c r="BP344" s="112">
        <v>0</v>
      </c>
      <c r="BQ344" s="110">
        <v>0</v>
      </c>
      <c r="BR344" s="111"/>
      <c r="BS344" s="111"/>
      <c r="BT344" s="112">
        <v>0</v>
      </c>
      <c r="BU344" s="110">
        <v>0</v>
      </c>
      <c r="BV344" s="111"/>
      <c r="BW344" s="112">
        <v>0</v>
      </c>
      <c r="BX344" s="139">
        <v>0</v>
      </c>
      <c r="BY344" s="140">
        <v>0</v>
      </c>
      <c r="BZ344" s="140">
        <v>0</v>
      </c>
      <c r="CA344" s="140">
        <v>0</v>
      </c>
      <c r="CB344" s="140">
        <v>0</v>
      </c>
      <c r="CC344" s="111">
        <v>0</v>
      </c>
      <c r="CD344" s="112">
        <v>0</v>
      </c>
      <c r="CE344" s="113">
        <v>0</v>
      </c>
      <c r="CF344" s="117">
        <v>246017.30630193106</v>
      </c>
    </row>
    <row r="345" spans="1:91">
      <c r="A345" s="279" t="s">
        <v>70</v>
      </c>
      <c r="B345" s="14" t="s">
        <v>108</v>
      </c>
      <c r="C345" s="110">
        <v>0</v>
      </c>
      <c r="D345" s="111">
        <v>0</v>
      </c>
      <c r="E345" s="111">
        <v>0</v>
      </c>
      <c r="F345" s="111">
        <v>0</v>
      </c>
      <c r="G345" s="111">
        <v>0</v>
      </c>
      <c r="H345" s="111">
        <v>0</v>
      </c>
      <c r="I345" s="111">
        <v>0</v>
      </c>
      <c r="J345" s="111">
        <v>0</v>
      </c>
      <c r="K345" s="111">
        <v>0</v>
      </c>
      <c r="L345" s="111">
        <v>0</v>
      </c>
      <c r="M345" s="111">
        <v>0</v>
      </c>
      <c r="N345" s="111">
        <v>0</v>
      </c>
      <c r="O345" s="111">
        <v>0</v>
      </c>
      <c r="P345" s="111">
        <v>0</v>
      </c>
      <c r="Q345" s="111">
        <v>0</v>
      </c>
      <c r="R345" s="111">
        <v>0</v>
      </c>
      <c r="S345" s="111">
        <v>0</v>
      </c>
      <c r="T345" s="111">
        <v>0</v>
      </c>
      <c r="U345" s="111">
        <v>0</v>
      </c>
      <c r="V345" s="111">
        <v>0</v>
      </c>
      <c r="W345" s="111">
        <v>0</v>
      </c>
      <c r="X345" s="111">
        <v>0</v>
      </c>
      <c r="Y345" s="111">
        <v>0</v>
      </c>
      <c r="Z345" s="111">
        <v>0</v>
      </c>
      <c r="AA345" s="111">
        <v>0</v>
      </c>
      <c r="AB345" s="111">
        <v>0</v>
      </c>
      <c r="AC345" s="111">
        <v>0</v>
      </c>
      <c r="AD345" s="111">
        <v>0</v>
      </c>
      <c r="AE345" s="111">
        <v>0</v>
      </c>
      <c r="AF345" s="111">
        <v>0</v>
      </c>
      <c r="AG345" s="111">
        <v>0</v>
      </c>
      <c r="AH345" s="111">
        <v>0</v>
      </c>
      <c r="AI345" s="112">
        <v>0</v>
      </c>
      <c r="AJ345" s="114">
        <v>144.48319917074988</v>
      </c>
      <c r="AK345" s="115">
        <v>273.09907150285983</v>
      </c>
      <c r="AL345" s="115">
        <v>470.15579411139271</v>
      </c>
      <c r="AM345" s="115">
        <v>316.85345481780871</v>
      </c>
      <c r="AN345" s="115">
        <v>123.97176356046</v>
      </c>
      <c r="AO345" s="115">
        <v>25.615142863249726</v>
      </c>
      <c r="AP345" s="115">
        <v>76.334952436394971</v>
      </c>
      <c r="AQ345" s="115">
        <v>110.92151011683221</v>
      </c>
      <c r="AR345" s="115">
        <v>341.30383999408031</v>
      </c>
      <c r="AS345" s="115">
        <v>117.91219445275921</v>
      </c>
      <c r="AT345" s="115">
        <v>78.717071856171785</v>
      </c>
      <c r="AU345" s="115">
        <v>767.68664665032475</v>
      </c>
      <c r="AV345" s="115">
        <v>552.83398678655647</v>
      </c>
      <c r="AW345" s="115">
        <v>901.72973205814549</v>
      </c>
      <c r="AX345" s="115">
        <v>798.31084508367542</v>
      </c>
      <c r="AY345" s="115">
        <v>364.30453778586281</v>
      </c>
      <c r="AZ345" s="115">
        <v>251.03150737018399</v>
      </c>
      <c r="BA345" s="115">
        <v>1798.419359134663</v>
      </c>
      <c r="BB345" s="115">
        <v>2096.455468597982</v>
      </c>
      <c r="BC345" s="115">
        <v>1115.9617426456637</v>
      </c>
      <c r="BD345" s="115">
        <v>304.84349057504454</v>
      </c>
      <c r="BE345" s="115">
        <v>11.783962240474239</v>
      </c>
      <c r="BF345" s="115">
        <v>1717.8932022486185</v>
      </c>
      <c r="BG345" s="115">
        <v>230.70108520244324</v>
      </c>
      <c r="BH345" s="115">
        <v>873.73889883210711</v>
      </c>
      <c r="BI345" s="115">
        <v>646.64652197217947</v>
      </c>
      <c r="BJ345" s="115">
        <v>1383.7912020421388</v>
      </c>
      <c r="BK345" s="115">
        <v>565.91719738690153</v>
      </c>
      <c r="BL345" s="115">
        <v>742.85724814210334</v>
      </c>
      <c r="BM345" s="115">
        <v>276.62232084941786</v>
      </c>
      <c r="BN345" s="115">
        <v>348.84260849367001</v>
      </c>
      <c r="BO345" s="115">
        <v>200.26044101909014</v>
      </c>
      <c r="BP345" s="116">
        <v>0</v>
      </c>
      <c r="BQ345" s="110">
        <v>0</v>
      </c>
      <c r="BR345" s="111"/>
      <c r="BS345" s="111"/>
      <c r="BT345" s="112">
        <v>0</v>
      </c>
      <c r="BU345" s="110">
        <v>0</v>
      </c>
      <c r="BV345" s="111"/>
      <c r="BW345" s="112">
        <v>0</v>
      </c>
      <c r="BX345" s="139">
        <v>0</v>
      </c>
      <c r="BY345" s="140"/>
      <c r="BZ345" s="140"/>
      <c r="CA345" s="140"/>
      <c r="CB345" s="140"/>
      <c r="CC345" s="111">
        <v>0</v>
      </c>
      <c r="CD345" s="112">
        <v>0</v>
      </c>
      <c r="CE345" s="113">
        <v>0</v>
      </c>
      <c r="CF345" s="117">
        <v>18030.000000000007</v>
      </c>
    </row>
    <row r="346" spans="1:91">
      <c r="A346" s="280"/>
      <c r="B346" s="37" t="s">
        <v>109</v>
      </c>
      <c r="C346" s="110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2"/>
      <c r="AJ346" s="110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2"/>
      <c r="BQ346" s="110"/>
      <c r="BR346" s="111"/>
      <c r="BS346" s="111"/>
      <c r="BT346" s="112"/>
      <c r="BU346" s="110"/>
      <c r="BV346" s="111"/>
      <c r="BW346" s="112"/>
      <c r="BX346" s="139"/>
      <c r="BY346" s="140"/>
      <c r="BZ346" s="140"/>
      <c r="CA346" s="140"/>
      <c r="CB346" s="140"/>
      <c r="CC346" s="111"/>
      <c r="CD346" s="112"/>
      <c r="CE346" s="113"/>
      <c r="CF346" s="117">
        <v>0</v>
      </c>
      <c r="CM346" t="s">
        <v>304</v>
      </c>
    </row>
    <row r="347" spans="1:91" ht="15" thickBot="1">
      <c r="A347" s="281"/>
      <c r="B347" s="55" t="s">
        <v>110</v>
      </c>
      <c r="C347" s="110">
        <v>0</v>
      </c>
      <c r="D347" s="111">
        <v>0</v>
      </c>
      <c r="E347" s="111">
        <v>0</v>
      </c>
      <c r="F347" s="111">
        <v>0</v>
      </c>
      <c r="G347" s="111">
        <v>0</v>
      </c>
      <c r="H347" s="111">
        <v>0</v>
      </c>
      <c r="I347" s="111">
        <v>0</v>
      </c>
      <c r="J347" s="111">
        <v>0</v>
      </c>
      <c r="K347" s="111">
        <v>0</v>
      </c>
      <c r="L347" s="111">
        <v>0</v>
      </c>
      <c r="M347" s="111">
        <v>0</v>
      </c>
      <c r="N347" s="111">
        <v>0</v>
      </c>
      <c r="O347" s="111">
        <v>0</v>
      </c>
      <c r="P347" s="111">
        <v>0</v>
      </c>
      <c r="Q347" s="111">
        <v>0</v>
      </c>
      <c r="R347" s="111">
        <v>0</v>
      </c>
      <c r="S347" s="111">
        <v>0</v>
      </c>
      <c r="T347" s="111">
        <v>0</v>
      </c>
      <c r="U347" s="111">
        <v>0</v>
      </c>
      <c r="V347" s="111">
        <v>0</v>
      </c>
      <c r="W347" s="111">
        <v>0</v>
      </c>
      <c r="X347" s="111">
        <v>0</v>
      </c>
      <c r="Y347" s="111">
        <v>0</v>
      </c>
      <c r="Z347" s="111">
        <v>0</v>
      </c>
      <c r="AA347" s="111">
        <v>0</v>
      </c>
      <c r="AB347" s="111">
        <v>0</v>
      </c>
      <c r="AC347" s="111">
        <v>0</v>
      </c>
      <c r="AD347" s="111">
        <v>0</v>
      </c>
      <c r="AE347" s="111">
        <v>0</v>
      </c>
      <c r="AF347" s="111">
        <v>0</v>
      </c>
      <c r="AG347" s="111">
        <v>0</v>
      </c>
      <c r="AH347" s="111">
        <v>0</v>
      </c>
      <c r="AI347" s="112">
        <v>0</v>
      </c>
      <c r="AJ347" s="110">
        <v>0</v>
      </c>
      <c r="AK347" s="111">
        <v>0</v>
      </c>
      <c r="AL347" s="111">
        <v>0</v>
      </c>
      <c r="AM347" s="111">
        <v>0</v>
      </c>
      <c r="AN347" s="111">
        <v>0</v>
      </c>
      <c r="AO347" s="111">
        <v>0</v>
      </c>
      <c r="AP347" s="111">
        <v>0</v>
      </c>
      <c r="AQ347" s="111">
        <v>0</v>
      </c>
      <c r="AR347" s="111">
        <v>0</v>
      </c>
      <c r="AS347" s="111">
        <v>0</v>
      </c>
      <c r="AT347" s="111">
        <v>0</v>
      </c>
      <c r="AU347" s="111">
        <v>0</v>
      </c>
      <c r="AV347" s="111">
        <v>0</v>
      </c>
      <c r="AW347" s="111">
        <v>0</v>
      </c>
      <c r="AX347" s="111">
        <v>0</v>
      </c>
      <c r="AY347" s="111">
        <v>0</v>
      </c>
      <c r="AZ347" s="111">
        <v>0</v>
      </c>
      <c r="BA347" s="111">
        <v>0</v>
      </c>
      <c r="BB347" s="111">
        <v>0</v>
      </c>
      <c r="BC347" s="111">
        <v>0</v>
      </c>
      <c r="BD347" s="111">
        <v>0</v>
      </c>
      <c r="BE347" s="111">
        <v>0</v>
      </c>
      <c r="BF347" s="111">
        <v>0</v>
      </c>
      <c r="BG347" s="111">
        <v>0</v>
      </c>
      <c r="BH347" s="111">
        <v>0</v>
      </c>
      <c r="BI347" s="111">
        <v>0</v>
      </c>
      <c r="BJ347" s="111">
        <v>0</v>
      </c>
      <c r="BK347" s="111">
        <v>0</v>
      </c>
      <c r="BL347" s="111">
        <v>0</v>
      </c>
      <c r="BM347" s="111">
        <v>0</v>
      </c>
      <c r="BN347" s="111">
        <v>0</v>
      </c>
      <c r="BO347" s="111">
        <v>0</v>
      </c>
      <c r="BP347" s="112">
        <v>0</v>
      </c>
      <c r="BQ347" s="110">
        <v>0</v>
      </c>
      <c r="BR347" s="111"/>
      <c r="BS347" s="111"/>
      <c r="BT347" s="112">
        <v>39520</v>
      </c>
      <c r="BU347" s="110">
        <v>0</v>
      </c>
      <c r="BV347" s="111"/>
      <c r="BW347" s="112">
        <v>0</v>
      </c>
      <c r="BX347" s="139">
        <v>0</v>
      </c>
      <c r="BY347" s="140">
        <v>0</v>
      </c>
      <c r="BZ347" s="140">
        <v>0</v>
      </c>
      <c r="CA347" s="140">
        <v>0</v>
      </c>
      <c r="CB347" s="140">
        <v>0</v>
      </c>
      <c r="CC347" s="111">
        <v>0</v>
      </c>
      <c r="CD347" s="112">
        <v>0</v>
      </c>
      <c r="CE347" s="113">
        <v>0</v>
      </c>
      <c r="CF347" s="117">
        <v>39520</v>
      </c>
      <c r="CH347" t="s">
        <v>305</v>
      </c>
      <c r="CM347" s="34">
        <f ca="1">SUM(CF348:CF352)-'2022 SAM'!BZ75</f>
        <v>0</v>
      </c>
    </row>
    <row r="348" spans="1:91">
      <c r="A348" s="286" t="s">
        <v>71</v>
      </c>
      <c r="B348" s="146" t="s">
        <v>300</v>
      </c>
      <c r="C348" s="110">
        <v>0</v>
      </c>
      <c r="D348" s="111">
        <v>0</v>
      </c>
      <c r="E348" s="111">
        <v>0</v>
      </c>
      <c r="F348" s="111">
        <v>0</v>
      </c>
      <c r="G348" s="111">
        <v>0</v>
      </c>
      <c r="H348" s="111">
        <v>0</v>
      </c>
      <c r="I348" s="111">
        <v>0</v>
      </c>
      <c r="J348" s="111">
        <v>0</v>
      </c>
      <c r="K348" s="111">
        <v>0</v>
      </c>
      <c r="L348" s="111">
        <v>0</v>
      </c>
      <c r="M348" s="111">
        <v>0</v>
      </c>
      <c r="N348" s="111">
        <v>0</v>
      </c>
      <c r="O348" s="111">
        <v>0</v>
      </c>
      <c r="P348" s="111">
        <v>0</v>
      </c>
      <c r="Q348" s="111">
        <v>0</v>
      </c>
      <c r="R348" s="111">
        <v>0</v>
      </c>
      <c r="S348" s="111">
        <v>0</v>
      </c>
      <c r="T348" s="111">
        <v>0</v>
      </c>
      <c r="U348" s="111">
        <v>0</v>
      </c>
      <c r="V348" s="111">
        <v>0</v>
      </c>
      <c r="W348" s="111">
        <v>0</v>
      </c>
      <c r="X348" s="111">
        <v>0</v>
      </c>
      <c r="Y348" s="111">
        <v>0</v>
      </c>
      <c r="Z348" s="111">
        <v>0</v>
      </c>
      <c r="AA348" s="111">
        <v>0</v>
      </c>
      <c r="AB348" s="111">
        <v>0</v>
      </c>
      <c r="AC348" s="111">
        <v>0</v>
      </c>
      <c r="AD348" s="111">
        <v>0</v>
      </c>
      <c r="AE348" s="111">
        <v>0</v>
      </c>
      <c r="AF348" s="111">
        <v>0</v>
      </c>
      <c r="AG348" s="111">
        <v>0</v>
      </c>
      <c r="AH348" s="111">
        <v>0</v>
      </c>
      <c r="AI348" s="112">
        <v>0</v>
      </c>
      <c r="AJ348" s="110">
        <v>0</v>
      </c>
      <c r="AK348" s="111">
        <v>0</v>
      </c>
      <c r="AL348" s="111">
        <v>0</v>
      </c>
      <c r="AM348" s="111">
        <v>0</v>
      </c>
      <c r="AN348" s="111">
        <v>0</v>
      </c>
      <c r="AO348" s="111">
        <v>0</v>
      </c>
      <c r="AP348" s="111">
        <v>0</v>
      </c>
      <c r="AQ348" s="111">
        <v>0</v>
      </c>
      <c r="AR348" s="111">
        <v>0</v>
      </c>
      <c r="AS348" s="111">
        <v>0</v>
      </c>
      <c r="AT348" s="111">
        <v>0</v>
      </c>
      <c r="AU348" s="111">
        <v>0</v>
      </c>
      <c r="AV348" s="111">
        <v>0</v>
      </c>
      <c r="AW348" s="111">
        <v>0</v>
      </c>
      <c r="AX348" s="111">
        <v>0</v>
      </c>
      <c r="AY348" s="111">
        <v>0</v>
      </c>
      <c r="AZ348" s="111">
        <v>0</v>
      </c>
      <c r="BA348" s="111">
        <v>0</v>
      </c>
      <c r="BB348" s="111">
        <v>0</v>
      </c>
      <c r="BC348" s="111">
        <v>0</v>
      </c>
      <c r="BD348" s="111">
        <v>0</v>
      </c>
      <c r="BE348" s="111">
        <v>0</v>
      </c>
      <c r="BF348" s="111">
        <v>0</v>
      </c>
      <c r="BG348" s="111">
        <v>0</v>
      </c>
      <c r="BH348" s="111">
        <v>0</v>
      </c>
      <c r="BI348" s="111">
        <v>0</v>
      </c>
      <c r="BJ348" s="111">
        <v>0</v>
      </c>
      <c r="BK348" s="111">
        <v>0</v>
      </c>
      <c r="BL348" s="111">
        <v>0</v>
      </c>
      <c r="BM348" s="111">
        <v>0</v>
      </c>
      <c r="BN348" s="111">
        <v>0</v>
      </c>
      <c r="BO348" s="111">
        <v>0</v>
      </c>
      <c r="BP348" s="112">
        <v>0</v>
      </c>
      <c r="BQ348" s="141">
        <f ca="1">SUM(C341:BP341)</f>
        <v>16934.765366645173</v>
      </c>
      <c r="BR348" s="142"/>
      <c r="BS348" s="142"/>
      <c r="BT348" s="148" cm="1">
        <f t="array" ref="BT348:BT352">'2022 SAM'!BR75*TRANSPOSE(Calculations!F247:J247)</f>
        <v>185847.57567173796</v>
      </c>
      <c r="BU348" s="110">
        <v>0</v>
      </c>
      <c r="BV348" s="111"/>
      <c r="BW348" s="112">
        <v>0</v>
      </c>
      <c r="BX348" s="139">
        <v>0</v>
      </c>
      <c r="BY348" s="140">
        <v>0</v>
      </c>
      <c r="BZ348" s="140">
        <v>0</v>
      </c>
      <c r="CA348" s="140">
        <v>0</v>
      </c>
      <c r="CB348" s="140">
        <v>0</v>
      </c>
      <c r="CC348" s="140">
        <v>0</v>
      </c>
      <c r="CD348" s="147">
        <v>0</v>
      </c>
      <c r="CE348" s="149">
        <v>0</v>
      </c>
      <c r="CF348" s="150">
        <f ca="1">SUM(C348:CE348)</f>
        <v>202782.34103838314</v>
      </c>
      <c r="CH348" s="11">
        <f ca="1">CF348/SUM($CF$348:$CF$352)</f>
        <v>0.45256925072720078</v>
      </c>
    </row>
    <row r="349" spans="1:91">
      <c r="A349" s="287"/>
      <c r="B349" s="151" t="s">
        <v>301</v>
      </c>
      <c r="C349" s="110">
        <v>0</v>
      </c>
      <c r="D349" s="111">
        <v>0</v>
      </c>
      <c r="E349" s="111">
        <v>0</v>
      </c>
      <c r="F349" s="111">
        <v>0</v>
      </c>
      <c r="G349" s="111">
        <v>0</v>
      </c>
      <c r="H349" s="111">
        <v>0</v>
      </c>
      <c r="I349" s="111">
        <v>0</v>
      </c>
      <c r="J349" s="111">
        <v>0</v>
      </c>
      <c r="K349" s="111">
        <v>0</v>
      </c>
      <c r="L349" s="111">
        <v>0</v>
      </c>
      <c r="M349" s="111">
        <v>0</v>
      </c>
      <c r="N349" s="111">
        <v>0</v>
      </c>
      <c r="O349" s="111">
        <v>0</v>
      </c>
      <c r="P349" s="111">
        <v>0</v>
      </c>
      <c r="Q349" s="111">
        <v>0</v>
      </c>
      <c r="R349" s="111">
        <v>0</v>
      </c>
      <c r="S349" s="111">
        <v>0</v>
      </c>
      <c r="T349" s="111">
        <v>0</v>
      </c>
      <c r="U349" s="111">
        <v>0</v>
      </c>
      <c r="V349" s="111">
        <v>0</v>
      </c>
      <c r="W349" s="111">
        <v>0</v>
      </c>
      <c r="X349" s="111">
        <v>0</v>
      </c>
      <c r="Y349" s="111">
        <v>0</v>
      </c>
      <c r="Z349" s="111">
        <v>0</v>
      </c>
      <c r="AA349" s="111">
        <v>0</v>
      </c>
      <c r="AB349" s="111">
        <v>0</v>
      </c>
      <c r="AC349" s="111">
        <v>0</v>
      </c>
      <c r="AD349" s="111">
        <v>0</v>
      </c>
      <c r="AE349" s="111">
        <v>0</v>
      </c>
      <c r="AF349" s="111">
        <v>0</v>
      </c>
      <c r="AG349" s="111">
        <v>0</v>
      </c>
      <c r="AH349" s="111">
        <v>0</v>
      </c>
      <c r="AI349" s="112">
        <v>0</v>
      </c>
      <c r="AJ349" s="110">
        <v>0</v>
      </c>
      <c r="AK349" s="111">
        <v>0</v>
      </c>
      <c r="AL349" s="111">
        <v>0</v>
      </c>
      <c r="AM349" s="111">
        <v>0</v>
      </c>
      <c r="AN349" s="111">
        <v>0</v>
      </c>
      <c r="AO349" s="111">
        <v>0</v>
      </c>
      <c r="AP349" s="111">
        <v>0</v>
      </c>
      <c r="AQ349" s="111">
        <v>0</v>
      </c>
      <c r="AR349" s="111">
        <v>0</v>
      </c>
      <c r="AS349" s="111">
        <v>0</v>
      </c>
      <c r="AT349" s="111">
        <v>0</v>
      </c>
      <c r="AU349" s="111">
        <v>0</v>
      </c>
      <c r="AV349" s="111">
        <v>0</v>
      </c>
      <c r="AW349" s="111">
        <v>0</v>
      </c>
      <c r="AX349" s="111">
        <v>0</v>
      </c>
      <c r="AY349" s="111">
        <v>0</v>
      </c>
      <c r="AZ349" s="111">
        <v>0</v>
      </c>
      <c r="BA349" s="111">
        <v>0</v>
      </c>
      <c r="BB349" s="111">
        <v>0</v>
      </c>
      <c r="BC349" s="111">
        <v>0</v>
      </c>
      <c r="BD349" s="111">
        <v>0</v>
      </c>
      <c r="BE349" s="111">
        <v>0</v>
      </c>
      <c r="BF349" s="111">
        <v>0</v>
      </c>
      <c r="BG349" s="111">
        <v>0</v>
      </c>
      <c r="BH349" s="111">
        <v>0</v>
      </c>
      <c r="BI349" s="111">
        <v>0</v>
      </c>
      <c r="BJ349" s="111">
        <v>0</v>
      </c>
      <c r="BK349" s="111">
        <v>0</v>
      </c>
      <c r="BL349" s="111">
        <v>0</v>
      </c>
      <c r="BM349" s="111">
        <v>0</v>
      </c>
      <c r="BN349" s="111">
        <v>0</v>
      </c>
      <c r="BO349" s="111">
        <v>0</v>
      </c>
      <c r="BP349" s="112">
        <v>0</v>
      </c>
      <c r="BQ349" s="141"/>
      <c r="BR349" s="142">
        <f ca="1">C130*(1-commuting)</f>
        <v>90773.271557021944</v>
      </c>
      <c r="BS349" s="142">
        <v>0</v>
      </c>
      <c r="BT349" s="148">
        <v>20649.730630193109</v>
      </c>
      <c r="BU349" s="110"/>
      <c r="BV349" s="111"/>
      <c r="BW349" s="112"/>
      <c r="BX349" s="139"/>
      <c r="BY349" s="140"/>
      <c r="BZ349" s="140"/>
      <c r="CA349" s="140"/>
      <c r="CB349" s="140"/>
      <c r="CC349" s="140"/>
      <c r="CD349" s="147"/>
      <c r="CE349" s="149"/>
      <c r="CF349" s="150">
        <f ca="1">SUM(C349:CE349)</f>
        <v>111423.00218721505</v>
      </c>
      <c r="CH349" s="11">
        <f t="shared" ref="CH349:CH352" ca="1" si="40">CF349/SUM($CF$348:$CF$352)</f>
        <v>0.24867364858017046</v>
      </c>
    </row>
    <row r="350" spans="1:91">
      <c r="A350" s="287"/>
      <c r="B350" s="151" t="s">
        <v>183</v>
      </c>
      <c r="C350" s="110">
        <v>0</v>
      </c>
      <c r="D350" s="111">
        <v>0</v>
      </c>
      <c r="E350" s="111">
        <v>0</v>
      </c>
      <c r="F350" s="111">
        <v>0</v>
      </c>
      <c r="G350" s="111">
        <v>0</v>
      </c>
      <c r="H350" s="111">
        <v>0</v>
      </c>
      <c r="I350" s="111">
        <v>0</v>
      </c>
      <c r="J350" s="111">
        <v>0</v>
      </c>
      <c r="K350" s="111">
        <v>0</v>
      </c>
      <c r="L350" s="111">
        <v>0</v>
      </c>
      <c r="M350" s="111">
        <v>0</v>
      </c>
      <c r="N350" s="111">
        <v>0</v>
      </c>
      <c r="O350" s="111">
        <v>0</v>
      </c>
      <c r="P350" s="111">
        <v>0</v>
      </c>
      <c r="Q350" s="111">
        <v>0</v>
      </c>
      <c r="R350" s="111">
        <v>0</v>
      </c>
      <c r="S350" s="111">
        <v>0</v>
      </c>
      <c r="T350" s="111">
        <v>0</v>
      </c>
      <c r="U350" s="111">
        <v>0</v>
      </c>
      <c r="V350" s="111">
        <v>0</v>
      </c>
      <c r="W350" s="111">
        <v>0</v>
      </c>
      <c r="X350" s="111">
        <v>0</v>
      </c>
      <c r="Y350" s="111">
        <v>0</v>
      </c>
      <c r="Z350" s="111">
        <v>0</v>
      </c>
      <c r="AA350" s="111">
        <v>0</v>
      </c>
      <c r="AB350" s="111">
        <v>0</v>
      </c>
      <c r="AC350" s="111">
        <v>0</v>
      </c>
      <c r="AD350" s="111">
        <v>0</v>
      </c>
      <c r="AE350" s="111">
        <v>0</v>
      </c>
      <c r="AF350" s="111">
        <v>0</v>
      </c>
      <c r="AG350" s="111">
        <v>0</v>
      </c>
      <c r="AH350" s="111">
        <v>0</v>
      </c>
      <c r="AI350" s="112">
        <v>0</v>
      </c>
      <c r="AJ350" s="110">
        <v>0</v>
      </c>
      <c r="AK350" s="111">
        <v>0</v>
      </c>
      <c r="AL350" s="111">
        <v>0</v>
      </c>
      <c r="AM350" s="111">
        <v>0</v>
      </c>
      <c r="AN350" s="111">
        <v>0</v>
      </c>
      <c r="AO350" s="111">
        <v>0</v>
      </c>
      <c r="AP350" s="111">
        <v>0</v>
      </c>
      <c r="AQ350" s="111">
        <v>0</v>
      </c>
      <c r="AR350" s="111">
        <v>0</v>
      </c>
      <c r="AS350" s="111">
        <v>0</v>
      </c>
      <c r="AT350" s="111">
        <v>0</v>
      </c>
      <c r="AU350" s="111">
        <v>0</v>
      </c>
      <c r="AV350" s="111">
        <v>0</v>
      </c>
      <c r="AW350" s="111">
        <v>0</v>
      </c>
      <c r="AX350" s="111">
        <v>0</v>
      </c>
      <c r="AY350" s="111">
        <v>0</v>
      </c>
      <c r="AZ350" s="111">
        <v>0</v>
      </c>
      <c r="BA350" s="111">
        <v>0</v>
      </c>
      <c r="BB350" s="111">
        <v>0</v>
      </c>
      <c r="BC350" s="111">
        <v>0</v>
      </c>
      <c r="BD350" s="111">
        <v>0</v>
      </c>
      <c r="BE350" s="111">
        <v>0</v>
      </c>
      <c r="BF350" s="111">
        <v>0</v>
      </c>
      <c r="BG350" s="111">
        <v>0</v>
      </c>
      <c r="BH350" s="111">
        <v>0</v>
      </c>
      <c r="BI350" s="111">
        <v>0</v>
      </c>
      <c r="BJ350" s="111">
        <v>0</v>
      </c>
      <c r="BK350" s="111">
        <v>0</v>
      </c>
      <c r="BL350" s="111">
        <v>0</v>
      </c>
      <c r="BM350" s="111">
        <v>0</v>
      </c>
      <c r="BN350" s="111">
        <v>0</v>
      </c>
      <c r="BO350" s="111">
        <v>0</v>
      </c>
      <c r="BP350" s="112">
        <v>0</v>
      </c>
      <c r="BQ350" s="141"/>
      <c r="BR350" s="142">
        <f ca="1">C117*(1-commuting)</f>
        <v>50235.389629236684</v>
      </c>
      <c r="BS350" s="142">
        <v>0</v>
      </c>
      <c r="BT350" s="148">
        <v>0</v>
      </c>
      <c r="BU350" s="110"/>
      <c r="BV350" s="111"/>
      <c r="BW350" s="112"/>
      <c r="BX350" s="139"/>
      <c r="BY350" s="140"/>
      <c r="BZ350" s="140"/>
      <c r="CA350" s="140"/>
      <c r="CB350" s="140"/>
      <c r="CC350" s="140"/>
      <c r="CD350" s="147"/>
      <c r="CE350" s="149"/>
      <c r="CF350" s="150">
        <f ca="1">SUM(C350:CE350)</f>
        <v>50235.389629236684</v>
      </c>
      <c r="CH350" s="11">
        <f t="shared" ca="1" si="40"/>
        <v>0.11211524893180567</v>
      </c>
    </row>
    <row r="351" spans="1:91">
      <c r="A351" s="287"/>
      <c r="B351" s="151" t="s">
        <v>181</v>
      </c>
      <c r="C351" s="110">
        <v>0</v>
      </c>
      <c r="D351" s="111">
        <v>0</v>
      </c>
      <c r="E351" s="111">
        <v>0</v>
      </c>
      <c r="F351" s="111">
        <v>0</v>
      </c>
      <c r="G351" s="111">
        <v>0</v>
      </c>
      <c r="H351" s="111">
        <v>0</v>
      </c>
      <c r="I351" s="111">
        <v>0</v>
      </c>
      <c r="J351" s="111">
        <v>0</v>
      </c>
      <c r="K351" s="111">
        <v>0</v>
      </c>
      <c r="L351" s="111">
        <v>0</v>
      </c>
      <c r="M351" s="111">
        <v>0</v>
      </c>
      <c r="N351" s="111">
        <v>0</v>
      </c>
      <c r="O351" s="111">
        <v>0</v>
      </c>
      <c r="P351" s="111">
        <v>0</v>
      </c>
      <c r="Q351" s="111">
        <v>0</v>
      </c>
      <c r="R351" s="111">
        <v>0</v>
      </c>
      <c r="S351" s="111">
        <v>0</v>
      </c>
      <c r="T351" s="111">
        <v>0</v>
      </c>
      <c r="U351" s="111">
        <v>0</v>
      </c>
      <c r="V351" s="111">
        <v>0</v>
      </c>
      <c r="W351" s="111">
        <v>0</v>
      </c>
      <c r="X351" s="111">
        <v>0</v>
      </c>
      <c r="Y351" s="111">
        <v>0</v>
      </c>
      <c r="Z351" s="111">
        <v>0</v>
      </c>
      <c r="AA351" s="111">
        <v>0</v>
      </c>
      <c r="AB351" s="111">
        <v>0</v>
      </c>
      <c r="AC351" s="111">
        <v>0</v>
      </c>
      <c r="AD351" s="111">
        <v>0</v>
      </c>
      <c r="AE351" s="111">
        <v>0</v>
      </c>
      <c r="AF351" s="111">
        <v>0</v>
      </c>
      <c r="AG351" s="111">
        <v>0</v>
      </c>
      <c r="AH351" s="111">
        <v>0</v>
      </c>
      <c r="AI351" s="112">
        <v>0</v>
      </c>
      <c r="AJ351" s="110">
        <v>0</v>
      </c>
      <c r="AK351" s="111">
        <v>0</v>
      </c>
      <c r="AL351" s="111">
        <v>0</v>
      </c>
      <c r="AM351" s="111">
        <v>0</v>
      </c>
      <c r="AN351" s="111">
        <v>0</v>
      </c>
      <c r="AO351" s="111">
        <v>0</v>
      </c>
      <c r="AP351" s="111">
        <v>0</v>
      </c>
      <c r="AQ351" s="111">
        <v>0</v>
      </c>
      <c r="AR351" s="111">
        <v>0</v>
      </c>
      <c r="AS351" s="111">
        <v>0</v>
      </c>
      <c r="AT351" s="111">
        <v>0</v>
      </c>
      <c r="AU351" s="111">
        <v>0</v>
      </c>
      <c r="AV351" s="111">
        <v>0</v>
      </c>
      <c r="AW351" s="111">
        <v>0</v>
      </c>
      <c r="AX351" s="111">
        <v>0</v>
      </c>
      <c r="AY351" s="111">
        <v>0</v>
      </c>
      <c r="AZ351" s="111">
        <v>0</v>
      </c>
      <c r="BA351" s="111">
        <v>0</v>
      </c>
      <c r="BB351" s="111">
        <v>0</v>
      </c>
      <c r="BC351" s="111">
        <v>0</v>
      </c>
      <c r="BD351" s="111">
        <v>0</v>
      </c>
      <c r="BE351" s="111">
        <v>0</v>
      </c>
      <c r="BF351" s="111">
        <v>0</v>
      </c>
      <c r="BG351" s="111">
        <v>0</v>
      </c>
      <c r="BH351" s="111">
        <v>0</v>
      </c>
      <c r="BI351" s="111">
        <v>0</v>
      </c>
      <c r="BJ351" s="111">
        <v>0</v>
      </c>
      <c r="BK351" s="111">
        <v>0</v>
      </c>
      <c r="BL351" s="111">
        <v>0</v>
      </c>
      <c r="BM351" s="111">
        <v>0</v>
      </c>
      <c r="BN351" s="111">
        <v>0</v>
      </c>
      <c r="BO351" s="111">
        <v>0</v>
      </c>
      <c r="BP351" s="112">
        <v>0</v>
      </c>
      <c r="BQ351" s="141"/>
      <c r="BR351" s="142">
        <f ca="1">C104*(1-commuting)</f>
        <v>18952.738524115652</v>
      </c>
      <c r="BS351" s="142">
        <v>0</v>
      </c>
      <c r="BT351" s="148">
        <v>0</v>
      </c>
      <c r="BU351" s="110"/>
      <c r="BV351" s="111"/>
      <c r="BW351" s="112"/>
      <c r="BX351" s="139"/>
      <c r="BY351" s="140"/>
      <c r="BZ351" s="140"/>
      <c r="CA351" s="140"/>
      <c r="CB351" s="140"/>
      <c r="CC351" s="140"/>
      <c r="CD351" s="147"/>
      <c r="CE351" s="149"/>
      <c r="CF351" s="150">
        <f ca="1">SUM(C351:CE351)</f>
        <v>18952.738524115652</v>
      </c>
      <c r="CH351" s="11">
        <f t="shared" ca="1" si="40"/>
        <v>4.2298686508723246E-2</v>
      </c>
    </row>
    <row r="352" spans="1:91">
      <c r="A352" s="287"/>
      <c r="B352" s="151" t="s">
        <v>394</v>
      </c>
      <c r="C352" s="110">
        <v>0</v>
      </c>
      <c r="D352" s="111">
        <v>0</v>
      </c>
      <c r="E352" s="111">
        <v>0</v>
      </c>
      <c r="F352" s="111">
        <v>0</v>
      </c>
      <c r="G352" s="111">
        <v>0</v>
      </c>
      <c r="H352" s="111">
        <v>0</v>
      </c>
      <c r="I352" s="111">
        <v>0</v>
      </c>
      <c r="J352" s="111">
        <v>0</v>
      </c>
      <c r="K352" s="111">
        <v>0</v>
      </c>
      <c r="L352" s="111">
        <v>0</v>
      </c>
      <c r="M352" s="111">
        <v>0</v>
      </c>
      <c r="N352" s="111">
        <v>0</v>
      </c>
      <c r="O352" s="111">
        <v>0</v>
      </c>
      <c r="P352" s="111">
        <v>0</v>
      </c>
      <c r="Q352" s="111">
        <v>0</v>
      </c>
      <c r="R352" s="111">
        <v>0</v>
      </c>
      <c r="S352" s="111">
        <v>0</v>
      </c>
      <c r="T352" s="111">
        <v>0</v>
      </c>
      <c r="U352" s="111">
        <v>0</v>
      </c>
      <c r="V352" s="111">
        <v>0</v>
      </c>
      <c r="W352" s="111">
        <v>0</v>
      </c>
      <c r="X352" s="111">
        <v>0</v>
      </c>
      <c r="Y352" s="111">
        <v>0</v>
      </c>
      <c r="Z352" s="111">
        <v>0</v>
      </c>
      <c r="AA352" s="111">
        <v>0</v>
      </c>
      <c r="AB352" s="111">
        <v>0</v>
      </c>
      <c r="AC352" s="111">
        <v>0</v>
      </c>
      <c r="AD352" s="111">
        <v>0</v>
      </c>
      <c r="AE352" s="111">
        <v>0</v>
      </c>
      <c r="AF352" s="111">
        <v>0</v>
      </c>
      <c r="AG352" s="111">
        <v>0</v>
      </c>
      <c r="AH352" s="111">
        <v>0</v>
      </c>
      <c r="AI352" s="112">
        <v>0</v>
      </c>
      <c r="AJ352" s="110">
        <v>0</v>
      </c>
      <c r="AK352" s="111">
        <v>0</v>
      </c>
      <c r="AL352" s="111">
        <v>0</v>
      </c>
      <c r="AM352" s="111">
        <v>0</v>
      </c>
      <c r="AN352" s="111">
        <v>0</v>
      </c>
      <c r="AO352" s="111">
        <v>0</v>
      </c>
      <c r="AP352" s="111">
        <v>0</v>
      </c>
      <c r="AQ352" s="111">
        <v>0</v>
      </c>
      <c r="AR352" s="111">
        <v>0</v>
      </c>
      <c r="AS352" s="111">
        <v>0</v>
      </c>
      <c r="AT352" s="111">
        <v>0</v>
      </c>
      <c r="AU352" s="111">
        <v>0</v>
      </c>
      <c r="AV352" s="111">
        <v>0</v>
      </c>
      <c r="AW352" s="111">
        <v>0</v>
      </c>
      <c r="AX352" s="111">
        <v>0</v>
      </c>
      <c r="AY352" s="111">
        <v>0</v>
      </c>
      <c r="AZ352" s="111">
        <v>0</v>
      </c>
      <c r="BA352" s="111">
        <v>0</v>
      </c>
      <c r="BB352" s="111">
        <v>0</v>
      </c>
      <c r="BC352" s="111">
        <v>0</v>
      </c>
      <c r="BD352" s="111">
        <v>0</v>
      </c>
      <c r="BE352" s="111">
        <v>0</v>
      </c>
      <c r="BF352" s="111">
        <v>0</v>
      </c>
      <c r="BG352" s="111">
        <v>0</v>
      </c>
      <c r="BH352" s="111">
        <v>0</v>
      </c>
      <c r="BI352" s="111">
        <v>0</v>
      </c>
      <c r="BJ352" s="111">
        <v>0</v>
      </c>
      <c r="BK352" s="111">
        <v>0</v>
      </c>
      <c r="BL352" s="111">
        <v>0</v>
      </c>
      <c r="BM352" s="111">
        <v>0</v>
      </c>
      <c r="BN352" s="111">
        <v>0</v>
      </c>
      <c r="BO352" s="111">
        <v>0</v>
      </c>
      <c r="BP352" s="112">
        <v>0</v>
      </c>
      <c r="BQ352" s="141"/>
      <c r="BR352" s="142"/>
      <c r="BS352" s="142">
        <f ca="1">(C104+C117+C130)*commuting</f>
        <v>64675.726235661758</v>
      </c>
      <c r="BT352" s="148">
        <v>0</v>
      </c>
      <c r="BU352" s="110"/>
      <c r="BV352" s="111"/>
      <c r="BW352" s="112"/>
      <c r="BX352" s="139"/>
      <c r="BY352" s="140"/>
      <c r="BZ352" s="140"/>
      <c r="CA352" s="140"/>
      <c r="CB352" s="140"/>
      <c r="CC352" s="140"/>
      <c r="CD352" s="147"/>
      <c r="CE352" s="149"/>
      <c r="CF352" s="150">
        <f ca="1">SUM(C352:CE352)</f>
        <v>64675.726235661758</v>
      </c>
      <c r="CH352" s="11">
        <f t="shared" ca="1" si="40"/>
        <v>0.14434316525209984</v>
      </c>
    </row>
    <row r="353" spans="1:86">
      <c r="A353" s="287"/>
      <c r="B353" s="37" t="s">
        <v>111</v>
      </c>
      <c r="C353" s="110">
        <v>0</v>
      </c>
      <c r="D353" s="111">
        <v>0</v>
      </c>
      <c r="E353" s="111">
        <v>0</v>
      </c>
      <c r="F353" s="111">
        <v>0</v>
      </c>
      <c r="G353" s="111">
        <v>0</v>
      </c>
      <c r="H353" s="111">
        <v>0</v>
      </c>
      <c r="I353" s="111">
        <v>0</v>
      </c>
      <c r="J353" s="111">
        <v>0</v>
      </c>
      <c r="K353" s="111">
        <v>0</v>
      </c>
      <c r="L353" s="111">
        <v>0</v>
      </c>
      <c r="M353" s="111">
        <v>0</v>
      </c>
      <c r="N353" s="111">
        <v>0</v>
      </c>
      <c r="O353" s="111">
        <v>0</v>
      </c>
      <c r="P353" s="111">
        <v>0</v>
      </c>
      <c r="Q353" s="111">
        <v>0</v>
      </c>
      <c r="R353" s="111">
        <v>0</v>
      </c>
      <c r="S353" s="111">
        <v>0</v>
      </c>
      <c r="T353" s="111">
        <v>0</v>
      </c>
      <c r="U353" s="111">
        <v>0</v>
      </c>
      <c r="V353" s="111">
        <v>0</v>
      </c>
      <c r="W353" s="111">
        <v>0</v>
      </c>
      <c r="X353" s="111">
        <v>0</v>
      </c>
      <c r="Y353" s="111">
        <v>0</v>
      </c>
      <c r="Z353" s="111">
        <v>0</v>
      </c>
      <c r="AA353" s="111">
        <v>0</v>
      </c>
      <c r="AB353" s="111">
        <v>0</v>
      </c>
      <c r="AC353" s="111">
        <v>0</v>
      </c>
      <c r="AD353" s="111">
        <v>0</v>
      </c>
      <c r="AE353" s="111">
        <v>0</v>
      </c>
      <c r="AF353" s="111">
        <v>0</v>
      </c>
      <c r="AG353" s="111">
        <v>0</v>
      </c>
      <c r="AH353" s="111">
        <v>0</v>
      </c>
      <c r="AI353" s="112">
        <v>0</v>
      </c>
      <c r="AJ353" s="110">
        <v>0</v>
      </c>
      <c r="AK353" s="111">
        <v>0</v>
      </c>
      <c r="AL353" s="111">
        <v>0</v>
      </c>
      <c r="AM353" s="111">
        <v>0</v>
      </c>
      <c r="AN353" s="111">
        <v>0</v>
      </c>
      <c r="AO353" s="111">
        <v>0</v>
      </c>
      <c r="AP353" s="111">
        <v>0</v>
      </c>
      <c r="AQ353" s="111">
        <v>0</v>
      </c>
      <c r="AR353" s="111">
        <v>0</v>
      </c>
      <c r="AS353" s="111">
        <v>0</v>
      </c>
      <c r="AT353" s="111">
        <v>0</v>
      </c>
      <c r="AU353" s="111">
        <v>0</v>
      </c>
      <c r="AV353" s="111">
        <v>0</v>
      </c>
      <c r="AW353" s="111">
        <v>0</v>
      </c>
      <c r="AX353" s="111">
        <v>0</v>
      </c>
      <c r="AY353" s="111">
        <v>0</v>
      </c>
      <c r="AZ353" s="111">
        <v>0</v>
      </c>
      <c r="BA353" s="111">
        <v>0</v>
      </c>
      <c r="BB353" s="111">
        <v>0</v>
      </c>
      <c r="BC353" s="111">
        <v>0</v>
      </c>
      <c r="BD353" s="111">
        <v>0</v>
      </c>
      <c r="BE353" s="111">
        <v>0</v>
      </c>
      <c r="BF353" s="111">
        <v>0</v>
      </c>
      <c r="BG353" s="111">
        <v>0</v>
      </c>
      <c r="BH353" s="111">
        <v>0</v>
      </c>
      <c r="BI353" s="111">
        <v>0</v>
      </c>
      <c r="BJ353" s="111">
        <v>0</v>
      </c>
      <c r="BK353" s="111">
        <v>0</v>
      </c>
      <c r="BL353" s="111">
        <v>0</v>
      </c>
      <c r="BM353" s="111">
        <v>0</v>
      </c>
      <c r="BN353" s="111">
        <v>0</v>
      </c>
      <c r="BO353" s="111">
        <v>0</v>
      </c>
      <c r="BP353" s="112">
        <v>0</v>
      </c>
      <c r="BQ353" s="110">
        <v>0</v>
      </c>
      <c r="BR353" s="111"/>
      <c r="BS353" s="111"/>
      <c r="BT353" s="112">
        <v>0</v>
      </c>
      <c r="BU353" s="119">
        <v>18030.000000000007</v>
      </c>
      <c r="BV353" s="115"/>
      <c r="BW353" s="118">
        <v>39520</v>
      </c>
      <c r="BX353" s="139">
        <v>0</v>
      </c>
      <c r="BY353" s="140">
        <v>0</v>
      </c>
      <c r="BZ353" s="140">
        <v>0</v>
      </c>
      <c r="CA353" s="140">
        <v>0</v>
      </c>
      <c r="CB353" s="140">
        <v>0</v>
      </c>
      <c r="CC353" s="111">
        <v>0</v>
      </c>
      <c r="CD353" s="112">
        <v>0</v>
      </c>
      <c r="CE353" s="113">
        <v>0</v>
      </c>
      <c r="CF353" s="117">
        <v>57550.000000000007</v>
      </c>
    </row>
    <row r="354" spans="1:86" ht="15" thickBot="1">
      <c r="A354" s="288"/>
      <c r="B354" s="55" t="s">
        <v>112</v>
      </c>
      <c r="C354" s="110">
        <v>0</v>
      </c>
      <c r="D354" s="111">
        <v>0</v>
      </c>
      <c r="E354" s="111">
        <v>0</v>
      </c>
      <c r="F354" s="111">
        <v>0</v>
      </c>
      <c r="G354" s="111">
        <v>0</v>
      </c>
      <c r="H354" s="111">
        <v>0</v>
      </c>
      <c r="I354" s="111">
        <v>0</v>
      </c>
      <c r="J354" s="111">
        <v>0</v>
      </c>
      <c r="K354" s="111">
        <v>0</v>
      </c>
      <c r="L354" s="111">
        <v>0</v>
      </c>
      <c r="M354" s="111">
        <v>0</v>
      </c>
      <c r="N354" s="111">
        <v>0</v>
      </c>
      <c r="O354" s="111">
        <v>0</v>
      </c>
      <c r="P354" s="111">
        <v>0</v>
      </c>
      <c r="Q354" s="111">
        <v>0</v>
      </c>
      <c r="R354" s="111">
        <v>0</v>
      </c>
      <c r="S354" s="111">
        <v>0</v>
      </c>
      <c r="T354" s="111">
        <v>0</v>
      </c>
      <c r="U354" s="111">
        <v>0</v>
      </c>
      <c r="V354" s="111">
        <v>0</v>
      </c>
      <c r="W354" s="111">
        <v>0</v>
      </c>
      <c r="X354" s="111">
        <v>0</v>
      </c>
      <c r="Y354" s="111">
        <v>0</v>
      </c>
      <c r="Z354" s="111">
        <v>0</v>
      </c>
      <c r="AA354" s="111">
        <v>0</v>
      </c>
      <c r="AB354" s="111">
        <v>0</v>
      </c>
      <c r="AC354" s="111">
        <v>0</v>
      </c>
      <c r="AD354" s="111">
        <v>0</v>
      </c>
      <c r="AE354" s="111">
        <v>0</v>
      </c>
      <c r="AF354" s="111">
        <v>0</v>
      </c>
      <c r="AG354" s="111">
        <v>0</v>
      </c>
      <c r="AH354" s="111">
        <v>0</v>
      </c>
      <c r="AI354" s="112">
        <v>0</v>
      </c>
      <c r="AJ354" s="114">
        <v>20212.322345294069</v>
      </c>
      <c r="AK354" s="115">
        <v>139101.67731938651</v>
      </c>
      <c r="AL354" s="115">
        <v>45768.126544050683</v>
      </c>
      <c r="AM354" s="115">
        <v>23000.706149199865</v>
      </c>
      <c r="AN354" s="115">
        <v>14693.35849147378</v>
      </c>
      <c r="AO354" s="115">
        <v>3866.5111998998036</v>
      </c>
      <c r="AP354" s="115">
        <v>7356.2079338081558</v>
      </c>
      <c r="AQ354" s="115">
        <v>49018.083156429879</v>
      </c>
      <c r="AR354" s="115">
        <v>49743.805549618293</v>
      </c>
      <c r="AS354" s="115">
        <v>11822.602704625409</v>
      </c>
      <c r="AT354" s="115">
        <v>6108.863209811695</v>
      </c>
      <c r="AU354" s="115">
        <v>125029.42745093258</v>
      </c>
      <c r="AV354" s="115">
        <v>60620.707330157245</v>
      </c>
      <c r="AW354" s="115">
        <v>137577.64257404418</v>
      </c>
      <c r="AX354" s="115">
        <v>48554.678550467055</v>
      </c>
      <c r="AY354" s="115">
        <v>46547.766977553787</v>
      </c>
      <c r="AZ354" s="115">
        <v>0</v>
      </c>
      <c r="BA354" s="115">
        <v>0</v>
      </c>
      <c r="BB354" s="115">
        <v>0</v>
      </c>
      <c r="BC354" s="115">
        <v>219.06403796676381</v>
      </c>
      <c r="BD354" s="115">
        <v>0</v>
      </c>
      <c r="BE354" s="115">
        <v>0</v>
      </c>
      <c r="BF354" s="115">
        <v>0</v>
      </c>
      <c r="BG354" s="115">
        <v>0</v>
      </c>
      <c r="BH354" s="115">
        <v>0</v>
      </c>
      <c r="BI354" s="115">
        <v>0</v>
      </c>
      <c r="BJ354" s="115">
        <v>0</v>
      </c>
      <c r="BK354" s="115">
        <v>0</v>
      </c>
      <c r="BL354" s="115">
        <v>0</v>
      </c>
      <c r="BM354" s="115">
        <v>4022.6955282891304</v>
      </c>
      <c r="BN354" s="115">
        <v>38.399523500531849</v>
      </c>
      <c r="BO354" s="115">
        <v>449.6151779165022</v>
      </c>
      <c r="BP354" s="116">
        <v>0</v>
      </c>
      <c r="BQ354" s="110">
        <v>0</v>
      </c>
      <c r="BR354" s="111"/>
      <c r="BS354" s="111"/>
      <c r="BT354" s="112">
        <v>0</v>
      </c>
      <c r="BU354" s="110">
        <v>0</v>
      </c>
      <c r="BV354" s="111"/>
      <c r="BW354" s="112">
        <v>0</v>
      </c>
      <c r="BX354" s="215">
        <f ca="1">F264</f>
        <v>113534.54076843669</v>
      </c>
      <c r="BY354" s="142">
        <f t="shared" ref="BY354:CA354" ca="1" si="41">G264</f>
        <v>26449.301080955858</v>
      </c>
      <c r="BZ354" s="142">
        <f t="shared" ca="1" si="41"/>
        <v>42510.857407206626</v>
      </c>
      <c r="CA354" s="142">
        <f t="shared" ca="1" si="41"/>
        <v>13191.574507738605</v>
      </c>
      <c r="CB354" s="142">
        <f ca="1">J249</f>
        <v>64675.726235661758</v>
      </c>
      <c r="CC354" s="111">
        <v>0</v>
      </c>
      <c r="CD354" s="112">
        <v>0</v>
      </c>
      <c r="CE354" s="113">
        <v>0</v>
      </c>
      <c r="CF354" s="117">
        <v>1054114.2617544257</v>
      </c>
    </row>
    <row r="355" spans="1:86" ht="15" thickBot="1">
      <c r="A355" s="61" t="s">
        <v>72</v>
      </c>
      <c r="B355" s="55" t="s">
        <v>113</v>
      </c>
      <c r="C355" s="120">
        <v>0</v>
      </c>
      <c r="D355" s="121">
        <v>0</v>
      </c>
      <c r="E355" s="121">
        <v>0</v>
      </c>
      <c r="F355" s="121">
        <v>0</v>
      </c>
      <c r="G355" s="121">
        <v>0</v>
      </c>
      <c r="H355" s="121">
        <v>0</v>
      </c>
      <c r="I355" s="121">
        <v>0</v>
      </c>
      <c r="J355" s="121">
        <v>0</v>
      </c>
      <c r="K355" s="121">
        <v>0</v>
      </c>
      <c r="L355" s="121">
        <v>0</v>
      </c>
      <c r="M355" s="121">
        <v>0</v>
      </c>
      <c r="N355" s="121">
        <v>0</v>
      </c>
      <c r="O355" s="121">
        <v>0</v>
      </c>
      <c r="P355" s="121">
        <v>0</v>
      </c>
      <c r="Q355" s="121">
        <v>0</v>
      </c>
      <c r="R355" s="121">
        <v>0</v>
      </c>
      <c r="S355" s="121">
        <v>0</v>
      </c>
      <c r="T355" s="121">
        <v>0</v>
      </c>
      <c r="U355" s="121">
        <v>0</v>
      </c>
      <c r="V355" s="121">
        <v>0</v>
      </c>
      <c r="W355" s="121">
        <v>0</v>
      </c>
      <c r="X355" s="121">
        <v>0</v>
      </c>
      <c r="Y355" s="121">
        <v>0</v>
      </c>
      <c r="Z355" s="121">
        <v>0</v>
      </c>
      <c r="AA355" s="121">
        <v>0</v>
      </c>
      <c r="AB355" s="121">
        <v>0</v>
      </c>
      <c r="AC355" s="121">
        <v>0</v>
      </c>
      <c r="AD355" s="121">
        <v>0</v>
      </c>
      <c r="AE355" s="121">
        <v>0</v>
      </c>
      <c r="AF355" s="121">
        <v>0</v>
      </c>
      <c r="AG355" s="121">
        <v>0</v>
      </c>
      <c r="AH355" s="121">
        <v>0</v>
      </c>
      <c r="AI355" s="122">
        <v>0</v>
      </c>
      <c r="AJ355" s="120">
        <v>0</v>
      </c>
      <c r="AK355" s="121">
        <v>0</v>
      </c>
      <c r="AL355" s="121">
        <v>0</v>
      </c>
      <c r="AM355" s="121">
        <v>0</v>
      </c>
      <c r="AN355" s="121">
        <v>0</v>
      </c>
      <c r="AO355" s="121">
        <v>0</v>
      </c>
      <c r="AP355" s="121">
        <v>0</v>
      </c>
      <c r="AQ355" s="121">
        <v>0</v>
      </c>
      <c r="AR355" s="121">
        <v>0</v>
      </c>
      <c r="AS355" s="121">
        <v>0</v>
      </c>
      <c r="AT355" s="121">
        <v>0</v>
      </c>
      <c r="AU355" s="121">
        <v>0</v>
      </c>
      <c r="AV355" s="121">
        <v>0</v>
      </c>
      <c r="AW355" s="121">
        <v>0</v>
      </c>
      <c r="AX355" s="121">
        <v>0</v>
      </c>
      <c r="AY355" s="121">
        <v>0</v>
      </c>
      <c r="AZ355" s="121">
        <v>0</v>
      </c>
      <c r="BA355" s="121">
        <v>0</v>
      </c>
      <c r="BB355" s="121">
        <v>0</v>
      </c>
      <c r="BC355" s="121">
        <v>0</v>
      </c>
      <c r="BD355" s="121">
        <v>0</v>
      </c>
      <c r="BE355" s="121">
        <v>0</v>
      </c>
      <c r="BF355" s="121">
        <v>0</v>
      </c>
      <c r="BG355" s="121">
        <v>0</v>
      </c>
      <c r="BH355" s="121">
        <v>0</v>
      </c>
      <c r="BI355" s="121">
        <v>0</v>
      </c>
      <c r="BJ355" s="121">
        <v>0</v>
      </c>
      <c r="BK355" s="121">
        <v>0</v>
      </c>
      <c r="BL355" s="121">
        <v>0</v>
      </c>
      <c r="BM355" s="121">
        <v>0</v>
      </c>
      <c r="BN355" s="121">
        <v>0</v>
      </c>
      <c r="BO355" s="121">
        <v>0</v>
      </c>
      <c r="BP355" s="122">
        <v>0</v>
      </c>
      <c r="BQ355" s="120">
        <v>0</v>
      </c>
      <c r="BR355" s="121"/>
      <c r="BS355" s="121"/>
      <c r="BT355" s="122">
        <v>0</v>
      </c>
      <c r="BU355" s="120">
        <v>0</v>
      </c>
      <c r="BV355" s="121"/>
      <c r="BW355" s="122">
        <v>0</v>
      </c>
      <c r="BX355" s="141">
        <f ca="1">BX356-SUM(BX308:BX354)</f>
        <v>69448.44641840391</v>
      </c>
      <c r="BY355" s="143">
        <f t="shared" ref="BY355:CB355" ca="1" si="42">BY356-SUM(BY308:BY354)</f>
        <v>7716.4940464893298</v>
      </c>
      <c r="BZ355" s="143">
        <f t="shared" ca="1" si="42"/>
        <v>0</v>
      </c>
      <c r="CA355" s="143">
        <f t="shared" ca="1" si="42"/>
        <v>0</v>
      </c>
      <c r="CB355" s="143">
        <f t="shared" ca="1" si="42"/>
        <v>0</v>
      </c>
      <c r="CC355" s="133">
        <v>2800.0000003500099</v>
      </c>
      <c r="CD355" s="123">
        <v>36587.752063971013</v>
      </c>
      <c r="CE355" s="124">
        <v>0</v>
      </c>
      <c r="CF355" s="125">
        <v>116552.6925292142</v>
      </c>
      <c r="CH355" t="s">
        <v>437</v>
      </c>
    </row>
    <row r="356" spans="1:86" ht="15" thickBot="1">
      <c r="A356" s="69"/>
      <c r="B356" s="70" t="s">
        <v>114</v>
      </c>
      <c r="C356" s="126">
        <v>1512.2992146246634</v>
      </c>
      <c r="D356" s="127">
        <v>11448.728531581437</v>
      </c>
      <c r="E356" s="127">
        <v>25557.71899999999</v>
      </c>
      <c r="F356" s="127">
        <v>3421.0370000000003</v>
      </c>
      <c r="G356" s="127">
        <v>29.598000000000006</v>
      </c>
      <c r="H356" s="127">
        <v>2673.8829999999998</v>
      </c>
      <c r="I356" s="127">
        <v>7097.443000000002</v>
      </c>
      <c r="J356" s="127">
        <v>28389.412000000011</v>
      </c>
      <c r="K356" s="127">
        <v>13147.265999999998</v>
      </c>
      <c r="L356" s="127">
        <v>6406.5290000000023</v>
      </c>
      <c r="M356" s="127">
        <v>8147.143</v>
      </c>
      <c r="N356" s="127">
        <v>38703.505000000012</v>
      </c>
      <c r="O356" s="127">
        <v>7111.3470000000007</v>
      </c>
      <c r="P356" s="127">
        <v>6245.6820000000007</v>
      </c>
      <c r="Q356" s="127">
        <v>2014.7720000000002</v>
      </c>
      <c r="R356" s="127">
        <v>13743.5</v>
      </c>
      <c r="S356" s="127">
        <v>32516.284247284777</v>
      </c>
      <c r="T356" s="127">
        <v>89406.357042682357</v>
      </c>
      <c r="U356" s="127">
        <v>190466.70173842864</v>
      </c>
      <c r="V356" s="127">
        <v>61824.290783745382</v>
      </c>
      <c r="W356" s="127">
        <v>15857.388999999996</v>
      </c>
      <c r="X356" s="127">
        <v>2289.5279999999998</v>
      </c>
      <c r="Y356" s="127">
        <v>102307.00900000002</v>
      </c>
      <c r="Z356" s="127">
        <v>51951.452999999994</v>
      </c>
      <c r="AA356" s="127">
        <v>33978.014777243792</v>
      </c>
      <c r="AB356" s="127">
        <v>68358.296123052933</v>
      </c>
      <c r="AC356" s="127">
        <v>51738.011936033472</v>
      </c>
      <c r="AD356" s="127">
        <v>92686.29159503273</v>
      </c>
      <c r="AE356" s="127">
        <v>48821.366518956798</v>
      </c>
      <c r="AF356" s="127">
        <v>12497.736973482995</v>
      </c>
      <c r="AG356" s="127">
        <v>11654.900466501786</v>
      </c>
      <c r="AH356" s="127">
        <v>7820.8397258647356</v>
      </c>
      <c r="AI356" s="128">
        <v>1945.3419233888926</v>
      </c>
      <c r="AJ356" s="126">
        <v>21869.104759089481</v>
      </c>
      <c r="AK356" s="127">
        <v>150823.50492247081</v>
      </c>
      <c r="AL356" s="127">
        <v>71796.001338162067</v>
      </c>
      <c r="AM356" s="127">
        <v>26738.596604017675</v>
      </c>
      <c r="AN356" s="127">
        <v>14846.92825503424</v>
      </c>
      <c r="AO356" s="127">
        <v>6566.0093427630527</v>
      </c>
      <c r="AP356" s="127">
        <v>14529.985886244553</v>
      </c>
      <c r="AQ356" s="127">
        <v>77518.41666654672</v>
      </c>
      <c r="AR356" s="127">
        <v>63232.375389612367</v>
      </c>
      <c r="AS356" s="127">
        <v>18347.043899078169</v>
      </c>
      <c r="AT356" s="127">
        <v>14334.723281667866</v>
      </c>
      <c r="AU356" s="127">
        <v>164500.61909758291</v>
      </c>
      <c r="AV356" s="127">
        <v>68284.888316943805</v>
      </c>
      <c r="AW356" s="127">
        <v>144725.05430610233</v>
      </c>
      <c r="AX356" s="127">
        <v>51367.761395550733</v>
      </c>
      <c r="AY356" s="127">
        <v>60655.571515339652</v>
      </c>
      <c r="AZ356" s="127">
        <v>32767.315754654959</v>
      </c>
      <c r="BA356" s="127">
        <v>91204.776401817013</v>
      </c>
      <c r="BB356" s="127">
        <v>192563.15720702661</v>
      </c>
      <c r="BC356" s="127">
        <v>63159.316564357803</v>
      </c>
      <c r="BD356" s="127">
        <v>16162.232490575039</v>
      </c>
      <c r="BE356" s="127">
        <v>2301.3119622404738</v>
      </c>
      <c r="BF356" s="127">
        <v>104024.90220224863</v>
      </c>
      <c r="BG356" s="127">
        <v>52182.154085202441</v>
      </c>
      <c r="BH356" s="127">
        <v>34851.753676075896</v>
      </c>
      <c r="BI356" s="127">
        <v>69004.942645025105</v>
      </c>
      <c r="BJ356" s="127">
        <v>53121.803138075607</v>
      </c>
      <c r="BK356" s="127">
        <v>93252.208792419624</v>
      </c>
      <c r="BL356" s="127">
        <v>49564.223767098898</v>
      </c>
      <c r="BM356" s="127">
        <v>16797.054822621543</v>
      </c>
      <c r="BN356" s="127">
        <v>12042.142598495986</v>
      </c>
      <c r="BO356" s="127">
        <v>8470.7153448003282</v>
      </c>
      <c r="BP356" s="128">
        <v>1945.3419233888926</v>
      </c>
      <c r="BQ356" s="144">
        <f ca="1">SUM(BQ275:BQ355)</f>
        <v>16934.765366645173</v>
      </c>
      <c r="BR356" s="145">
        <f ca="1">SUM(BR275:BR355)</f>
        <v>159961.39971037427</v>
      </c>
      <c r="BS356" s="145">
        <f ca="1">SUM(BS275:BS355)</f>
        <v>64675.726235661758</v>
      </c>
      <c r="BT356" s="128">
        <v>246017.30630193106</v>
      </c>
      <c r="BU356" s="126">
        <v>18030.000000000007</v>
      </c>
      <c r="BV356" s="127">
        <v>0</v>
      </c>
      <c r="BW356" s="128">
        <v>39520</v>
      </c>
      <c r="BX356" s="144" cm="1">
        <f t="array" aca="1" ref="BX356:CB356" ca="1">TRANSPOSE(CF348:CF352)</f>
        <v>202782.34103838314</v>
      </c>
      <c r="BY356" s="145">
        <f ca="1"/>
        <v>111423.00218721505</v>
      </c>
      <c r="BZ356" s="145">
        <f ca="1"/>
        <v>50235.389629236684</v>
      </c>
      <c r="CA356" s="145">
        <f ca="1"/>
        <v>18952.738524115652</v>
      </c>
      <c r="CB356" s="145">
        <f ca="1"/>
        <v>64675.726235661758</v>
      </c>
      <c r="CC356" s="127">
        <v>57550.000000000007</v>
      </c>
      <c r="CD356" s="128">
        <v>1054114.2617544257</v>
      </c>
      <c r="CE356" s="129">
        <v>116552.6925292142</v>
      </c>
      <c r="CF356" s="130"/>
      <c r="CH356" s="34">
        <f ca="1">CF355-SUM(BX355:CD355)</f>
        <v>0</v>
      </c>
    </row>
    <row r="358" spans="1:86">
      <c r="BP358" t="s">
        <v>433</v>
      </c>
      <c r="BQ358" s="34"/>
      <c r="BX358" t="s">
        <v>306</v>
      </c>
    </row>
    <row r="359" spans="1:86">
      <c r="BX359" s="34" cm="1">
        <f t="array" aca="1" ref="BX359:CB359" ca="1">BX356:CB356-TRANSPOSE(CF348:CF352)</f>
        <v>0</v>
      </c>
      <c r="BY359" s="34">
        <f ca="1"/>
        <v>0</v>
      </c>
      <c r="BZ359" s="34">
        <f ca="1"/>
        <v>0</v>
      </c>
      <c r="CA359" s="34">
        <f ca="1"/>
        <v>0</v>
      </c>
      <c r="CB359" s="34">
        <f ca="1"/>
        <v>0</v>
      </c>
    </row>
    <row r="360" spans="1:86">
      <c r="BQ360" s="34" cm="1">
        <f t="array" aca="1" ref="BQ360:BT360" ca="1">BQ356:BT356-TRANSPOSE(CF341:CF344)</f>
        <v>0</v>
      </c>
      <c r="BR360">
        <f ca="1"/>
        <v>0</v>
      </c>
      <c r="BS360">
        <f ca="1"/>
        <v>0</v>
      </c>
      <c r="BT360">
        <f ca="1"/>
        <v>0</v>
      </c>
    </row>
    <row r="361" spans="1:86">
      <c r="BX361" t="s">
        <v>431</v>
      </c>
    </row>
    <row r="362" spans="1:86">
      <c r="BX362" t="s">
        <v>432</v>
      </c>
    </row>
  </sheetData>
  <mergeCells count="10">
    <mergeCell ref="BX273:CD273"/>
    <mergeCell ref="A348:A354"/>
    <mergeCell ref="A345:A347"/>
    <mergeCell ref="C273:AI273"/>
    <mergeCell ref="AJ273:BP273"/>
    <mergeCell ref="H159:H171"/>
    <mergeCell ref="BU273:BW273"/>
    <mergeCell ref="A275:A307"/>
    <mergeCell ref="A308:A340"/>
    <mergeCell ref="A341:A344"/>
  </mergeCells>
  <conditionalFormatting sqref="C275">
    <cfRule type="cellIs" dxfId="0" priority="1" operator="equal">
      <formula>0</formula>
    </cfRule>
  </conditionalFormatting>
  <hyperlinks>
    <hyperlink ref="K63" r:id="rId1" xr:uid="{78BE04DD-A4AC-4AB2-90B7-4DCD0666FC73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73CC-AA5C-491F-BABC-80F92AD29484}">
  <sheetPr>
    <tabColor theme="4" tint="-0.249977111117893"/>
  </sheetPr>
  <dimension ref="A1"/>
  <sheetViews>
    <sheetView workbookViewId="0"/>
  </sheetViews>
  <sheetFormatPr defaultColWidth="8.81640625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AE05-7B9C-4DB6-BE94-172D8270FB8D}">
  <dimension ref="A1:CG95"/>
  <sheetViews>
    <sheetView topLeftCell="A45" workbookViewId="0">
      <selection activeCell="C70" sqref="C70"/>
    </sheetView>
  </sheetViews>
  <sheetFormatPr defaultColWidth="11.6328125" defaultRowHeight="14.5"/>
  <cols>
    <col min="2" max="2" width="56" customWidth="1"/>
  </cols>
  <sheetData>
    <row r="1" spans="1:82" ht="19" thickBot="1">
      <c r="A1" s="12" t="s">
        <v>66</v>
      </c>
    </row>
    <row r="2" spans="1:82" ht="15" thickBot="1">
      <c r="A2" s="13"/>
      <c r="B2" s="14"/>
      <c r="C2" s="276" t="s">
        <v>67</v>
      </c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8"/>
      <c r="AJ2" s="276" t="s">
        <v>68</v>
      </c>
      <c r="AK2" s="277"/>
      <c r="AL2" s="277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7"/>
      <c r="BA2" s="277"/>
      <c r="BB2" s="277"/>
      <c r="BC2" s="277"/>
      <c r="BD2" s="277"/>
      <c r="BE2" s="277"/>
      <c r="BF2" s="277"/>
      <c r="BG2" s="277"/>
      <c r="BH2" s="277"/>
      <c r="BI2" s="277"/>
      <c r="BJ2" s="277"/>
      <c r="BK2" s="277"/>
      <c r="BL2" s="277"/>
      <c r="BM2" s="277"/>
      <c r="BN2" s="277"/>
      <c r="BO2" s="277"/>
      <c r="BP2" s="278"/>
      <c r="BQ2" s="276" t="s">
        <v>69</v>
      </c>
      <c r="BR2" s="278"/>
      <c r="BS2" s="276" t="s">
        <v>70</v>
      </c>
      <c r="BT2" s="277"/>
      <c r="BU2" s="278"/>
      <c r="BV2" s="276" t="s">
        <v>71</v>
      </c>
      <c r="BW2" s="277"/>
      <c r="BX2" s="278"/>
      <c r="BY2" s="15" t="s">
        <v>72</v>
      </c>
      <c r="BZ2" s="16"/>
    </row>
    <row r="3" spans="1:82" ht="100.5" thickBot="1">
      <c r="A3" s="17"/>
      <c r="B3" s="18" t="s">
        <v>73</v>
      </c>
      <c r="C3" s="19" t="s">
        <v>74</v>
      </c>
      <c r="D3" s="20" t="s">
        <v>75</v>
      </c>
      <c r="E3" s="20" t="s">
        <v>76</v>
      </c>
      <c r="F3" s="20" t="s">
        <v>77</v>
      </c>
      <c r="G3" s="20" t="s">
        <v>78</v>
      </c>
      <c r="H3" s="20" t="s">
        <v>79</v>
      </c>
      <c r="I3" s="20" t="s">
        <v>80</v>
      </c>
      <c r="J3" s="20" t="s">
        <v>81</v>
      </c>
      <c r="K3" s="20" t="s">
        <v>82</v>
      </c>
      <c r="L3" s="20" t="s">
        <v>83</v>
      </c>
      <c r="M3" s="20" t="s">
        <v>84</v>
      </c>
      <c r="N3" s="20" t="s">
        <v>85</v>
      </c>
      <c r="O3" s="20" t="s">
        <v>86</v>
      </c>
      <c r="P3" s="20" t="s">
        <v>87</v>
      </c>
      <c r="Q3" s="20" t="s">
        <v>88</v>
      </c>
      <c r="R3" s="20" t="s">
        <v>89</v>
      </c>
      <c r="S3" s="20" t="s">
        <v>90</v>
      </c>
      <c r="T3" s="20" t="s">
        <v>91</v>
      </c>
      <c r="U3" s="21" t="s">
        <v>92</v>
      </c>
      <c r="V3" s="20" t="s">
        <v>93</v>
      </c>
      <c r="W3" s="20" t="s">
        <v>94</v>
      </c>
      <c r="X3" s="20" t="s">
        <v>95</v>
      </c>
      <c r="Y3" s="20" t="s">
        <v>96</v>
      </c>
      <c r="Z3" s="20" t="s">
        <v>97</v>
      </c>
      <c r="AA3" s="20" t="s">
        <v>98</v>
      </c>
      <c r="AB3" s="20" t="s">
        <v>99</v>
      </c>
      <c r="AC3" s="20" t="s">
        <v>100</v>
      </c>
      <c r="AD3" s="20" t="s">
        <v>101</v>
      </c>
      <c r="AE3" s="20" t="s">
        <v>102</v>
      </c>
      <c r="AF3" s="20" t="s">
        <v>103</v>
      </c>
      <c r="AG3" s="20" t="s">
        <v>104</v>
      </c>
      <c r="AH3" s="20" t="s">
        <v>105</v>
      </c>
      <c r="AI3" s="22" t="s">
        <v>106</v>
      </c>
      <c r="AJ3" s="19" t="s">
        <v>74</v>
      </c>
      <c r="AK3" s="20" t="s">
        <v>75</v>
      </c>
      <c r="AL3" s="20" t="s">
        <v>76</v>
      </c>
      <c r="AM3" s="20" t="s">
        <v>77</v>
      </c>
      <c r="AN3" s="20" t="s">
        <v>78</v>
      </c>
      <c r="AO3" s="20" t="s">
        <v>79</v>
      </c>
      <c r="AP3" s="20" t="s">
        <v>80</v>
      </c>
      <c r="AQ3" s="20" t="s">
        <v>81</v>
      </c>
      <c r="AR3" s="20" t="s">
        <v>82</v>
      </c>
      <c r="AS3" s="20" t="s">
        <v>83</v>
      </c>
      <c r="AT3" s="20" t="s">
        <v>84</v>
      </c>
      <c r="AU3" s="20" t="s">
        <v>85</v>
      </c>
      <c r="AV3" s="20" t="s">
        <v>86</v>
      </c>
      <c r="AW3" s="20" t="s">
        <v>87</v>
      </c>
      <c r="AX3" s="20" t="s">
        <v>88</v>
      </c>
      <c r="AY3" s="20" t="s">
        <v>89</v>
      </c>
      <c r="AZ3" s="20" t="s">
        <v>90</v>
      </c>
      <c r="BA3" s="20" t="s">
        <v>91</v>
      </c>
      <c r="BB3" s="21" t="s">
        <v>92</v>
      </c>
      <c r="BC3" s="20" t="s">
        <v>93</v>
      </c>
      <c r="BD3" s="20" t="s">
        <v>94</v>
      </c>
      <c r="BE3" s="20" t="s">
        <v>95</v>
      </c>
      <c r="BF3" s="20" t="s">
        <v>96</v>
      </c>
      <c r="BG3" s="20" t="s">
        <v>97</v>
      </c>
      <c r="BH3" s="20" t="s">
        <v>98</v>
      </c>
      <c r="BI3" s="20" t="s">
        <v>99</v>
      </c>
      <c r="BJ3" s="20" t="s">
        <v>100</v>
      </c>
      <c r="BK3" s="20" t="s">
        <v>101</v>
      </c>
      <c r="BL3" s="20" t="s">
        <v>102</v>
      </c>
      <c r="BM3" s="20" t="s">
        <v>103</v>
      </c>
      <c r="BN3" s="20" t="s">
        <v>104</v>
      </c>
      <c r="BO3" s="20" t="s">
        <v>105</v>
      </c>
      <c r="BP3" s="22" t="s">
        <v>106</v>
      </c>
      <c r="BQ3" s="19" t="s">
        <v>107</v>
      </c>
      <c r="BR3" s="22" t="s">
        <v>72</v>
      </c>
      <c r="BS3" s="23" t="s">
        <v>108</v>
      </c>
      <c r="BT3" s="24" t="s">
        <v>109</v>
      </c>
      <c r="BU3" s="25" t="s">
        <v>110</v>
      </c>
      <c r="BV3" s="23" t="s">
        <v>4</v>
      </c>
      <c r="BW3" s="24" t="s">
        <v>111</v>
      </c>
      <c r="BX3" s="25" t="s">
        <v>112</v>
      </c>
      <c r="BY3" s="26" t="s">
        <v>113</v>
      </c>
      <c r="BZ3" s="27" t="s">
        <v>114</v>
      </c>
    </row>
    <row r="4" spans="1:82">
      <c r="A4" s="280" t="s">
        <v>67</v>
      </c>
      <c r="B4" s="28" t="s">
        <v>74</v>
      </c>
      <c r="C4" s="35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14">
        <v>0</v>
      </c>
      <c r="AJ4" s="30">
        <v>1512.2992146246634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0</v>
      </c>
      <c r="BC4" s="29">
        <v>0</v>
      </c>
      <c r="BD4" s="29">
        <v>0</v>
      </c>
      <c r="BE4" s="29">
        <v>0</v>
      </c>
      <c r="BF4" s="29">
        <v>0</v>
      </c>
      <c r="BG4" s="29">
        <v>0</v>
      </c>
      <c r="BH4" s="29">
        <v>0</v>
      </c>
      <c r="BI4" s="29">
        <v>0</v>
      </c>
      <c r="BJ4" s="29">
        <v>0</v>
      </c>
      <c r="BK4" s="29">
        <v>0</v>
      </c>
      <c r="BL4" s="29">
        <v>0</v>
      </c>
      <c r="BM4" s="29">
        <v>0</v>
      </c>
      <c r="BN4" s="29">
        <v>0</v>
      </c>
      <c r="BO4" s="29">
        <v>0</v>
      </c>
      <c r="BP4" s="14">
        <v>0</v>
      </c>
      <c r="BQ4" s="31">
        <v>0</v>
      </c>
      <c r="BR4" s="14">
        <v>0</v>
      </c>
      <c r="BS4" s="31">
        <v>0</v>
      </c>
      <c r="BT4" s="29"/>
      <c r="BU4" s="14">
        <v>0</v>
      </c>
      <c r="BV4" s="31">
        <v>0</v>
      </c>
      <c r="BW4" s="29">
        <v>0</v>
      </c>
      <c r="BX4" s="14">
        <v>0</v>
      </c>
      <c r="BY4" s="13">
        <v>0</v>
      </c>
      <c r="BZ4" s="32">
        <v>1512.2992146246634</v>
      </c>
      <c r="CB4" s="33">
        <v>1512.2992146246634</v>
      </c>
      <c r="CD4" s="34">
        <v>0</v>
      </c>
    </row>
    <row r="5" spans="1:82">
      <c r="A5" s="280"/>
      <c r="B5" s="28" t="s">
        <v>75</v>
      </c>
      <c r="C5" s="35">
        <v>0</v>
      </c>
      <c r="D5" s="36">
        <v>0</v>
      </c>
      <c r="E5" s="36">
        <v>0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7">
        <v>0</v>
      </c>
      <c r="AJ5" s="35">
        <v>0</v>
      </c>
      <c r="AK5" s="38">
        <v>11448.728531581437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0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6">
        <v>0</v>
      </c>
      <c r="BC5" s="36">
        <v>0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  <c r="BP5" s="37">
        <v>0</v>
      </c>
      <c r="BQ5" s="35">
        <v>0</v>
      </c>
      <c r="BR5" s="37">
        <v>0</v>
      </c>
      <c r="BS5" s="35">
        <v>0</v>
      </c>
      <c r="BT5" s="36"/>
      <c r="BU5" s="37">
        <v>0</v>
      </c>
      <c r="BV5" s="35">
        <v>0</v>
      </c>
      <c r="BW5" s="36">
        <v>0</v>
      </c>
      <c r="BX5" s="37">
        <v>0</v>
      </c>
      <c r="BY5" s="39">
        <v>0</v>
      </c>
      <c r="BZ5" s="40">
        <v>11448.728531581437</v>
      </c>
      <c r="CB5" s="33">
        <v>11448.728531581437</v>
      </c>
      <c r="CD5" s="34">
        <v>0</v>
      </c>
    </row>
    <row r="6" spans="1:82">
      <c r="A6" s="280"/>
      <c r="B6" s="28" t="s">
        <v>76</v>
      </c>
      <c r="C6" s="35">
        <v>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7">
        <v>0</v>
      </c>
      <c r="AJ6" s="35">
        <v>0</v>
      </c>
      <c r="AK6" s="36">
        <v>0</v>
      </c>
      <c r="AL6" s="38">
        <v>25557.71899999999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0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36">
        <v>0</v>
      </c>
      <c r="BC6" s="36">
        <v>0</v>
      </c>
      <c r="BD6" s="36">
        <v>0</v>
      </c>
      <c r="BE6" s="36">
        <v>0</v>
      </c>
      <c r="BF6" s="36">
        <v>0</v>
      </c>
      <c r="BG6" s="36">
        <v>0</v>
      </c>
      <c r="BH6" s="36">
        <v>0</v>
      </c>
      <c r="BI6" s="36">
        <v>0</v>
      </c>
      <c r="BJ6" s="36">
        <v>0</v>
      </c>
      <c r="BK6" s="36">
        <v>0</v>
      </c>
      <c r="BL6" s="36">
        <v>0</v>
      </c>
      <c r="BM6" s="36">
        <v>0</v>
      </c>
      <c r="BN6" s="36">
        <v>0</v>
      </c>
      <c r="BO6" s="36">
        <v>0</v>
      </c>
      <c r="BP6" s="37">
        <v>0</v>
      </c>
      <c r="BQ6" s="35">
        <v>0</v>
      </c>
      <c r="BR6" s="37">
        <v>0</v>
      </c>
      <c r="BS6" s="35">
        <v>0</v>
      </c>
      <c r="BT6" s="36"/>
      <c r="BU6" s="37">
        <v>0</v>
      </c>
      <c r="BV6" s="35">
        <v>0</v>
      </c>
      <c r="BW6" s="36">
        <v>0</v>
      </c>
      <c r="BX6" s="37">
        <v>0</v>
      </c>
      <c r="BY6" s="39">
        <v>0</v>
      </c>
      <c r="BZ6" s="40">
        <v>25557.71899999999</v>
      </c>
      <c r="CB6" s="33">
        <v>25557.71899999999</v>
      </c>
      <c r="CD6" s="34">
        <v>0</v>
      </c>
    </row>
    <row r="7" spans="1:82">
      <c r="A7" s="280"/>
      <c r="B7" s="28" t="s">
        <v>77</v>
      </c>
      <c r="C7" s="35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37">
        <v>0</v>
      </c>
      <c r="AJ7" s="35">
        <v>0</v>
      </c>
      <c r="AK7" s="36">
        <v>0</v>
      </c>
      <c r="AL7" s="36">
        <v>0</v>
      </c>
      <c r="AM7" s="38">
        <v>3421.0370000000003</v>
      </c>
      <c r="AN7" s="36">
        <v>0</v>
      </c>
      <c r="AO7" s="36">
        <v>0</v>
      </c>
      <c r="AP7" s="36">
        <v>0</v>
      </c>
      <c r="AQ7" s="36">
        <v>0</v>
      </c>
      <c r="AR7" s="36">
        <v>0</v>
      </c>
      <c r="AS7" s="36">
        <v>0</v>
      </c>
      <c r="AT7" s="36">
        <v>0</v>
      </c>
      <c r="AU7" s="36">
        <v>0</v>
      </c>
      <c r="AV7" s="36">
        <v>0</v>
      </c>
      <c r="AW7" s="36">
        <v>0</v>
      </c>
      <c r="AX7" s="36">
        <v>0</v>
      </c>
      <c r="AY7" s="36">
        <v>0</v>
      </c>
      <c r="AZ7" s="36">
        <v>0</v>
      </c>
      <c r="BA7" s="36">
        <v>0</v>
      </c>
      <c r="BB7" s="36">
        <v>0</v>
      </c>
      <c r="BC7" s="36">
        <v>0</v>
      </c>
      <c r="BD7" s="36">
        <v>0</v>
      </c>
      <c r="BE7" s="36">
        <v>0</v>
      </c>
      <c r="BF7" s="36">
        <v>0</v>
      </c>
      <c r="BG7" s="36">
        <v>0</v>
      </c>
      <c r="BH7" s="36">
        <v>0</v>
      </c>
      <c r="BI7" s="36">
        <v>0</v>
      </c>
      <c r="BJ7" s="36">
        <v>0</v>
      </c>
      <c r="BK7" s="36">
        <v>0</v>
      </c>
      <c r="BL7" s="36">
        <v>0</v>
      </c>
      <c r="BM7" s="36">
        <v>0</v>
      </c>
      <c r="BN7" s="36">
        <v>0</v>
      </c>
      <c r="BO7" s="36">
        <v>0</v>
      </c>
      <c r="BP7" s="37">
        <v>0</v>
      </c>
      <c r="BQ7" s="35">
        <v>0</v>
      </c>
      <c r="BR7" s="37">
        <v>0</v>
      </c>
      <c r="BS7" s="35">
        <v>0</v>
      </c>
      <c r="BT7" s="36"/>
      <c r="BU7" s="37">
        <v>0</v>
      </c>
      <c r="BV7" s="35">
        <v>0</v>
      </c>
      <c r="BW7" s="36">
        <v>0</v>
      </c>
      <c r="BX7" s="37">
        <v>0</v>
      </c>
      <c r="BY7" s="39">
        <v>0</v>
      </c>
      <c r="BZ7" s="40">
        <v>3421.0370000000003</v>
      </c>
      <c r="CB7" s="33">
        <v>3421.0370000000003</v>
      </c>
      <c r="CD7" s="34">
        <v>0</v>
      </c>
    </row>
    <row r="8" spans="1:82">
      <c r="A8" s="280"/>
      <c r="B8" s="28" t="s">
        <v>78</v>
      </c>
      <c r="C8" s="35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7">
        <v>0</v>
      </c>
      <c r="AJ8" s="35">
        <v>0</v>
      </c>
      <c r="AK8" s="36">
        <v>0</v>
      </c>
      <c r="AL8" s="36">
        <v>0</v>
      </c>
      <c r="AM8" s="36">
        <v>0</v>
      </c>
      <c r="AN8" s="38">
        <v>29.598000000000006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0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36">
        <v>0</v>
      </c>
      <c r="BC8" s="36">
        <v>0</v>
      </c>
      <c r="BD8" s="36">
        <v>0</v>
      </c>
      <c r="BE8" s="36">
        <v>0</v>
      </c>
      <c r="BF8" s="36">
        <v>0</v>
      </c>
      <c r="BG8" s="36">
        <v>0</v>
      </c>
      <c r="BH8" s="36">
        <v>0</v>
      </c>
      <c r="BI8" s="36">
        <v>0</v>
      </c>
      <c r="BJ8" s="36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  <c r="BP8" s="37">
        <v>0</v>
      </c>
      <c r="BQ8" s="35">
        <v>0</v>
      </c>
      <c r="BR8" s="37">
        <v>0</v>
      </c>
      <c r="BS8" s="35">
        <v>0</v>
      </c>
      <c r="BT8" s="36"/>
      <c r="BU8" s="37">
        <v>0</v>
      </c>
      <c r="BV8" s="35">
        <v>0</v>
      </c>
      <c r="BW8" s="36">
        <v>0</v>
      </c>
      <c r="BX8" s="37">
        <v>0</v>
      </c>
      <c r="BY8" s="39">
        <v>0</v>
      </c>
      <c r="BZ8" s="40">
        <v>29.598000000000006</v>
      </c>
      <c r="CB8" s="33">
        <v>29.598000000000006</v>
      </c>
      <c r="CD8" s="34">
        <v>0</v>
      </c>
    </row>
    <row r="9" spans="1:82">
      <c r="A9" s="280"/>
      <c r="B9" s="28" t="s">
        <v>79</v>
      </c>
      <c r="C9" s="35">
        <v>0</v>
      </c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7">
        <v>0</v>
      </c>
      <c r="AJ9" s="35">
        <v>0</v>
      </c>
      <c r="AK9" s="36">
        <v>0</v>
      </c>
      <c r="AL9" s="36">
        <v>0</v>
      </c>
      <c r="AM9" s="36">
        <v>0</v>
      </c>
      <c r="AN9" s="36">
        <v>0</v>
      </c>
      <c r="AO9" s="38">
        <v>2673.8829999999998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6">
        <v>0</v>
      </c>
      <c r="AV9" s="36">
        <v>0</v>
      </c>
      <c r="AW9" s="36">
        <v>0</v>
      </c>
      <c r="AX9" s="36">
        <v>0</v>
      </c>
      <c r="AY9" s="36">
        <v>0</v>
      </c>
      <c r="AZ9" s="36">
        <v>0</v>
      </c>
      <c r="BA9" s="36">
        <v>0</v>
      </c>
      <c r="BB9" s="36">
        <v>0</v>
      </c>
      <c r="BC9" s="36">
        <v>0</v>
      </c>
      <c r="BD9" s="36">
        <v>0</v>
      </c>
      <c r="BE9" s="36">
        <v>0</v>
      </c>
      <c r="BF9" s="36">
        <v>0</v>
      </c>
      <c r="BG9" s="36">
        <v>0</v>
      </c>
      <c r="BH9" s="36">
        <v>0</v>
      </c>
      <c r="BI9" s="36">
        <v>0</v>
      </c>
      <c r="BJ9" s="36">
        <v>0</v>
      </c>
      <c r="BK9" s="36">
        <v>0</v>
      </c>
      <c r="BL9" s="36">
        <v>0</v>
      </c>
      <c r="BM9" s="36">
        <v>0</v>
      </c>
      <c r="BN9" s="36">
        <v>0</v>
      </c>
      <c r="BO9" s="36">
        <v>0</v>
      </c>
      <c r="BP9" s="37">
        <v>0</v>
      </c>
      <c r="BQ9" s="35">
        <v>0</v>
      </c>
      <c r="BR9" s="37">
        <v>0</v>
      </c>
      <c r="BS9" s="35">
        <v>0</v>
      </c>
      <c r="BT9" s="36"/>
      <c r="BU9" s="37">
        <v>0</v>
      </c>
      <c r="BV9" s="35">
        <v>0</v>
      </c>
      <c r="BW9" s="36">
        <v>0</v>
      </c>
      <c r="BX9" s="37">
        <v>0</v>
      </c>
      <c r="BY9" s="39">
        <v>0</v>
      </c>
      <c r="BZ9" s="40">
        <v>2673.8829999999998</v>
      </c>
      <c r="CB9" s="33">
        <v>2673.8829999999998</v>
      </c>
      <c r="CD9" s="34">
        <v>0</v>
      </c>
    </row>
    <row r="10" spans="1:82">
      <c r="A10" s="280"/>
      <c r="B10" s="28" t="s">
        <v>80</v>
      </c>
      <c r="C10" s="35">
        <v>0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37">
        <v>0</v>
      </c>
      <c r="AJ10" s="35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8">
        <v>7097.4430000000011</v>
      </c>
      <c r="AQ10" s="36">
        <v>0</v>
      </c>
      <c r="AR10" s="36">
        <v>0</v>
      </c>
      <c r="AS10" s="36">
        <v>0</v>
      </c>
      <c r="AT10" s="36">
        <v>0</v>
      </c>
      <c r="AU10" s="36">
        <v>0</v>
      </c>
      <c r="AV10" s="36">
        <v>0</v>
      </c>
      <c r="AW10" s="36">
        <v>0</v>
      </c>
      <c r="AX10" s="36">
        <v>0</v>
      </c>
      <c r="AY10" s="36">
        <v>0</v>
      </c>
      <c r="AZ10" s="36">
        <v>0</v>
      </c>
      <c r="BA10" s="36">
        <v>0</v>
      </c>
      <c r="BB10" s="36">
        <v>0</v>
      </c>
      <c r="BC10" s="36">
        <v>0</v>
      </c>
      <c r="BD10" s="36">
        <v>0</v>
      </c>
      <c r="BE10" s="36">
        <v>0</v>
      </c>
      <c r="BF10" s="36">
        <v>0</v>
      </c>
      <c r="BG10" s="36">
        <v>0</v>
      </c>
      <c r="BH10" s="36">
        <v>0</v>
      </c>
      <c r="BI10" s="36">
        <v>0</v>
      </c>
      <c r="BJ10" s="36">
        <v>0</v>
      </c>
      <c r="BK10" s="36">
        <v>0</v>
      </c>
      <c r="BL10" s="36">
        <v>0</v>
      </c>
      <c r="BM10" s="36">
        <v>0</v>
      </c>
      <c r="BN10" s="36">
        <v>0</v>
      </c>
      <c r="BO10" s="36">
        <v>0</v>
      </c>
      <c r="BP10" s="37">
        <v>0</v>
      </c>
      <c r="BQ10" s="35">
        <v>0</v>
      </c>
      <c r="BR10" s="37">
        <v>0</v>
      </c>
      <c r="BS10" s="35">
        <v>0</v>
      </c>
      <c r="BT10" s="36"/>
      <c r="BU10" s="37">
        <v>0</v>
      </c>
      <c r="BV10" s="35">
        <v>0</v>
      </c>
      <c r="BW10" s="36">
        <v>0</v>
      </c>
      <c r="BX10" s="37">
        <v>0</v>
      </c>
      <c r="BY10" s="39">
        <v>0</v>
      </c>
      <c r="BZ10" s="40">
        <v>7097.443000000002</v>
      </c>
      <c r="CB10" s="33">
        <v>7097.443000000002</v>
      </c>
      <c r="CD10" s="34">
        <v>0</v>
      </c>
    </row>
    <row r="11" spans="1:82">
      <c r="A11" s="280"/>
      <c r="B11" s="28" t="s">
        <v>81</v>
      </c>
      <c r="C11" s="35">
        <v>0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37">
        <v>0</v>
      </c>
      <c r="AJ11" s="35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8">
        <v>28389.412000000011</v>
      </c>
      <c r="AR11" s="36">
        <v>0</v>
      </c>
      <c r="AS11" s="36">
        <v>0</v>
      </c>
      <c r="AT11" s="36">
        <v>0</v>
      </c>
      <c r="AU11" s="36">
        <v>0</v>
      </c>
      <c r="AV11" s="36">
        <v>0</v>
      </c>
      <c r="AW11" s="36">
        <v>0</v>
      </c>
      <c r="AX11" s="36">
        <v>0</v>
      </c>
      <c r="AY11" s="36">
        <v>0</v>
      </c>
      <c r="AZ11" s="36">
        <v>0</v>
      </c>
      <c r="BA11" s="36">
        <v>0</v>
      </c>
      <c r="BB11" s="36">
        <v>0</v>
      </c>
      <c r="BC11" s="36">
        <v>0</v>
      </c>
      <c r="BD11" s="36">
        <v>0</v>
      </c>
      <c r="BE11" s="36">
        <v>0</v>
      </c>
      <c r="BF11" s="36">
        <v>0</v>
      </c>
      <c r="BG11" s="36">
        <v>0</v>
      </c>
      <c r="BH11" s="36">
        <v>0</v>
      </c>
      <c r="BI11" s="36">
        <v>0</v>
      </c>
      <c r="BJ11" s="36">
        <v>0</v>
      </c>
      <c r="BK11" s="36">
        <v>0</v>
      </c>
      <c r="BL11" s="36">
        <v>0</v>
      </c>
      <c r="BM11" s="36">
        <v>0</v>
      </c>
      <c r="BN11" s="36">
        <v>0</v>
      </c>
      <c r="BO11" s="36">
        <v>0</v>
      </c>
      <c r="BP11" s="37">
        <v>0</v>
      </c>
      <c r="BQ11" s="35">
        <v>0</v>
      </c>
      <c r="BR11" s="37">
        <v>0</v>
      </c>
      <c r="BS11" s="35">
        <v>0</v>
      </c>
      <c r="BT11" s="36"/>
      <c r="BU11" s="37">
        <v>0</v>
      </c>
      <c r="BV11" s="35">
        <v>0</v>
      </c>
      <c r="BW11" s="36">
        <v>0</v>
      </c>
      <c r="BX11" s="37">
        <v>0</v>
      </c>
      <c r="BY11" s="39">
        <v>0</v>
      </c>
      <c r="BZ11" s="40">
        <v>28389.412000000011</v>
      </c>
      <c r="CB11" s="33">
        <v>28389.412000000011</v>
      </c>
      <c r="CD11" s="34">
        <v>0</v>
      </c>
    </row>
    <row r="12" spans="1:82">
      <c r="A12" s="280"/>
      <c r="B12" s="28" t="s">
        <v>82</v>
      </c>
      <c r="C12" s="35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7">
        <v>0</v>
      </c>
      <c r="AJ12" s="35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8">
        <v>13147.265999999998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7">
        <v>0</v>
      </c>
      <c r="BQ12" s="35">
        <v>0</v>
      </c>
      <c r="BR12" s="37">
        <v>0</v>
      </c>
      <c r="BS12" s="35">
        <v>0</v>
      </c>
      <c r="BT12" s="36"/>
      <c r="BU12" s="37">
        <v>0</v>
      </c>
      <c r="BV12" s="35">
        <v>0</v>
      </c>
      <c r="BW12" s="36">
        <v>0</v>
      </c>
      <c r="BX12" s="37">
        <v>0</v>
      </c>
      <c r="BY12" s="39">
        <v>0</v>
      </c>
      <c r="BZ12" s="40">
        <v>13147.265999999998</v>
      </c>
      <c r="CB12" s="33">
        <v>13147.265999999998</v>
      </c>
      <c r="CD12" s="34">
        <v>0</v>
      </c>
    </row>
    <row r="13" spans="1:82">
      <c r="A13" s="280"/>
      <c r="B13" s="28" t="s">
        <v>83</v>
      </c>
      <c r="C13" s="35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37">
        <v>0</v>
      </c>
      <c r="AJ13" s="35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8">
        <v>6406.5290000000023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7">
        <v>0</v>
      </c>
      <c r="BQ13" s="35">
        <v>0</v>
      </c>
      <c r="BR13" s="37">
        <v>0</v>
      </c>
      <c r="BS13" s="35">
        <v>0</v>
      </c>
      <c r="BT13" s="36"/>
      <c r="BU13" s="37">
        <v>0</v>
      </c>
      <c r="BV13" s="35">
        <v>0</v>
      </c>
      <c r="BW13" s="36">
        <v>0</v>
      </c>
      <c r="BX13" s="37">
        <v>0</v>
      </c>
      <c r="BY13" s="39">
        <v>0</v>
      </c>
      <c r="BZ13" s="40">
        <v>6406.5290000000023</v>
      </c>
      <c r="CB13" s="33">
        <v>6406.5290000000023</v>
      </c>
      <c r="CD13" s="34">
        <v>0</v>
      </c>
    </row>
    <row r="14" spans="1:82">
      <c r="A14" s="280"/>
      <c r="B14" s="28" t="s">
        <v>84</v>
      </c>
      <c r="C14" s="35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6">
        <v>0</v>
      </c>
      <c r="AH14" s="36">
        <v>0</v>
      </c>
      <c r="AI14" s="37">
        <v>0</v>
      </c>
      <c r="AJ14" s="35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8">
        <v>8147.143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7">
        <v>0</v>
      </c>
      <c r="BQ14" s="35">
        <v>0</v>
      </c>
      <c r="BR14" s="37">
        <v>0</v>
      </c>
      <c r="BS14" s="35">
        <v>0</v>
      </c>
      <c r="BT14" s="36"/>
      <c r="BU14" s="37">
        <v>0</v>
      </c>
      <c r="BV14" s="35">
        <v>0</v>
      </c>
      <c r="BW14" s="36">
        <v>0</v>
      </c>
      <c r="BX14" s="37">
        <v>0</v>
      </c>
      <c r="BY14" s="39">
        <v>0</v>
      </c>
      <c r="BZ14" s="40">
        <v>8147.143</v>
      </c>
      <c r="CB14" s="33">
        <v>8147.143</v>
      </c>
      <c r="CD14" s="34">
        <v>0</v>
      </c>
    </row>
    <row r="15" spans="1:82">
      <c r="A15" s="280"/>
      <c r="B15" s="28" t="s">
        <v>85</v>
      </c>
      <c r="C15" s="35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6">
        <v>0</v>
      </c>
      <c r="AH15" s="36">
        <v>0</v>
      </c>
      <c r="AI15" s="37">
        <v>0</v>
      </c>
      <c r="AJ15" s="35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8">
        <v>38703.505000000012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7">
        <v>0</v>
      </c>
      <c r="BQ15" s="35">
        <v>0</v>
      </c>
      <c r="BR15" s="37">
        <v>0</v>
      </c>
      <c r="BS15" s="35">
        <v>0</v>
      </c>
      <c r="BT15" s="36"/>
      <c r="BU15" s="37">
        <v>0</v>
      </c>
      <c r="BV15" s="35">
        <v>0</v>
      </c>
      <c r="BW15" s="36">
        <v>0</v>
      </c>
      <c r="BX15" s="37">
        <v>0</v>
      </c>
      <c r="BY15" s="39">
        <v>0</v>
      </c>
      <c r="BZ15" s="40">
        <v>38703.505000000012</v>
      </c>
      <c r="CB15" s="33">
        <v>38703.505000000012</v>
      </c>
      <c r="CD15" s="34">
        <v>0</v>
      </c>
    </row>
    <row r="16" spans="1:82">
      <c r="A16" s="280"/>
      <c r="B16" s="28" t="s">
        <v>86</v>
      </c>
      <c r="C16" s="35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  <c r="AH16" s="36">
        <v>0</v>
      </c>
      <c r="AI16" s="37">
        <v>0</v>
      </c>
      <c r="AJ16" s="35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8">
        <v>7111.3470000000007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7">
        <v>0</v>
      </c>
      <c r="BQ16" s="35">
        <v>0</v>
      </c>
      <c r="BR16" s="37">
        <v>0</v>
      </c>
      <c r="BS16" s="35">
        <v>0</v>
      </c>
      <c r="BT16" s="36"/>
      <c r="BU16" s="37">
        <v>0</v>
      </c>
      <c r="BV16" s="35">
        <v>0</v>
      </c>
      <c r="BW16" s="36">
        <v>0</v>
      </c>
      <c r="BX16" s="37">
        <v>0</v>
      </c>
      <c r="BY16" s="39">
        <v>0</v>
      </c>
      <c r="BZ16" s="40">
        <v>7111.3470000000007</v>
      </c>
      <c r="CB16" s="33">
        <v>7111.3470000000007</v>
      </c>
      <c r="CD16" s="34">
        <v>0</v>
      </c>
    </row>
    <row r="17" spans="1:82">
      <c r="A17" s="280"/>
      <c r="B17" s="28" t="s">
        <v>87</v>
      </c>
      <c r="C17" s="35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6">
        <v>0</v>
      </c>
      <c r="AH17" s="36">
        <v>0</v>
      </c>
      <c r="AI17" s="37">
        <v>0</v>
      </c>
      <c r="AJ17" s="35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8">
        <v>6245.6820000000007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7">
        <v>0</v>
      </c>
      <c r="BQ17" s="35">
        <v>0</v>
      </c>
      <c r="BR17" s="37">
        <v>0</v>
      </c>
      <c r="BS17" s="35">
        <v>0</v>
      </c>
      <c r="BT17" s="36"/>
      <c r="BU17" s="37">
        <v>0</v>
      </c>
      <c r="BV17" s="35">
        <v>0</v>
      </c>
      <c r="BW17" s="36">
        <v>0</v>
      </c>
      <c r="BX17" s="37">
        <v>0</v>
      </c>
      <c r="BY17" s="39">
        <v>0</v>
      </c>
      <c r="BZ17" s="40">
        <v>6245.6820000000007</v>
      </c>
      <c r="CB17" s="33">
        <v>6245.6820000000007</v>
      </c>
      <c r="CD17" s="34">
        <v>0</v>
      </c>
    </row>
    <row r="18" spans="1:82">
      <c r="A18" s="280"/>
      <c r="B18" s="28" t="s">
        <v>88</v>
      </c>
      <c r="C18" s="35">
        <v>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6">
        <v>0</v>
      </c>
      <c r="AH18" s="36">
        <v>0</v>
      </c>
      <c r="AI18" s="37">
        <v>0</v>
      </c>
      <c r="AJ18" s="35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8">
        <v>2014.7720000000002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7">
        <v>0</v>
      </c>
      <c r="BQ18" s="35">
        <v>0</v>
      </c>
      <c r="BR18" s="37">
        <v>0</v>
      </c>
      <c r="BS18" s="35">
        <v>0</v>
      </c>
      <c r="BT18" s="36"/>
      <c r="BU18" s="37">
        <v>0</v>
      </c>
      <c r="BV18" s="35">
        <v>0</v>
      </c>
      <c r="BW18" s="36">
        <v>0</v>
      </c>
      <c r="BX18" s="37">
        <v>0</v>
      </c>
      <c r="BY18" s="39">
        <v>0</v>
      </c>
      <c r="BZ18" s="40">
        <v>2014.7720000000002</v>
      </c>
      <c r="CB18" s="33">
        <v>2014.7720000000002</v>
      </c>
      <c r="CD18" s="34">
        <v>0</v>
      </c>
    </row>
    <row r="19" spans="1:82">
      <c r="A19" s="280"/>
      <c r="B19" s="28" t="s">
        <v>89</v>
      </c>
      <c r="C19" s="35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>
        <v>0</v>
      </c>
      <c r="AH19" s="36">
        <v>0</v>
      </c>
      <c r="AI19" s="37">
        <v>0</v>
      </c>
      <c r="AJ19" s="35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8">
        <v>13743.5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7">
        <v>0</v>
      </c>
      <c r="BQ19" s="35">
        <v>0</v>
      </c>
      <c r="BR19" s="37">
        <v>0</v>
      </c>
      <c r="BS19" s="35">
        <v>0</v>
      </c>
      <c r="BT19" s="36"/>
      <c r="BU19" s="37">
        <v>0</v>
      </c>
      <c r="BV19" s="35">
        <v>0</v>
      </c>
      <c r="BW19" s="36">
        <v>0</v>
      </c>
      <c r="BX19" s="37">
        <v>0</v>
      </c>
      <c r="BY19" s="39">
        <v>0</v>
      </c>
      <c r="BZ19" s="40">
        <v>13743.5</v>
      </c>
      <c r="CB19" s="33">
        <v>13743.5</v>
      </c>
      <c r="CD19" s="34">
        <v>0</v>
      </c>
    </row>
    <row r="20" spans="1:82">
      <c r="A20" s="280"/>
      <c r="B20" s="28" t="s">
        <v>90</v>
      </c>
      <c r="C20" s="35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6">
        <v>0</v>
      </c>
      <c r="AH20" s="36">
        <v>0</v>
      </c>
      <c r="AI20" s="37">
        <v>0</v>
      </c>
      <c r="AJ20" s="35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8">
        <v>32516.284247284773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7">
        <v>0</v>
      </c>
      <c r="BQ20" s="35">
        <v>0</v>
      </c>
      <c r="BR20" s="37">
        <v>0</v>
      </c>
      <c r="BS20" s="35">
        <v>0</v>
      </c>
      <c r="BT20" s="36"/>
      <c r="BU20" s="37">
        <v>0</v>
      </c>
      <c r="BV20" s="35">
        <v>0</v>
      </c>
      <c r="BW20" s="36">
        <v>0</v>
      </c>
      <c r="BX20" s="37">
        <v>0</v>
      </c>
      <c r="BY20" s="39">
        <v>0</v>
      </c>
      <c r="BZ20" s="40">
        <v>32516.284247284777</v>
      </c>
      <c r="CB20" s="33">
        <v>32516.284247284777</v>
      </c>
      <c r="CD20" s="34">
        <v>0</v>
      </c>
    </row>
    <row r="21" spans="1:82">
      <c r="A21" s="280"/>
      <c r="B21" s="28" t="s">
        <v>91</v>
      </c>
      <c r="C21" s="35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>
        <v>0</v>
      </c>
      <c r="AH21" s="36">
        <v>0</v>
      </c>
      <c r="AI21" s="37">
        <v>0</v>
      </c>
      <c r="AJ21" s="35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8">
        <v>89406.357042682357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7">
        <v>0</v>
      </c>
      <c r="BQ21" s="35">
        <v>0</v>
      </c>
      <c r="BR21" s="37">
        <v>0</v>
      </c>
      <c r="BS21" s="35">
        <v>0</v>
      </c>
      <c r="BT21" s="36"/>
      <c r="BU21" s="37">
        <v>0</v>
      </c>
      <c r="BV21" s="35">
        <v>0</v>
      </c>
      <c r="BW21" s="36">
        <v>0</v>
      </c>
      <c r="BX21" s="37">
        <v>0</v>
      </c>
      <c r="BY21" s="39">
        <v>0</v>
      </c>
      <c r="BZ21" s="40">
        <v>89406.357042682357</v>
      </c>
      <c r="CB21" s="33">
        <v>89406.357042682357</v>
      </c>
      <c r="CD21" s="34">
        <v>0</v>
      </c>
    </row>
    <row r="22" spans="1:82">
      <c r="A22" s="280"/>
      <c r="B22" s="41" t="s">
        <v>92</v>
      </c>
      <c r="C22" s="35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6">
        <v>0</v>
      </c>
      <c r="AH22" s="36">
        <v>0</v>
      </c>
      <c r="AI22" s="37">
        <v>0</v>
      </c>
      <c r="AJ22" s="35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8">
        <v>190466.70173842864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7">
        <v>0</v>
      </c>
      <c r="BQ22" s="35">
        <v>0</v>
      </c>
      <c r="BR22" s="37">
        <v>0</v>
      </c>
      <c r="BS22" s="35">
        <v>0</v>
      </c>
      <c r="BT22" s="36"/>
      <c r="BU22" s="37">
        <v>0</v>
      </c>
      <c r="BV22" s="35">
        <v>0</v>
      </c>
      <c r="BW22" s="36">
        <v>0</v>
      </c>
      <c r="BX22" s="37">
        <v>0</v>
      </c>
      <c r="BY22" s="39">
        <v>0</v>
      </c>
      <c r="BZ22" s="40">
        <v>190466.70173842864</v>
      </c>
      <c r="CB22" s="33">
        <v>190466.70173842864</v>
      </c>
      <c r="CD22" s="34">
        <v>0</v>
      </c>
    </row>
    <row r="23" spans="1:82">
      <c r="A23" s="280"/>
      <c r="B23" s="28" t="s">
        <v>93</v>
      </c>
      <c r="C23" s="35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6">
        <v>0</v>
      </c>
      <c r="AH23" s="36">
        <v>0</v>
      </c>
      <c r="AI23" s="37">
        <v>0</v>
      </c>
      <c r="AJ23" s="35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8">
        <v>61824.290783745375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7">
        <v>0</v>
      </c>
      <c r="BQ23" s="35">
        <v>0</v>
      </c>
      <c r="BR23" s="37">
        <v>0</v>
      </c>
      <c r="BS23" s="35">
        <v>0</v>
      </c>
      <c r="BT23" s="36"/>
      <c r="BU23" s="37">
        <v>0</v>
      </c>
      <c r="BV23" s="35">
        <v>0</v>
      </c>
      <c r="BW23" s="36">
        <v>0</v>
      </c>
      <c r="BX23" s="37">
        <v>0</v>
      </c>
      <c r="BY23" s="39">
        <v>0</v>
      </c>
      <c r="BZ23" s="40">
        <v>61824.290783745382</v>
      </c>
      <c r="CB23" s="33">
        <v>61824.290783745382</v>
      </c>
      <c r="CD23" s="34">
        <v>0</v>
      </c>
    </row>
    <row r="24" spans="1:82">
      <c r="A24" s="280"/>
      <c r="B24" s="28" t="s">
        <v>94</v>
      </c>
      <c r="C24" s="35">
        <v>0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  <c r="AH24" s="36">
        <v>0</v>
      </c>
      <c r="AI24" s="37">
        <v>0</v>
      </c>
      <c r="AJ24" s="35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8">
        <v>15857.388999999996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7">
        <v>0</v>
      </c>
      <c r="BQ24" s="35">
        <v>0</v>
      </c>
      <c r="BR24" s="37">
        <v>0</v>
      </c>
      <c r="BS24" s="35">
        <v>0</v>
      </c>
      <c r="BT24" s="36"/>
      <c r="BU24" s="37">
        <v>0</v>
      </c>
      <c r="BV24" s="35">
        <v>0</v>
      </c>
      <c r="BW24" s="36">
        <v>0</v>
      </c>
      <c r="BX24" s="37">
        <v>0</v>
      </c>
      <c r="BY24" s="39">
        <v>0</v>
      </c>
      <c r="BZ24" s="40">
        <v>15857.388999999996</v>
      </c>
      <c r="CB24" s="33">
        <v>15857.388999999996</v>
      </c>
      <c r="CD24" s="34">
        <v>0</v>
      </c>
    </row>
    <row r="25" spans="1:82">
      <c r="A25" s="280"/>
      <c r="B25" s="28" t="s">
        <v>95</v>
      </c>
      <c r="C25" s="35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7">
        <v>0</v>
      </c>
      <c r="AJ25" s="35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8">
        <v>2289.5279999999998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7">
        <v>0</v>
      </c>
      <c r="BQ25" s="35">
        <v>0</v>
      </c>
      <c r="BR25" s="37">
        <v>0</v>
      </c>
      <c r="BS25" s="35">
        <v>0</v>
      </c>
      <c r="BT25" s="36"/>
      <c r="BU25" s="37">
        <v>0</v>
      </c>
      <c r="BV25" s="35">
        <v>0</v>
      </c>
      <c r="BW25" s="36">
        <v>0</v>
      </c>
      <c r="BX25" s="37">
        <v>0</v>
      </c>
      <c r="BY25" s="39">
        <v>0</v>
      </c>
      <c r="BZ25" s="40">
        <v>2289.5279999999998</v>
      </c>
      <c r="CB25" s="33">
        <v>2289.5279999999998</v>
      </c>
      <c r="CD25" s="34">
        <v>0</v>
      </c>
    </row>
    <row r="26" spans="1:82">
      <c r="A26" s="280"/>
      <c r="B26" s="28" t="s">
        <v>96</v>
      </c>
      <c r="C26" s="35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7">
        <v>0</v>
      </c>
      <c r="AJ26" s="35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0</v>
      </c>
      <c r="BF26" s="38">
        <v>102307.00900000002</v>
      </c>
      <c r="BG26" s="36">
        <v>0</v>
      </c>
      <c r="BH26" s="36">
        <v>0</v>
      </c>
      <c r="BI26" s="36">
        <v>0</v>
      </c>
      <c r="BJ26" s="36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7">
        <v>0</v>
      </c>
      <c r="BQ26" s="35">
        <v>0</v>
      </c>
      <c r="BR26" s="37">
        <v>0</v>
      </c>
      <c r="BS26" s="35">
        <v>0</v>
      </c>
      <c r="BT26" s="36"/>
      <c r="BU26" s="37">
        <v>0</v>
      </c>
      <c r="BV26" s="35">
        <v>0</v>
      </c>
      <c r="BW26" s="36">
        <v>0</v>
      </c>
      <c r="BX26" s="37">
        <v>0</v>
      </c>
      <c r="BY26" s="39">
        <v>0</v>
      </c>
      <c r="BZ26" s="40">
        <v>102307.00900000002</v>
      </c>
      <c r="CB26" s="33">
        <v>102307.00900000002</v>
      </c>
      <c r="CD26" s="34">
        <v>0</v>
      </c>
    </row>
    <row r="27" spans="1:82">
      <c r="A27" s="280"/>
      <c r="B27" s="28" t="s">
        <v>97</v>
      </c>
      <c r="C27" s="35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7">
        <v>0</v>
      </c>
      <c r="AJ27" s="35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</v>
      </c>
      <c r="BD27" s="36">
        <v>0</v>
      </c>
      <c r="BE27" s="36">
        <v>0</v>
      </c>
      <c r="BF27" s="36">
        <v>0</v>
      </c>
      <c r="BG27" s="38">
        <v>51951.452999999994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7">
        <v>0</v>
      </c>
      <c r="BQ27" s="35">
        <v>0</v>
      </c>
      <c r="BR27" s="37">
        <v>0</v>
      </c>
      <c r="BS27" s="35">
        <v>0</v>
      </c>
      <c r="BT27" s="36"/>
      <c r="BU27" s="37">
        <v>0</v>
      </c>
      <c r="BV27" s="35">
        <v>0</v>
      </c>
      <c r="BW27" s="36">
        <v>0</v>
      </c>
      <c r="BX27" s="37">
        <v>0</v>
      </c>
      <c r="BY27" s="39">
        <v>0</v>
      </c>
      <c r="BZ27" s="40">
        <v>51951.452999999994</v>
      </c>
      <c r="CB27" s="33">
        <v>51951.452999999994</v>
      </c>
      <c r="CD27" s="34">
        <v>0</v>
      </c>
    </row>
    <row r="28" spans="1:82">
      <c r="A28" s="280"/>
      <c r="B28" s="28" t="s">
        <v>98</v>
      </c>
      <c r="C28" s="35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7">
        <v>0</v>
      </c>
      <c r="AJ28" s="35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8">
        <v>33978.014777243785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7">
        <v>0</v>
      </c>
      <c r="BQ28" s="35">
        <v>0</v>
      </c>
      <c r="BR28" s="37">
        <v>0</v>
      </c>
      <c r="BS28" s="35">
        <v>0</v>
      </c>
      <c r="BT28" s="36"/>
      <c r="BU28" s="37">
        <v>0</v>
      </c>
      <c r="BV28" s="35">
        <v>0</v>
      </c>
      <c r="BW28" s="36">
        <v>0</v>
      </c>
      <c r="BX28" s="37">
        <v>0</v>
      </c>
      <c r="BY28" s="39">
        <v>0</v>
      </c>
      <c r="BZ28" s="40">
        <v>33978.014777243792</v>
      </c>
      <c r="CB28" s="33">
        <v>33978.014777243792</v>
      </c>
      <c r="CD28" s="34">
        <v>0</v>
      </c>
    </row>
    <row r="29" spans="1:82">
      <c r="A29" s="280"/>
      <c r="B29" s="28" t="s">
        <v>99</v>
      </c>
      <c r="C29" s="35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6">
        <v>0</v>
      </c>
      <c r="AH29" s="36">
        <v>0</v>
      </c>
      <c r="AI29" s="37">
        <v>0</v>
      </c>
      <c r="AJ29" s="35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8">
        <v>68358.296123052918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7">
        <v>0</v>
      </c>
      <c r="BQ29" s="35">
        <v>0</v>
      </c>
      <c r="BR29" s="37">
        <v>0</v>
      </c>
      <c r="BS29" s="35">
        <v>0</v>
      </c>
      <c r="BT29" s="36"/>
      <c r="BU29" s="37">
        <v>0</v>
      </c>
      <c r="BV29" s="35">
        <v>0</v>
      </c>
      <c r="BW29" s="36">
        <v>0</v>
      </c>
      <c r="BX29" s="37">
        <v>0</v>
      </c>
      <c r="BY29" s="39">
        <v>0</v>
      </c>
      <c r="BZ29" s="40">
        <v>68358.296123052933</v>
      </c>
      <c r="CB29" s="33">
        <v>68358.296123052933</v>
      </c>
      <c r="CD29" s="34">
        <v>0</v>
      </c>
    </row>
    <row r="30" spans="1:82">
      <c r="A30" s="280"/>
      <c r="B30" s="28" t="s">
        <v>100</v>
      </c>
      <c r="C30" s="35">
        <v>0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7">
        <v>0</v>
      </c>
      <c r="AJ30" s="35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0</v>
      </c>
      <c r="BC30" s="36">
        <v>0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8">
        <v>51738.011936033465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7">
        <v>0</v>
      </c>
      <c r="BQ30" s="35">
        <v>0</v>
      </c>
      <c r="BR30" s="37">
        <v>0</v>
      </c>
      <c r="BS30" s="35">
        <v>0</v>
      </c>
      <c r="BT30" s="36"/>
      <c r="BU30" s="37">
        <v>0</v>
      </c>
      <c r="BV30" s="35">
        <v>0</v>
      </c>
      <c r="BW30" s="36">
        <v>0</v>
      </c>
      <c r="BX30" s="37">
        <v>0</v>
      </c>
      <c r="BY30" s="39">
        <v>0</v>
      </c>
      <c r="BZ30" s="40">
        <v>51738.011936033472</v>
      </c>
      <c r="CB30" s="33">
        <v>51738.011936033472</v>
      </c>
      <c r="CD30" s="34">
        <v>0</v>
      </c>
    </row>
    <row r="31" spans="1:82">
      <c r="A31" s="280"/>
      <c r="B31" s="28" t="s">
        <v>101</v>
      </c>
      <c r="C31" s="35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7">
        <v>0</v>
      </c>
      <c r="AJ31" s="35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8">
        <v>92686.291595032715</v>
      </c>
      <c r="BL31" s="36">
        <v>0</v>
      </c>
      <c r="BM31" s="36">
        <v>0</v>
      </c>
      <c r="BN31" s="36">
        <v>0</v>
      </c>
      <c r="BO31" s="36">
        <v>0</v>
      </c>
      <c r="BP31" s="37">
        <v>0</v>
      </c>
      <c r="BQ31" s="35">
        <v>0</v>
      </c>
      <c r="BR31" s="37">
        <v>0</v>
      </c>
      <c r="BS31" s="35">
        <v>0</v>
      </c>
      <c r="BT31" s="36"/>
      <c r="BU31" s="37">
        <v>0</v>
      </c>
      <c r="BV31" s="35">
        <v>0</v>
      </c>
      <c r="BW31" s="36">
        <v>0</v>
      </c>
      <c r="BX31" s="37">
        <v>0</v>
      </c>
      <c r="BY31" s="39">
        <v>0</v>
      </c>
      <c r="BZ31" s="40">
        <v>92686.29159503273</v>
      </c>
      <c r="CB31" s="33">
        <v>92686.29159503273</v>
      </c>
      <c r="CD31" s="34">
        <v>0</v>
      </c>
    </row>
    <row r="32" spans="1:82">
      <c r="A32" s="280"/>
      <c r="B32" s="28" t="s">
        <v>102</v>
      </c>
      <c r="C32" s="35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7">
        <v>0</v>
      </c>
      <c r="AJ32" s="35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8">
        <v>48821.366518956798</v>
      </c>
      <c r="BM32" s="36">
        <v>0</v>
      </c>
      <c r="BN32" s="36">
        <v>0</v>
      </c>
      <c r="BO32" s="36">
        <v>0</v>
      </c>
      <c r="BP32" s="37">
        <v>0</v>
      </c>
      <c r="BQ32" s="35">
        <v>0</v>
      </c>
      <c r="BR32" s="37">
        <v>0</v>
      </c>
      <c r="BS32" s="35">
        <v>0</v>
      </c>
      <c r="BT32" s="36"/>
      <c r="BU32" s="37">
        <v>0</v>
      </c>
      <c r="BV32" s="35">
        <v>0</v>
      </c>
      <c r="BW32" s="36">
        <v>0</v>
      </c>
      <c r="BX32" s="37">
        <v>0</v>
      </c>
      <c r="BY32" s="39">
        <v>0</v>
      </c>
      <c r="BZ32" s="40">
        <v>48821.366518956798</v>
      </c>
      <c r="CB32" s="33">
        <v>48821.366518956798</v>
      </c>
      <c r="CD32" s="34">
        <v>0</v>
      </c>
    </row>
    <row r="33" spans="1:85">
      <c r="A33" s="280"/>
      <c r="B33" s="28" t="s">
        <v>103</v>
      </c>
      <c r="C33" s="35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7">
        <v>0</v>
      </c>
      <c r="AJ33" s="35">
        <v>0</v>
      </c>
      <c r="AK33" s="36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8">
        <v>12497.736973482994</v>
      </c>
      <c r="BN33" s="36">
        <v>0</v>
      </c>
      <c r="BO33" s="36">
        <v>0</v>
      </c>
      <c r="BP33" s="37">
        <v>0</v>
      </c>
      <c r="BQ33" s="35">
        <v>0</v>
      </c>
      <c r="BR33" s="37">
        <v>0</v>
      </c>
      <c r="BS33" s="35">
        <v>0</v>
      </c>
      <c r="BT33" s="36"/>
      <c r="BU33" s="37">
        <v>0</v>
      </c>
      <c r="BV33" s="35">
        <v>0</v>
      </c>
      <c r="BW33" s="36">
        <v>0</v>
      </c>
      <c r="BX33" s="37">
        <v>0</v>
      </c>
      <c r="BY33" s="39">
        <v>0</v>
      </c>
      <c r="BZ33" s="40">
        <v>12497.736973482995</v>
      </c>
      <c r="CB33" s="33">
        <v>12497.736973482995</v>
      </c>
      <c r="CD33" s="34">
        <v>0</v>
      </c>
    </row>
    <row r="34" spans="1:85">
      <c r="A34" s="280"/>
      <c r="B34" s="28" t="s">
        <v>104</v>
      </c>
      <c r="C34" s="35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7">
        <v>0</v>
      </c>
      <c r="AJ34" s="35">
        <v>0</v>
      </c>
      <c r="AK34" s="36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8">
        <v>11654.900466501786</v>
      </c>
      <c r="BO34" s="36">
        <v>0</v>
      </c>
      <c r="BP34" s="37">
        <v>0</v>
      </c>
      <c r="BQ34" s="35">
        <v>0</v>
      </c>
      <c r="BR34" s="37">
        <v>0</v>
      </c>
      <c r="BS34" s="35">
        <v>0</v>
      </c>
      <c r="BT34" s="36"/>
      <c r="BU34" s="37">
        <v>0</v>
      </c>
      <c r="BV34" s="35">
        <v>0</v>
      </c>
      <c r="BW34" s="36">
        <v>0</v>
      </c>
      <c r="BX34" s="37">
        <v>0</v>
      </c>
      <c r="BY34" s="39">
        <v>0</v>
      </c>
      <c r="BZ34" s="40">
        <v>11654.900466501786</v>
      </c>
      <c r="CB34" s="33">
        <v>11654.900466501786</v>
      </c>
      <c r="CD34" s="34">
        <v>0</v>
      </c>
    </row>
    <row r="35" spans="1:85">
      <c r="A35" s="280"/>
      <c r="B35" s="28" t="s">
        <v>105</v>
      </c>
      <c r="C35" s="35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</v>
      </c>
      <c r="AC35" s="36">
        <v>0</v>
      </c>
      <c r="AD35" s="36">
        <v>0</v>
      </c>
      <c r="AE35" s="36">
        <v>0</v>
      </c>
      <c r="AF35" s="36">
        <v>0</v>
      </c>
      <c r="AG35" s="36">
        <v>0</v>
      </c>
      <c r="AH35" s="36">
        <v>0</v>
      </c>
      <c r="AI35" s="37">
        <v>0</v>
      </c>
      <c r="AJ35" s="35">
        <v>0</v>
      </c>
      <c r="AK35" s="36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</v>
      </c>
      <c r="BC35" s="36">
        <v>0</v>
      </c>
      <c r="BD35" s="36">
        <v>0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8">
        <v>7820.8397258647346</v>
      </c>
      <c r="BP35" s="37">
        <v>0</v>
      </c>
      <c r="BQ35" s="35">
        <v>0</v>
      </c>
      <c r="BR35" s="37">
        <v>0</v>
      </c>
      <c r="BS35" s="35">
        <v>0</v>
      </c>
      <c r="BT35" s="36"/>
      <c r="BU35" s="37">
        <v>0</v>
      </c>
      <c r="BV35" s="35">
        <v>0</v>
      </c>
      <c r="BW35" s="36">
        <v>0</v>
      </c>
      <c r="BX35" s="37">
        <v>0</v>
      </c>
      <c r="BY35" s="39">
        <v>0</v>
      </c>
      <c r="BZ35" s="40">
        <v>7820.8397258647356</v>
      </c>
      <c r="CB35" s="33">
        <v>7820.8397258647356</v>
      </c>
      <c r="CD35" s="34">
        <v>0</v>
      </c>
    </row>
    <row r="36" spans="1:85" ht="15" thickBot="1">
      <c r="A36" s="281"/>
      <c r="B36" s="42" t="s">
        <v>106</v>
      </c>
      <c r="C36" s="35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  <c r="AH36" s="36">
        <v>0</v>
      </c>
      <c r="AI36" s="37">
        <v>0</v>
      </c>
      <c r="AJ36" s="35">
        <v>0</v>
      </c>
      <c r="AK36" s="36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43">
        <v>1945.3419233888926</v>
      </c>
      <c r="BQ36" s="35">
        <v>0</v>
      </c>
      <c r="BR36" s="37">
        <v>0</v>
      </c>
      <c r="BS36" s="35">
        <v>0</v>
      </c>
      <c r="BT36" s="36"/>
      <c r="BU36" s="37">
        <v>0</v>
      </c>
      <c r="BV36" s="35">
        <v>0</v>
      </c>
      <c r="BW36" s="36">
        <v>0</v>
      </c>
      <c r="BX36" s="37">
        <v>0</v>
      </c>
      <c r="BY36" s="39">
        <v>0</v>
      </c>
      <c r="BZ36" s="40">
        <v>1945.3419233888926</v>
      </c>
      <c r="CB36" s="33">
        <v>1945.3419233888926</v>
      </c>
      <c r="CD36" s="34">
        <v>0</v>
      </c>
    </row>
    <row r="37" spans="1:85">
      <c r="A37" s="280" t="s">
        <v>68</v>
      </c>
      <c r="B37" s="44" t="s">
        <v>74</v>
      </c>
      <c r="C37" s="45">
        <v>143.07823590530879</v>
      </c>
      <c r="D37" s="46">
        <v>0</v>
      </c>
      <c r="E37" s="46">
        <v>2948.2760170595957</v>
      </c>
      <c r="F37" s="46">
        <v>0.80286355196178172</v>
      </c>
      <c r="G37" s="46">
        <v>0</v>
      </c>
      <c r="H37" s="46">
        <v>47.293888174773144</v>
      </c>
      <c r="I37" s="46">
        <v>0</v>
      </c>
      <c r="J37" s="46">
        <v>0</v>
      </c>
      <c r="K37" s="46">
        <v>0</v>
      </c>
      <c r="L37" s="46">
        <v>5.2979158899536278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1610.6116036461883</v>
      </c>
      <c r="W37" s="46">
        <v>0</v>
      </c>
      <c r="X37" s="46">
        <v>0</v>
      </c>
      <c r="Y37" s="46">
        <v>546.04976871135295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6">
        <v>0</v>
      </c>
      <c r="AG37" s="46">
        <v>36.561041205969538</v>
      </c>
      <c r="AH37" s="46">
        <v>0</v>
      </c>
      <c r="AI37" s="47">
        <v>0</v>
      </c>
      <c r="AJ37" s="35">
        <v>0</v>
      </c>
      <c r="AK37" s="36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7">
        <v>0</v>
      </c>
      <c r="BQ37" s="35">
        <v>0</v>
      </c>
      <c r="BR37" s="37">
        <v>0</v>
      </c>
      <c r="BS37" s="35">
        <v>0</v>
      </c>
      <c r="BT37" s="36"/>
      <c r="BU37" s="37">
        <v>0</v>
      </c>
      <c r="BV37" s="45">
        <v>2724.7899886927107</v>
      </c>
      <c r="BW37" s="46">
        <v>0</v>
      </c>
      <c r="BX37" s="47">
        <v>13478.351902081989</v>
      </c>
      <c r="BY37" s="48">
        <v>327.9915341696771</v>
      </c>
      <c r="BZ37" s="49">
        <v>21869.104759089481</v>
      </c>
      <c r="CB37" s="50">
        <v>21869.104759089481</v>
      </c>
      <c r="CD37" s="34">
        <v>20356.80554446482</v>
      </c>
      <c r="CE37">
        <v>20356.80554446482</v>
      </c>
      <c r="CG37" s="34">
        <v>0</v>
      </c>
    </row>
    <row r="38" spans="1:85">
      <c r="A38" s="280"/>
      <c r="B38" s="44" t="s">
        <v>75</v>
      </c>
      <c r="C38" s="45">
        <v>0</v>
      </c>
      <c r="D38" s="46">
        <v>653.16941081642108</v>
      </c>
      <c r="E38" s="46">
        <v>101.44139136435791</v>
      </c>
      <c r="F38" s="46">
        <v>0</v>
      </c>
      <c r="G38" s="46">
        <v>0</v>
      </c>
      <c r="H38" s="46">
        <v>6.1203669341497218</v>
      </c>
      <c r="I38" s="46">
        <v>0</v>
      </c>
      <c r="J38" s="46">
        <v>22262.802475382508</v>
      </c>
      <c r="K38" s="46">
        <v>22.487696830331647</v>
      </c>
      <c r="L38" s="46">
        <v>0</v>
      </c>
      <c r="M38" s="46">
        <v>297.72952112198385</v>
      </c>
      <c r="N38" s="46">
        <v>23.711952651076075</v>
      </c>
      <c r="O38" s="46">
        <v>2.4323441930633103E-2</v>
      </c>
      <c r="P38" s="46">
        <v>0</v>
      </c>
      <c r="Q38" s="46">
        <v>0</v>
      </c>
      <c r="R38" s="46">
        <v>349.98526899996273</v>
      </c>
      <c r="S38" s="46">
        <v>0</v>
      </c>
      <c r="T38" s="46">
        <v>284.62506732249068</v>
      </c>
      <c r="U38" s="46">
        <v>60.706331757998363</v>
      </c>
      <c r="V38" s="46">
        <v>0</v>
      </c>
      <c r="W38" s="46">
        <v>0.68713536245575257</v>
      </c>
      <c r="X38" s="46">
        <v>0</v>
      </c>
      <c r="Y38" s="46">
        <v>0</v>
      </c>
      <c r="Z38" s="46">
        <v>407.34275326788526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46">
        <v>0</v>
      </c>
      <c r="AH38" s="46">
        <v>0</v>
      </c>
      <c r="AI38" s="47">
        <v>0</v>
      </c>
      <c r="AJ38" s="35">
        <v>0</v>
      </c>
      <c r="AK38" s="36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36">
        <v>0</v>
      </c>
      <c r="AX38" s="36">
        <v>0</v>
      </c>
      <c r="AY38" s="36">
        <v>0</v>
      </c>
      <c r="AZ38" s="36">
        <v>0</v>
      </c>
      <c r="BA38" s="36">
        <v>0</v>
      </c>
      <c r="BB38" s="36">
        <v>0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0</v>
      </c>
      <c r="BJ38" s="36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7">
        <v>0</v>
      </c>
      <c r="BQ38" s="35">
        <v>0</v>
      </c>
      <c r="BR38" s="37">
        <v>0</v>
      </c>
      <c r="BS38" s="35">
        <v>0</v>
      </c>
      <c r="BT38" s="36"/>
      <c r="BU38" s="37">
        <v>0</v>
      </c>
      <c r="BV38" s="45">
        <v>514.07805955499282</v>
      </c>
      <c r="BW38" s="46">
        <v>0</v>
      </c>
      <c r="BX38" s="47">
        <v>125317.36036255097</v>
      </c>
      <c r="BY38" s="48">
        <v>521.2328051112944</v>
      </c>
      <c r="BZ38" s="49">
        <v>150823.50492247081</v>
      </c>
      <c r="CB38" s="50">
        <v>150823.50492247081</v>
      </c>
      <c r="CD38" s="34">
        <v>139374.77639088937</v>
      </c>
      <c r="CE38">
        <v>139374.77639088937</v>
      </c>
      <c r="CG38" s="34">
        <v>0</v>
      </c>
    </row>
    <row r="39" spans="1:85">
      <c r="A39" s="280"/>
      <c r="B39" s="44" t="s">
        <v>76</v>
      </c>
      <c r="C39" s="45">
        <v>443.27858699773691</v>
      </c>
      <c r="D39" s="46">
        <v>0</v>
      </c>
      <c r="E39" s="46">
        <v>8805.5268241051217</v>
      </c>
      <c r="F39" s="46">
        <v>0</v>
      </c>
      <c r="G39" s="46">
        <v>0</v>
      </c>
      <c r="H39" s="46">
        <v>2.3586798746378018E-2</v>
      </c>
      <c r="I39" s="46">
        <v>0.24330826989269344</v>
      </c>
      <c r="J39" s="46">
        <v>0</v>
      </c>
      <c r="K39" s="46">
        <v>45.323193258002348</v>
      </c>
      <c r="L39" s="46">
        <v>0</v>
      </c>
      <c r="M39" s="46">
        <v>0</v>
      </c>
      <c r="N39" s="46">
        <v>4.1326843550814116</v>
      </c>
      <c r="O39" s="46">
        <v>0</v>
      </c>
      <c r="P39" s="46">
        <v>0.37408767626039047</v>
      </c>
      <c r="Q39" s="46">
        <v>8.6673367614887933E-2</v>
      </c>
      <c r="R39" s="46">
        <v>0.23063435453130504</v>
      </c>
      <c r="S39" s="46">
        <v>4.8891826825966378E-2</v>
      </c>
      <c r="T39" s="46">
        <v>0.90742099991843894</v>
      </c>
      <c r="U39" s="46">
        <v>44.82131171797139</v>
      </c>
      <c r="V39" s="46">
        <v>9221.4896063921806</v>
      </c>
      <c r="W39" s="46">
        <v>5.7621653420335858E-2</v>
      </c>
      <c r="X39" s="46">
        <v>0</v>
      </c>
      <c r="Y39" s="46">
        <v>2734.1726592034756</v>
      </c>
      <c r="Z39" s="46">
        <v>47.926888375112767</v>
      </c>
      <c r="AA39" s="46">
        <v>0</v>
      </c>
      <c r="AB39" s="46">
        <v>0</v>
      </c>
      <c r="AC39" s="46">
        <v>52.972689877271435</v>
      </c>
      <c r="AD39" s="46">
        <v>61.641520505996795</v>
      </c>
      <c r="AE39" s="46">
        <v>91.856638011086147</v>
      </c>
      <c r="AF39" s="46">
        <v>5.6700134628609913</v>
      </c>
      <c r="AG39" s="46">
        <v>258.32034603018809</v>
      </c>
      <c r="AH39" s="46">
        <v>386.26082050460712</v>
      </c>
      <c r="AI39" s="47">
        <v>0</v>
      </c>
      <c r="AJ39" s="35">
        <v>0</v>
      </c>
      <c r="AK39" s="36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7">
        <v>0</v>
      </c>
      <c r="BQ39" s="35">
        <v>0</v>
      </c>
      <c r="BR39" s="37">
        <v>0</v>
      </c>
      <c r="BS39" s="35">
        <v>0</v>
      </c>
      <c r="BT39" s="36"/>
      <c r="BU39" s="37">
        <v>0</v>
      </c>
      <c r="BV39" s="45">
        <v>9135.7623168094196</v>
      </c>
      <c r="BW39" s="46">
        <v>0</v>
      </c>
      <c r="BX39" s="47">
        <v>40267.724701005194</v>
      </c>
      <c r="BY39" s="48">
        <v>187.14831260354563</v>
      </c>
      <c r="BZ39" s="49">
        <v>71796.001338162067</v>
      </c>
      <c r="CB39" s="50">
        <v>71796.001338162067</v>
      </c>
      <c r="CD39" s="34">
        <v>46238.282338162076</v>
      </c>
      <c r="CE39">
        <v>46238.282338162076</v>
      </c>
      <c r="CG39" s="34">
        <v>0</v>
      </c>
    </row>
    <row r="40" spans="1:85">
      <c r="A40" s="280"/>
      <c r="B40" s="44" t="s">
        <v>77</v>
      </c>
      <c r="C40" s="45">
        <v>9.8214309387835055</v>
      </c>
      <c r="D40" s="46">
        <v>0</v>
      </c>
      <c r="E40" s="46">
        <v>40.776498420445073</v>
      </c>
      <c r="F40" s="46">
        <v>847.77562503103979</v>
      </c>
      <c r="G40" s="46">
        <v>2.7194626952667775</v>
      </c>
      <c r="H40" s="46">
        <v>24.203471482992004</v>
      </c>
      <c r="I40" s="46">
        <v>14.517658738705769</v>
      </c>
      <c r="J40" s="46">
        <v>1.4346228140804382E-3</v>
      </c>
      <c r="K40" s="46">
        <v>3.9443526400293405</v>
      </c>
      <c r="L40" s="46">
        <v>0.2772327233887632</v>
      </c>
      <c r="M40" s="46">
        <v>3.1923404967877418</v>
      </c>
      <c r="N40" s="46">
        <v>15.217026077527342</v>
      </c>
      <c r="O40" s="46">
        <v>4.474749151108508</v>
      </c>
      <c r="P40" s="46">
        <v>2.6666000697492152</v>
      </c>
      <c r="Q40" s="46">
        <v>69.702729973059306</v>
      </c>
      <c r="R40" s="46">
        <v>74.578343452838638</v>
      </c>
      <c r="S40" s="46">
        <v>0.58925542747739501</v>
      </c>
      <c r="T40" s="46">
        <v>122.7376543392551</v>
      </c>
      <c r="U40" s="46">
        <v>137.09779810140287</v>
      </c>
      <c r="V40" s="46">
        <v>490.7492417506129</v>
      </c>
      <c r="W40" s="46">
        <v>15.468951235922477</v>
      </c>
      <c r="X40" s="46">
        <v>1.7603693104953213E-2</v>
      </c>
      <c r="Y40" s="46">
        <v>246.62359594030562</v>
      </c>
      <c r="Z40" s="46">
        <v>176.32222278972475</v>
      </c>
      <c r="AA40" s="46">
        <v>83.761824909061872</v>
      </c>
      <c r="AB40" s="46">
        <v>0</v>
      </c>
      <c r="AC40" s="46">
        <v>1.8691740278591968</v>
      </c>
      <c r="AD40" s="46">
        <v>136.27980428647743</v>
      </c>
      <c r="AE40" s="46">
        <v>390.7564621650813</v>
      </c>
      <c r="AF40" s="46">
        <v>14.621530560217048</v>
      </c>
      <c r="AG40" s="46">
        <v>19.954025889379952</v>
      </c>
      <c r="AH40" s="46">
        <v>55.460526419644168</v>
      </c>
      <c r="AI40" s="47">
        <v>0</v>
      </c>
      <c r="AJ40" s="35">
        <v>0</v>
      </c>
      <c r="AK40" s="36">
        <v>0</v>
      </c>
      <c r="AL40" s="36">
        <v>0</v>
      </c>
      <c r="AM40" s="36">
        <v>0</v>
      </c>
      <c r="AN40" s="36">
        <v>0</v>
      </c>
      <c r="AO40" s="36">
        <v>0</v>
      </c>
      <c r="AP40" s="36">
        <v>0</v>
      </c>
      <c r="AQ40" s="36">
        <v>0</v>
      </c>
      <c r="AR40" s="36">
        <v>0</v>
      </c>
      <c r="AS40" s="36">
        <v>0</v>
      </c>
      <c r="AT40" s="36">
        <v>0</v>
      </c>
      <c r="AU40" s="36">
        <v>0</v>
      </c>
      <c r="AV40" s="36">
        <v>0</v>
      </c>
      <c r="AW40" s="36">
        <v>0</v>
      </c>
      <c r="AX40" s="36">
        <v>0</v>
      </c>
      <c r="AY40" s="36">
        <v>0</v>
      </c>
      <c r="AZ40" s="36">
        <v>0</v>
      </c>
      <c r="BA40" s="36">
        <v>0</v>
      </c>
      <c r="BB40" s="36">
        <v>0</v>
      </c>
      <c r="BC40" s="36">
        <v>0</v>
      </c>
      <c r="BD40" s="36">
        <v>0</v>
      </c>
      <c r="BE40" s="36">
        <v>0</v>
      </c>
      <c r="BF40" s="36">
        <v>0</v>
      </c>
      <c r="BG40" s="36">
        <v>0</v>
      </c>
      <c r="BH40" s="36">
        <v>0</v>
      </c>
      <c r="BI40" s="36">
        <v>0</v>
      </c>
      <c r="BJ40" s="36">
        <v>0</v>
      </c>
      <c r="BK40" s="36">
        <v>0</v>
      </c>
      <c r="BL40" s="36">
        <v>0</v>
      </c>
      <c r="BM40" s="36">
        <v>0</v>
      </c>
      <c r="BN40" s="36">
        <v>0</v>
      </c>
      <c r="BO40" s="36">
        <v>0</v>
      </c>
      <c r="BP40" s="37">
        <v>0</v>
      </c>
      <c r="BQ40" s="35">
        <v>0</v>
      </c>
      <c r="BR40" s="37">
        <v>0</v>
      </c>
      <c r="BS40" s="35">
        <v>0</v>
      </c>
      <c r="BT40" s="36"/>
      <c r="BU40" s="37">
        <v>0</v>
      </c>
      <c r="BV40" s="45">
        <v>2769.552505892264</v>
      </c>
      <c r="BW40" s="46">
        <v>0</v>
      </c>
      <c r="BX40" s="47">
        <v>18250.608304205467</v>
      </c>
      <c r="BY40" s="48">
        <v>2712.2571658698798</v>
      </c>
      <c r="BZ40" s="49">
        <v>26738.596604017675</v>
      </c>
      <c r="CB40" s="50">
        <v>26738.596604017675</v>
      </c>
      <c r="CD40" s="34">
        <v>23317.559604017675</v>
      </c>
      <c r="CE40">
        <v>23317.559604017675</v>
      </c>
      <c r="CG40" s="34">
        <v>0</v>
      </c>
    </row>
    <row r="41" spans="1:85">
      <c r="A41" s="280"/>
      <c r="B41" s="44" t="s">
        <v>78</v>
      </c>
      <c r="C41" s="45">
        <v>0</v>
      </c>
      <c r="D41" s="46">
        <v>0</v>
      </c>
      <c r="E41" s="46">
        <v>0</v>
      </c>
      <c r="F41" s="46">
        <v>4.713775331519289E-2</v>
      </c>
      <c r="G41" s="46">
        <v>4.6397824460873478</v>
      </c>
      <c r="H41" s="46">
        <v>0</v>
      </c>
      <c r="I41" s="46">
        <v>43.061949577901792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0.73110918406191894</v>
      </c>
      <c r="Q41" s="46">
        <v>0</v>
      </c>
      <c r="R41" s="46">
        <v>0.4500176305031956</v>
      </c>
      <c r="S41" s="46">
        <v>0</v>
      </c>
      <c r="T41" s="46">
        <v>90.826996301885586</v>
      </c>
      <c r="U41" s="46">
        <v>0</v>
      </c>
      <c r="V41" s="46">
        <v>31.612477097999907</v>
      </c>
      <c r="W41" s="46">
        <v>0</v>
      </c>
      <c r="X41" s="46">
        <v>0</v>
      </c>
      <c r="Y41" s="46">
        <v>84.179349743445556</v>
      </c>
      <c r="Z41" s="46">
        <v>0</v>
      </c>
      <c r="AA41" s="46">
        <v>31.790731274214725</v>
      </c>
      <c r="AB41" s="46">
        <v>0</v>
      </c>
      <c r="AC41" s="46">
        <v>0</v>
      </c>
      <c r="AD41" s="46">
        <v>0.31434999410404901</v>
      </c>
      <c r="AE41" s="46">
        <v>189.05612878939084</v>
      </c>
      <c r="AF41" s="46">
        <v>0</v>
      </c>
      <c r="AG41" s="46">
        <v>0</v>
      </c>
      <c r="AH41" s="46">
        <v>1.5814537660081827</v>
      </c>
      <c r="AI41" s="47">
        <v>0</v>
      </c>
      <c r="AJ41" s="35">
        <v>0</v>
      </c>
      <c r="AK41" s="36">
        <v>0</v>
      </c>
      <c r="AL41" s="36">
        <v>0</v>
      </c>
      <c r="AM41" s="36">
        <v>0</v>
      </c>
      <c r="AN41" s="36">
        <v>0</v>
      </c>
      <c r="AO41" s="36">
        <v>0</v>
      </c>
      <c r="AP41" s="36">
        <v>0</v>
      </c>
      <c r="AQ41" s="36">
        <v>0</v>
      </c>
      <c r="AR41" s="36">
        <v>0</v>
      </c>
      <c r="AS41" s="36">
        <v>0</v>
      </c>
      <c r="AT41" s="36">
        <v>0</v>
      </c>
      <c r="AU41" s="36">
        <v>0</v>
      </c>
      <c r="AV41" s="36">
        <v>0</v>
      </c>
      <c r="AW41" s="36">
        <v>0</v>
      </c>
      <c r="AX41" s="36">
        <v>0</v>
      </c>
      <c r="AY41" s="36">
        <v>0</v>
      </c>
      <c r="AZ41" s="36">
        <v>0</v>
      </c>
      <c r="BA41" s="36">
        <v>0</v>
      </c>
      <c r="BB41" s="36">
        <v>0</v>
      </c>
      <c r="BC41" s="36">
        <v>0</v>
      </c>
      <c r="BD41" s="36">
        <v>0</v>
      </c>
      <c r="BE41" s="36">
        <v>0</v>
      </c>
      <c r="BF41" s="36">
        <v>0</v>
      </c>
      <c r="BG41" s="36">
        <v>0</v>
      </c>
      <c r="BH41" s="36">
        <v>0</v>
      </c>
      <c r="BI41" s="36">
        <v>0</v>
      </c>
      <c r="BJ41" s="36">
        <v>0</v>
      </c>
      <c r="BK41" s="36">
        <v>0</v>
      </c>
      <c r="BL41" s="36">
        <v>0</v>
      </c>
      <c r="BM41" s="36">
        <v>0</v>
      </c>
      <c r="BN41" s="36">
        <v>0</v>
      </c>
      <c r="BO41" s="36">
        <v>0</v>
      </c>
      <c r="BP41" s="37">
        <v>0</v>
      </c>
      <c r="BQ41" s="35">
        <v>0</v>
      </c>
      <c r="BR41" s="37">
        <v>0</v>
      </c>
      <c r="BS41" s="35">
        <v>0</v>
      </c>
      <c r="BT41" s="36"/>
      <c r="BU41" s="37">
        <v>0</v>
      </c>
      <c r="BV41" s="45">
        <v>1956.4286468573166</v>
      </c>
      <c r="BW41" s="46">
        <v>0</v>
      </c>
      <c r="BX41" s="47">
        <v>11177.054523798743</v>
      </c>
      <c r="BY41" s="48">
        <v>1235.1536008192618</v>
      </c>
      <c r="BZ41" s="49">
        <v>14846.92825503424</v>
      </c>
      <c r="CB41" s="50">
        <v>14846.92825503424</v>
      </c>
      <c r="CD41" s="34">
        <v>14817.33025503424</v>
      </c>
      <c r="CE41">
        <v>14817.33025503424</v>
      </c>
      <c r="CG41" s="34">
        <v>0</v>
      </c>
    </row>
    <row r="42" spans="1:85">
      <c r="A42" s="280"/>
      <c r="B42" s="44" t="s">
        <v>79</v>
      </c>
      <c r="C42" s="45">
        <v>0</v>
      </c>
      <c r="D42" s="46">
        <v>0</v>
      </c>
      <c r="E42" s="46">
        <v>0</v>
      </c>
      <c r="F42" s="46">
        <v>0</v>
      </c>
      <c r="G42" s="46">
        <v>0</v>
      </c>
      <c r="H42" s="46">
        <v>442.57758521273331</v>
      </c>
      <c r="I42" s="46">
        <v>17.960526618936118</v>
      </c>
      <c r="J42" s="46">
        <v>0</v>
      </c>
      <c r="K42" s="46">
        <v>0</v>
      </c>
      <c r="L42" s="46">
        <v>0</v>
      </c>
      <c r="M42" s="46">
        <v>2.5637884671315665</v>
      </c>
      <c r="N42" s="46">
        <v>120.23754224409839</v>
      </c>
      <c r="O42" s="46">
        <v>0</v>
      </c>
      <c r="P42" s="46">
        <v>13.401102665043434</v>
      </c>
      <c r="Q42" s="46">
        <v>0.50438249462474194</v>
      </c>
      <c r="R42" s="46">
        <v>845.54257731350742</v>
      </c>
      <c r="S42" s="46">
        <v>0</v>
      </c>
      <c r="T42" s="46">
        <v>1600.1933226217254</v>
      </c>
      <c r="U42" s="46">
        <v>11.336138354601175</v>
      </c>
      <c r="V42" s="46">
        <v>0</v>
      </c>
      <c r="W42" s="46">
        <v>0</v>
      </c>
      <c r="X42" s="46">
        <v>0</v>
      </c>
      <c r="Y42" s="46">
        <v>0</v>
      </c>
      <c r="Z42" s="46">
        <v>1396.7649079909966</v>
      </c>
      <c r="AA42" s="46">
        <v>0</v>
      </c>
      <c r="AB42" s="46">
        <v>0</v>
      </c>
      <c r="AC42" s="46">
        <v>0</v>
      </c>
      <c r="AD42" s="46">
        <v>48.06239381927665</v>
      </c>
      <c r="AE42" s="46">
        <v>0</v>
      </c>
      <c r="AF42" s="46">
        <v>0</v>
      </c>
      <c r="AG42" s="46">
        <v>0</v>
      </c>
      <c r="AH42" s="46">
        <v>2.0149160434290923</v>
      </c>
      <c r="AI42" s="47">
        <v>0</v>
      </c>
      <c r="AJ42" s="35">
        <v>0</v>
      </c>
      <c r="AK42" s="36">
        <v>0</v>
      </c>
      <c r="AL42" s="36">
        <v>0</v>
      </c>
      <c r="AM42" s="36">
        <v>0</v>
      </c>
      <c r="AN42" s="36">
        <v>0</v>
      </c>
      <c r="AO42" s="36">
        <v>0</v>
      </c>
      <c r="AP42" s="36">
        <v>0</v>
      </c>
      <c r="AQ42" s="36">
        <v>0</v>
      </c>
      <c r="AR42" s="36">
        <v>0</v>
      </c>
      <c r="AS42" s="36">
        <v>0</v>
      </c>
      <c r="AT42" s="36">
        <v>0</v>
      </c>
      <c r="AU42" s="36">
        <v>0</v>
      </c>
      <c r="AV42" s="36">
        <v>0</v>
      </c>
      <c r="AW42" s="36">
        <v>0</v>
      </c>
      <c r="AX42" s="36">
        <v>0</v>
      </c>
      <c r="AY42" s="36">
        <v>0</v>
      </c>
      <c r="AZ42" s="36">
        <v>0</v>
      </c>
      <c r="BA42" s="36">
        <v>0</v>
      </c>
      <c r="BB42" s="36">
        <v>0</v>
      </c>
      <c r="BC42" s="36">
        <v>0</v>
      </c>
      <c r="BD42" s="36">
        <v>0</v>
      </c>
      <c r="BE42" s="36">
        <v>0</v>
      </c>
      <c r="BF42" s="36">
        <v>0</v>
      </c>
      <c r="BG42" s="36">
        <v>0</v>
      </c>
      <c r="BH42" s="36">
        <v>0</v>
      </c>
      <c r="BI42" s="36">
        <v>0</v>
      </c>
      <c r="BJ42" s="36">
        <v>0</v>
      </c>
      <c r="BK42" s="36">
        <v>0</v>
      </c>
      <c r="BL42" s="36">
        <v>0</v>
      </c>
      <c r="BM42" s="36">
        <v>0</v>
      </c>
      <c r="BN42" s="36">
        <v>0</v>
      </c>
      <c r="BO42" s="36">
        <v>0</v>
      </c>
      <c r="BP42" s="37">
        <v>0</v>
      </c>
      <c r="BQ42" s="35">
        <v>0</v>
      </c>
      <c r="BR42" s="37">
        <v>0</v>
      </c>
      <c r="BS42" s="35">
        <v>0</v>
      </c>
      <c r="BT42" s="36"/>
      <c r="BU42" s="37">
        <v>0</v>
      </c>
      <c r="BV42" s="45">
        <v>0</v>
      </c>
      <c r="BW42" s="46">
        <v>0</v>
      </c>
      <c r="BX42" s="47">
        <v>2027.6278314589742</v>
      </c>
      <c r="BY42" s="48">
        <v>37.222327457974046</v>
      </c>
      <c r="BZ42" s="49">
        <v>6566.0093427630527</v>
      </c>
      <c r="CB42" s="50">
        <v>6566.0093427630527</v>
      </c>
      <c r="CD42" s="34">
        <v>3892.1263427630529</v>
      </c>
      <c r="CE42">
        <v>3892.1263427630533</v>
      </c>
      <c r="CG42" s="34">
        <v>0</v>
      </c>
    </row>
    <row r="43" spans="1:85">
      <c r="A43" s="280"/>
      <c r="B43" s="44" t="s">
        <v>80</v>
      </c>
      <c r="C43" s="45">
        <v>0</v>
      </c>
      <c r="D43" s="46">
        <v>0</v>
      </c>
      <c r="E43" s="46">
        <v>232.23009952330443</v>
      </c>
      <c r="F43" s="46">
        <v>5.5587769457393339</v>
      </c>
      <c r="G43" s="46">
        <v>0.30999411114557252</v>
      </c>
      <c r="H43" s="46">
        <v>28.845784008169488</v>
      </c>
      <c r="I43" s="46">
        <v>2353.369915248335</v>
      </c>
      <c r="J43" s="46">
        <v>0.16826760910603758</v>
      </c>
      <c r="K43" s="46">
        <v>33.623036901223301</v>
      </c>
      <c r="L43" s="46">
        <v>18.961867927395684</v>
      </c>
      <c r="M43" s="46">
        <v>23.997227113614169</v>
      </c>
      <c r="N43" s="46">
        <v>192.10008968440673</v>
      </c>
      <c r="O43" s="46">
        <v>6.5156528284447894</v>
      </c>
      <c r="P43" s="46">
        <v>8.2368064719375464</v>
      </c>
      <c r="Q43" s="46">
        <v>0.40523783797668544</v>
      </c>
      <c r="R43" s="46">
        <v>14.535779216788443</v>
      </c>
      <c r="S43" s="46">
        <v>6.1360101636493694</v>
      </c>
      <c r="T43" s="46">
        <v>231.95063936060666</v>
      </c>
      <c r="U43" s="46">
        <v>1091.805351624683</v>
      </c>
      <c r="V43" s="46">
        <v>365.7775956846159</v>
      </c>
      <c r="W43" s="46">
        <v>66.801477858256376</v>
      </c>
      <c r="X43" s="46">
        <v>5.9089027671945145</v>
      </c>
      <c r="Y43" s="46">
        <v>119.59023388314377</v>
      </c>
      <c r="Z43" s="46">
        <v>49.638261341446594</v>
      </c>
      <c r="AA43" s="46">
        <v>197.47850495011454</v>
      </c>
      <c r="AB43" s="46">
        <v>184.88434370227444</v>
      </c>
      <c r="AC43" s="46">
        <v>30.587657924839966</v>
      </c>
      <c r="AD43" s="46">
        <v>2995.4107956339744</v>
      </c>
      <c r="AE43" s="46">
        <v>666.79726769048966</v>
      </c>
      <c r="AF43" s="46">
        <v>782.20715424322282</v>
      </c>
      <c r="AG43" s="46">
        <v>91.815263601805341</v>
      </c>
      <c r="AH43" s="46">
        <v>40.396299772087474</v>
      </c>
      <c r="AI43" s="47">
        <v>0</v>
      </c>
      <c r="AJ43" s="35">
        <v>0</v>
      </c>
      <c r="AK43" s="36">
        <v>0</v>
      </c>
      <c r="AL43" s="36">
        <v>0</v>
      </c>
      <c r="AM43" s="36">
        <v>0</v>
      </c>
      <c r="AN43" s="36">
        <v>0</v>
      </c>
      <c r="AO43" s="36">
        <v>0</v>
      </c>
      <c r="AP43" s="36">
        <v>0</v>
      </c>
      <c r="AQ43" s="36">
        <v>0</v>
      </c>
      <c r="AR43" s="36">
        <v>0</v>
      </c>
      <c r="AS43" s="36">
        <v>0</v>
      </c>
      <c r="AT43" s="36">
        <v>0</v>
      </c>
      <c r="AU43" s="36">
        <v>0</v>
      </c>
      <c r="AV43" s="36">
        <v>0</v>
      </c>
      <c r="AW43" s="36">
        <v>0</v>
      </c>
      <c r="AX43" s="36">
        <v>0</v>
      </c>
      <c r="AY43" s="36">
        <v>0</v>
      </c>
      <c r="AZ43" s="36">
        <v>0</v>
      </c>
      <c r="BA43" s="36">
        <v>0</v>
      </c>
      <c r="BB43" s="36">
        <v>0</v>
      </c>
      <c r="BC43" s="36">
        <v>0</v>
      </c>
      <c r="BD43" s="36">
        <v>0</v>
      </c>
      <c r="BE43" s="36">
        <v>0</v>
      </c>
      <c r="BF43" s="36">
        <v>0</v>
      </c>
      <c r="BG43" s="36">
        <v>0</v>
      </c>
      <c r="BH43" s="36">
        <v>0</v>
      </c>
      <c r="BI43" s="36">
        <v>0</v>
      </c>
      <c r="BJ43" s="36">
        <v>0</v>
      </c>
      <c r="BK43" s="36">
        <v>0</v>
      </c>
      <c r="BL43" s="36">
        <v>0</v>
      </c>
      <c r="BM43" s="36">
        <v>0</v>
      </c>
      <c r="BN43" s="36">
        <v>0</v>
      </c>
      <c r="BO43" s="36">
        <v>0</v>
      </c>
      <c r="BP43" s="37">
        <v>0</v>
      </c>
      <c r="BQ43" s="35">
        <v>0</v>
      </c>
      <c r="BR43" s="37">
        <v>0</v>
      </c>
      <c r="BS43" s="35">
        <v>0</v>
      </c>
      <c r="BT43" s="36"/>
      <c r="BU43" s="37">
        <v>0</v>
      </c>
      <c r="BV43" s="45">
        <v>256.30420542857445</v>
      </c>
      <c r="BW43" s="46">
        <v>0</v>
      </c>
      <c r="BX43" s="47">
        <v>3806.5155733022907</v>
      </c>
      <c r="BY43" s="48">
        <v>621.12181188369561</v>
      </c>
      <c r="BZ43" s="49">
        <v>14529.985886244553</v>
      </c>
      <c r="CB43" s="50">
        <v>14529.985886244553</v>
      </c>
      <c r="CD43" s="34">
        <v>7432.5428862445506</v>
      </c>
      <c r="CE43">
        <v>7432.5428862445506</v>
      </c>
      <c r="CG43" s="34">
        <v>0</v>
      </c>
    </row>
    <row r="44" spans="1:85">
      <c r="A44" s="280"/>
      <c r="B44" s="44" t="s">
        <v>81</v>
      </c>
      <c r="C44" s="45">
        <v>36.592313199241772</v>
      </c>
      <c r="D44" s="46">
        <v>494.32314984266588</v>
      </c>
      <c r="E44" s="46">
        <v>413.30215346277959</v>
      </c>
      <c r="F44" s="46">
        <v>7.4312132619848148</v>
      </c>
      <c r="G44" s="46">
        <v>0.12144778720273028</v>
      </c>
      <c r="H44" s="46">
        <v>9.4906176447736801</v>
      </c>
      <c r="I44" s="46">
        <v>15.137527556029266</v>
      </c>
      <c r="J44" s="46">
        <v>1608.8146892468444</v>
      </c>
      <c r="K44" s="46">
        <v>138.00557269882009</v>
      </c>
      <c r="L44" s="46">
        <v>10.506635906265135</v>
      </c>
      <c r="M44" s="46">
        <v>445.57349707096478</v>
      </c>
      <c r="N44" s="46">
        <v>288.39333872385356</v>
      </c>
      <c r="O44" s="46">
        <v>58.496669630223849</v>
      </c>
      <c r="P44" s="46">
        <v>23.440947692759678</v>
      </c>
      <c r="Q44" s="46">
        <v>9.1102493547948615</v>
      </c>
      <c r="R44" s="46">
        <v>213.21580161914065</v>
      </c>
      <c r="S44" s="46">
        <v>10967.363264909925</v>
      </c>
      <c r="T44" s="46">
        <v>2161.7112940069615</v>
      </c>
      <c r="U44" s="46">
        <v>1072.5682527583845</v>
      </c>
      <c r="V44" s="46">
        <v>178.57843632128751</v>
      </c>
      <c r="W44" s="46">
        <v>2721.1057177201351</v>
      </c>
      <c r="X44" s="46">
        <v>52.545397381999422</v>
      </c>
      <c r="Y44" s="46">
        <v>27097.858571924095</v>
      </c>
      <c r="Z44" s="46">
        <v>1120.7656727889998</v>
      </c>
      <c r="AA44" s="46">
        <v>387.99220488429273</v>
      </c>
      <c r="AB44" s="46">
        <v>11.690594306474955</v>
      </c>
      <c r="AC44" s="46">
        <v>44.5239534777741</v>
      </c>
      <c r="AD44" s="46">
        <v>1167.3757193320623</v>
      </c>
      <c r="AE44" s="46">
        <v>828.83293998682007</v>
      </c>
      <c r="AF44" s="46">
        <v>60.792723051457884</v>
      </c>
      <c r="AG44" s="46">
        <v>60.668637076505682</v>
      </c>
      <c r="AH44" s="46">
        <v>274.72731047807525</v>
      </c>
      <c r="AI44" s="47">
        <v>0</v>
      </c>
      <c r="AJ44" s="35">
        <v>0</v>
      </c>
      <c r="AK44" s="36">
        <v>0</v>
      </c>
      <c r="AL44" s="36">
        <v>0</v>
      </c>
      <c r="AM44" s="36">
        <v>0</v>
      </c>
      <c r="AN44" s="36">
        <v>0</v>
      </c>
      <c r="AO44" s="36">
        <v>0</v>
      </c>
      <c r="AP44" s="36">
        <v>0</v>
      </c>
      <c r="AQ44" s="36">
        <v>0</v>
      </c>
      <c r="AR44" s="36">
        <v>0</v>
      </c>
      <c r="AS44" s="36">
        <v>0</v>
      </c>
      <c r="AT44" s="36">
        <v>0</v>
      </c>
      <c r="AU44" s="36">
        <v>0</v>
      </c>
      <c r="AV44" s="36">
        <v>0</v>
      </c>
      <c r="AW44" s="36">
        <v>0</v>
      </c>
      <c r="AX44" s="36">
        <v>0</v>
      </c>
      <c r="AY44" s="36">
        <v>0</v>
      </c>
      <c r="AZ44" s="36">
        <v>0</v>
      </c>
      <c r="BA44" s="36">
        <v>0</v>
      </c>
      <c r="BB44" s="36">
        <v>0</v>
      </c>
      <c r="BC44" s="36">
        <v>0</v>
      </c>
      <c r="BD44" s="36">
        <v>0</v>
      </c>
      <c r="BE44" s="36">
        <v>0</v>
      </c>
      <c r="BF44" s="36">
        <v>0</v>
      </c>
      <c r="BG44" s="36">
        <v>0</v>
      </c>
      <c r="BH44" s="36">
        <v>0</v>
      </c>
      <c r="BI44" s="36">
        <v>0</v>
      </c>
      <c r="BJ44" s="36">
        <v>0</v>
      </c>
      <c r="BK44" s="36">
        <v>0</v>
      </c>
      <c r="BL44" s="36">
        <v>0</v>
      </c>
      <c r="BM44" s="36">
        <v>0</v>
      </c>
      <c r="BN44" s="36">
        <v>0</v>
      </c>
      <c r="BO44" s="36">
        <v>0</v>
      </c>
      <c r="BP44" s="37">
        <v>0</v>
      </c>
      <c r="BQ44" s="35">
        <v>0</v>
      </c>
      <c r="BR44" s="37">
        <v>0</v>
      </c>
      <c r="BS44" s="35">
        <v>0</v>
      </c>
      <c r="BT44" s="36"/>
      <c r="BU44" s="37">
        <v>0</v>
      </c>
      <c r="BV44" s="45">
        <v>1806.0895740767251</v>
      </c>
      <c r="BW44" s="46">
        <v>0</v>
      </c>
      <c r="BX44" s="47">
        <v>23605.032081154142</v>
      </c>
      <c r="BY44" s="48">
        <v>126.2384962122496</v>
      </c>
      <c r="BZ44" s="49">
        <v>77518.41666654672</v>
      </c>
      <c r="CB44" s="50">
        <v>77518.41666654672</v>
      </c>
      <c r="CD44" s="34">
        <v>49129.004666546709</v>
      </c>
      <c r="CE44">
        <v>49129.004666546709</v>
      </c>
      <c r="CG44" s="34">
        <v>0</v>
      </c>
    </row>
    <row r="45" spans="1:85">
      <c r="A45" s="280"/>
      <c r="B45" s="44" t="s">
        <v>82</v>
      </c>
      <c r="C45" s="45">
        <v>6.3345435022400052</v>
      </c>
      <c r="D45" s="46">
        <v>0</v>
      </c>
      <c r="E45" s="46">
        <v>96.322723128105849</v>
      </c>
      <c r="F45" s="46">
        <v>1.9305359981046426</v>
      </c>
      <c r="G45" s="46">
        <v>0.78651651512938248</v>
      </c>
      <c r="H45" s="46">
        <v>387.75161679139399</v>
      </c>
      <c r="I45" s="46">
        <v>347.68441620986312</v>
      </c>
      <c r="J45" s="46">
        <v>679.94070258648492</v>
      </c>
      <c r="K45" s="46">
        <v>5025.1749013820399</v>
      </c>
      <c r="L45" s="46">
        <v>2086.9589526103682</v>
      </c>
      <c r="M45" s="46">
        <v>280.77505966041906</v>
      </c>
      <c r="N45" s="46">
        <v>1201.9456712853571</v>
      </c>
      <c r="O45" s="46">
        <v>4.6280511462071408</v>
      </c>
      <c r="P45" s="46">
        <v>340.9208605909285</v>
      </c>
      <c r="Q45" s="46">
        <v>81.560034931273492</v>
      </c>
      <c r="R45" s="46">
        <v>50.836776936286007</v>
      </c>
      <c r="S45" s="46">
        <v>14.910195777397515</v>
      </c>
      <c r="T45" s="46">
        <v>1203.5115894638459</v>
      </c>
      <c r="U45" s="46">
        <v>116.20495298552665</v>
      </c>
      <c r="V45" s="46">
        <v>239.50491434390656</v>
      </c>
      <c r="W45" s="46">
        <v>4.296756977169248</v>
      </c>
      <c r="X45" s="46">
        <v>5.5558081158493318E-2</v>
      </c>
      <c r="Y45" s="46">
        <v>415.14746118495719</v>
      </c>
      <c r="Z45" s="46">
        <v>5.8966489377843043</v>
      </c>
      <c r="AA45" s="46">
        <v>3.6393651597300427</v>
      </c>
      <c r="AB45" s="46">
        <v>0</v>
      </c>
      <c r="AC45" s="46">
        <v>3.6782049596675863</v>
      </c>
      <c r="AD45" s="46">
        <v>737.07098911566857</v>
      </c>
      <c r="AE45" s="46">
        <v>24.747849616131585</v>
      </c>
      <c r="AF45" s="46">
        <v>3.53606005664696</v>
      </c>
      <c r="AG45" s="46">
        <v>916.62251044862671</v>
      </c>
      <c r="AH45" s="46">
        <v>226.62070858688551</v>
      </c>
      <c r="AI45" s="47">
        <v>0</v>
      </c>
      <c r="AJ45" s="35">
        <v>0</v>
      </c>
      <c r="AK45" s="36">
        <v>0</v>
      </c>
      <c r="AL45" s="36">
        <v>0</v>
      </c>
      <c r="AM45" s="36">
        <v>0</v>
      </c>
      <c r="AN45" s="36">
        <v>0</v>
      </c>
      <c r="AO45" s="36">
        <v>0</v>
      </c>
      <c r="AP45" s="36">
        <v>0</v>
      </c>
      <c r="AQ45" s="36">
        <v>0</v>
      </c>
      <c r="AR45" s="36">
        <v>0</v>
      </c>
      <c r="AS45" s="36">
        <v>0</v>
      </c>
      <c r="AT45" s="36">
        <v>0</v>
      </c>
      <c r="AU45" s="36">
        <v>0</v>
      </c>
      <c r="AV45" s="36">
        <v>0</v>
      </c>
      <c r="AW45" s="36">
        <v>0</v>
      </c>
      <c r="AX45" s="36">
        <v>0</v>
      </c>
      <c r="AY45" s="36">
        <v>0</v>
      </c>
      <c r="AZ45" s="36">
        <v>0</v>
      </c>
      <c r="BA45" s="36">
        <v>0</v>
      </c>
      <c r="BB45" s="36">
        <v>0</v>
      </c>
      <c r="BC45" s="36">
        <v>0</v>
      </c>
      <c r="BD45" s="36">
        <v>0</v>
      </c>
      <c r="BE45" s="36">
        <v>0</v>
      </c>
      <c r="BF45" s="36">
        <v>0</v>
      </c>
      <c r="BG45" s="36">
        <v>0</v>
      </c>
      <c r="BH45" s="36">
        <v>0</v>
      </c>
      <c r="BI45" s="36">
        <v>0</v>
      </c>
      <c r="BJ45" s="36">
        <v>0</v>
      </c>
      <c r="BK45" s="36">
        <v>0</v>
      </c>
      <c r="BL45" s="36">
        <v>0</v>
      </c>
      <c r="BM45" s="36">
        <v>0</v>
      </c>
      <c r="BN45" s="36">
        <v>0</v>
      </c>
      <c r="BO45" s="36">
        <v>0</v>
      </c>
      <c r="BP45" s="37">
        <v>0</v>
      </c>
      <c r="BQ45" s="35">
        <v>0</v>
      </c>
      <c r="BR45" s="37">
        <v>0</v>
      </c>
      <c r="BS45" s="35">
        <v>0</v>
      </c>
      <c r="BT45" s="36"/>
      <c r="BU45" s="37">
        <v>0</v>
      </c>
      <c r="BV45" s="45">
        <v>2538.7912109954541</v>
      </c>
      <c r="BW45" s="46">
        <v>0</v>
      </c>
      <c r="BX45" s="47">
        <v>44799.937548905371</v>
      </c>
      <c r="BY45" s="48">
        <v>1384.6515007422354</v>
      </c>
      <c r="BZ45" s="49">
        <v>63232.375389612367</v>
      </c>
      <c r="CB45" s="50">
        <v>63232.375389612367</v>
      </c>
      <c r="CD45" s="34">
        <v>50085.109389612371</v>
      </c>
      <c r="CE45">
        <v>50085.109389612371</v>
      </c>
      <c r="CG45" s="34">
        <v>0</v>
      </c>
    </row>
    <row r="46" spans="1:85">
      <c r="A46" s="280"/>
      <c r="B46" s="44" t="s">
        <v>83</v>
      </c>
      <c r="C46" s="45">
        <v>0</v>
      </c>
      <c r="D46" s="46">
        <v>0</v>
      </c>
      <c r="E46" s="46">
        <v>1298.9289671204074</v>
      </c>
      <c r="F46" s="46">
        <v>31.663666775383735</v>
      </c>
      <c r="G46" s="46">
        <v>0.6054561238358217</v>
      </c>
      <c r="H46" s="46">
        <v>73.899941468080385</v>
      </c>
      <c r="I46" s="46">
        <v>160.1655910870229</v>
      </c>
      <c r="J46" s="46">
        <v>244.93127905282185</v>
      </c>
      <c r="K46" s="46">
        <v>571.52178084879131</v>
      </c>
      <c r="L46" s="46">
        <v>708.09948836558499</v>
      </c>
      <c r="M46" s="46">
        <v>143.6855334211935</v>
      </c>
      <c r="N46" s="46">
        <v>275.00095074776988</v>
      </c>
      <c r="O46" s="46">
        <v>16.083088085939281</v>
      </c>
      <c r="P46" s="46">
        <v>196.63702880828413</v>
      </c>
      <c r="Q46" s="46">
        <v>35.308232952191965</v>
      </c>
      <c r="R46" s="46">
        <v>54.534899072201554</v>
      </c>
      <c r="S46" s="46">
        <v>1.496756290758475</v>
      </c>
      <c r="T46" s="46">
        <v>234.32823995012137</v>
      </c>
      <c r="U46" s="46">
        <v>585.74361574383022</v>
      </c>
      <c r="V46" s="46">
        <v>191.03213796467725</v>
      </c>
      <c r="W46" s="46">
        <v>176.39960579554761</v>
      </c>
      <c r="X46" s="46">
        <v>8.714776642152032E-2</v>
      </c>
      <c r="Y46" s="46">
        <v>0</v>
      </c>
      <c r="Z46" s="46">
        <v>109.88555141823031</v>
      </c>
      <c r="AA46" s="46">
        <v>114.62627829341547</v>
      </c>
      <c r="AB46" s="46">
        <v>0</v>
      </c>
      <c r="AC46" s="46">
        <v>0</v>
      </c>
      <c r="AD46" s="46">
        <v>346.20003469866197</v>
      </c>
      <c r="AE46" s="46">
        <v>0</v>
      </c>
      <c r="AF46" s="46">
        <v>0</v>
      </c>
      <c r="AG46" s="46">
        <v>3.6852382624889413</v>
      </c>
      <c r="AH46" s="46">
        <v>18.458981064343213</v>
      </c>
      <c r="AI46" s="47">
        <v>0</v>
      </c>
      <c r="AJ46" s="35">
        <v>0</v>
      </c>
      <c r="AK46" s="36">
        <v>0</v>
      </c>
      <c r="AL46" s="36">
        <v>0</v>
      </c>
      <c r="AM46" s="36">
        <v>0</v>
      </c>
      <c r="AN46" s="36">
        <v>0</v>
      </c>
      <c r="AO46" s="36">
        <v>0</v>
      </c>
      <c r="AP46" s="36">
        <v>0</v>
      </c>
      <c r="AQ46" s="36">
        <v>0</v>
      </c>
      <c r="AR46" s="36">
        <v>0</v>
      </c>
      <c r="AS46" s="36">
        <v>0</v>
      </c>
      <c r="AT46" s="36">
        <v>0</v>
      </c>
      <c r="AU46" s="36">
        <v>0</v>
      </c>
      <c r="AV46" s="36">
        <v>0</v>
      </c>
      <c r="AW46" s="36">
        <v>0</v>
      </c>
      <c r="AX46" s="36">
        <v>0</v>
      </c>
      <c r="AY46" s="36">
        <v>0</v>
      </c>
      <c r="AZ46" s="36">
        <v>0</v>
      </c>
      <c r="BA46" s="36">
        <v>0</v>
      </c>
      <c r="BB46" s="36">
        <v>0</v>
      </c>
      <c r="BC46" s="36">
        <v>0</v>
      </c>
      <c r="BD46" s="36">
        <v>0</v>
      </c>
      <c r="BE46" s="36">
        <v>0</v>
      </c>
      <c r="BF46" s="36">
        <v>0</v>
      </c>
      <c r="BG46" s="36">
        <v>0</v>
      </c>
      <c r="BH46" s="36">
        <v>0</v>
      </c>
      <c r="BI46" s="36">
        <v>0</v>
      </c>
      <c r="BJ46" s="36">
        <v>0</v>
      </c>
      <c r="BK46" s="36">
        <v>0</v>
      </c>
      <c r="BL46" s="36">
        <v>0</v>
      </c>
      <c r="BM46" s="36">
        <v>0</v>
      </c>
      <c r="BN46" s="36">
        <v>0</v>
      </c>
      <c r="BO46" s="36">
        <v>0</v>
      </c>
      <c r="BP46" s="37">
        <v>0</v>
      </c>
      <c r="BQ46" s="35">
        <v>0</v>
      </c>
      <c r="BR46" s="37">
        <v>0</v>
      </c>
      <c r="BS46" s="35">
        <v>0</v>
      </c>
      <c r="BT46" s="36"/>
      <c r="BU46" s="37">
        <v>0</v>
      </c>
      <c r="BV46" s="45">
        <v>7.4606115250085061</v>
      </c>
      <c r="BW46" s="46">
        <v>0</v>
      </c>
      <c r="BX46" s="47">
        <v>11455.931012608735</v>
      </c>
      <c r="BY46" s="48">
        <v>1290.6427837664244</v>
      </c>
      <c r="BZ46" s="49">
        <v>18347.043899078169</v>
      </c>
      <c r="CB46" s="50">
        <v>18347.043899078169</v>
      </c>
      <c r="CD46" s="34">
        <v>11940.514899078167</v>
      </c>
      <c r="CE46">
        <v>11940.514899078169</v>
      </c>
      <c r="CG46" s="34">
        <v>0</v>
      </c>
    </row>
    <row r="47" spans="1:85">
      <c r="A47" s="280"/>
      <c r="B47" s="44" t="s">
        <v>84</v>
      </c>
      <c r="C47" s="45">
        <v>0</v>
      </c>
      <c r="D47" s="46">
        <v>0</v>
      </c>
      <c r="E47" s="46">
        <v>3.6321957069980595</v>
      </c>
      <c r="F47" s="46">
        <v>9.3401169352699398</v>
      </c>
      <c r="G47" s="46">
        <v>0.46547114856015948</v>
      </c>
      <c r="H47" s="46">
        <v>31.308111981945761</v>
      </c>
      <c r="I47" s="46">
        <v>0</v>
      </c>
      <c r="J47" s="46">
        <v>0</v>
      </c>
      <c r="K47" s="46">
        <v>225.97732219833929</v>
      </c>
      <c r="L47" s="46">
        <v>5.0598814702095787</v>
      </c>
      <c r="M47" s="46">
        <v>1364.7264706633732</v>
      </c>
      <c r="N47" s="46">
        <v>253.9679344562791</v>
      </c>
      <c r="O47" s="46">
        <v>0</v>
      </c>
      <c r="P47" s="46">
        <v>0</v>
      </c>
      <c r="Q47" s="46">
        <v>4.0385607949445035</v>
      </c>
      <c r="R47" s="46">
        <v>349.02423026294349</v>
      </c>
      <c r="S47" s="46">
        <v>0</v>
      </c>
      <c r="T47" s="46">
        <v>6470.345464665259</v>
      </c>
      <c r="U47" s="46">
        <v>0</v>
      </c>
      <c r="V47" s="46">
        <v>16.971143372754582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0.12730818027996194</v>
      </c>
      <c r="AG47" s="46">
        <v>47.171651052028288</v>
      </c>
      <c r="AH47" s="46">
        <v>0</v>
      </c>
      <c r="AI47" s="47">
        <v>0</v>
      </c>
      <c r="AJ47" s="35">
        <v>0</v>
      </c>
      <c r="AK47" s="36">
        <v>0</v>
      </c>
      <c r="AL47" s="36">
        <v>0</v>
      </c>
      <c r="AM47" s="36">
        <v>0</v>
      </c>
      <c r="AN47" s="36">
        <v>0</v>
      </c>
      <c r="AO47" s="36">
        <v>0</v>
      </c>
      <c r="AP47" s="36">
        <v>0</v>
      </c>
      <c r="AQ47" s="36">
        <v>0</v>
      </c>
      <c r="AR47" s="36">
        <v>0</v>
      </c>
      <c r="AS47" s="36">
        <v>0</v>
      </c>
      <c r="AT47" s="36">
        <v>0</v>
      </c>
      <c r="AU47" s="36">
        <v>0</v>
      </c>
      <c r="AV47" s="36">
        <v>0</v>
      </c>
      <c r="AW47" s="36">
        <v>0</v>
      </c>
      <c r="AX47" s="36">
        <v>0</v>
      </c>
      <c r="AY47" s="36">
        <v>0</v>
      </c>
      <c r="AZ47" s="36">
        <v>0</v>
      </c>
      <c r="BA47" s="36">
        <v>0</v>
      </c>
      <c r="BB47" s="36">
        <v>0</v>
      </c>
      <c r="BC47" s="36">
        <v>0</v>
      </c>
      <c r="BD47" s="36">
        <v>0</v>
      </c>
      <c r="BE47" s="36">
        <v>0</v>
      </c>
      <c r="BF47" s="36">
        <v>0</v>
      </c>
      <c r="BG47" s="36">
        <v>0</v>
      </c>
      <c r="BH47" s="36">
        <v>0</v>
      </c>
      <c r="BI47" s="36">
        <v>0</v>
      </c>
      <c r="BJ47" s="36">
        <v>0</v>
      </c>
      <c r="BK47" s="36">
        <v>0</v>
      </c>
      <c r="BL47" s="36">
        <v>0</v>
      </c>
      <c r="BM47" s="36">
        <v>0</v>
      </c>
      <c r="BN47" s="36">
        <v>0</v>
      </c>
      <c r="BO47" s="36">
        <v>0</v>
      </c>
      <c r="BP47" s="37">
        <v>0</v>
      </c>
      <c r="BQ47" s="35">
        <v>0</v>
      </c>
      <c r="BR47" s="37">
        <v>0</v>
      </c>
      <c r="BS47" s="35">
        <v>0</v>
      </c>
      <c r="BT47" s="36"/>
      <c r="BU47" s="37">
        <v>0</v>
      </c>
      <c r="BV47" s="45">
        <v>89.342971629451611</v>
      </c>
      <c r="BW47" s="46">
        <v>0</v>
      </c>
      <c r="BX47" s="47">
        <v>4728.6532694254747</v>
      </c>
      <c r="BY47" s="48">
        <v>734.57117772375295</v>
      </c>
      <c r="BZ47" s="49">
        <v>14334.723281667866</v>
      </c>
      <c r="CB47" s="50">
        <v>14334.723281667866</v>
      </c>
      <c r="CD47" s="34">
        <v>6187.5802816678661</v>
      </c>
      <c r="CE47">
        <v>6187.580281667867</v>
      </c>
      <c r="CG47" s="34">
        <v>0</v>
      </c>
    </row>
    <row r="48" spans="1:85">
      <c r="A48" s="280"/>
      <c r="B48" s="44" t="s">
        <v>85</v>
      </c>
      <c r="C48" s="45">
        <v>0</v>
      </c>
      <c r="D48" s="46">
        <v>0</v>
      </c>
      <c r="E48" s="46">
        <v>15.07720472681059</v>
      </c>
      <c r="F48" s="46">
        <v>82.436696404822627</v>
      </c>
      <c r="G48" s="46">
        <v>0</v>
      </c>
      <c r="H48" s="46">
        <v>108.81532339293815</v>
      </c>
      <c r="I48" s="46">
        <v>31.051592598639381</v>
      </c>
      <c r="J48" s="46">
        <v>0</v>
      </c>
      <c r="K48" s="46">
        <v>1.7759274318138933</v>
      </c>
      <c r="L48" s="46">
        <v>382.468836721287</v>
      </c>
      <c r="M48" s="46">
        <v>132.11199490888916</v>
      </c>
      <c r="N48" s="46">
        <v>14746.857733611136</v>
      </c>
      <c r="O48" s="46">
        <v>1842.6759591066773</v>
      </c>
      <c r="P48" s="46">
        <v>2666.1365789535334</v>
      </c>
      <c r="Q48" s="46">
        <v>232.726976818021</v>
      </c>
      <c r="R48" s="46">
        <v>2332.262990294807</v>
      </c>
      <c r="S48" s="46">
        <v>3.643172099091993E-4</v>
      </c>
      <c r="T48" s="46">
        <v>6395.6390333875834</v>
      </c>
      <c r="U48" s="46">
        <v>142.76294923666291</v>
      </c>
      <c r="V48" s="46">
        <v>499.74631507464375</v>
      </c>
      <c r="W48" s="46">
        <v>0</v>
      </c>
      <c r="X48" s="46">
        <v>0</v>
      </c>
      <c r="Y48" s="46">
        <v>0</v>
      </c>
      <c r="Z48" s="46">
        <v>9.0288998001675308E-2</v>
      </c>
      <c r="AA48" s="46">
        <v>0</v>
      </c>
      <c r="AB48" s="46">
        <v>0</v>
      </c>
      <c r="AC48" s="46">
        <v>0</v>
      </c>
      <c r="AD48" s="46">
        <v>35.405645245469941</v>
      </c>
      <c r="AE48" s="46">
        <v>161.21949586138052</v>
      </c>
      <c r="AF48" s="46">
        <v>0</v>
      </c>
      <c r="AG48" s="46">
        <v>0</v>
      </c>
      <c r="AH48" s="46">
        <v>0.60532123859413645</v>
      </c>
      <c r="AI48" s="47">
        <v>0</v>
      </c>
      <c r="AJ48" s="35">
        <v>0</v>
      </c>
      <c r="AK48" s="36">
        <v>0</v>
      </c>
      <c r="AL48" s="36">
        <v>0</v>
      </c>
      <c r="AM48" s="36">
        <v>0</v>
      </c>
      <c r="AN48" s="36">
        <v>0</v>
      </c>
      <c r="AO48" s="36">
        <v>0</v>
      </c>
      <c r="AP48" s="36">
        <v>0</v>
      </c>
      <c r="AQ48" s="36">
        <v>0</v>
      </c>
      <c r="AR48" s="36">
        <v>0</v>
      </c>
      <c r="AS48" s="36">
        <v>0</v>
      </c>
      <c r="AT48" s="36">
        <v>0</v>
      </c>
      <c r="AU48" s="36">
        <v>0</v>
      </c>
      <c r="AV48" s="36">
        <v>0</v>
      </c>
      <c r="AW48" s="36">
        <v>0</v>
      </c>
      <c r="AX48" s="36">
        <v>0</v>
      </c>
      <c r="AY48" s="36">
        <v>0</v>
      </c>
      <c r="AZ48" s="36">
        <v>0</v>
      </c>
      <c r="BA48" s="36">
        <v>0</v>
      </c>
      <c r="BB48" s="36">
        <v>0</v>
      </c>
      <c r="BC48" s="36">
        <v>0</v>
      </c>
      <c r="BD48" s="36">
        <v>0</v>
      </c>
      <c r="BE48" s="36">
        <v>0</v>
      </c>
      <c r="BF48" s="36">
        <v>0</v>
      </c>
      <c r="BG48" s="36">
        <v>0</v>
      </c>
      <c r="BH48" s="36">
        <v>0</v>
      </c>
      <c r="BI48" s="36">
        <v>0</v>
      </c>
      <c r="BJ48" s="36">
        <v>0</v>
      </c>
      <c r="BK48" s="36">
        <v>0</v>
      </c>
      <c r="BL48" s="36">
        <v>0</v>
      </c>
      <c r="BM48" s="36">
        <v>0</v>
      </c>
      <c r="BN48" s="36">
        <v>0</v>
      </c>
      <c r="BO48" s="36">
        <v>0</v>
      </c>
      <c r="BP48" s="37">
        <v>0</v>
      </c>
      <c r="BQ48" s="35">
        <v>0</v>
      </c>
      <c r="BR48" s="37">
        <v>0</v>
      </c>
      <c r="BS48" s="35">
        <v>0</v>
      </c>
      <c r="BT48" s="36"/>
      <c r="BU48" s="37">
        <v>0</v>
      </c>
      <c r="BV48" s="45">
        <v>94.897310778945254</v>
      </c>
      <c r="BW48" s="46">
        <v>0</v>
      </c>
      <c r="BX48" s="47">
        <v>129405.85466863023</v>
      </c>
      <c r="BY48" s="48">
        <v>5189.9998898448293</v>
      </c>
      <c r="BZ48" s="49">
        <v>164500.61909758291</v>
      </c>
      <c r="CB48" s="50">
        <v>164500.61909758291</v>
      </c>
      <c r="CD48" s="34">
        <v>125797.1140975829</v>
      </c>
      <c r="CE48">
        <v>125797.1140975829</v>
      </c>
      <c r="CG48" s="34">
        <v>0</v>
      </c>
    </row>
    <row r="49" spans="1:85">
      <c r="A49" s="280"/>
      <c r="B49" s="44" t="s">
        <v>86</v>
      </c>
      <c r="C49" s="45">
        <v>0</v>
      </c>
      <c r="D49" s="46">
        <v>0</v>
      </c>
      <c r="E49" s="46">
        <v>124.53197137555694</v>
      </c>
      <c r="F49" s="46">
        <v>1.9763583921474857</v>
      </c>
      <c r="G49" s="46">
        <v>2.0711289967407672E-2</v>
      </c>
      <c r="H49" s="46">
        <v>11.931422825279867</v>
      </c>
      <c r="I49" s="46">
        <v>31.869563671642425</v>
      </c>
      <c r="J49" s="46">
        <v>0</v>
      </c>
      <c r="K49" s="46">
        <v>35.325610805117471</v>
      </c>
      <c r="L49" s="46">
        <v>14.666917956863252</v>
      </c>
      <c r="M49" s="46">
        <v>285.36399297911566</v>
      </c>
      <c r="N49" s="46">
        <v>665.34982243942204</v>
      </c>
      <c r="O49" s="46">
        <v>937.64181898162383</v>
      </c>
      <c r="P49" s="46">
        <v>138.33712805952695</v>
      </c>
      <c r="Q49" s="46">
        <v>42.58633465492747</v>
      </c>
      <c r="R49" s="46">
        <v>239.91281551950544</v>
      </c>
      <c r="S49" s="46">
        <v>8.8472112610363656</v>
      </c>
      <c r="T49" s="46">
        <v>6843.1120314195596</v>
      </c>
      <c r="U49" s="46">
        <v>201.37955638556292</v>
      </c>
      <c r="V49" s="46">
        <v>0</v>
      </c>
      <c r="W49" s="46">
        <v>0</v>
      </c>
      <c r="X49" s="46">
        <v>0</v>
      </c>
      <c r="Y49" s="46">
        <v>0</v>
      </c>
      <c r="Z49" s="46">
        <v>842.32798646457945</v>
      </c>
      <c r="AA49" s="46">
        <v>0</v>
      </c>
      <c r="AB49" s="46">
        <v>0</v>
      </c>
      <c r="AC49" s="46">
        <v>276.01649045546816</v>
      </c>
      <c r="AD49" s="46">
        <v>122.0917259107859</v>
      </c>
      <c r="AE49" s="46">
        <v>60.309569759160006</v>
      </c>
      <c r="AF49" s="46">
        <v>8.429948675701052</v>
      </c>
      <c r="AG49" s="46">
        <v>40.092570487265547</v>
      </c>
      <c r="AH49" s="46">
        <v>50.746488085104637</v>
      </c>
      <c r="AI49" s="47">
        <v>0</v>
      </c>
      <c r="AJ49" s="35">
        <v>0</v>
      </c>
      <c r="AK49" s="36">
        <v>0</v>
      </c>
      <c r="AL49" s="36">
        <v>0</v>
      </c>
      <c r="AM49" s="36">
        <v>0</v>
      </c>
      <c r="AN49" s="36">
        <v>0</v>
      </c>
      <c r="AO49" s="36">
        <v>0</v>
      </c>
      <c r="AP49" s="36">
        <v>0</v>
      </c>
      <c r="AQ49" s="36">
        <v>0</v>
      </c>
      <c r="AR49" s="36">
        <v>0</v>
      </c>
      <c r="AS49" s="36">
        <v>0</v>
      </c>
      <c r="AT49" s="36">
        <v>0</v>
      </c>
      <c r="AU49" s="36">
        <v>0</v>
      </c>
      <c r="AV49" s="36">
        <v>0</v>
      </c>
      <c r="AW49" s="36">
        <v>0</v>
      </c>
      <c r="AX49" s="36">
        <v>0</v>
      </c>
      <c r="AY49" s="36">
        <v>0</v>
      </c>
      <c r="AZ49" s="36">
        <v>0</v>
      </c>
      <c r="BA49" s="36">
        <v>0</v>
      </c>
      <c r="BB49" s="36">
        <v>0</v>
      </c>
      <c r="BC49" s="36">
        <v>0</v>
      </c>
      <c r="BD49" s="36">
        <v>0</v>
      </c>
      <c r="BE49" s="36">
        <v>0</v>
      </c>
      <c r="BF49" s="36">
        <v>0</v>
      </c>
      <c r="BG49" s="36">
        <v>0</v>
      </c>
      <c r="BH49" s="36">
        <v>0</v>
      </c>
      <c r="BI49" s="36">
        <v>0</v>
      </c>
      <c r="BJ49" s="36">
        <v>0</v>
      </c>
      <c r="BK49" s="36">
        <v>0</v>
      </c>
      <c r="BL49" s="36">
        <v>0</v>
      </c>
      <c r="BM49" s="36">
        <v>0</v>
      </c>
      <c r="BN49" s="36">
        <v>0</v>
      </c>
      <c r="BO49" s="36">
        <v>0</v>
      </c>
      <c r="BP49" s="37">
        <v>0</v>
      </c>
      <c r="BQ49" s="35">
        <v>0</v>
      </c>
      <c r="BR49" s="37">
        <v>0</v>
      </c>
      <c r="BS49" s="35">
        <v>0</v>
      </c>
      <c r="BT49" s="36"/>
      <c r="BU49" s="37">
        <v>0</v>
      </c>
      <c r="BV49" s="45">
        <v>23.728728434031872</v>
      </c>
      <c r="BW49" s="46">
        <v>0</v>
      </c>
      <c r="BX49" s="47">
        <v>40306.887845423233</v>
      </c>
      <c r="BY49" s="48">
        <v>16971.40369523162</v>
      </c>
      <c r="BZ49" s="49">
        <v>68284.888316943805</v>
      </c>
      <c r="CB49" s="50">
        <v>68284.888316943805</v>
      </c>
      <c r="CD49" s="34">
        <v>61173.541316943803</v>
      </c>
      <c r="CE49">
        <v>61173.541316943803</v>
      </c>
      <c r="CG49" s="34">
        <v>0</v>
      </c>
    </row>
    <row r="50" spans="1:85">
      <c r="A50" s="280"/>
      <c r="B50" s="44" t="s">
        <v>87</v>
      </c>
      <c r="C50" s="45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1.3265466476407349E-2</v>
      </c>
      <c r="J50" s="46">
        <v>0</v>
      </c>
      <c r="K50" s="46">
        <v>0.16990156587429248</v>
      </c>
      <c r="L50" s="46">
        <v>15.244195812808075</v>
      </c>
      <c r="M50" s="46">
        <v>0</v>
      </c>
      <c r="N50" s="46">
        <v>1.4777645710533323</v>
      </c>
      <c r="O50" s="46">
        <v>467.54110226635294</v>
      </c>
      <c r="P50" s="46">
        <v>284.26044978225582</v>
      </c>
      <c r="Q50" s="46">
        <v>217.21441187664448</v>
      </c>
      <c r="R50" s="46">
        <v>2.6613348122640494</v>
      </c>
      <c r="S50" s="46">
        <v>373.88934367224795</v>
      </c>
      <c r="T50" s="46">
        <v>4921.8199828824982</v>
      </c>
      <c r="U50" s="46">
        <v>22.310380842209476</v>
      </c>
      <c r="V50" s="46">
        <v>46.162148109248839</v>
      </c>
      <c r="W50" s="46">
        <v>0</v>
      </c>
      <c r="X50" s="46">
        <v>0</v>
      </c>
      <c r="Y50" s="46">
        <v>0</v>
      </c>
      <c r="Z50" s="46">
        <v>0</v>
      </c>
      <c r="AA50" s="46">
        <v>1200.9764004256233</v>
      </c>
      <c r="AB50" s="46">
        <v>0</v>
      </c>
      <c r="AC50" s="46">
        <v>0</v>
      </c>
      <c r="AD50" s="46">
        <v>808.87255063610667</v>
      </c>
      <c r="AE50" s="46">
        <v>4.3134055090234087</v>
      </c>
      <c r="AF50" s="46">
        <v>0.14341083210589445</v>
      </c>
      <c r="AG50" s="46">
        <v>3.1342586139537754</v>
      </c>
      <c r="AH50" s="46">
        <v>0.69624755354770262</v>
      </c>
      <c r="AI50" s="47">
        <v>0</v>
      </c>
      <c r="AJ50" s="35">
        <v>0</v>
      </c>
      <c r="AK50" s="36">
        <v>0</v>
      </c>
      <c r="AL50" s="36">
        <v>0</v>
      </c>
      <c r="AM50" s="36">
        <v>0</v>
      </c>
      <c r="AN50" s="36">
        <v>0</v>
      </c>
      <c r="AO50" s="36">
        <v>0</v>
      </c>
      <c r="AP50" s="36">
        <v>0</v>
      </c>
      <c r="AQ50" s="36">
        <v>0</v>
      </c>
      <c r="AR50" s="36">
        <v>0</v>
      </c>
      <c r="AS50" s="36">
        <v>0</v>
      </c>
      <c r="AT50" s="36">
        <v>0</v>
      </c>
      <c r="AU50" s="36">
        <v>0</v>
      </c>
      <c r="AV50" s="36">
        <v>0</v>
      </c>
      <c r="AW50" s="36">
        <v>0</v>
      </c>
      <c r="AX50" s="36">
        <v>0</v>
      </c>
      <c r="AY50" s="36">
        <v>0</v>
      </c>
      <c r="AZ50" s="36">
        <v>0</v>
      </c>
      <c r="BA50" s="36">
        <v>0</v>
      </c>
      <c r="BB50" s="36">
        <v>0</v>
      </c>
      <c r="BC50" s="36">
        <v>0</v>
      </c>
      <c r="BD50" s="36">
        <v>0</v>
      </c>
      <c r="BE50" s="36">
        <v>0</v>
      </c>
      <c r="BF50" s="36">
        <v>0</v>
      </c>
      <c r="BG50" s="36">
        <v>0</v>
      </c>
      <c r="BH50" s="36">
        <v>0</v>
      </c>
      <c r="BI50" s="36">
        <v>0</v>
      </c>
      <c r="BJ50" s="36">
        <v>0</v>
      </c>
      <c r="BK50" s="36">
        <v>0</v>
      </c>
      <c r="BL50" s="36">
        <v>0</v>
      </c>
      <c r="BM50" s="36">
        <v>0</v>
      </c>
      <c r="BN50" s="36">
        <v>0</v>
      </c>
      <c r="BO50" s="36">
        <v>0</v>
      </c>
      <c r="BP50" s="37">
        <v>0</v>
      </c>
      <c r="BQ50" s="35">
        <v>0</v>
      </c>
      <c r="BR50" s="37">
        <v>0</v>
      </c>
      <c r="BS50" s="35">
        <v>0</v>
      </c>
      <c r="BT50" s="36"/>
      <c r="BU50" s="37">
        <v>0</v>
      </c>
      <c r="BV50" s="45">
        <v>369.08096886372459</v>
      </c>
      <c r="BW50" s="46">
        <v>0</v>
      </c>
      <c r="BX50" s="47">
        <v>127465.50584737753</v>
      </c>
      <c r="BY50" s="48">
        <v>8519.5669346308005</v>
      </c>
      <c r="BZ50" s="49">
        <v>144725.05430610233</v>
      </c>
      <c r="CB50" s="50">
        <v>144725.05430610233</v>
      </c>
      <c r="CD50" s="34">
        <v>138479.37230610233</v>
      </c>
      <c r="CE50">
        <v>138479.37230610233</v>
      </c>
      <c r="CG50" s="34">
        <v>0</v>
      </c>
    </row>
    <row r="51" spans="1:85">
      <c r="A51" s="280"/>
      <c r="B51" s="44" t="s">
        <v>88</v>
      </c>
      <c r="C51" s="45">
        <v>0</v>
      </c>
      <c r="D51" s="46">
        <v>0</v>
      </c>
      <c r="E51" s="46">
        <v>108.8621124484515</v>
      </c>
      <c r="F51" s="46">
        <v>4.2760771921233713</v>
      </c>
      <c r="G51" s="46">
        <v>2.2132698837119057E-2</v>
      </c>
      <c r="H51" s="46">
        <v>5.370434031960758</v>
      </c>
      <c r="I51" s="46">
        <v>9.7760438343851508</v>
      </c>
      <c r="J51" s="46">
        <v>50.119072195723682</v>
      </c>
      <c r="K51" s="46">
        <v>56.772518876648519</v>
      </c>
      <c r="L51" s="46">
        <v>21.852723717009248</v>
      </c>
      <c r="M51" s="46">
        <v>102.79118125281248</v>
      </c>
      <c r="N51" s="46">
        <v>289.94171741785271</v>
      </c>
      <c r="O51" s="46">
        <v>63.96054707997456</v>
      </c>
      <c r="P51" s="46">
        <v>107.81758362668471</v>
      </c>
      <c r="Q51" s="46">
        <v>76.367425900560804</v>
      </c>
      <c r="R51" s="46">
        <v>114.22084988221437</v>
      </c>
      <c r="S51" s="46">
        <v>10.885020588384458</v>
      </c>
      <c r="T51" s="46">
        <v>515.33658128204866</v>
      </c>
      <c r="U51" s="46">
        <v>311.55667950037031</v>
      </c>
      <c r="V51" s="46">
        <v>142.09715253135687</v>
      </c>
      <c r="W51" s="46">
        <v>476.11031604443485</v>
      </c>
      <c r="X51" s="46">
        <v>8.0254186491223471</v>
      </c>
      <c r="Y51" s="46">
        <v>1177.2064158885239</v>
      </c>
      <c r="Z51" s="46">
        <v>259.5918736918685</v>
      </c>
      <c r="AA51" s="46">
        <v>390.65680980919063</v>
      </c>
      <c r="AB51" s="46">
        <v>0</v>
      </c>
      <c r="AC51" s="46">
        <v>7.0111895100536694</v>
      </c>
      <c r="AD51" s="46">
        <v>684.94257877529799</v>
      </c>
      <c r="AE51" s="46">
        <v>3.5516160964531642</v>
      </c>
      <c r="AF51" s="46">
        <v>0.99362634796281157</v>
      </c>
      <c r="AG51" s="46">
        <v>22.374059953337671</v>
      </c>
      <c r="AH51" s="46">
        <v>147.53888513789909</v>
      </c>
      <c r="AI51" s="47">
        <v>0</v>
      </c>
      <c r="AJ51" s="35">
        <v>0</v>
      </c>
      <c r="AK51" s="36">
        <v>0</v>
      </c>
      <c r="AL51" s="36">
        <v>0</v>
      </c>
      <c r="AM51" s="36">
        <v>0</v>
      </c>
      <c r="AN51" s="36">
        <v>0</v>
      </c>
      <c r="AO51" s="36">
        <v>0</v>
      </c>
      <c r="AP51" s="36">
        <v>0</v>
      </c>
      <c r="AQ51" s="36">
        <v>0</v>
      </c>
      <c r="AR51" s="36">
        <v>0</v>
      </c>
      <c r="AS51" s="36">
        <v>0</v>
      </c>
      <c r="AT51" s="36">
        <v>0</v>
      </c>
      <c r="AU51" s="36">
        <v>0</v>
      </c>
      <c r="AV51" s="36">
        <v>0</v>
      </c>
      <c r="AW51" s="36">
        <v>0</v>
      </c>
      <c r="AX51" s="36">
        <v>0</v>
      </c>
      <c r="AY51" s="36">
        <v>0</v>
      </c>
      <c r="AZ51" s="36">
        <v>0</v>
      </c>
      <c r="BA51" s="36">
        <v>0</v>
      </c>
      <c r="BB51" s="36">
        <v>0</v>
      </c>
      <c r="BC51" s="36">
        <v>0</v>
      </c>
      <c r="BD51" s="36">
        <v>0</v>
      </c>
      <c r="BE51" s="36">
        <v>0</v>
      </c>
      <c r="BF51" s="36">
        <v>0</v>
      </c>
      <c r="BG51" s="36">
        <v>0</v>
      </c>
      <c r="BH51" s="36">
        <v>0</v>
      </c>
      <c r="BI51" s="36">
        <v>0</v>
      </c>
      <c r="BJ51" s="36">
        <v>0</v>
      </c>
      <c r="BK51" s="36">
        <v>0</v>
      </c>
      <c r="BL51" s="36">
        <v>0</v>
      </c>
      <c r="BM51" s="36">
        <v>0</v>
      </c>
      <c r="BN51" s="36">
        <v>0</v>
      </c>
      <c r="BO51" s="36">
        <v>0</v>
      </c>
      <c r="BP51" s="37">
        <v>0</v>
      </c>
      <c r="BQ51" s="35">
        <v>0</v>
      </c>
      <c r="BR51" s="37">
        <v>0</v>
      </c>
      <c r="BS51" s="35">
        <v>0</v>
      </c>
      <c r="BT51" s="36"/>
      <c r="BU51" s="37">
        <v>0</v>
      </c>
      <c r="BV51" s="45">
        <v>545.50304379045463</v>
      </c>
      <c r="BW51" s="46">
        <v>0</v>
      </c>
      <c r="BX51" s="47">
        <v>32111.616276144228</v>
      </c>
      <c r="BY51" s="48">
        <v>13540.613431654505</v>
      </c>
      <c r="BZ51" s="49">
        <v>51367.761395550733</v>
      </c>
      <c r="CB51" s="50">
        <v>51367.761395550733</v>
      </c>
      <c r="CD51" s="34">
        <v>49352.989395550736</v>
      </c>
      <c r="CE51">
        <v>49352.989395550729</v>
      </c>
      <c r="CG51" s="34">
        <v>0</v>
      </c>
    </row>
    <row r="52" spans="1:85">
      <c r="A52" s="280"/>
      <c r="B52" s="44" t="s">
        <v>89</v>
      </c>
      <c r="C52" s="45">
        <v>0</v>
      </c>
      <c r="D52" s="46">
        <v>43.836212145634725</v>
      </c>
      <c r="E52" s="46">
        <v>84.357761163543756</v>
      </c>
      <c r="F52" s="46">
        <v>37.635419123920322</v>
      </c>
      <c r="G52" s="46">
        <v>0.90100513770996316</v>
      </c>
      <c r="H52" s="46">
        <v>11.410638198028126</v>
      </c>
      <c r="I52" s="46">
        <v>80.054425731284837</v>
      </c>
      <c r="J52" s="46">
        <v>47.737613194956801</v>
      </c>
      <c r="K52" s="46">
        <v>53.146659025120606</v>
      </c>
      <c r="L52" s="46">
        <v>20.000170590060446</v>
      </c>
      <c r="M52" s="46">
        <v>72.877999029885103</v>
      </c>
      <c r="N52" s="46">
        <v>442.42015643056624</v>
      </c>
      <c r="O52" s="46">
        <v>12.70391786781361</v>
      </c>
      <c r="P52" s="46">
        <v>20.368926842903946</v>
      </c>
      <c r="Q52" s="46">
        <v>16.827822580278568</v>
      </c>
      <c r="R52" s="46">
        <v>673.81103429410007</v>
      </c>
      <c r="S52" s="46">
        <v>239.46691641713946</v>
      </c>
      <c r="T52" s="46">
        <v>360.48846848961512</v>
      </c>
      <c r="U52" s="46">
        <v>303.89617885648181</v>
      </c>
      <c r="V52" s="46">
        <v>803.68960580865905</v>
      </c>
      <c r="W52" s="46">
        <v>44.901193915484527</v>
      </c>
      <c r="X52" s="46">
        <v>3.1068620601778489</v>
      </c>
      <c r="Y52" s="46">
        <v>1288.2261767467105</v>
      </c>
      <c r="Z52" s="46">
        <v>210.11503610536607</v>
      </c>
      <c r="AA52" s="46">
        <v>1918.9338027989381</v>
      </c>
      <c r="AB52" s="46">
        <v>225.68191162850573</v>
      </c>
      <c r="AC52" s="46">
        <v>59.687596587940796</v>
      </c>
      <c r="AD52" s="46">
        <v>487.62204518696711</v>
      </c>
      <c r="AE52" s="46">
        <v>279.99655182575276</v>
      </c>
      <c r="AF52" s="46">
        <v>24.025333305825498</v>
      </c>
      <c r="AG52" s="46">
        <v>187.07915337321188</v>
      </c>
      <c r="AH52" s="46">
        <v>41.441281260299448</v>
      </c>
      <c r="AI52" s="47">
        <v>0</v>
      </c>
      <c r="AJ52" s="35">
        <v>0</v>
      </c>
      <c r="AK52" s="36">
        <v>0</v>
      </c>
      <c r="AL52" s="36">
        <v>0</v>
      </c>
      <c r="AM52" s="36">
        <v>0</v>
      </c>
      <c r="AN52" s="36">
        <v>0</v>
      </c>
      <c r="AO52" s="36">
        <v>0</v>
      </c>
      <c r="AP52" s="36">
        <v>0</v>
      </c>
      <c r="AQ52" s="36">
        <v>0</v>
      </c>
      <c r="AR52" s="36">
        <v>0</v>
      </c>
      <c r="AS52" s="36">
        <v>0</v>
      </c>
      <c r="AT52" s="36">
        <v>0</v>
      </c>
      <c r="AU52" s="36">
        <v>0</v>
      </c>
      <c r="AV52" s="36">
        <v>0</v>
      </c>
      <c r="AW52" s="36">
        <v>0</v>
      </c>
      <c r="AX52" s="36">
        <v>0</v>
      </c>
      <c r="AY52" s="36">
        <v>0</v>
      </c>
      <c r="AZ52" s="36">
        <v>0</v>
      </c>
      <c r="BA52" s="36">
        <v>0</v>
      </c>
      <c r="BB52" s="36">
        <v>0</v>
      </c>
      <c r="BC52" s="36">
        <v>0</v>
      </c>
      <c r="BD52" s="36">
        <v>0</v>
      </c>
      <c r="BE52" s="36">
        <v>0</v>
      </c>
      <c r="BF52" s="36">
        <v>0</v>
      </c>
      <c r="BG52" s="36">
        <v>0</v>
      </c>
      <c r="BH52" s="36">
        <v>0</v>
      </c>
      <c r="BI52" s="36">
        <v>0</v>
      </c>
      <c r="BJ52" s="36">
        <v>0</v>
      </c>
      <c r="BK52" s="36">
        <v>0</v>
      </c>
      <c r="BL52" s="36">
        <v>0</v>
      </c>
      <c r="BM52" s="36">
        <v>0</v>
      </c>
      <c r="BN52" s="36">
        <v>0</v>
      </c>
      <c r="BO52" s="36">
        <v>0</v>
      </c>
      <c r="BP52" s="37">
        <v>0</v>
      </c>
      <c r="BQ52" s="35">
        <v>0</v>
      </c>
      <c r="BR52" s="37">
        <v>0</v>
      </c>
      <c r="BS52" s="35">
        <v>0</v>
      </c>
      <c r="BT52" s="36"/>
      <c r="BU52" s="37">
        <v>0</v>
      </c>
      <c r="BV52" s="45">
        <v>411.70106687232141</v>
      </c>
      <c r="BW52" s="46">
        <v>0</v>
      </c>
      <c r="BX52" s="47">
        <v>45765.019005968468</v>
      </c>
      <c r="BY52" s="48">
        <v>6382.4035667759808</v>
      </c>
      <c r="BZ52" s="49">
        <v>60655.571515339652</v>
      </c>
      <c r="CB52" s="50">
        <v>60655.571515339652</v>
      </c>
      <c r="CD52" s="34">
        <v>46912.071515339652</v>
      </c>
      <c r="CE52">
        <v>46912.071515339652</v>
      </c>
      <c r="CG52" s="34">
        <v>0</v>
      </c>
    </row>
    <row r="53" spans="1:85">
      <c r="A53" s="280"/>
      <c r="B53" s="44" t="s">
        <v>90</v>
      </c>
      <c r="C53" s="45">
        <v>16.409150005054705</v>
      </c>
      <c r="D53" s="46">
        <v>157.05696702114483</v>
      </c>
      <c r="E53" s="46">
        <v>604.68767376255175</v>
      </c>
      <c r="F53" s="46">
        <v>56.086127607908502</v>
      </c>
      <c r="G53" s="46">
        <v>0.34445050764780394</v>
      </c>
      <c r="H53" s="46">
        <v>25.085299636660217</v>
      </c>
      <c r="I53" s="46">
        <v>192.33556631038635</v>
      </c>
      <c r="J53" s="46">
        <v>241.64585703639705</v>
      </c>
      <c r="K53" s="46">
        <v>147.96857935357662</v>
      </c>
      <c r="L53" s="46">
        <v>176.60018378309925</v>
      </c>
      <c r="M53" s="46">
        <v>289.01531720039793</v>
      </c>
      <c r="N53" s="46">
        <v>2370.9832914234757</v>
      </c>
      <c r="O53" s="46">
        <v>49.878249535881473</v>
      </c>
      <c r="P53" s="46">
        <v>41.917906810961817</v>
      </c>
      <c r="Q53" s="46">
        <v>10.295644013501617</v>
      </c>
      <c r="R53" s="46">
        <v>344.22981214554648</v>
      </c>
      <c r="S53" s="46">
        <v>388.21793345209409</v>
      </c>
      <c r="T53" s="46">
        <v>736.3690543816125</v>
      </c>
      <c r="U53" s="46">
        <v>6479.2333866413364</v>
      </c>
      <c r="V53" s="46">
        <v>2630.9081985470498</v>
      </c>
      <c r="W53" s="46">
        <v>156.38259067307163</v>
      </c>
      <c r="X53" s="46">
        <v>11.983668962028872</v>
      </c>
      <c r="Y53" s="46">
        <v>159.058517179544</v>
      </c>
      <c r="Z53" s="46">
        <v>1400.4379816006729</v>
      </c>
      <c r="AA53" s="46">
        <v>265.11002798475499</v>
      </c>
      <c r="AB53" s="46">
        <v>347.61047493799089</v>
      </c>
      <c r="AC53" s="46">
        <v>1335.2772265504886</v>
      </c>
      <c r="AD53" s="46">
        <v>906.68073372506194</v>
      </c>
      <c r="AE53" s="46">
        <v>2448.3662129703853</v>
      </c>
      <c r="AF53" s="46">
        <v>179.68657264634859</v>
      </c>
      <c r="AG53" s="46">
        <v>259.87707729170057</v>
      </c>
      <c r="AH53" s="46">
        <v>402.9521632750953</v>
      </c>
      <c r="AI53" s="47">
        <v>0</v>
      </c>
      <c r="AJ53" s="35">
        <v>0</v>
      </c>
      <c r="AK53" s="36">
        <v>0</v>
      </c>
      <c r="AL53" s="36">
        <v>0</v>
      </c>
      <c r="AM53" s="36">
        <v>0</v>
      </c>
      <c r="AN53" s="36">
        <v>0</v>
      </c>
      <c r="AO53" s="36">
        <v>0</v>
      </c>
      <c r="AP53" s="36">
        <v>0</v>
      </c>
      <c r="AQ53" s="36">
        <v>0</v>
      </c>
      <c r="AR53" s="36">
        <v>0</v>
      </c>
      <c r="AS53" s="36">
        <v>0</v>
      </c>
      <c r="AT53" s="36">
        <v>0</v>
      </c>
      <c r="AU53" s="36">
        <v>0</v>
      </c>
      <c r="AV53" s="36">
        <v>0</v>
      </c>
      <c r="AW53" s="36">
        <v>0</v>
      </c>
      <c r="AX53" s="36">
        <v>0</v>
      </c>
      <c r="AY53" s="36">
        <v>0</v>
      </c>
      <c r="AZ53" s="36">
        <v>0</v>
      </c>
      <c r="BA53" s="36">
        <v>0</v>
      </c>
      <c r="BB53" s="36">
        <v>0</v>
      </c>
      <c r="BC53" s="36">
        <v>0</v>
      </c>
      <c r="BD53" s="36">
        <v>0</v>
      </c>
      <c r="BE53" s="36">
        <v>0</v>
      </c>
      <c r="BF53" s="36">
        <v>0</v>
      </c>
      <c r="BG53" s="36">
        <v>0</v>
      </c>
      <c r="BH53" s="36">
        <v>0</v>
      </c>
      <c r="BI53" s="36">
        <v>0</v>
      </c>
      <c r="BJ53" s="36">
        <v>0</v>
      </c>
      <c r="BK53" s="36">
        <v>0</v>
      </c>
      <c r="BL53" s="36">
        <v>0</v>
      </c>
      <c r="BM53" s="36">
        <v>0</v>
      </c>
      <c r="BN53" s="36">
        <v>0</v>
      </c>
      <c r="BO53" s="36">
        <v>0</v>
      </c>
      <c r="BP53" s="37">
        <v>0</v>
      </c>
      <c r="BQ53" s="35">
        <v>0</v>
      </c>
      <c r="BR53" s="37">
        <v>0</v>
      </c>
      <c r="BS53" s="35">
        <v>0</v>
      </c>
      <c r="BT53" s="36"/>
      <c r="BU53" s="37">
        <v>0</v>
      </c>
      <c r="BV53" s="45">
        <v>5215.5505212434509</v>
      </c>
      <c r="BW53" s="46">
        <v>4719.0733364380803</v>
      </c>
      <c r="BX53" s="47">
        <v>0</v>
      </c>
      <c r="BY53" s="48">
        <v>0</v>
      </c>
      <c r="BZ53" s="49">
        <v>32767.315754654959</v>
      </c>
      <c r="CB53" s="50">
        <v>32767.315754654959</v>
      </c>
      <c r="CD53" s="34">
        <v>251.03150737018223</v>
      </c>
      <c r="CE53">
        <v>251.03150737018399</v>
      </c>
      <c r="CG53" s="34">
        <v>1.7621459846850485E-12</v>
      </c>
    </row>
    <row r="54" spans="1:85">
      <c r="A54" s="280"/>
      <c r="B54" s="44" t="s">
        <v>91</v>
      </c>
      <c r="C54" s="45">
        <v>0</v>
      </c>
      <c r="D54" s="46">
        <v>98.378507421628584</v>
      </c>
      <c r="E54" s="46">
        <v>84.246232863902193</v>
      </c>
      <c r="F54" s="46">
        <v>52.472508825843803</v>
      </c>
      <c r="G54" s="46">
        <v>0.61928201889320733</v>
      </c>
      <c r="H54" s="46">
        <v>4.7809193286657674</v>
      </c>
      <c r="I54" s="46">
        <v>24.428285483568299</v>
      </c>
      <c r="J54" s="46">
        <v>1.5757930179361619E-3</v>
      </c>
      <c r="K54" s="46">
        <v>14.838817168875128</v>
      </c>
      <c r="L54" s="46">
        <v>15.603037679737835</v>
      </c>
      <c r="M54" s="46">
        <v>33.727772418762392</v>
      </c>
      <c r="N54" s="46">
        <v>156.22110267781628</v>
      </c>
      <c r="O54" s="46">
        <v>0</v>
      </c>
      <c r="P54" s="46">
        <v>10.823508320353993</v>
      </c>
      <c r="Q54" s="46">
        <v>0</v>
      </c>
      <c r="R54" s="46">
        <v>668.28235903001962</v>
      </c>
      <c r="S54" s="46">
        <v>253.74372426550963</v>
      </c>
      <c r="T54" s="46">
        <v>14178.059875435005</v>
      </c>
      <c r="U54" s="46">
        <v>2674.4312130159137</v>
      </c>
      <c r="V54" s="46">
        <v>2228.0177929223128</v>
      </c>
      <c r="W54" s="46">
        <v>260.62140222906976</v>
      </c>
      <c r="X54" s="46">
        <v>58.017067840485595</v>
      </c>
      <c r="Y54" s="46">
        <v>549.17032161449958</v>
      </c>
      <c r="Z54" s="46">
        <v>709.84728891642135</v>
      </c>
      <c r="AA54" s="46">
        <v>186.13952984216579</v>
      </c>
      <c r="AB54" s="46">
        <v>335.91183128506339</v>
      </c>
      <c r="AC54" s="46">
        <v>3570.500690326418</v>
      </c>
      <c r="AD54" s="46">
        <v>2389.4092862303037</v>
      </c>
      <c r="AE54" s="46">
        <v>1531.2473396920543</v>
      </c>
      <c r="AF54" s="46">
        <v>291.04564142638111</v>
      </c>
      <c r="AG54" s="46">
        <v>294.11548811733036</v>
      </c>
      <c r="AH54" s="46">
        <v>533.5816022838419</v>
      </c>
      <c r="AI54" s="47">
        <v>0</v>
      </c>
      <c r="AJ54" s="35">
        <v>0</v>
      </c>
      <c r="AK54" s="36">
        <v>0</v>
      </c>
      <c r="AL54" s="36">
        <v>0</v>
      </c>
      <c r="AM54" s="36">
        <v>0</v>
      </c>
      <c r="AN54" s="36">
        <v>0</v>
      </c>
      <c r="AO54" s="36">
        <v>0</v>
      </c>
      <c r="AP54" s="36">
        <v>0</v>
      </c>
      <c r="AQ54" s="36">
        <v>0</v>
      </c>
      <c r="AR54" s="36">
        <v>0</v>
      </c>
      <c r="AS54" s="36">
        <v>0</v>
      </c>
      <c r="AT54" s="36">
        <v>0</v>
      </c>
      <c r="AU54" s="36">
        <v>0</v>
      </c>
      <c r="AV54" s="36">
        <v>0</v>
      </c>
      <c r="AW54" s="36">
        <v>0</v>
      </c>
      <c r="AX54" s="36">
        <v>0</v>
      </c>
      <c r="AY54" s="36">
        <v>0</v>
      </c>
      <c r="AZ54" s="36">
        <v>0</v>
      </c>
      <c r="BA54" s="36">
        <v>0</v>
      </c>
      <c r="BB54" s="36">
        <v>0</v>
      </c>
      <c r="BC54" s="36">
        <v>0</v>
      </c>
      <c r="BD54" s="36">
        <v>0</v>
      </c>
      <c r="BE54" s="36">
        <v>0</v>
      </c>
      <c r="BF54" s="36">
        <v>0</v>
      </c>
      <c r="BG54" s="36">
        <v>0</v>
      </c>
      <c r="BH54" s="36">
        <v>0</v>
      </c>
      <c r="BI54" s="36">
        <v>0</v>
      </c>
      <c r="BJ54" s="36">
        <v>0</v>
      </c>
      <c r="BK54" s="36">
        <v>0</v>
      </c>
      <c r="BL54" s="36">
        <v>0</v>
      </c>
      <c r="BM54" s="36">
        <v>0</v>
      </c>
      <c r="BN54" s="36">
        <v>0</v>
      </c>
      <c r="BO54" s="36">
        <v>0</v>
      </c>
      <c r="BP54" s="37">
        <v>0</v>
      </c>
      <c r="BQ54" s="35">
        <v>0</v>
      </c>
      <c r="BR54" s="37">
        <v>0</v>
      </c>
      <c r="BS54" s="35">
        <v>0</v>
      </c>
      <c r="BT54" s="36"/>
      <c r="BU54" s="37">
        <v>0</v>
      </c>
      <c r="BV54" s="45">
        <v>552.5668702661327</v>
      </c>
      <c r="BW54" s="46">
        <v>0</v>
      </c>
      <c r="BX54" s="47">
        <v>10439.045282394723</v>
      </c>
      <c r="BY54" s="48">
        <v>49004.880244682296</v>
      </c>
      <c r="BZ54" s="49">
        <v>91204.776401817013</v>
      </c>
      <c r="CB54" s="50">
        <v>91204.776401817013</v>
      </c>
      <c r="CD54" s="34">
        <v>1798.4193591346557</v>
      </c>
      <c r="CE54">
        <v>1798.419359134663</v>
      </c>
      <c r="CG54" s="34">
        <v>7.2759576141834259E-12</v>
      </c>
    </row>
    <row r="55" spans="1:85">
      <c r="A55" s="280"/>
      <c r="B55" s="51" t="s">
        <v>92</v>
      </c>
      <c r="C55" s="45">
        <v>88.54025218109922</v>
      </c>
      <c r="D55" s="46">
        <v>260.01631390653125</v>
      </c>
      <c r="E55" s="46">
        <v>3028.2862245571669</v>
      </c>
      <c r="F55" s="46">
        <v>439.62475947746543</v>
      </c>
      <c r="G55" s="46">
        <v>2.326258131886322</v>
      </c>
      <c r="H55" s="46">
        <v>325.97222034939301</v>
      </c>
      <c r="I55" s="46">
        <v>1017.5385411269967</v>
      </c>
      <c r="J55" s="46">
        <v>405.65728375083006</v>
      </c>
      <c r="K55" s="46">
        <v>1070.5264745219904</v>
      </c>
      <c r="L55" s="46">
        <v>589.92886253078768</v>
      </c>
      <c r="M55" s="46">
        <v>923.60090921937729</v>
      </c>
      <c r="N55" s="46">
        <v>3531.2651127708446</v>
      </c>
      <c r="O55" s="46">
        <v>586.00437138108668</v>
      </c>
      <c r="P55" s="46">
        <v>577.34934058897625</v>
      </c>
      <c r="Q55" s="46">
        <v>136.11344586788476</v>
      </c>
      <c r="R55" s="46">
        <v>1268.6555225920929</v>
      </c>
      <c r="S55" s="46">
        <v>66.527298180444092</v>
      </c>
      <c r="T55" s="46">
        <v>8050.4725896804875</v>
      </c>
      <c r="U55" s="46">
        <v>12044.242094311774</v>
      </c>
      <c r="V55" s="46">
        <v>4242.8136348794596</v>
      </c>
      <c r="W55" s="46">
        <v>1833.7366625830207</v>
      </c>
      <c r="X55" s="46">
        <v>128.5134975156445</v>
      </c>
      <c r="Y55" s="46">
        <v>6410.1026786132661</v>
      </c>
      <c r="Z55" s="46">
        <v>3945.727147543626</v>
      </c>
      <c r="AA55" s="46">
        <v>1334.5401110790353</v>
      </c>
      <c r="AB55" s="46">
        <v>38.306032553693854</v>
      </c>
      <c r="AC55" s="46">
        <v>49.136494347897056</v>
      </c>
      <c r="AD55" s="46">
        <v>5971.404221724596</v>
      </c>
      <c r="AE55" s="46">
        <v>439.73007358244854</v>
      </c>
      <c r="AF55" s="46">
        <v>243.77675354203103</v>
      </c>
      <c r="AG55" s="46">
        <v>286.04726808732272</v>
      </c>
      <c r="AH55" s="46">
        <v>427.82116722346154</v>
      </c>
      <c r="AI55" s="47">
        <v>0</v>
      </c>
      <c r="AJ55" s="35">
        <v>0</v>
      </c>
      <c r="AK55" s="36">
        <v>0</v>
      </c>
      <c r="AL55" s="36">
        <v>0</v>
      </c>
      <c r="AM55" s="36">
        <v>0</v>
      </c>
      <c r="AN55" s="36">
        <v>0</v>
      </c>
      <c r="AO55" s="36">
        <v>0</v>
      </c>
      <c r="AP55" s="36">
        <v>0</v>
      </c>
      <c r="AQ55" s="36">
        <v>0</v>
      </c>
      <c r="AR55" s="36">
        <v>0</v>
      </c>
      <c r="AS55" s="36">
        <v>0</v>
      </c>
      <c r="AT55" s="36">
        <v>0</v>
      </c>
      <c r="AU55" s="36">
        <v>0</v>
      </c>
      <c r="AV55" s="36">
        <v>0</v>
      </c>
      <c r="AW55" s="36">
        <v>0</v>
      </c>
      <c r="AX55" s="36">
        <v>0</v>
      </c>
      <c r="AY55" s="36">
        <v>0</v>
      </c>
      <c r="AZ55" s="36">
        <v>0</v>
      </c>
      <c r="BA55" s="36">
        <v>0</v>
      </c>
      <c r="BB55" s="36">
        <v>0</v>
      </c>
      <c r="BC55" s="36">
        <v>0</v>
      </c>
      <c r="BD55" s="36">
        <v>0</v>
      </c>
      <c r="BE55" s="36">
        <v>0</v>
      </c>
      <c r="BF55" s="36">
        <v>0</v>
      </c>
      <c r="BG55" s="36">
        <v>0</v>
      </c>
      <c r="BH55" s="36">
        <v>0</v>
      </c>
      <c r="BI55" s="36">
        <v>0</v>
      </c>
      <c r="BJ55" s="36">
        <v>0</v>
      </c>
      <c r="BK55" s="36">
        <v>0</v>
      </c>
      <c r="BL55" s="36">
        <v>0</v>
      </c>
      <c r="BM55" s="36">
        <v>0</v>
      </c>
      <c r="BN55" s="36">
        <v>0</v>
      </c>
      <c r="BO55" s="36">
        <v>0</v>
      </c>
      <c r="BP55" s="37">
        <v>0</v>
      </c>
      <c r="BQ55" s="35">
        <v>0</v>
      </c>
      <c r="BR55" s="37">
        <v>0</v>
      </c>
      <c r="BS55" s="35">
        <v>0</v>
      </c>
      <c r="BT55" s="36"/>
      <c r="BU55" s="37">
        <v>0</v>
      </c>
      <c r="BV55" s="45">
        <v>4973.236150460858</v>
      </c>
      <c r="BW55" s="46">
        <v>0</v>
      </c>
      <c r="BX55" s="47">
        <v>120060.02418812897</v>
      </c>
      <c r="BY55" s="48">
        <v>7765.5932500341778</v>
      </c>
      <c r="BZ55" s="49">
        <v>192563.15720702661</v>
      </c>
      <c r="CB55" s="50">
        <v>192563.15720702661</v>
      </c>
      <c r="CD55" s="34">
        <v>2096.4554685979674</v>
      </c>
      <c r="CE55">
        <v>2096.455468597982</v>
      </c>
      <c r="CG55" s="34">
        <v>1.4551915228366852E-11</v>
      </c>
    </row>
    <row r="56" spans="1:85">
      <c r="A56" s="280"/>
      <c r="B56" s="44" t="s">
        <v>93</v>
      </c>
      <c r="C56" s="45">
        <v>0</v>
      </c>
      <c r="D56" s="46">
        <v>0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46">
        <v>0</v>
      </c>
      <c r="Q56" s="46">
        <v>0</v>
      </c>
      <c r="R56" s="46">
        <v>0</v>
      </c>
      <c r="S56" s="46">
        <v>16.376989715250673</v>
      </c>
      <c r="T56" s="46">
        <v>0</v>
      </c>
      <c r="U56" s="46">
        <v>0</v>
      </c>
      <c r="V56" s="46">
        <v>0</v>
      </c>
      <c r="W56" s="46">
        <v>0</v>
      </c>
      <c r="X56" s="46">
        <v>0</v>
      </c>
      <c r="Y56" s="46">
        <v>1085.5702318945271</v>
      </c>
      <c r="Z56" s="46">
        <v>299.35888967297092</v>
      </c>
      <c r="AA56" s="46">
        <v>0</v>
      </c>
      <c r="AB56" s="46">
        <v>0</v>
      </c>
      <c r="AC56" s="46">
        <v>0</v>
      </c>
      <c r="AD56" s="46">
        <v>0</v>
      </c>
      <c r="AE56" s="46">
        <v>2558.348511895821</v>
      </c>
      <c r="AF56" s="46">
        <v>14.908059966147182</v>
      </c>
      <c r="AG56" s="46">
        <v>27.544715812863711</v>
      </c>
      <c r="AH56" s="46">
        <v>4.1447383928700381</v>
      </c>
      <c r="AI56" s="47">
        <v>0</v>
      </c>
      <c r="AJ56" s="35">
        <v>0</v>
      </c>
      <c r="AK56" s="36">
        <v>0</v>
      </c>
      <c r="AL56" s="36">
        <v>0</v>
      </c>
      <c r="AM56" s="36">
        <v>0</v>
      </c>
      <c r="AN56" s="36">
        <v>0</v>
      </c>
      <c r="AO56" s="36">
        <v>0</v>
      </c>
      <c r="AP56" s="36">
        <v>0</v>
      </c>
      <c r="AQ56" s="36">
        <v>0</v>
      </c>
      <c r="AR56" s="36">
        <v>0</v>
      </c>
      <c r="AS56" s="36">
        <v>0</v>
      </c>
      <c r="AT56" s="36">
        <v>0</v>
      </c>
      <c r="AU56" s="36">
        <v>0</v>
      </c>
      <c r="AV56" s="36">
        <v>0</v>
      </c>
      <c r="AW56" s="36">
        <v>0</v>
      </c>
      <c r="AX56" s="36">
        <v>0</v>
      </c>
      <c r="AY56" s="36">
        <v>0</v>
      </c>
      <c r="AZ56" s="36">
        <v>0</v>
      </c>
      <c r="BA56" s="36">
        <v>0</v>
      </c>
      <c r="BB56" s="36">
        <v>0</v>
      </c>
      <c r="BC56" s="36">
        <v>0</v>
      </c>
      <c r="BD56" s="36">
        <v>0</v>
      </c>
      <c r="BE56" s="36">
        <v>0</v>
      </c>
      <c r="BF56" s="36">
        <v>0</v>
      </c>
      <c r="BG56" s="36">
        <v>0</v>
      </c>
      <c r="BH56" s="36">
        <v>0</v>
      </c>
      <c r="BI56" s="36">
        <v>0</v>
      </c>
      <c r="BJ56" s="36">
        <v>0</v>
      </c>
      <c r="BK56" s="36">
        <v>0</v>
      </c>
      <c r="BL56" s="36">
        <v>0</v>
      </c>
      <c r="BM56" s="36">
        <v>0</v>
      </c>
      <c r="BN56" s="36">
        <v>0</v>
      </c>
      <c r="BO56" s="36">
        <v>0</v>
      </c>
      <c r="BP56" s="37">
        <v>0</v>
      </c>
      <c r="BQ56" s="35">
        <v>0</v>
      </c>
      <c r="BR56" s="37">
        <v>0</v>
      </c>
      <c r="BS56" s="35">
        <v>0</v>
      </c>
      <c r="BT56" s="36"/>
      <c r="BU56" s="37">
        <v>0</v>
      </c>
      <c r="BV56" s="45">
        <v>5859.936466805505</v>
      </c>
      <c r="BW56" s="46">
        <v>0</v>
      </c>
      <c r="BX56" s="47">
        <v>53293.127960201848</v>
      </c>
      <c r="BY56" s="52">
        <v>0</v>
      </c>
      <c r="BZ56" s="49">
        <v>63159.316564357803</v>
      </c>
      <c r="CB56" s="50">
        <v>63159.316564357803</v>
      </c>
      <c r="CD56" s="34">
        <v>1335.0257806124209</v>
      </c>
      <c r="CE56">
        <v>1335.0257806124275</v>
      </c>
      <c r="CG56" s="34">
        <v>6.5938365878537297E-12</v>
      </c>
    </row>
    <row r="57" spans="1:85">
      <c r="A57" s="280"/>
      <c r="B57" s="44" t="s">
        <v>94</v>
      </c>
      <c r="C57" s="45">
        <v>13.68140336836537</v>
      </c>
      <c r="D57" s="46">
        <v>2.88033319345837</v>
      </c>
      <c r="E57" s="46">
        <v>62.151318318010382</v>
      </c>
      <c r="F57" s="46">
        <v>1.4984045111068256</v>
      </c>
      <c r="G57" s="46">
        <v>0</v>
      </c>
      <c r="H57" s="46">
        <v>14.428877805528678</v>
      </c>
      <c r="I57" s="46">
        <v>18.948799086713887</v>
      </c>
      <c r="J57" s="46">
        <v>0</v>
      </c>
      <c r="K57" s="46">
        <v>18.31771991896083</v>
      </c>
      <c r="L57" s="46">
        <v>21.286462548178921</v>
      </c>
      <c r="M57" s="46">
        <v>58.582723225913867</v>
      </c>
      <c r="N57" s="46">
        <v>100.66553304237203</v>
      </c>
      <c r="O57" s="46">
        <v>26.406362957761367</v>
      </c>
      <c r="P57" s="46">
        <v>21.318321430744966</v>
      </c>
      <c r="Q57" s="46">
        <v>1.1586852397340299</v>
      </c>
      <c r="R57" s="46">
        <v>12.353387398511469</v>
      </c>
      <c r="S57" s="46">
        <v>187.94143881093908</v>
      </c>
      <c r="T57" s="46">
        <v>28.575483628247792</v>
      </c>
      <c r="U57" s="46">
        <v>1953.406715234783</v>
      </c>
      <c r="V57" s="46">
        <v>112.24328685950543</v>
      </c>
      <c r="W57" s="46">
        <v>185.41289004841721</v>
      </c>
      <c r="X57" s="46">
        <v>7.092513595869427</v>
      </c>
      <c r="Y57" s="46">
        <v>740.11001209489359</v>
      </c>
      <c r="Z57" s="46">
        <v>3460.7102076608626</v>
      </c>
      <c r="AA57" s="46">
        <v>613.08775995533233</v>
      </c>
      <c r="AB57" s="46">
        <v>31.148576784458509</v>
      </c>
      <c r="AC57" s="46">
        <v>1.988139417933495</v>
      </c>
      <c r="AD57" s="46">
        <v>172.51206487743136</v>
      </c>
      <c r="AE57" s="46">
        <v>570.03949619464095</v>
      </c>
      <c r="AF57" s="46">
        <v>535.2178495867056</v>
      </c>
      <c r="AG57" s="46">
        <v>135.35469451727337</v>
      </c>
      <c r="AH57" s="46">
        <v>27.621808484518432</v>
      </c>
      <c r="AI57" s="47">
        <v>0</v>
      </c>
      <c r="AJ57" s="35">
        <v>0</v>
      </c>
      <c r="AK57" s="36">
        <v>0</v>
      </c>
      <c r="AL57" s="36">
        <v>0</v>
      </c>
      <c r="AM57" s="36">
        <v>0</v>
      </c>
      <c r="AN57" s="36">
        <v>0</v>
      </c>
      <c r="AO57" s="36">
        <v>0</v>
      </c>
      <c r="AP57" s="36">
        <v>0</v>
      </c>
      <c r="AQ57" s="36">
        <v>0</v>
      </c>
      <c r="AR57" s="36">
        <v>0</v>
      </c>
      <c r="AS57" s="36">
        <v>0</v>
      </c>
      <c r="AT57" s="36">
        <v>0</v>
      </c>
      <c r="AU57" s="36">
        <v>0</v>
      </c>
      <c r="AV57" s="36">
        <v>0</v>
      </c>
      <c r="AW57" s="36">
        <v>0</v>
      </c>
      <c r="AX57" s="36">
        <v>0</v>
      </c>
      <c r="AY57" s="36">
        <v>0</v>
      </c>
      <c r="AZ57" s="36">
        <v>0</v>
      </c>
      <c r="BA57" s="36">
        <v>0</v>
      </c>
      <c r="BB57" s="36">
        <v>0</v>
      </c>
      <c r="BC57" s="36">
        <v>0</v>
      </c>
      <c r="BD57" s="36">
        <v>0</v>
      </c>
      <c r="BE57" s="36">
        <v>0</v>
      </c>
      <c r="BF57" s="36">
        <v>0</v>
      </c>
      <c r="BG57" s="36">
        <v>0</v>
      </c>
      <c r="BH57" s="36">
        <v>0</v>
      </c>
      <c r="BI57" s="36">
        <v>0</v>
      </c>
      <c r="BJ57" s="36">
        <v>0</v>
      </c>
      <c r="BK57" s="36">
        <v>0</v>
      </c>
      <c r="BL57" s="36">
        <v>0</v>
      </c>
      <c r="BM57" s="36">
        <v>0</v>
      </c>
      <c r="BN57" s="36">
        <v>0</v>
      </c>
      <c r="BO57" s="36">
        <v>0</v>
      </c>
      <c r="BP57" s="37">
        <v>0</v>
      </c>
      <c r="BQ57" s="35">
        <v>0</v>
      </c>
      <c r="BR57" s="37">
        <v>0</v>
      </c>
      <c r="BS57" s="35">
        <v>0</v>
      </c>
      <c r="BT57" s="36"/>
      <c r="BU57" s="37">
        <v>0</v>
      </c>
      <c r="BV57" s="45">
        <v>1045.4973223606776</v>
      </c>
      <c r="BW57" s="46">
        <v>0</v>
      </c>
      <c r="BX57" s="47">
        <v>5980.5938984171889</v>
      </c>
      <c r="BY57" s="52">
        <v>0</v>
      </c>
      <c r="BZ57" s="49">
        <v>16162.232490575039</v>
      </c>
      <c r="CB57" s="50">
        <v>16162.232490575039</v>
      </c>
      <c r="CD57" s="34">
        <v>304.84349057504369</v>
      </c>
      <c r="CE57">
        <v>304.84349057504454</v>
      </c>
      <c r="CG57" s="34">
        <v>8.5265128291212022E-13</v>
      </c>
    </row>
    <row r="58" spans="1:85">
      <c r="A58" s="280"/>
      <c r="B58" s="44" t="s">
        <v>95</v>
      </c>
      <c r="C58" s="45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935.66990277178718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46">
        <v>0</v>
      </c>
      <c r="AH58" s="46">
        <v>0</v>
      </c>
      <c r="AI58" s="47">
        <v>0</v>
      </c>
      <c r="AJ58" s="35">
        <v>0</v>
      </c>
      <c r="AK58" s="36">
        <v>0</v>
      </c>
      <c r="AL58" s="36">
        <v>0</v>
      </c>
      <c r="AM58" s="36">
        <v>0</v>
      </c>
      <c r="AN58" s="36">
        <v>0</v>
      </c>
      <c r="AO58" s="36">
        <v>0</v>
      </c>
      <c r="AP58" s="36">
        <v>0</v>
      </c>
      <c r="AQ58" s="36">
        <v>0</v>
      </c>
      <c r="AR58" s="36">
        <v>0</v>
      </c>
      <c r="AS58" s="36">
        <v>0</v>
      </c>
      <c r="AT58" s="36">
        <v>0</v>
      </c>
      <c r="AU58" s="36">
        <v>0</v>
      </c>
      <c r="AV58" s="36">
        <v>0</v>
      </c>
      <c r="AW58" s="36">
        <v>0</v>
      </c>
      <c r="AX58" s="36">
        <v>0</v>
      </c>
      <c r="AY58" s="36">
        <v>0</v>
      </c>
      <c r="AZ58" s="36">
        <v>0</v>
      </c>
      <c r="BA58" s="36">
        <v>0</v>
      </c>
      <c r="BB58" s="36">
        <v>0</v>
      </c>
      <c r="BC58" s="36">
        <v>0</v>
      </c>
      <c r="BD58" s="36">
        <v>0</v>
      </c>
      <c r="BE58" s="36">
        <v>0</v>
      </c>
      <c r="BF58" s="36">
        <v>0</v>
      </c>
      <c r="BG58" s="36">
        <v>0</v>
      </c>
      <c r="BH58" s="36">
        <v>0</v>
      </c>
      <c r="BI58" s="36">
        <v>0</v>
      </c>
      <c r="BJ58" s="36">
        <v>0</v>
      </c>
      <c r="BK58" s="36">
        <v>0</v>
      </c>
      <c r="BL58" s="36">
        <v>0</v>
      </c>
      <c r="BM58" s="36">
        <v>0</v>
      </c>
      <c r="BN58" s="36">
        <v>0</v>
      </c>
      <c r="BO58" s="36">
        <v>0</v>
      </c>
      <c r="BP58" s="37">
        <v>0</v>
      </c>
      <c r="BQ58" s="35">
        <v>0</v>
      </c>
      <c r="BR58" s="37">
        <v>0</v>
      </c>
      <c r="BS58" s="35">
        <v>0</v>
      </c>
      <c r="BT58" s="36"/>
      <c r="BU58" s="37">
        <v>0</v>
      </c>
      <c r="BV58" s="45">
        <v>1365.6420594686867</v>
      </c>
      <c r="BW58" s="46">
        <v>0</v>
      </c>
      <c r="BX58" s="47">
        <v>0</v>
      </c>
      <c r="BY58" s="52">
        <v>0</v>
      </c>
      <c r="BZ58" s="49">
        <v>2301.3119622404738</v>
      </c>
      <c r="CB58" s="50">
        <v>2301.3119622404738</v>
      </c>
      <c r="CD58" s="34">
        <v>11.783962240474011</v>
      </c>
      <c r="CE58">
        <v>11.783962240474239</v>
      </c>
      <c r="CG58" s="34">
        <v>2.2737367544323206E-13</v>
      </c>
    </row>
    <row r="59" spans="1:85">
      <c r="A59" s="280"/>
      <c r="B59" s="44" t="s">
        <v>96</v>
      </c>
      <c r="C59" s="45">
        <v>0</v>
      </c>
      <c r="D59" s="46">
        <v>9.3829953046411525</v>
      </c>
      <c r="E59" s="46">
        <v>128.3933892855984</v>
      </c>
      <c r="F59" s="46">
        <v>22.209036581435733</v>
      </c>
      <c r="G59" s="46">
        <v>0.20494068770605006</v>
      </c>
      <c r="H59" s="46">
        <v>9.3084874503627901</v>
      </c>
      <c r="I59" s="46">
        <v>27.025863405594048</v>
      </c>
      <c r="J59" s="46">
        <v>9.4866058272631228</v>
      </c>
      <c r="K59" s="46">
        <v>793.12033719371539</v>
      </c>
      <c r="L59" s="46">
        <v>22.457161585866931</v>
      </c>
      <c r="M59" s="46">
        <v>239.49492844877824</v>
      </c>
      <c r="N59" s="46">
        <v>671.70538179434095</v>
      </c>
      <c r="O59" s="46">
        <v>179.70086194858393</v>
      </c>
      <c r="P59" s="46">
        <v>114.70164177198711</v>
      </c>
      <c r="Q59" s="46">
        <v>40.136263469800177</v>
      </c>
      <c r="R59" s="46">
        <v>166.17672816060076</v>
      </c>
      <c r="S59" s="46">
        <v>3.6760305603529888</v>
      </c>
      <c r="T59" s="46">
        <v>505.06266050122781</v>
      </c>
      <c r="U59" s="46">
        <v>4298.7938333868942</v>
      </c>
      <c r="V59" s="46">
        <v>8.3257778577276262</v>
      </c>
      <c r="W59" s="46">
        <v>9.1194250396881316</v>
      </c>
      <c r="X59" s="46">
        <v>201.58934142370074</v>
      </c>
      <c r="Y59" s="46">
        <v>0</v>
      </c>
      <c r="Z59" s="46">
        <v>4257.8451593183572</v>
      </c>
      <c r="AA59" s="46">
        <v>1791.4008674267616</v>
      </c>
      <c r="AB59" s="46">
        <v>0</v>
      </c>
      <c r="AC59" s="46">
        <v>1.1296791549604801</v>
      </c>
      <c r="AD59" s="46">
        <v>358.88025113381298</v>
      </c>
      <c r="AE59" s="46">
        <v>298.98595671695733</v>
      </c>
      <c r="AF59" s="46">
        <v>27.415409493039409</v>
      </c>
      <c r="AG59" s="46">
        <v>48.186267854419711</v>
      </c>
      <c r="AH59" s="46">
        <v>21.951779410894122</v>
      </c>
      <c r="AI59" s="47">
        <v>0</v>
      </c>
      <c r="AJ59" s="35">
        <v>0</v>
      </c>
      <c r="AK59" s="36">
        <v>0</v>
      </c>
      <c r="AL59" s="36">
        <v>0</v>
      </c>
      <c r="AM59" s="36">
        <v>0</v>
      </c>
      <c r="AN59" s="36">
        <v>0</v>
      </c>
      <c r="AO59" s="36">
        <v>0</v>
      </c>
      <c r="AP59" s="36">
        <v>0</v>
      </c>
      <c r="AQ59" s="36">
        <v>0</v>
      </c>
      <c r="AR59" s="36">
        <v>0</v>
      </c>
      <c r="AS59" s="36">
        <v>0</v>
      </c>
      <c r="AT59" s="36">
        <v>0</v>
      </c>
      <c r="AU59" s="36">
        <v>0</v>
      </c>
      <c r="AV59" s="36">
        <v>0</v>
      </c>
      <c r="AW59" s="36">
        <v>0</v>
      </c>
      <c r="AX59" s="36">
        <v>0</v>
      </c>
      <c r="AY59" s="36">
        <v>0</v>
      </c>
      <c r="AZ59" s="36">
        <v>0</v>
      </c>
      <c r="BA59" s="36">
        <v>0</v>
      </c>
      <c r="BB59" s="36">
        <v>0</v>
      </c>
      <c r="BC59" s="36">
        <v>0</v>
      </c>
      <c r="BD59" s="36">
        <v>0</v>
      </c>
      <c r="BE59" s="36">
        <v>0</v>
      </c>
      <c r="BF59" s="36">
        <v>0</v>
      </c>
      <c r="BG59" s="36">
        <v>0</v>
      </c>
      <c r="BH59" s="36">
        <v>0</v>
      </c>
      <c r="BI59" s="36">
        <v>0</v>
      </c>
      <c r="BJ59" s="36">
        <v>0</v>
      </c>
      <c r="BK59" s="36">
        <v>0</v>
      </c>
      <c r="BL59" s="36">
        <v>0</v>
      </c>
      <c r="BM59" s="36">
        <v>0</v>
      </c>
      <c r="BN59" s="36">
        <v>0</v>
      </c>
      <c r="BO59" s="36">
        <v>0</v>
      </c>
      <c r="BP59" s="37">
        <v>0</v>
      </c>
      <c r="BQ59" s="35">
        <v>0</v>
      </c>
      <c r="BR59" s="37">
        <v>0</v>
      </c>
      <c r="BS59" s="35">
        <v>0</v>
      </c>
      <c r="BT59" s="36"/>
      <c r="BU59" s="37">
        <v>0</v>
      </c>
      <c r="BV59" s="45">
        <v>3183.8597823721193</v>
      </c>
      <c r="BW59" s="46">
        <v>0</v>
      </c>
      <c r="BX59" s="47">
        <v>86575.175357681437</v>
      </c>
      <c r="BY59" s="52">
        <v>0</v>
      </c>
      <c r="BZ59" s="49">
        <v>104024.90220224863</v>
      </c>
      <c r="CB59" s="50">
        <v>104024.90220224863</v>
      </c>
      <c r="CD59" s="34">
        <v>1717.8932022486115</v>
      </c>
      <c r="CE59">
        <v>1717.8932022486185</v>
      </c>
      <c r="CG59" s="34">
        <v>7.0485839387401938E-12</v>
      </c>
    </row>
    <row r="60" spans="1:85">
      <c r="A60" s="280"/>
      <c r="B60" s="44" t="s">
        <v>97</v>
      </c>
      <c r="C60" s="45">
        <v>0</v>
      </c>
      <c r="D60" s="46">
        <v>0</v>
      </c>
      <c r="E60" s="46">
        <v>474.49559512592595</v>
      </c>
      <c r="F60" s="46">
        <v>23.925352059763153</v>
      </c>
      <c r="G60" s="46">
        <v>1.6074259320518136</v>
      </c>
      <c r="H60" s="46">
        <v>19.364831972058152</v>
      </c>
      <c r="I60" s="46">
        <v>99.849376068054951</v>
      </c>
      <c r="J60" s="46">
        <v>8.8716261451902891</v>
      </c>
      <c r="K60" s="46">
        <v>280.75122958334015</v>
      </c>
      <c r="L60" s="46">
        <v>140.48851630692897</v>
      </c>
      <c r="M60" s="46">
        <v>215.54271596592432</v>
      </c>
      <c r="N60" s="46">
        <v>412.29372349502404</v>
      </c>
      <c r="O60" s="46">
        <v>135.17580203009715</v>
      </c>
      <c r="P60" s="46">
        <v>39.934124386254418</v>
      </c>
      <c r="Q60" s="46">
        <v>14.750844037103636</v>
      </c>
      <c r="R60" s="46">
        <v>115.08846254579852</v>
      </c>
      <c r="S60" s="46">
        <v>2.1253760085069757</v>
      </c>
      <c r="T60" s="46">
        <v>213.87711414136177</v>
      </c>
      <c r="U60" s="46">
        <v>15895.031436475829</v>
      </c>
      <c r="V60" s="46">
        <v>154.7090321710879</v>
      </c>
      <c r="W60" s="46">
        <v>162.18595942603193</v>
      </c>
      <c r="X60" s="46">
        <v>1045.8785023014213</v>
      </c>
      <c r="Y60" s="46">
        <v>9037.6494858266778</v>
      </c>
      <c r="Z60" s="46">
        <v>12274.138281955116</v>
      </c>
      <c r="AA60" s="46">
        <v>2493.7286333687362</v>
      </c>
      <c r="AB60" s="46">
        <v>0</v>
      </c>
      <c r="AC60" s="46">
        <v>0.72950730220640714</v>
      </c>
      <c r="AD60" s="46">
        <v>737.62804223133435</v>
      </c>
      <c r="AE60" s="46">
        <v>0</v>
      </c>
      <c r="AF60" s="46">
        <v>5.4044961936968807</v>
      </c>
      <c r="AG60" s="46">
        <v>13.654251274105956</v>
      </c>
      <c r="AH60" s="46">
        <v>1.364856038082209</v>
      </c>
      <c r="AI60" s="47">
        <v>0</v>
      </c>
      <c r="AJ60" s="35">
        <v>0</v>
      </c>
      <c r="AK60" s="36">
        <v>0</v>
      </c>
      <c r="AL60" s="36">
        <v>0</v>
      </c>
      <c r="AM60" s="36">
        <v>0</v>
      </c>
      <c r="AN60" s="36">
        <v>0</v>
      </c>
      <c r="AO60" s="36">
        <v>0</v>
      </c>
      <c r="AP60" s="36">
        <v>0</v>
      </c>
      <c r="AQ60" s="36">
        <v>0</v>
      </c>
      <c r="AR60" s="36">
        <v>0</v>
      </c>
      <c r="AS60" s="36">
        <v>0</v>
      </c>
      <c r="AT60" s="36">
        <v>0</v>
      </c>
      <c r="AU60" s="36">
        <v>0</v>
      </c>
      <c r="AV60" s="36">
        <v>0</v>
      </c>
      <c r="AW60" s="36">
        <v>0</v>
      </c>
      <c r="AX60" s="36">
        <v>0</v>
      </c>
      <c r="AY60" s="36">
        <v>0</v>
      </c>
      <c r="AZ60" s="36">
        <v>0</v>
      </c>
      <c r="BA60" s="36">
        <v>0</v>
      </c>
      <c r="BB60" s="36">
        <v>0</v>
      </c>
      <c r="BC60" s="36">
        <v>0</v>
      </c>
      <c r="BD60" s="36">
        <v>0</v>
      </c>
      <c r="BE60" s="36">
        <v>0</v>
      </c>
      <c r="BF60" s="36">
        <v>0</v>
      </c>
      <c r="BG60" s="36">
        <v>0</v>
      </c>
      <c r="BH60" s="36">
        <v>0</v>
      </c>
      <c r="BI60" s="36">
        <v>0</v>
      </c>
      <c r="BJ60" s="36">
        <v>0</v>
      </c>
      <c r="BK60" s="36">
        <v>0</v>
      </c>
      <c r="BL60" s="36">
        <v>0</v>
      </c>
      <c r="BM60" s="36">
        <v>0</v>
      </c>
      <c r="BN60" s="36">
        <v>0</v>
      </c>
      <c r="BO60" s="36">
        <v>0</v>
      </c>
      <c r="BP60" s="37">
        <v>0</v>
      </c>
      <c r="BQ60" s="35">
        <v>0</v>
      </c>
      <c r="BR60" s="37">
        <v>0</v>
      </c>
      <c r="BS60" s="35">
        <v>0</v>
      </c>
      <c r="BT60" s="36"/>
      <c r="BU60" s="37">
        <v>0</v>
      </c>
      <c r="BV60" s="45">
        <v>1404.9023748507122</v>
      </c>
      <c r="BW60" s="46">
        <v>0</v>
      </c>
      <c r="BX60" s="47">
        <v>6757.0071099840179</v>
      </c>
      <c r="BY60" s="52">
        <v>0</v>
      </c>
      <c r="BZ60" s="49">
        <v>52182.154085202441</v>
      </c>
      <c r="CB60" s="50">
        <v>52182.154085202441</v>
      </c>
      <c r="CD60" s="34">
        <v>230.70108520244685</v>
      </c>
      <c r="CE60">
        <v>230.70108520244324</v>
      </c>
      <c r="CG60" s="34">
        <v>-3.6095570976613089E-12</v>
      </c>
    </row>
    <row r="61" spans="1:85">
      <c r="A61" s="280"/>
      <c r="B61" s="44" t="s">
        <v>98</v>
      </c>
      <c r="C61" s="45">
        <v>1.0128464575299647</v>
      </c>
      <c r="D61" s="46">
        <v>28.1189012272635</v>
      </c>
      <c r="E61" s="46">
        <v>23.354667597971332</v>
      </c>
      <c r="F61" s="46">
        <v>4.8220632758133206</v>
      </c>
      <c r="G61" s="46">
        <v>0.13579393073841184</v>
      </c>
      <c r="H61" s="46">
        <v>3.1411354891616501</v>
      </c>
      <c r="I61" s="46">
        <v>42.671726189633354</v>
      </c>
      <c r="J61" s="46">
        <v>0.49986986693006819</v>
      </c>
      <c r="K61" s="46">
        <v>26.262400466414491</v>
      </c>
      <c r="L61" s="46">
        <v>4.7919710352459344</v>
      </c>
      <c r="M61" s="46">
        <v>10.09941884361254</v>
      </c>
      <c r="N61" s="46">
        <v>47.517862971977465</v>
      </c>
      <c r="O61" s="46">
        <v>14.617501753667955</v>
      </c>
      <c r="P61" s="46">
        <v>11.92953600570894</v>
      </c>
      <c r="Q61" s="46">
        <v>1.4295233323730525</v>
      </c>
      <c r="R61" s="46">
        <v>43.010411797614324</v>
      </c>
      <c r="S61" s="46">
        <v>55.480345571498368</v>
      </c>
      <c r="T61" s="46">
        <v>141.42894240347232</v>
      </c>
      <c r="U61" s="46">
        <v>1455.1109116899559</v>
      </c>
      <c r="V61" s="46">
        <v>453.64041154636169</v>
      </c>
      <c r="W61" s="46">
        <v>41.748711728870809</v>
      </c>
      <c r="X61" s="46">
        <v>10.907013231567694</v>
      </c>
      <c r="Y61" s="46">
        <v>1628.164136025727</v>
      </c>
      <c r="Z61" s="46">
        <v>201.56349790420072</v>
      </c>
      <c r="AA61" s="46">
        <v>2238.2397882322375</v>
      </c>
      <c r="AB61" s="46">
        <v>3155.147270447118</v>
      </c>
      <c r="AC61" s="46">
        <v>297.17939903290664</v>
      </c>
      <c r="AD61" s="46">
        <v>5306.4631225035773</v>
      </c>
      <c r="AE61" s="46">
        <v>1111.3082069134564</v>
      </c>
      <c r="AF61" s="46">
        <v>95.192938974446662</v>
      </c>
      <c r="AG61" s="46">
        <v>285.80049085279103</v>
      </c>
      <c r="AH61" s="46">
        <v>256.81852650144583</v>
      </c>
      <c r="AI61" s="47">
        <v>0</v>
      </c>
      <c r="AJ61" s="35">
        <v>0</v>
      </c>
      <c r="AK61" s="36">
        <v>0</v>
      </c>
      <c r="AL61" s="36">
        <v>0</v>
      </c>
      <c r="AM61" s="36">
        <v>0</v>
      </c>
      <c r="AN61" s="36">
        <v>0</v>
      </c>
      <c r="AO61" s="36">
        <v>0</v>
      </c>
      <c r="AP61" s="36">
        <v>0</v>
      </c>
      <c r="AQ61" s="36">
        <v>0</v>
      </c>
      <c r="AR61" s="36">
        <v>0</v>
      </c>
      <c r="AS61" s="36">
        <v>0</v>
      </c>
      <c r="AT61" s="36">
        <v>0</v>
      </c>
      <c r="AU61" s="36">
        <v>0</v>
      </c>
      <c r="AV61" s="36">
        <v>0</v>
      </c>
      <c r="AW61" s="36">
        <v>0</v>
      </c>
      <c r="AX61" s="36">
        <v>0</v>
      </c>
      <c r="AY61" s="36">
        <v>0</v>
      </c>
      <c r="AZ61" s="36">
        <v>0</v>
      </c>
      <c r="BA61" s="36">
        <v>0</v>
      </c>
      <c r="BB61" s="36">
        <v>0</v>
      </c>
      <c r="BC61" s="36">
        <v>0</v>
      </c>
      <c r="BD61" s="36">
        <v>0</v>
      </c>
      <c r="BE61" s="36">
        <v>0</v>
      </c>
      <c r="BF61" s="36">
        <v>0</v>
      </c>
      <c r="BG61" s="36">
        <v>0</v>
      </c>
      <c r="BH61" s="36">
        <v>0</v>
      </c>
      <c r="BI61" s="36">
        <v>0</v>
      </c>
      <c r="BJ61" s="36">
        <v>0</v>
      </c>
      <c r="BK61" s="36">
        <v>0</v>
      </c>
      <c r="BL61" s="36">
        <v>0</v>
      </c>
      <c r="BM61" s="36">
        <v>0</v>
      </c>
      <c r="BN61" s="36">
        <v>0</v>
      </c>
      <c r="BO61" s="36">
        <v>0</v>
      </c>
      <c r="BP61" s="37">
        <v>0</v>
      </c>
      <c r="BQ61" s="35">
        <v>0</v>
      </c>
      <c r="BR61" s="37">
        <v>0</v>
      </c>
      <c r="BS61" s="35">
        <v>0</v>
      </c>
      <c r="BT61" s="36"/>
      <c r="BU61" s="37">
        <v>0</v>
      </c>
      <c r="BV61" s="45">
        <v>4517.6901780333283</v>
      </c>
      <c r="BW61" s="46">
        <v>0</v>
      </c>
      <c r="BX61" s="47">
        <v>13336.454154241277</v>
      </c>
      <c r="BY61" s="52">
        <v>0</v>
      </c>
      <c r="BZ61" s="49">
        <v>34851.753676075896</v>
      </c>
      <c r="CB61" s="50">
        <v>34851.753676075896</v>
      </c>
      <c r="CD61" s="34">
        <v>873.73889883210359</v>
      </c>
      <c r="CE61">
        <v>873.73889883210711</v>
      </c>
      <c r="CG61" s="34">
        <v>3.5242919693700969E-12</v>
      </c>
    </row>
    <row r="62" spans="1:85">
      <c r="A62" s="280"/>
      <c r="B62" s="44" t="s">
        <v>99</v>
      </c>
      <c r="C62" s="45">
        <v>80.824755910255718</v>
      </c>
      <c r="D62" s="46">
        <v>950.15692950465086</v>
      </c>
      <c r="E62" s="46">
        <v>124.09327059405386</v>
      </c>
      <c r="F62" s="46">
        <v>19.9912384361958</v>
      </c>
      <c r="G62" s="46">
        <v>0.26959687087809858</v>
      </c>
      <c r="H62" s="46">
        <v>30.717189816220088</v>
      </c>
      <c r="I62" s="46">
        <v>64.758471670091453</v>
      </c>
      <c r="J62" s="46">
        <v>624.91151971619331</v>
      </c>
      <c r="K62" s="46">
        <v>54.800009955407106</v>
      </c>
      <c r="L62" s="46">
        <v>153.17316833668335</v>
      </c>
      <c r="M62" s="46">
        <v>443.04038222033034</v>
      </c>
      <c r="N62" s="46">
        <v>505.77297124358012</v>
      </c>
      <c r="O62" s="46">
        <v>83.819715664361482</v>
      </c>
      <c r="P62" s="46">
        <v>53.847905760314283</v>
      </c>
      <c r="Q62" s="46">
        <v>9.861823545888873</v>
      </c>
      <c r="R62" s="46">
        <v>310.7878306032074</v>
      </c>
      <c r="S62" s="46">
        <v>668.8289263993745</v>
      </c>
      <c r="T62" s="46">
        <v>2759.4034058498823</v>
      </c>
      <c r="U62" s="46">
        <v>10110.687256448957</v>
      </c>
      <c r="V62" s="46">
        <v>5241.894161583763</v>
      </c>
      <c r="W62" s="46">
        <v>95.574695530239794</v>
      </c>
      <c r="X62" s="46">
        <v>30.157077057257283</v>
      </c>
      <c r="Y62" s="46">
        <v>1141.3213515560838</v>
      </c>
      <c r="Z62" s="46">
        <v>316.02216305382797</v>
      </c>
      <c r="AA62" s="46">
        <v>617.00069658337361</v>
      </c>
      <c r="AB62" s="46">
        <v>7147.7901838376538</v>
      </c>
      <c r="AC62" s="46">
        <v>6210.0270666815231</v>
      </c>
      <c r="AD62" s="46">
        <v>6488.1542992922268</v>
      </c>
      <c r="AE62" s="46">
        <v>3754.8378961190492</v>
      </c>
      <c r="AF62" s="46">
        <v>776.63808960753011</v>
      </c>
      <c r="AG62" s="46">
        <v>752.08820890042682</v>
      </c>
      <c r="AH62" s="46">
        <v>1035.6187613327274</v>
      </c>
      <c r="AI62" s="47">
        <v>0</v>
      </c>
      <c r="AJ62" s="35">
        <v>0</v>
      </c>
      <c r="AK62" s="36">
        <v>0</v>
      </c>
      <c r="AL62" s="36">
        <v>0</v>
      </c>
      <c r="AM62" s="36">
        <v>0</v>
      </c>
      <c r="AN62" s="36">
        <v>0</v>
      </c>
      <c r="AO62" s="36">
        <v>0</v>
      </c>
      <c r="AP62" s="36">
        <v>0</v>
      </c>
      <c r="AQ62" s="36">
        <v>0</v>
      </c>
      <c r="AR62" s="36">
        <v>0</v>
      </c>
      <c r="AS62" s="36">
        <v>0</v>
      </c>
      <c r="AT62" s="36">
        <v>0</v>
      </c>
      <c r="AU62" s="36">
        <v>0</v>
      </c>
      <c r="AV62" s="36">
        <v>0</v>
      </c>
      <c r="AW62" s="36">
        <v>0</v>
      </c>
      <c r="AX62" s="36">
        <v>0</v>
      </c>
      <c r="AY62" s="36">
        <v>0</v>
      </c>
      <c r="AZ62" s="36">
        <v>0</v>
      </c>
      <c r="BA62" s="36">
        <v>0</v>
      </c>
      <c r="BB62" s="36">
        <v>0</v>
      </c>
      <c r="BC62" s="36">
        <v>0</v>
      </c>
      <c r="BD62" s="36">
        <v>0</v>
      </c>
      <c r="BE62" s="36">
        <v>0</v>
      </c>
      <c r="BF62" s="36">
        <v>0</v>
      </c>
      <c r="BG62" s="36">
        <v>0</v>
      </c>
      <c r="BH62" s="36">
        <v>0</v>
      </c>
      <c r="BI62" s="36">
        <v>0</v>
      </c>
      <c r="BJ62" s="36">
        <v>0</v>
      </c>
      <c r="BK62" s="36">
        <v>0</v>
      </c>
      <c r="BL62" s="36">
        <v>0</v>
      </c>
      <c r="BM62" s="36">
        <v>0</v>
      </c>
      <c r="BN62" s="36">
        <v>0</v>
      </c>
      <c r="BO62" s="36">
        <v>0</v>
      </c>
      <c r="BP62" s="37">
        <v>0</v>
      </c>
      <c r="BQ62" s="35">
        <v>0</v>
      </c>
      <c r="BR62" s="37">
        <v>0</v>
      </c>
      <c r="BS62" s="35">
        <v>0</v>
      </c>
      <c r="BT62" s="36"/>
      <c r="BU62" s="37">
        <v>0</v>
      </c>
      <c r="BV62" s="45">
        <v>3400.2569648234971</v>
      </c>
      <c r="BW62" s="46">
        <v>0</v>
      </c>
      <c r="BX62" s="47">
        <v>14947.814660519402</v>
      </c>
      <c r="BY62" s="52">
        <v>0</v>
      </c>
      <c r="BZ62" s="49">
        <v>69004.942645025105</v>
      </c>
      <c r="CB62" s="50">
        <v>69004.942645025105</v>
      </c>
      <c r="CD62" s="34">
        <v>646.6465219721722</v>
      </c>
      <c r="CE62">
        <v>646.64652197217947</v>
      </c>
      <c r="CG62" s="34">
        <v>7.2759576141834259E-12</v>
      </c>
    </row>
    <row r="63" spans="1:85">
      <c r="A63" s="280"/>
      <c r="B63" s="44" t="s">
        <v>100</v>
      </c>
      <c r="C63" s="45">
        <v>0</v>
      </c>
      <c r="D63" s="46">
        <v>0</v>
      </c>
      <c r="E63" s="46">
        <v>102.68152644442898</v>
      </c>
      <c r="F63" s="46">
        <v>63.954875125513333</v>
      </c>
      <c r="G63" s="46">
        <v>0.75479722757780243</v>
      </c>
      <c r="H63" s="46">
        <v>65.712185630424358</v>
      </c>
      <c r="I63" s="46">
        <v>49.263899110178698</v>
      </c>
      <c r="J63" s="46">
        <v>0.49114390733449959</v>
      </c>
      <c r="K63" s="46">
        <v>17.420323082484138</v>
      </c>
      <c r="L63" s="46">
        <v>19.017393082886834</v>
      </c>
      <c r="M63" s="46">
        <v>41.108296926744416</v>
      </c>
      <c r="N63" s="46">
        <v>190.406392552922</v>
      </c>
      <c r="O63" s="46">
        <v>28.366437999088458</v>
      </c>
      <c r="P63" s="46">
        <v>27.879826917755842</v>
      </c>
      <c r="Q63" s="46">
        <v>28.926767563028044</v>
      </c>
      <c r="R63" s="46">
        <v>180.53110987852858</v>
      </c>
      <c r="S63" s="46">
        <v>99.112796025806972</v>
      </c>
      <c r="T63" s="46">
        <v>506.80039235342474</v>
      </c>
      <c r="U63" s="46">
        <v>3628.0795909673711</v>
      </c>
      <c r="V63" s="46">
        <v>736.7160956395295</v>
      </c>
      <c r="W63" s="46">
        <v>52.348509865672824</v>
      </c>
      <c r="X63" s="46">
        <v>24.584760165506207</v>
      </c>
      <c r="Y63" s="46">
        <v>656.06244526718967</v>
      </c>
      <c r="Z63" s="46">
        <v>545.76333968200731</v>
      </c>
      <c r="AA63" s="46">
        <v>620.07540998206696</v>
      </c>
      <c r="AB63" s="46">
        <v>330.66661018840597</v>
      </c>
      <c r="AC63" s="46">
        <v>2114.3099868104136</v>
      </c>
      <c r="AD63" s="46">
        <v>1561.897097615597</v>
      </c>
      <c r="AE63" s="46">
        <v>269.65535846726465</v>
      </c>
      <c r="AF63" s="46">
        <v>210.45317735520672</v>
      </c>
      <c r="AG63" s="46">
        <v>246.17056347855879</v>
      </c>
      <c r="AH63" s="46">
        <v>178.5834452438211</v>
      </c>
      <c r="AI63" s="47">
        <v>0</v>
      </c>
      <c r="AJ63" s="35">
        <v>0</v>
      </c>
      <c r="AK63" s="36">
        <v>0</v>
      </c>
      <c r="AL63" s="36">
        <v>0</v>
      </c>
      <c r="AM63" s="36">
        <v>0</v>
      </c>
      <c r="AN63" s="36">
        <v>0</v>
      </c>
      <c r="AO63" s="36">
        <v>0</v>
      </c>
      <c r="AP63" s="36">
        <v>0</v>
      </c>
      <c r="AQ63" s="36">
        <v>0</v>
      </c>
      <c r="AR63" s="36">
        <v>0</v>
      </c>
      <c r="AS63" s="36">
        <v>0</v>
      </c>
      <c r="AT63" s="36">
        <v>0</v>
      </c>
      <c r="AU63" s="36">
        <v>0</v>
      </c>
      <c r="AV63" s="36">
        <v>0</v>
      </c>
      <c r="AW63" s="36">
        <v>0</v>
      </c>
      <c r="AX63" s="36">
        <v>0</v>
      </c>
      <c r="AY63" s="36">
        <v>0</v>
      </c>
      <c r="AZ63" s="36">
        <v>0</v>
      </c>
      <c r="BA63" s="36">
        <v>0</v>
      </c>
      <c r="BB63" s="36">
        <v>0</v>
      </c>
      <c r="BC63" s="36">
        <v>0</v>
      </c>
      <c r="BD63" s="36">
        <v>0</v>
      </c>
      <c r="BE63" s="36">
        <v>0</v>
      </c>
      <c r="BF63" s="36">
        <v>0</v>
      </c>
      <c r="BG63" s="36">
        <v>0</v>
      </c>
      <c r="BH63" s="36">
        <v>0</v>
      </c>
      <c r="BI63" s="36">
        <v>0</v>
      </c>
      <c r="BJ63" s="36">
        <v>0</v>
      </c>
      <c r="BK63" s="36">
        <v>0</v>
      </c>
      <c r="BL63" s="36">
        <v>0</v>
      </c>
      <c r="BM63" s="36">
        <v>0</v>
      </c>
      <c r="BN63" s="36">
        <v>0</v>
      </c>
      <c r="BO63" s="36">
        <v>0</v>
      </c>
      <c r="BP63" s="37">
        <v>0</v>
      </c>
      <c r="BQ63" s="35">
        <v>0</v>
      </c>
      <c r="BR63" s="37">
        <v>0</v>
      </c>
      <c r="BS63" s="35">
        <v>0</v>
      </c>
      <c r="BT63" s="36"/>
      <c r="BU63" s="37">
        <v>0</v>
      </c>
      <c r="BV63" s="45">
        <v>40524.008583518866</v>
      </c>
      <c r="BW63" s="46">
        <v>0</v>
      </c>
      <c r="BX63" s="47">
        <v>0</v>
      </c>
      <c r="BY63" s="52">
        <v>0</v>
      </c>
      <c r="BZ63" s="49">
        <v>53121.803138075607</v>
      </c>
      <c r="CB63" s="50">
        <v>53121.803138075607</v>
      </c>
      <c r="CD63" s="34">
        <v>1383.7912020421354</v>
      </c>
      <c r="CE63">
        <v>1383.7912020421388</v>
      </c>
      <c r="CG63" s="34">
        <v>3.4106051316484809E-12</v>
      </c>
    </row>
    <row r="64" spans="1:85">
      <c r="A64" s="280"/>
      <c r="B64" s="44" t="s">
        <v>101</v>
      </c>
      <c r="C64" s="45">
        <v>25.403330586668076</v>
      </c>
      <c r="D64" s="46">
        <v>262.65744373672476</v>
      </c>
      <c r="E64" s="46">
        <v>531.01346646037223</v>
      </c>
      <c r="F64" s="46">
        <v>36.964144600848719</v>
      </c>
      <c r="G64" s="46">
        <v>1.3361663977308427</v>
      </c>
      <c r="H64" s="46">
        <v>20.610504656663004</v>
      </c>
      <c r="I64" s="46">
        <v>237.46277769280277</v>
      </c>
      <c r="J64" s="46">
        <v>7.9273486319145707</v>
      </c>
      <c r="K64" s="46">
        <v>481.45466003233071</v>
      </c>
      <c r="L64" s="46">
        <v>55.472885127093932</v>
      </c>
      <c r="M64" s="46">
        <v>154.54546659084897</v>
      </c>
      <c r="N64" s="46">
        <v>735.0075355755431</v>
      </c>
      <c r="O64" s="46">
        <v>208.19965128082208</v>
      </c>
      <c r="P64" s="46">
        <v>59.126284963352873</v>
      </c>
      <c r="Q64" s="46">
        <v>56.630531790905216</v>
      </c>
      <c r="R64" s="46">
        <v>240.82096185202744</v>
      </c>
      <c r="S64" s="46">
        <v>59.414812668869217</v>
      </c>
      <c r="T64" s="46">
        <v>3090.9845935202438</v>
      </c>
      <c r="U64" s="46">
        <v>17070.655412849112</v>
      </c>
      <c r="V64" s="46">
        <v>3448.4935509613024</v>
      </c>
      <c r="W64" s="46">
        <v>1122.8716427044208</v>
      </c>
      <c r="X64" s="46">
        <v>188.34362930507166</v>
      </c>
      <c r="Y64" s="46">
        <v>15664.708724552256</v>
      </c>
      <c r="Z64" s="46">
        <v>946.78906447190013</v>
      </c>
      <c r="AA64" s="46">
        <v>4380.7892308026703</v>
      </c>
      <c r="AB64" s="46">
        <v>1758.8152277503309</v>
      </c>
      <c r="AC64" s="46">
        <v>3612.4163034236067</v>
      </c>
      <c r="AD64" s="46">
        <v>14671.077616264825</v>
      </c>
      <c r="AE64" s="46">
        <v>745.18929412413559</v>
      </c>
      <c r="AF64" s="46">
        <v>516.52435949631285</v>
      </c>
      <c r="AG64" s="46">
        <v>811.7572016440929</v>
      </c>
      <c r="AH64" s="46">
        <v>572.52287286737567</v>
      </c>
      <c r="AI64" s="47">
        <v>0</v>
      </c>
      <c r="AJ64" s="35">
        <v>0</v>
      </c>
      <c r="AK64" s="36">
        <v>0</v>
      </c>
      <c r="AL64" s="36">
        <v>0</v>
      </c>
      <c r="AM64" s="36">
        <v>0</v>
      </c>
      <c r="AN64" s="36">
        <v>0</v>
      </c>
      <c r="AO64" s="36">
        <v>0</v>
      </c>
      <c r="AP64" s="36">
        <v>0</v>
      </c>
      <c r="AQ64" s="36">
        <v>0</v>
      </c>
      <c r="AR64" s="36">
        <v>0</v>
      </c>
      <c r="AS64" s="36">
        <v>0</v>
      </c>
      <c r="AT64" s="36">
        <v>0</v>
      </c>
      <c r="AU64" s="36">
        <v>0</v>
      </c>
      <c r="AV64" s="36">
        <v>0</v>
      </c>
      <c r="AW64" s="36">
        <v>0</v>
      </c>
      <c r="AX64" s="36">
        <v>0</v>
      </c>
      <c r="AY64" s="36">
        <v>0</v>
      </c>
      <c r="AZ64" s="36">
        <v>0</v>
      </c>
      <c r="BA64" s="36">
        <v>0</v>
      </c>
      <c r="BB64" s="36">
        <v>0</v>
      </c>
      <c r="BC64" s="36">
        <v>0</v>
      </c>
      <c r="BD64" s="36">
        <v>0</v>
      </c>
      <c r="BE64" s="36">
        <v>0</v>
      </c>
      <c r="BF64" s="36">
        <v>0</v>
      </c>
      <c r="BG64" s="36">
        <v>0</v>
      </c>
      <c r="BH64" s="36">
        <v>0</v>
      </c>
      <c r="BI64" s="36">
        <v>0</v>
      </c>
      <c r="BJ64" s="36">
        <v>0</v>
      </c>
      <c r="BK64" s="36">
        <v>0</v>
      </c>
      <c r="BL64" s="36">
        <v>0</v>
      </c>
      <c r="BM64" s="36">
        <v>0</v>
      </c>
      <c r="BN64" s="36">
        <v>0</v>
      </c>
      <c r="BO64" s="36">
        <v>0</v>
      </c>
      <c r="BP64" s="37">
        <v>0</v>
      </c>
      <c r="BQ64" s="35">
        <v>0</v>
      </c>
      <c r="BR64" s="37">
        <v>0</v>
      </c>
      <c r="BS64" s="35">
        <v>0</v>
      </c>
      <c r="BT64" s="36"/>
      <c r="BU64" s="37">
        <v>0</v>
      </c>
      <c r="BV64" s="45">
        <v>1434.4313184320342</v>
      </c>
      <c r="BW64" s="46">
        <v>0</v>
      </c>
      <c r="BX64" s="47">
        <v>20041.790776604397</v>
      </c>
      <c r="BY64" s="52">
        <v>0</v>
      </c>
      <c r="BZ64" s="49">
        <v>93252.208792419624</v>
      </c>
      <c r="CB64" s="50">
        <v>93252.208792419624</v>
      </c>
      <c r="CD64" s="34">
        <v>565.91719738689426</v>
      </c>
      <c r="CE64">
        <v>565.91719738690153</v>
      </c>
      <c r="CG64" s="34">
        <v>7.2759576141834259E-12</v>
      </c>
    </row>
    <row r="65" spans="1:85">
      <c r="A65" s="280"/>
      <c r="B65" s="44" t="s">
        <v>102</v>
      </c>
      <c r="C65" s="45">
        <v>0</v>
      </c>
      <c r="D65" s="46">
        <v>16.158441759955451</v>
      </c>
      <c r="E65" s="46">
        <v>29.313518339884322</v>
      </c>
      <c r="F65" s="46">
        <v>16.93249915663332</v>
      </c>
      <c r="G65" s="46">
        <v>9.7254387608382911E-2</v>
      </c>
      <c r="H65" s="46">
        <v>25.550333283160583</v>
      </c>
      <c r="I65" s="46">
        <v>36.021258350016694</v>
      </c>
      <c r="J65" s="46">
        <v>4.2444644198018278</v>
      </c>
      <c r="K65" s="46">
        <v>13.947234973629671</v>
      </c>
      <c r="L65" s="46">
        <v>9.7528969768637683</v>
      </c>
      <c r="M65" s="46">
        <v>26.371283228593651</v>
      </c>
      <c r="N65" s="46">
        <v>10.492397520902712</v>
      </c>
      <c r="O65" s="46">
        <v>34.772771100386016</v>
      </c>
      <c r="P65" s="46">
        <v>24.445595830160077</v>
      </c>
      <c r="Q65" s="46">
        <v>11.247359145781909</v>
      </c>
      <c r="R65" s="46">
        <v>119.76193044698435</v>
      </c>
      <c r="S65" s="46">
        <v>243.82468391627586</v>
      </c>
      <c r="T65" s="46">
        <v>772.02753096009451</v>
      </c>
      <c r="U65" s="46">
        <v>1918.0240480257899</v>
      </c>
      <c r="V65" s="46">
        <v>124.09615514533047</v>
      </c>
      <c r="W65" s="46">
        <v>6.2317611233489556</v>
      </c>
      <c r="X65" s="46">
        <v>1.1315947217384852</v>
      </c>
      <c r="Y65" s="46">
        <v>306.4268621493332</v>
      </c>
      <c r="Z65" s="46">
        <v>7.8298091368820613</v>
      </c>
      <c r="AA65" s="46">
        <v>398.75175609889351</v>
      </c>
      <c r="AB65" s="46">
        <v>50.076226811258614</v>
      </c>
      <c r="AC65" s="46">
        <v>182.32554137832699</v>
      </c>
      <c r="AD65" s="46">
        <v>2841.4111906484823</v>
      </c>
      <c r="AE65" s="46">
        <v>748.10864714835111</v>
      </c>
      <c r="AF65" s="46">
        <v>363.96825164287264</v>
      </c>
      <c r="AG65" s="46">
        <v>286.41179166556458</v>
      </c>
      <c r="AH65" s="46">
        <v>29.479708352504769</v>
      </c>
      <c r="AI65" s="47">
        <v>0</v>
      </c>
      <c r="AJ65" s="35">
        <v>0</v>
      </c>
      <c r="AK65" s="36">
        <v>0</v>
      </c>
      <c r="AL65" s="36">
        <v>0</v>
      </c>
      <c r="AM65" s="36">
        <v>0</v>
      </c>
      <c r="AN65" s="36">
        <v>0</v>
      </c>
      <c r="AO65" s="36">
        <v>0</v>
      </c>
      <c r="AP65" s="36">
        <v>0</v>
      </c>
      <c r="AQ65" s="36">
        <v>0</v>
      </c>
      <c r="AR65" s="36">
        <v>0</v>
      </c>
      <c r="AS65" s="36">
        <v>0</v>
      </c>
      <c r="AT65" s="36">
        <v>0</v>
      </c>
      <c r="AU65" s="36">
        <v>0</v>
      </c>
      <c r="AV65" s="36">
        <v>0</v>
      </c>
      <c r="AW65" s="36">
        <v>0</v>
      </c>
      <c r="AX65" s="36">
        <v>0</v>
      </c>
      <c r="AY65" s="36">
        <v>0</v>
      </c>
      <c r="AZ65" s="36">
        <v>0</v>
      </c>
      <c r="BA65" s="36">
        <v>0</v>
      </c>
      <c r="BB65" s="36">
        <v>0</v>
      </c>
      <c r="BC65" s="36">
        <v>0</v>
      </c>
      <c r="BD65" s="36">
        <v>0</v>
      </c>
      <c r="BE65" s="36">
        <v>0</v>
      </c>
      <c r="BF65" s="36">
        <v>0</v>
      </c>
      <c r="BG65" s="36">
        <v>0</v>
      </c>
      <c r="BH65" s="36">
        <v>0</v>
      </c>
      <c r="BI65" s="36">
        <v>0</v>
      </c>
      <c r="BJ65" s="36">
        <v>0</v>
      </c>
      <c r="BK65" s="36">
        <v>0</v>
      </c>
      <c r="BL65" s="36">
        <v>0</v>
      </c>
      <c r="BM65" s="36">
        <v>0</v>
      </c>
      <c r="BN65" s="36">
        <v>0</v>
      </c>
      <c r="BO65" s="36">
        <v>0</v>
      </c>
      <c r="BP65" s="37">
        <v>0</v>
      </c>
      <c r="BQ65" s="35">
        <v>0</v>
      </c>
      <c r="BR65" s="37">
        <v>0</v>
      </c>
      <c r="BS65" s="35">
        <v>0</v>
      </c>
      <c r="BT65" s="36"/>
      <c r="BU65" s="37">
        <v>0</v>
      </c>
      <c r="BV65" s="45">
        <v>836.52797226073062</v>
      </c>
      <c r="BW65" s="46">
        <v>36354.283510240697</v>
      </c>
      <c r="BX65" s="47">
        <v>3714.1774867520612</v>
      </c>
      <c r="BY65" s="52">
        <v>0</v>
      </c>
      <c r="BZ65" s="49">
        <v>49564.223767098898</v>
      </c>
      <c r="CB65" s="50">
        <v>49564.223767098898</v>
      </c>
      <c r="CD65" s="34">
        <v>742.85724814209971</v>
      </c>
      <c r="CE65">
        <v>742.85724814210334</v>
      </c>
      <c r="CG65" s="34">
        <v>3.637978807091713E-12</v>
      </c>
    </row>
    <row r="66" spans="1:85">
      <c r="A66" s="280"/>
      <c r="B66" s="44" t="s">
        <v>103</v>
      </c>
      <c r="C66" s="45">
        <v>0</v>
      </c>
      <c r="D66" s="46">
        <v>9.6867224632302147</v>
      </c>
      <c r="E66" s="46">
        <v>11.868728662024118</v>
      </c>
      <c r="F66" s="46">
        <v>0</v>
      </c>
      <c r="G66" s="46">
        <v>0</v>
      </c>
      <c r="H66" s="46">
        <v>0.60962383422582089</v>
      </c>
      <c r="I66" s="46">
        <v>4.7314668008204723</v>
      </c>
      <c r="J66" s="46">
        <v>3.5250508336734598</v>
      </c>
      <c r="K66" s="46">
        <v>6.8696171853024399</v>
      </c>
      <c r="L66" s="46">
        <v>1.6075891706204011</v>
      </c>
      <c r="M66" s="46">
        <v>4.1476718527025849</v>
      </c>
      <c r="N66" s="46">
        <v>59.73007056746664</v>
      </c>
      <c r="O66" s="46">
        <v>43.007639560460028</v>
      </c>
      <c r="P66" s="46">
        <v>10.293722099582558</v>
      </c>
      <c r="Q66" s="46">
        <v>0.27674092819254398</v>
      </c>
      <c r="R66" s="46">
        <v>50.064346538458508</v>
      </c>
      <c r="S66" s="46">
        <v>143.78372499185397</v>
      </c>
      <c r="T66" s="46">
        <v>70.440864258394981</v>
      </c>
      <c r="U66" s="46">
        <v>0</v>
      </c>
      <c r="V66" s="46">
        <v>0</v>
      </c>
      <c r="W66" s="46">
        <v>0</v>
      </c>
      <c r="X66" s="46">
        <v>0</v>
      </c>
      <c r="Y66" s="46">
        <v>0</v>
      </c>
      <c r="Z66" s="46">
        <v>40.221477022620064</v>
      </c>
      <c r="AA66" s="46">
        <v>13.757772941056045</v>
      </c>
      <c r="AB66" s="46">
        <v>0</v>
      </c>
      <c r="AC66" s="46">
        <v>235.84254058911685</v>
      </c>
      <c r="AD66" s="46">
        <v>639.6636883937291</v>
      </c>
      <c r="AE66" s="46">
        <v>281.66833760616868</v>
      </c>
      <c r="AF66" s="46">
        <v>47.974127706826486</v>
      </c>
      <c r="AG66" s="46">
        <v>0.14208993136254475</v>
      </c>
      <c r="AH66" s="46">
        <v>11.077181154816934</v>
      </c>
      <c r="AI66" s="47">
        <v>0</v>
      </c>
      <c r="AJ66" s="35">
        <v>0</v>
      </c>
      <c r="AK66" s="36">
        <v>0</v>
      </c>
      <c r="AL66" s="36">
        <v>0</v>
      </c>
      <c r="AM66" s="36">
        <v>0</v>
      </c>
      <c r="AN66" s="36">
        <v>0</v>
      </c>
      <c r="AO66" s="36">
        <v>0</v>
      </c>
      <c r="AP66" s="36">
        <v>0</v>
      </c>
      <c r="AQ66" s="36">
        <v>0</v>
      </c>
      <c r="AR66" s="36">
        <v>0</v>
      </c>
      <c r="AS66" s="36">
        <v>0</v>
      </c>
      <c r="AT66" s="36">
        <v>0</v>
      </c>
      <c r="AU66" s="36">
        <v>0</v>
      </c>
      <c r="AV66" s="36">
        <v>0</v>
      </c>
      <c r="AW66" s="36">
        <v>0</v>
      </c>
      <c r="AX66" s="36">
        <v>0</v>
      </c>
      <c r="AY66" s="36">
        <v>0</v>
      </c>
      <c r="AZ66" s="36">
        <v>0</v>
      </c>
      <c r="BA66" s="36">
        <v>0</v>
      </c>
      <c r="BB66" s="36">
        <v>0</v>
      </c>
      <c r="BC66" s="36">
        <v>0</v>
      </c>
      <c r="BD66" s="36">
        <v>0</v>
      </c>
      <c r="BE66" s="36">
        <v>0</v>
      </c>
      <c r="BF66" s="36">
        <v>0</v>
      </c>
      <c r="BG66" s="36">
        <v>0</v>
      </c>
      <c r="BH66" s="36">
        <v>0</v>
      </c>
      <c r="BI66" s="36">
        <v>0</v>
      </c>
      <c r="BJ66" s="36">
        <v>0</v>
      </c>
      <c r="BK66" s="36">
        <v>0</v>
      </c>
      <c r="BL66" s="36">
        <v>0</v>
      </c>
      <c r="BM66" s="36">
        <v>0</v>
      </c>
      <c r="BN66" s="36">
        <v>0</v>
      </c>
      <c r="BO66" s="36">
        <v>0</v>
      </c>
      <c r="BP66" s="37">
        <v>0</v>
      </c>
      <c r="BQ66" s="35">
        <v>0</v>
      </c>
      <c r="BR66" s="37">
        <v>0</v>
      </c>
      <c r="BS66" s="35">
        <v>0</v>
      </c>
      <c r="BT66" s="36"/>
      <c r="BU66" s="37">
        <v>0</v>
      </c>
      <c r="BV66" s="45">
        <v>8624.4049016336739</v>
      </c>
      <c r="BW66" s="46">
        <v>6481.659125895163</v>
      </c>
      <c r="BX66" s="47">
        <v>0</v>
      </c>
      <c r="BY66" s="52">
        <v>0</v>
      </c>
      <c r="BZ66" s="49">
        <v>16797.054822621543</v>
      </c>
      <c r="CB66" s="50">
        <v>16797.054822621543</v>
      </c>
      <c r="CD66" s="34">
        <v>4299.3178491385479</v>
      </c>
      <c r="CE66">
        <v>4299.3178491385479</v>
      </c>
      <c r="CG66" s="34">
        <v>0</v>
      </c>
    </row>
    <row r="67" spans="1:85">
      <c r="A67" s="280"/>
      <c r="B67" s="44" t="s">
        <v>104</v>
      </c>
      <c r="C67" s="45">
        <v>0</v>
      </c>
      <c r="D67" s="46">
        <v>0</v>
      </c>
      <c r="E67" s="46">
        <v>1.7613562511032008</v>
      </c>
      <c r="F67" s="46">
        <v>0.13218532119561083</v>
      </c>
      <c r="G67" s="46">
        <v>2.6053953538989073E-2</v>
      </c>
      <c r="H67" s="46">
        <v>0.51660180151109814</v>
      </c>
      <c r="I67" s="46">
        <v>0.92969730537578654</v>
      </c>
      <c r="J67" s="46">
        <v>5.1971810460649623E-2</v>
      </c>
      <c r="K67" s="46">
        <v>0.21500693177421751</v>
      </c>
      <c r="L67" s="46">
        <v>0.41100771077110954</v>
      </c>
      <c r="M67" s="46">
        <v>1.4665076718432655</v>
      </c>
      <c r="N67" s="46">
        <v>9.4627750309894019</v>
      </c>
      <c r="O67" s="46">
        <v>0.81535490668711352</v>
      </c>
      <c r="P67" s="46">
        <v>0.22262931442463482</v>
      </c>
      <c r="Q67" s="46">
        <v>1.4520958047394665</v>
      </c>
      <c r="R67" s="46">
        <v>14.293839695638901</v>
      </c>
      <c r="S67" s="46">
        <v>0.18407815627779514</v>
      </c>
      <c r="T67" s="46">
        <v>24.247881876540823</v>
      </c>
      <c r="U67" s="46">
        <v>66.614070137425628</v>
      </c>
      <c r="V67" s="46">
        <v>24.24192504691641</v>
      </c>
      <c r="W67" s="46">
        <v>9.7121162076696876</v>
      </c>
      <c r="X67" s="46">
        <v>5.6718173089010775E-2</v>
      </c>
      <c r="Y67" s="46">
        <v>0</v>
      </c>
      <c r="Z67" s="46">
        <v>4.6353968786181952</v>
      </c>
      <c r="AA67" s="46">
        <v>23.336307479111866</v>
      </c>
      <c r="AB67" s="46">
        <v>0</v>
      </c>
      <c r="AC67" s="46">
        <v>1.0960246218203051</v>
      </c>
      <c r="AD67" s="46">
        <v>37.775411485324305</v>
      </c>
      <c r="AE67" s="46">
        <v>0</v>
      </c>
      <c r="AF67" s="46">
        <v>1.3647556177141669</v>
      </c>
      <c r="AG67" s="46">
        <v>4.743435239009262</v>
      </c>
      <c r="AH67" s="46">
        <v>8.2029443689674473</v>
      </c>
      <c r="AI67" s="47">
        <v>0</v>
      </c>
      <c r="AJ67" s="35">
        <v>0</v>
      </c>
      <c r="AK67" s="36">
        <v>0</v>
      </c>
      <c r="AL67" s="36">
        <v>0</v>
      </c>
      <c r="AM67" s="36">
        <v>0</v>
      </c>
      <c r="AN67" s="36">
        <v>0</v>
      </c>
      <c r="AO67" s="36">
        <v>0</v>
      </c>
      <c r="AP67" s="36">
        <v>0</v>
      </c>
      <c r="AQ67" s="36">
        <v>0</v>
      </c>
      <c r="AR67" s="36">
        <v>0</v>
      </c>
      <c r="AS67" s="36">
        <v>0</v>
      </c>
      <c r="AT67" s="36">
        <v>0</v>
      </c>
      <c r="AU67" s="36">
        <v>0</v>
      </c>
      <c r="AV67" s="36">
        <v>0</v>
      </c>
      <c r="AW67" s="36">
        <v>0</v>
      </c>
      <c r="AX67" s="36">
        <v>0</v>
      </c>
      <c r="AY67" s="36">
        <v>0</v>
      </c>
      <c r="AZ67" s="36">
        <v>0</v>
      </c>
      <c r="BA67" s="36">
        <v>0</v>
      </c>
      <c r="BB67" s="36">
        <v>0</v>
      </c>
      <c r="BC67" s="36">
        <v>0</v>
      </c>
      <c r="BD67" s="36">
        <v>0</v>
      </c>
      <c r="BE67" s="36">
        <v>0</v>
      </c>
      <c r="BF67" s="36">
        <v>0</v>
      </c>
      <c r="BG67" s="36">
        <v>0</v>
      </c>
      <c r="BH67" s="36">
        <v>0</v>
      </c>
      <c r="BI67" s="36">
        <v>0</v>
      </c>
      <c r="BJ67" s="36">
        <v>0</v>
      </c>
      <c r="BK67" s="36">
        <v>0</v>
      </c>
      <c r="BL67" s="36">
        <v>0</v>
      </c>
      <c r="BM67" s="36">
        <v>0</v>
      </c>
      <c r="BN67" s="36">
        <v>0</v>
      </c>
      <c r="BO67" s="36">
        <v>0</v>
      </c>
      <c r="BP67" s="37">
        <v>0</v>
      </c>
      <c r="BQ67" s="35">
        <v>0</v>
      </c>
      <c r="BR67" s="37">
        <v>0</v>
      </c>
      <c r="BS67" s="35">
        <v>0</v>
      </c>
      <c r="BT67" s="36"/>
      <c r="BU67" s="37">
        <v>0</v>
      </c>
      <c r="BV67" s="45">
        <v>640.90621070019517</v>
      </c>
      <c r="BW67" s="46">
        <v>6268.6283600417337</v>
      </c>
      <c r="BX67" s="47">
        <v>4894.6398789555178</v>
      </c>
      <c r="BY67" s="52">
        <v>0</v>
      </c>
      <c r="BZ67" s="49">
        <v>12042.142598495986</v>
      </c>
      <c r="CB67" s="50">
        <v>12042.142598495986</v>
      </c>
      <c r="CD67" s="34">
        <v>387.24213199420046</v>
      </c>
      <c r="CE67">
        <v>387.24213199420188</v>
      </c>
      <c r="CG67" s="34">
        <v>1.4210854715202004E-12</v>
      </c>
    </row>
    <row r="68" spans="1:85">
      <c r="A68" s="280"/>
      <c r="B68" s="44" t="s">
        <v>105</v>
      </c>
      <c r="C68" s="45">
        <v>0</v>
      </c>
      <c r="D68" s="46">
        <v>2.5079417112793649</v>
      </c>
      <c r="E68" s="46">
        <v>1.6531121315214412</v>
      </c>
      <c r="F68" s="46">
        <v>0.87531765446333698</v>
      </c>
      <c r="G68" s="46">
        <v>0</v>
      </c>
      <c r="H68" s="46">
        <v>0</v>
      </c>
      <c r="I68" s="46">
        <v>2.1394867906526214</v>
      </c>
      <c r="J68" s="46">
        <v>0.39414836974546624</v>
      </c>
      <c r="K68" s="46">
        <v>13.529115170048287</v>
      </c>
      <c r="L68" s="46">
        <v>0.74804443404210996</v>
      </c>
      <c r="M68" s="46">
        <v>0</v>
      </c>
      <c r="N68" s="46">
        <v>7.3654646372801524</v>
      </c>
      <c r="O68" s="46">
        <v>1.5234002948193344</v>
      </c>
      <c r="P68" s="46">
        <v>3.1074453754925528</v>
      </c>
      <c r="Q68" s="46">
        <v>0.31420172415398401</v>
      </c>
      <c r="R68" s="46">
        <v>4.2829436533748613</v>
      </c>
      <c r="S68" s="46">
        <v>16.120567474951564</v>
      </c>
      <c r="T68" s="46">
        <v>18.758050704491509</v>
      </c>
      <c r="U68" s="46">
        <v>278.82358610340088</v>
      </c>
      <c r="V68" s="46">
        <v>362.49676130076023</v>
      </c>
      <c r="W68" s="46">
        <v>5.4448562776442424</v>
      </c>
      <c r="X68" s="46">
        <v>1.911725307440197</v>
      </c>
      <c r="Y68" s="46">
        <v>0</v>
      </c>
      <c r="Z68" s="46">
        <v>14.384203011911064</v>
      </c>
      <c r="AA68" s="46">
        <v>8.5417375540628786</v>
      </c>
      <c r="AB68" s="46">
        <v>193.1538885848673</v>
      </c>
      <c r="AC68" s="46">
        <v>80.547519408485769</v>
      </c>
      <c r="AD68" s="46">
        <v>973.18734137752335</v>
      </c>
      <c r="AE68" s="46">
        <v>30.422943451601924</v>
      </c>
      <c r="AF68" s="46">
        <v>9.7073331292773357</v>
      </c>
      <c r="AG68" s="46">
        <v>119.52356780771191</v>
      </c>
      <c r="AH68" s="46">
        <v>101.93045289374001</v>
      </c>
      <c r="AI68" s="47">
        <v>0</v>
      </c>
      <c r="AJ68" s="35">
        <v>0</v>
      </c>
      <c r="AK68" s="36">
        <v>0</v>
      </c>
      <c r="AL68" s="36">
        <v>0</v>
      </c>
      <c r="AM68" s="36">
        <v>0</v>
      </c>
      <c r="AN68" s="36">
        <v>0</v>
      </c>
      <c r="AO68" s="36">
        <v>0</v>
      </c>
      <c r="AP68" s="36">
        <v>0</v>
      </c>
      <c r="AQ68" s="36">
        <v>0</v>
      </c>
      <c r="AR68" s="36">
        <v>0</v>
      </c>
      <c r="AS68" s="36">
        <v>0</v>
      </c>
      <c r="AT68" s="36">
        <v>0</v>
      </c>
      <c r="AU68" s="36">
        <v>0</v>
      </c>
      <c r="AV68" s="36">
        <v>0</v>
      </c>
      <c r="AW68" s="36">
        <v>0</v>
      </c>
      <c r="AX68" s="36">
        <v>0</v>
      </c>
      <c r="AY68" s="36">
        <v>0</v>
      </c>
      <c r="AZ68" s="36">
        <v>0</v>
      </c>
      <c r="BA68" s="36">
        <v>0</v>
      </c>
      <c r="BB68" s="36">
        <v>0</v>
      </c>
      <c r="BC68" s="36">
        <v>0</v>
      </c>
      <c r="BD68" s="36">
        <v>0</v>
      </c>
      <c r="BE68" s="36">
        <v>0</v>
      </c>
      <c r="BF68" s="36">
        <v>0</v>
      </c>
      <c r="BG68" s="36">
        <v>0</v>
      </c>
      <c r="BH68" s="36">
        <v>0</v>
      </c>
      <c r="BI68" s="36">
        <v>0</v>
      </c>
      <c r="BJ68" s="36">
        <v>0</v>
      </c>
      <c r="BK68" s="36">
        <v>0</v>
      </c>
      <c r="BL68" s="36">
        <v>0</v>
      </c>
      <c r="BM68" s="36">
        <v>0</v>
      </c>
      <c r="BN68" s="36">
        <v>0</v>
      </c>
      <c r="BO68" s="36">
        <v>0</v>
      </c>
      <c r="BP68" s="37">
        <v>0</v>
      </c>
      <c r="BQ68" s="35">
        <v>0</v>
      </c>
      <c r="BR68" s="37">
        <v>0</v>
      </c>
      <c r="BS68" s="35">
        <v>0</v>
      </c>
      <c r="BT68" s="36"/>
      <c r="BU68" s="37">
        <v>0</v>
      </c>
      <c r="BV68" s="45">
        <v>1773.9863388987235</v>
      </c>
      <c r="BW68" s="46">
        <v>926.35566703432278</v>
      </c>
      <c r="BX68" s="47">
        <v>3516.9781825325385</v>
      </c>
      <c r="BY68" s="52">
        <v>0</v>
      </c>
      <c r="BZ68" s="49">
        <v>8470.7153448003282</v>
      </c>
      <c r="CB68" s="50">
        <v>8470.7153448003282</v>
      </c>
      <c r="CD68" s="34">
        <v>649.87561893559268</v>
      </c>
      <c r="CE68">
        <v>649.87561893559234</v>
      </c>
      <c r="CG68" s="34">
        <v>0</v>
      </c>
    </row>
    <row r="69" spans="1:85" ht="15" thickBot="1">
      <c r="A69" s="280"/>
      <c r="B69" s="44" t="s">
        <v>106</v>
      </c>
      <c r="C69" s="45">
        <v>0</v>
      </c>
      <c r="D69" s="46">
        <v>0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v>0</v>
      </c>
      <c r="O69" s="46">
        <v>0</v>
      </c>
      <c r="P69" s="46">
        <v>0</v>
      </c>
      <c r="Q69" s="46">
        <v>0</v>
      </c>
      <c r="R69" s="46">
        <v>0</v>
      </c>
      <c r="S69" s="46">
        <v>0</v>
      </c>
      <c r="T69" s="46">
        <v>0</v>
      </c>
      <c r="U69" s="46">
        <v>0</v>
      </c>
      <c r="V69" s="46">
        <v>0</v>
      </c>
      <c r="W69" s="46">
        <v>0</v>
      </c>
      <c r="X69" s="46">
        <v>0</v>
      </c>
      <c r="Y69" s="46">
        <v>0</v>
      </c>
      <c r="Z69" s="46">
        <v>0</v>
      </c>
      <c r="AA69" s="46">
        <v>0</v>
      </c>
      <c r="AB69" s="46">
        <v>0</v>
      </c>
      <c r="AC69" s="46">
        <v>0</v>
      </c>
      <c r="AD69" s="46">
        <v>0</v>
      </c>
      <c r="AE69" s="46">
        <v>0</v>
      </c>
      <c r="AF69" s="46">
        <v>0</v>
      </c>
      <c r="AG69" s="46">
        <v>0</v>
      </c>
      <c r="AH69" s="46">
        <v>0</v>
      </c>
      <c r="AI69" s="47">
        <v>0</v>
      </c>
      <c r="AJ69" s="35">
        <v>0</v>
      </c>
      <c r="AK69" s="36">
        <v>0</v>
      </c>
      <c r="AL69" s="36">
        <v>0</v>
      </c>
      <c r="AM69" s="36">
        <v>0</v>
      </c>
      <c r="AN69" s="36">
        <v>0</v>
      </c>
      <c r="AO69" s="36">
        <v>0</v>
      </c>
      <c r="AP69" s="36">
        <v>0</v>
      </c>
      <c r="AQ69" s="36">
        <v>0</v>
      </c>
      <c r="AR69" s="36">
        <v>0</v>
      </c>
      <c r="AS69" s="36">
        <v>0</v>
      </c>
      <c r="AT69" s="36">
        <v>0</v>
      </c>
      <c r="AU69" s="36">
        <v>0</v>
      </c>
      <c r="AV69" s="36">
        <v>0</v>
      </c>
      <c r="AW69" s="36">
        <v>0</v>
      </c>
      <c r="AX69" s="36">
        <v>0</v>
      </c>
      <c r="AY69" s="36">
        <v>0</v>
      </c>
      <c r="AZ69" s="36">
        <v>0</v>
      </c>
      <c r="BA69" s="36">
        <v>0</v>
      </c>
      <c r="BB69" s="36">
        <v>0</v>
      </c>
      <c r="BC69" s="36">
        <v>0</v>
      </c>
      <c r="BD69" s="36">
        <v>0</v>
      </c>
      <c r="BE69" s="36">
        <v>0</v>
      </c>
      <c r="BF69" s="36">
        <v>0</v>
      </c>
      <c r="BG69" s="36">
        <v>0</v>
      </c>
      <c r="BH69" s="36">
        <v>0</v>
      </c>
      <c r="BI69" s="36">
        <v>0</v>
      </c>
      <c r="BJ69" s="36">
        <v>0</v>
      </c>
      <c r="BK69" s="36">
        <v>0</v>
      </c>
      <c r="BL69" s="36">
        <v>0</v>
      </c>
      <c r="BM69" s="36">
        <v>0</v>
      </c>
      <c r="BN69" s="36">
        <v>0</v>
      </c>
      <c r="BO69" s="36">
        <v>0</v>
      </c>
      <c r="BP69" s="37">
        <v>0</v>
      </c>
      <c r="BQ69" s="35">
        <v>0</v>
      </c>
      <c r="BR69" s="37">
        <v>0</v>
      </c>
      <c r="BS69" s="35">
        <v>0</v>
      </c>
      <c r="BT69" s="36"/>
      <c r="BU69" s="37">
        <v>0</v>
      </c>
      <c r="BV69" s="45">
        <v>1945.3419233888926</v>
      </c>
      <c r="BW69" s="46">
        <v>0</v>
      </c>
      <c r="BX69" s="47">
        <v>0</v>
      </c>
      <c r="BY69" s="52">
        <v>0</v>
      </c>
      <c r="BZ69" s="49">
        <v>1945.3419233888926</v>
      </c>
      <c r="CB69" s="50">
        <v>1945.3419233888926</v>
      </c>
      <c r="CD69" s="34">
        <v>0</v>
      </c>
      <c r="CE69">
        <v>0</v>
      </c>
      <c r="CG69" s="34">
        <v>0</v>
      </c>
    </row>
    <row r="70" spans="1:85">
      <c r="A70" s="279" t="s">
        <v>69</v>
      </c>
      <c r="B70" s="53" t="s">
        <v>107</v>
      </c>
      <c r="C70" s="54">
        <v>233</v>
      </c>
      <c r="D70" s="38">
        <v>1238</v>
      </c>
      <c r="E70" s="38">
        <v>2676.288</v>
      </c>
      <c r="F70" s="38">
        <v>837.92200000000003</v>
      </c>
      <c r="G70" s="38">
        <v>7.4710000000000001</v>
      </c>
      <c r="H70" s="38">
        <v>631.16899999999998</v>
      </c>
      <c r="I70" s="38">
        <v>1294.8580000000002</v>
      </c>
      <c r="J70" s="38">
        <v>258.90100000000001</v>
      </c>
      <c r="K70" s="38">
        <v>1556.7369999999999</v>
      </c>
      <c r="L70" s="38">
        <v>703.23</v>
      </c>
      <c r="M70" s="38">
        <v>1703.9359999999999</v>
      </c>
      <c r="N70" s="38">
        <v>4050.4249999999997</v>
      </c>
      <c r="O70" s="38">
        <v>1322.0630000000001</v>
      </c>
      <c r="P70" s="38">
        <v>760.10799999999995</v>
      </c>
      <c r="Q70" s="38">
        <v>301.423</v>
      </c>
      <c r="R70" s="38">
        <v>2885.55</v>
      </c>
      <c r="S70" s="38">
        <v>4344</v>
      </c>
      <c r="T70" s="38">
        <v>20526.655183717427</v>
      </c>
      <c r="U70" s="38">
        <v>53229</v>
      </c>
      <c r="V70" s="38">
        <v>13377.538423996233</v>
      </c>
      <c r="W70" s="38">
        <v>4282.6459999999997</v>
      </c>
      <c r="X70" s="38">
        <v>146.60300000000001</v>
      </c>
      <c r="Y70" s="38">
        <v>14274.281999999999</v>
      </c>
      <c r="Z70" s="38">
        <v>9025.7890000000007</v>
      </c>
      <c r="AA70" s="38">
        <v>4989.6801926048429</v>
      </c>
      <c r="AB70" s="38">
        <v>12121.987551268501</v>
      </c>
      <c r="AC70" s="38">
        <v>6997</v>
      </c>
      <c r="AD70" s="38">
        <v>37477.836218262222</v>
      </c>
      <c r="AE70" s="38">
        <v>23934</v>
      </c>
      <c r="AF70" s="38">
        <v>6526</v>
      </c>
      <c r="AG70" s="38">
        <v>5247.7927428319872</v>
      </c>
      <c r="AH70" s="38">
        <v>2665</v>
      </c>
      <c r="AI70" s="43">
        <v>1945</v>
      </c>
      <c r="AJ70" s="35">
        <v>0</v>
      </c>
      <c r="AK70" s="36">
        <v>0</v>
      </c>
      <c r="AL70" s="36">
        <v>0</v>
      </c>
      <c r="AM70" s="36">
        <v>0</v>
      </c>
      <c r="AN70" s="36">
        <v>0</v>
      </c>
      <c r="AO70" s="36">
        <v>0</v>
      </c>
      <c r="AP70" s="36">
        <v>0</v>
      </c>
      <c r="AQ70" s="36">
        <v>0</v>
      </c>
      <c r="AR70" s="36">
        <v>0</v>
      </c>
      <c r="AS70" s="36">
        <v>0</v>
      </c>
      <c r="AT70" s="36">
        <v>0</v>
      </c>
      <c r="AU70" s="36">
        <v>0</v>
      </c>
      <c r="AV70" s="36">
        <v>0</v>
      </c>
      <c r="AW70" s="36">
        <v>0</v>
      </c>
      <c r="AX70" s="36">
        <v>0</v>
      </c>
      <c r="AY70" s="36">
        <v>0</v>
      </c>
      <c r="AZ70" s="36">
        <v>0</v>
      </c>
      <c r="BA70" s="36">
        <v>0</v>
      </c>
      <c r="BB70" s="36">
        <v>0</v>
      </c>
      <c r="BC70" s="36">
        <v>0</v>
      </c>
      <c r="BD70" s="36">
        <v>0</v>
      </c>
      <c r="BE70" s="36">
        <v>0</v>
      </c>
      <c r="BF70" s="36">
        <v>0</v>
      </c>
      <c r="BG70" s="36">
        <v>0</v>
      </c>
      <c r="BH70" s="36">
        <v>0</v>
      </c>
      <c r="BI70" s="36">
        <v>0</v>
      </c>
      <c r="BJ70" s="36">
        <v>0</v>
      </c>
      <c r="BK70" s="36">
        <v>0</v>
      </c>
      <c r="BL70" s="36">
        <v>0</v>
      </c>
      <c r="BM70" s="36">
        <v>0</v>
      </c>
      <c r="BN70" s="36">
        <v>0</v>
      </c>
      <c r="BO70" s="36">
        <v>0</v>
      </c>
      <c r="BP70" s="37">
        <v>0</v>
      </c>
      <c r="BQ70" s="35">
        <v>0</v>
      </c>
      <c r="BR70" s="37">
        <v>0</v>
      </c>
      <c r="BS70" s="35">
        <v>0</v>
      </c>
      <c r="BT70" s="36"/>
      <c r="BU70" s="37">
        <v>0</v>
      </c>
      <c r="BV70" s="35">
        <v>0</v>
      </c>
      <c r="BW70" s="36">
        <v>0</v>
      </c>
      <c r="BX70" s="37">
        <v>0</v>
      </c>
      <c r="BY70" s="39">
        <v>0</v>
      </c>
      <c r="BZ70" s="40">
        <v>241571.8913126812</v>
      </c>
    </row>
    <row r="71" spans="1:85" ht="15" thickBot="1">
      <c r="A71" s="280"/>
      <c r="B71" s="28" t="s">
        <v>72</v>
      </c>
      <c r="C71" s="54">
        <v>414.32236557237968</v>
      </c>
      <c r="D71" s="38">
        <v>7222.3982615262066</v>
      </c>
      <c r="E71" s="38">
        <v>3400.1650000000004</v>
      </c>
      <c r="F71" s="38">
        <v>812.75200000000018</v>
      </c>
      <c r="G71" s="38">
        <v>3.8130000000000006</v>
      </c>
      <c r="H71" s="38">
        <v>307.87300000000005</v>
      </c>
      <c r="I71" s="38">
        <v>879.57399999999961</v>
      </c>
      <c r="J71" s="38">
        <v>1928.287</v>
      </c>
      <c r="K71" s="38">
        <v>2437.259</v>
      </c>
      <c r="L71" s="38">
        <v>1202.5650000000001</v>
      </c>
      <c r="M71" s="38">
        <v>847.07500000000005</v>
      </c>
      <c r="N71" s="38">
        <v>7323.4360000000015</v>
      </c>
      <c r="O71" s="38">
        <v>982.25</v>
      </c>
      <c r="P71" s="38">
        <v>685.34699999999998</v>
      </c>
      <c r="Q71" s="38">
        <v>614.31600000000003</v>
      </c>
      <c r="R71" s="38">
        <v>2003.8069999999998</v>
      </c>
      <c r="S71" s="38">
        <v>14343.292290434718</v>
      </c>
      <c r="T71" s="38">
        <v>6345.6596327770749</v>
      </c>
      <c r="U71" s="38">
        <v>54326.708782502654</v>
      </c>
      <c r="V71" s="38">
        <v>14840.133197189909</v>
      </c>
      <c r="W71" s="38">
        <v>4127.5230000000001</v>
      </c>
      <c r="X71" s="38">
        <v>363.01099999999997</v>
      </c>
      <c r="Y71" s="38">
        <v>16945.328000000001</v>
      </c>
      <c r="Z71" s="38">
        <v>9873.7219999999979</v>
      </c>
      <c r="AA71" s="38">
        <v>9673.9790328041054</v>
      </c>
      <c r="AB71" s="38">
        <v>42425.425398966334</v>
      </c>
      <c r="AC71" s="38">
        <v>26572.158860166492</v>
      </c>
      <c r="AD71" s="38">
        <v>4521.020856125826</v>
      </c>
      <c r="AE71" s="38">
        <v>7398.0203187636944</v>
      </c>
      <c r="AF71" s="38">
        <v>1751.9120483821771</v>
      </c>
      <c r="AG71" s="38">
        <v>1148.211855200504</v>
      </c>
      <c r="AH71" s="38">
        <v>295.61847813004897</v>
      </c>
      <c r="AI71" s="43">
        <v>0.34192338889261009</v>
      </c>
      <c r="AJ71" s="35">
        <v>0</v>
      </c>
      <c r="AK71" s="36">
        <v>0</v>
      </c>
      <c r="AL71" s="36">
        <v>0</v>
      </c>
      <c r="AM71" s="36">
        <v>0</v>
      </c>
      <c r="AN71" s="36">
        <v>0</v>
      </c>
      <c r="AO71" s="36">
        <v>0</v>
      </c>
      <c r="AP71" s="36">
        <v>0</v>
      </c>
      <c r="AQ71" s="36">
        <v>0</v>
      </c>
      <c r="AR71" s="36">
        <v>0</v>
      </c>
      <c r="AS71" s="36">
        <v>0</v>
      </c>
      <c r="AT71" s="36">
        <v>0</v>
      </c>
      <c r="AU71" s="36">
        <v>0</v>
      </c>
      <c r="AV71" s="36">
        <v>0</v>
      </c>
      <c r="AW71" s="36">
        <v>0</v>
      </c>
      <c r="AX71" s="36">
        <v>0</v>
      </c>
      <c r="AY71" s="36">
        <v>0</v>
      </c>
      <c r="AZ71" s="36">
        <v>0</v>
      </c>
      <c r="BA71" s="36">
        <v>0</v>
      </c>
      <c r="BB71" s="36">
        <v>0</v>
      </c>
      <c r="BC71" s="36">
        <v>0</v>
      </c>
      <c r="BD71" s="36">
        <v>0</v>
      </c>
      <c r="BE71" s="36">
        <v>0</v>
      </c>
      <c r="BF71" s="36">
        <v>0</v>
      </c>
      <c r="BG71" s="36">
        <v>0</v>
      </c>
      <c r="BH71" s="36">
        <v>0</v>
      </c>
      <c r="BI71" s="36">
        <v>0</v>
      </c>
      <c r="BJ71" s="36">
        <v>0</v>
      </c>
      <c r="BK71" s="36">
        <v>0</v>
      </c>
      <c r="BL71" s="36">
        <v>0</v>
      </c>
      <c r="BM71" s="36">
        <v>0</v>
      </c>
      <c r="BN71" s="36">
        <v>0</v>
      </c>
      <c r="BO71" s="36">
        <v>0</v>
      </c>
      <c r="BP71" s="37">
        <v>0</v>
      </c>
      <c r="BQ71" s="35">
        <v>0</v>
      </c>
      <c r="BR71" s="37">
        <v>0</v>
      </c>
      <c r="BS71" s="35">
        <v>0</v>
      </c>
      <c r="BT71" s="36"/>
      <c r="BU71" s="37">
        <v>0</v>
      </c>
      <c r="BV71" s="35">
        <v>0</v>
      </c>
      <c r="BW71" s="36">
        <v>0</v>
      </c>
      <c r="BX71" s="37">
        <v>0</v>
      </c>
      <c r="BY71" s="39">
        <v>0</v>
      </c>
      <c r="BZ71" s="40">
        <v>246017.30630193106</v>
      </c>
    </row>
    <row r="72" spans="1:85">
      <c r="A72" s="279" t="s">
        <v>70</v>
      </c>
      <c r="B72" s="14" t="s">
        <v>108</v>
      </c>
      <c r="C72" s="35">
        <v>0</v>
      </c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6">
        <v>0</v>
      </c>
      <c r="AH72" s="36">
        <v>0</v>
      </c>
      <c r="AI72" s="37">
        <v>0</v>
      </c>
      <c r="AJ72" s="45">
        <v>144.48319917074988</v>
      </c>
      <c r="AK72" s="46">
        <v>273.09907150285983</v>
      </c>
      <c r="AL72" s="46">
        <v>470.15579411139271</v>
      </c>
      <c r="AM72" s="46">
        <v>316.85345481780871</v>
      </c>
      <c r="AN72" s="46">
        <v>123.97176356046</v>
      </c>
      <c r="AO72" s="46">
        <v>25.615142863249726</v>
      </c>
      <c r="AP72" s="46">
        <v>76.334952436394971</v>
      </c>
      <c r="AQ72" s="46">
        <v>110.92151011683221</v>
      </c>
      <c r="AR72" s="46">
        <v>341.30383999408031</v>
      </c>
      <c r="AS72" s="46">
        <v>117.91219445275921</v>
      </c>
      <c r="AT72" s="46">
        <v>78.717071856171785</v>
      </c>
      <c r="AU72" s="46">
        <v>767.68664665032475</v>
      </c>
      <c r="AV72" s="46">
        <v>552.83398678655647</v>
      </c>
      <c r="AW72" s="46">
        <v>901.72973205814549</v>
      </c>
      <c r="AX72" s="46">
        <v>798.31084508367542</v>
      </c>
      <c r="AY72" s="46">
        <v>364.30453778586281</v>
      </c>
      <c r="AZ72" s="46">
        <v>251.03150737018399</v>
      </c>
      <c r="BA72" s="46">
        <v>1798.419359134663</v>
      </c>
      <c r="BB72" s="46">
        <v>2096.455468597982</v>
      </c>
      <c r="BC72" s="46">
        <v>1115.9617426456637</v>
      </c>
      <c r="BD72" s="46">
        <v>304.84349057504454</v>
      </c>
      <c r="BE72" s="46">
        <v>11.783962240474239</v>
      </c>
      <c r="BF72" s="46">
        <v>1717.8932022486185</v>
      </c>
      <c r="BG72" s="46">
        <v>230.70108520244324</v>
      </c>
      <c r="BH72" s="46">
        <v>873.73889883210711</v>
      </c>
      <c r="BI72" s="46">
        <v>646.64652197217947</v>
      </c>
      <c r="BJ72" s="46">
        <v>1383.7912020421388</v>
      </c>
      <c r="BK72" s="46">
        <v>565.91719738690153</v>
      </c>
      <c r="BL72" s="46">
        <v>742.85724814210334</v>
      </c>
      <c r="BM72" s="46">
        <v>276.62232084941786</v>
      </c>
      <c r="BN72" s="46">
        <v>348.84260849367001</v>
      </c>
      <c r="BO72" s="46">
        <v>200.26044101909014</v>
      </c>
      <c r="BP72" s="47">
        <v>0</v>
      </c>
      <c r="BQ72" s="35">
        <v>0</v>
      </c>
      <c r="BR72" s="37">
        <v>0</v>
      </c>
      <c r="BS72" s="35">
        <v>0</v>
      </c>
      <c r="BT72" s="36"/>
      <c r="BU72" s="37">
        <v>0</v>
      </c>
      <c r="BV72" s="35">
        <v>0</v>
      </c>
      <c r="BW72" s="36">
        <v>0</v>
      </c>
      <c r="BX72" s="37">
        <v>0</v>
      </c>
      <c r="BY72" s="39">
        <v>0</v>
      </c>
      <c r="BZ72" s="40">
        <v>18030.000000000007</v>
      </c>
    </row>
    <row r="73" spans="1:85">
      <c r="A73" s="280"/>
      <c r="B73" s="37" t="s">
        <v>109</v>
      </c>
      <c r="C73" s="35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7"/>
      <c r="AJ73" s="35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7"/>
      <c r="BQ73" s="35"/>
      <c r="BR73" s="37"/>
      <c r="BS73" s="35"/>
      <c r="BT73" s="36"/>
      <c r="BU73" s="37"/>
      <c r="BV73" s="35"/>
      <c r="BW73" s="36"/>
      <c r="BX73" s="37"/>
      <c r="BY73" s="39"/>
      <c r="BZ73" s="40">
        <v>0</v>
      </c>
    </row>
    <row r="74" spans="1:85" ht="15" thickBot="1">
      <c r="A74" s="281"/>
      <c r="B74" s="55" t="s">
        <v>110</v>
      </c>
      <c r="C74" s="35">
        <v>0</v>
      </c>
      <c r="D74" s="36">
        <v>0</v>
      </c>
      <c r="E74" s="36">
        <v>0</v>
      </c>
      <c r="F74" s="36">
        <v>0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6">
        <v>0</v>
      </c>
      <c r="AH74" s="36">
        <v>0</v>
      </c>
      <c r="AI74" s="37">
        <v>0</v>
      </c>
      <c r="AJ74" s="35">
        <v>0</v>
      </c>
      <c r="AK74" s="36">
        <v>0</v>
      </c>
      <c r="AL74" s="36">
        <v>0</v>
      </c>
      <c r="AM74" s="36">
        <v>0</v>
      </c>
      <c r="AN74" s="36">
        <v>0</v>
      </c>
      <c r="AO74" s="36">
        <v>0</v>
      </c>
      <c r="AP74" s="36">
        <v>0</v>
      </c>
      <c r="AQ74" s="36">
        <v>0</v>
      </c>
      <c r="AR74" s="36">
        <v>0</v>
      </c>
      <c r="AS74" s="36">
        <v>0</v>
      </c>
      <c r="AT74" s="36">
        <v>0</v>
      </c>
      <c r="AU74" s="36">
        <v>0</v>
      </c>
      <c r="AV74" s="36">
        <v>0</v>
      </c>
      <c r="AW74" s="36">
        <v>0</v>
      </c>
      <c r="AX74" s="36">
        <v>0</v>
      </c>
      <c r="AY74" s="36">
        <v>0</v>
      </c>
      <c r="AZ74" s="36">
        <v>0</v>
      </c>
      <c r="BA74" s="36">
        <v>0</v>
      </c>
      <c r="BB74" s="36">
        <v>0</v>
      </c>
      <c r="BC74" s="36">
        <v>0</v>
      </c>
      <c r="BD74" s="36">
        <v>0</v>
      </c>
      <c r="BE74" s="36">
        <v>0</v>
      </c>
      <c r="BF74" s="36">
        <v>0</v>
      </c>
      <c r="BG74" s="36">
        <v>0</v>
      </c>
      <c r="BH74" s="36">
        <v>0</v>
      </c>
      <c r="BI74" s="36">
        <v>0</v>
      </c>
      <c r="BJ74" s="36">
        <v>0</v>
      </c>
      <c r="BK74" s="36">
        <v>0</v>
      </c>
      <c r="BL74" s="36">
        <v>0</v>
      </c>
      <c r="BM74" s="36">
        <v>0</v>
      </c>
      <c r="BN74" s="36">
        <v>0</v>
      </c>
      <c r="BO74" s="36">
        <v>0</v>
      </c>
      <c r="BP74" s="37">
        <v>0</v>
      </c>
      <c r="BQ74" s="35">
        <v>0</v>
      </c>
      <c r="BR74" s="56">
        <v>39520</v>
      </c>
      <c r="BS74" s="35">
        <v>0</v>
      </c>
      <c r="BT74" s="36"/>
      <c r="BU74" s="37">
        <v>0</v>
      </c>
      <c r="BV74" s="35">
        <v>0</v>
      </c>
      <c r="BW74" s="36">
        <v>0</v>
      </c>
      <c r="BX74" s="37">
        <v>0</v>
      </c>
      <c r="BY74" s="39">
        <v>0</v>
      </c>
      <c r="BZ74" s="40">
        <v>39520</v>
      </c>
    </row>
    <row r="75" spans="1:85">
      <c r="A75" s="279" t="s">
        <v>71</v>
      </c>
      <c r="B75" s="14" t="s">
        <v>4</v>
      </c>
      <c r="C75" s="35">
        <v>0</v>
      </c>
      <c r="D75" s="36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6">
        <v>0</v>
      </c>
      <c r="W75" s="36">
        <v>0</v>
      </c>
      <c r="X75" s="36">
        <v>0</v>
      </c>
      <c r="Y75" s="36">
        <v>0</v>
      </c>
      <c r="Z75" s="36">
        <v>0</v>
      </c>
      <c r="AA75" s="36">
        <v>0</v>
      </c>
      <c r="AB75" s="36">
        <v>0</v>
      </c>
      <c r="AC75" s="36">
        <v>0</v>
      </c>
      <c r="AD75" s="36">
        <v>0</v>
      </c>
      <c r="AE75" s="36">
        <v>0</v>
      </c>
      <c r="AF75" s="36">
        <v>0</v>
      </c>
      <c r="AG75" s="36">
        <v>0</v>
      </c>
      <c r="AH75" s="36">
        <v>0</v>
      </c>
      <c r="AI75" s="37">
        <v>0</v>
      </c>
      <c r="AJ75" s="35">
        <v>0</v>
      </c>
      <c r="AK75" s="36">
        <v>0</v>
      </c>
      <c r="AL75" s="36">
        <v>0</v>
      </c>
      <c r="AM75" s="36">
        <v>0</v>
      </c>
      <c r="AN75" s="36">
        <v>0</v>
      </c>
      <c r="AO75" s="36">
        <v>0</v>
      </c>
      <c r="AP75" s="36">
        <v>0</v>
      </c>
      <c r="AQ75" s="36">
        <v>0</v>
      </c>
      <c r="AR75" s="36">
        <v>0</v>
      </c>
      <c r="AS75" s="36">
        <v>0</v>
      </c>
      <c r="AT75" s="36">
        <v>0</v>
      </c>
      <c r="AU75" s="36">
        <v>0</v>
      </c>
      <c r="AV75" s="36">
        <v>0</v>
      </c>
      <c r="AW75" s="36">
        <v>0</v>
      </c>
      <c r="AX75" s="36">
        <v>0</v>
      </c>
      <c r="AY75" s="36">
        <v>0</v>
      </c>
      <c r="AZ75" s="36">
        <v>0</v>
      </c>
      <c r="BA75" s="36">
        <v>0</v>
      </c>
      <c r="BB75" s="36">
        <v>0</v>
      </c>
      <c r="BC75" s="36">
        <v>0</v>
      </c>
      <c r="BD75" s="36">
        <v>0</v>
      </c>
      <c r="BE75" s="36">
        <v>0</v>
      </c>
      <c r="BF75" s="36">
        <v>0</v>
      </c>
      <c r="BG75" s="36">
        <v>0</v>
      </c>
      <c r="BH75" s="36">
        <v>0</v>
      </c>
      <c r="BI75" s="36">
        <v>0</v>
      </c>
      <c r="BJ75" s="36">
        <v>0</v>
      </c>
      <c r="BK75" s="36">
        <v>0</v>
      </c>
      <c r="BL75" s="36">
        <v>0</v>
      </c>
      <c r="BM75" s="36">
        <v>0</v>
      </c>
      <c r="BN75" s="36">
        <v>0</v>
      </c>
      <c r="BO75" s="36">
        <v>0</v>
      </c>
      <c r="BP75" s="37">
        <v>0</v>
      </c>
      <c r="BQ75" s="57">
        <v>241571.8913126812</v>
      </c>
      <c r="BR75" s="58">
        <v>206497.30630193106</v>
      </c>
      <c r="BS75" s="35">
        <v>0</v>
      </c>
      <c r="BT75" s="36"/>
      <c r="BU75" s="37">
        <v>0</v>
      </c>
      <c r="BV75" s="35">
        <v>0</v>
      </c>
      <c r="BW75" s="36">
        <v>0</v>
      </c>
      <c r="BX75" s="37">
        <v>0</v>
      </c>
      <c r="BY75" s="39">
        <v>0</v>
      </c>
      <c r="BZ75" s="40">
        <v>448069.19761461229</v>
      </c>
    </row>
    <row r="76" spans="1:85">
      <c r="A76" s="280"/>
      <c r="B76" s="37" t="s">
        <v>111</v>
      </c>
      <c r="C76" s="35">
        <v>0</v>
      </c>
      <c r="D76" s="36">
        <v>0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  <c r="M76" s="36">
        <v>0</v>
      </c>
      <c r="N76" s="36">
        <v>0</v>
      </c>
      <c r="O76" s="36">
        <v>0</v>
      </c>
      <c r="P76" s="36">
        <v>0</v>
      </c>
      <c r="Q76" s="36">
        <v>0</v>
      </c>
      <c r="R76" s="36">
        <v>0</v>
      </c>
      <c r="S76" s="36">
        <v>0</v>
      </c>
      <c r="T76" s="36">
        <v>0</v>
      </c>
      <c r="U76" s="36">
        <v>0</v>
      </c>
      <c r="V76" s="36">
        <v>0</v>
      </c>
      <c r="W76" s="36">
        <v>0</v>
      </c>
      <c r="X76" s="36">
        <v>0</v>
      </c>
      <c r="Y76" s="36">
        <v>0</v>
      </c>
      <c r="Z76" s="36">
        <v>0</v>
      </c>
      <c r="AA76" s="36">
        <v>0</v>
      </c>
      <c r="AB76" s="36">
        <v>0</v>
      </c>
      <c r="AC76" s="36">
        <v>0</v>
      </c>
      <c r="AD76" s="36">
        <v>0</v>
      </c>
      <c r="AE76" s="36">
        <v>0</v>
      </c>
      <c r="AF76" s="36">
        <v>0</v>
      </c>
      <c r="AG76" s="36">
        <v>0</v>
      </c>
      <c r="AH76" s="36">
        <v>0</v>
      </c>
      <c r="AI76" s="37">
        <v>0</v>
      </c>
      <c r="AJ76" s="35">
        <v>0</v>
      </c>
      <c r="AK76" s="36">
        <v>0</v>
      </c>
      <c r="AL76" s="36">
        <v>0</v>
      </c>
      <c r="AM76" s="36">
        <v>0</v>
      </c>
      <c r="AN76" s="36">
        <v>0</v>
      </c>
      <c r="AO76" s="36">
        <v>0</v>
      </c>
      <c r="AP76" s="36">
        <v>0</v>
      </c>
      <c r="AQ76" s="36">
        <v>0</v>
      </c>
      <c r="AR76" s="36">
        <v>0</v>
      </c>
      <c r="AS76" s="36">
        <v>0</v>
      </c>
      <c r="AT76" s="36">
        <v>0</v>
      </c>
      <c r="AU76" s="36">
        <v>0</v>
      </c>
      <c r="AV76" s="36">
        <v>0</v>
      </c>
      <c r="AW76" s="36">
        <v>0</v>
      </c>
      <c r="AX76" s="36">
        <v>0</v>
      </c>
      <c r="AY76" s="36">
        <v>0</v>
      </c>
      <c r="AZ76" s="36">
        <v>0</v>
      </c>
      <c r="BA76" s="36">
        <v>0</v>
      </c>
      <c r="BB76" s="36">
        <v>0</v>
      </c>
      <c r="BC76" s="36">
        <v>0</v>
      </c>
      <c r="BD76" s="36">
        <v>0</v>
      </c>
      <c r="BE76" s="36">
        <v>0</v>
      </c>
      <c r="BF76" s="36">
        <v>0</v>
      </c>
      <c r="BG76" s="36">
        <v>0</v>
      </c>
      <c r="BH76" s="36">
        <v>0</v>
      </c>
      <c r="BI76" s="36">
        <v>0</v>
      </c>
      <c r="BJ76" s="36">
        <v>0</v>
      </c>
      <c r="BK76" s="36">
        <v>0</v>
      </c>
      <c r="BL76" s="36">
        <v>0</v>
      </c>
      <c r="BM76" s="36">
        <v>0</v>
      </c>
      <c r="BN76" s="36">
        <v>0</v>
      </c>
      <c r="BO76" s="36">
        <v>0</v>
      </c>
      <c r="BP76" s="37">
        <v>0</v>
      </c>
      <c r="BQ76" s="35">
        <v>0</v>
      </c>
      <c r="BR76" s="37">
        <v>0</v>
      </c>
      <c r="BS76" s="59">
        <v>18030.000000000007</v>
      </c>
      <c r="BT76" s="60"/>
      <c r="BU76" s="58">
        <v>39520</v>
      </c>
      <c r="BV76" s="35">
        <v>0</v>
      </c>
      <c r="BW76" s="36">
        <v>0</v>
      </c>
      <c r="BX76" s="37">
        <v>0</v>
      </c>
      <c r="BY76" s="39">
        <v>0</v>
      </c>
      <c r="BZ76" s="40">
        <v>57550.000000000007</v>
      </c>
    </row>
    <row r="77" spans="1:85" ht="15" thickBot="1">
      <c r="A77" s="281"/>
      <c r="B77" s="55" t="s">
        <v>112</v>
      </c>
      <c r="C77" s="35">
        <v>0</v>
      </c>
      <c r="D77" s="36">
        <v>0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36">
        <v>0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  <c r="P77" s="36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6">
        <v>0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  <c r="AB77" s="36">
        <v>0</v>
      </c>
      <c r="AC77" s="36">
        <v>0</v>
      </c>
      <c r="AD77" s="36">
        <v>0</v>
      </c>
      <c r="AE77" s="36">
        <v>0</v>
      </c>
      <c r="AF77" s="36">
        <v>0</v>
      </c>
      <c r="AG77" s="36">
        <v>0</v>
      </c>
      <c r="AH77" s="36">
        <v>0</v>
      </c>
      <c r="AI77" s="37">
        <v>0</v>
      </c>
      <c r="AJ77" s="45">
        <v>20212.322345294069</v>
      </c>
      <c r="AK77" s="46">
        <v>139101.67731938651</v>
      </c>
      <c r="AL77" s="46">
        <v>45768.126544050683</v>
      </c>
      <c r="AM77" s="46">
        <v>23000.706149199865</v>
      </c>
      <c r="AN77" s="46">
        <v>14693.35849147378</v>
      </c>
      <c r="AO77" s="46">
        <v>3866.5111998998036</v>
      </c>
      <c r="AP77" s="46">
        <v>7356.2079338081558</v>
      </c>
      <c r="AQ77" s="46">
        <v>49018.083156429879</v>
      </c>
      <c r="AR77" s="46">
        <v>49743.805549618293</v>
      </c>
      <c r="AS77" s="46">
        <v>11822.602704625409</v>
      </c>
      <c r="AT77" s="46">
        <v>6108.863209811695</v>
      </c>
      <c r="AU77" s="46">
        <v>125029.42745093258</v>
      </c>
      <c r="AV77" s="46">
        <v>60620.707330157245</v>
      </c>
      <c r="AW77" s="46">
        <v>137577.64257404418</v>
      </c>
      <c r="AX77" s="46">
        <v>48554.678550467055</v>
      </c>
      <c r="AY77" s="46">
        <v>46547.766977553787</v>
      </c>
      <c r="AZ77" s="46">
        <v>0</v>
      </c>
      <c r="BA77" s="46">
        <v>0</v>
      </c>
      <c r="BB77" s="46">
        <v>0</v>
      </c>
      <c r="BC77" s="46">
        <v>219.06403796676381</v>
      </c>
      <c r="BD77" s="46">
        <v>0</v>
      </c>
      <c r="BE77" s="46">
        <v>0</v>
      </c>
      <c r="BF77" s="46">
        <v>0</v>
      </c>
      <c r="BG77" s="46">
        <v>0</v>
      </c>
      <c r="BH77" s="46">
        <v>0</v>
      </c>
      <c r="BI77" s="46">
        <v>0</v>
      </c>
      <c r="BJ77" s="46">
        <v>0</v>
      </c>
      <c r="BK77" s="46">
        <v>0</v>
      </c>
      <c r="BL77" s="46">
        <v>0</v>
      </c>
      <c r="BM77" s="46">
        <v>4022.6955282891304</v>
      </c>
      <c r="BN77" s="46">
        <v>38.399523500531849</v>
      </c>
      <c r="BO77" s="46">
        <v>449.6151779165022</v>
      </c>
      <c r="BP77" s="47">
        <v>0</v>
      </c>
      <c r="BQ77" s="35">
        <v>0</v>
      </c>
      <c r="BR77" s="37">
        <v>0</v>
      </c>
      <c r="BS77" s="35">
        <v>0</v>
      </c>
      <c r="BT77" s="36"/>
      <c r="BU77" s="37">
        <v>0</v>
      </c>
      <c r="BV77" s="45">
        <v>260361.99999999956</v>
      </c>
      <c r="BW77" s="36">
        <v>0</v>
      </c>
      <c r="BX77" s="37">
        <v>0</v>
      </c>
      <c r="BY77" s="39">
        <v>0</v>
      </c>
      <c r="BZ77" s="49">
        <v>1054114.2617544257</v>
      </c>
    </row>
    <row r="78" spans="1:85" ht="15" thickBot="1">
      <c r="A78" s="61" t="s">
        <v>72</v>
      </c>
      <c r="B78" s="55" t="s">
        <v>113</v>
      </c>
      <c r="C78" s="62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55">
        <v>0</v>
      </c>
      <c r="AJ78" s="62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0</v>
      </c>
      <c r="BH78" s="63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55">
        <v>0</v>
      </c>
      <c r="BQ78" s="62">
        <v>0</v>
      </c>
      <c r="BR78" s="55">
        <v>0</v>
      </c>
      <c r="BS78" s="62">
        <v>0</v>
      </c>
      <c r="BT78" s="63"/>
      <c r="BU78" s="55">
        <v>0</v>
      </c>
      <c r="BV78" s="64">
        <v>77164.94046489324</v>
      </c>
      <c r="BW78" s="65">
        <v>2800.0000003500099</v>
      </c>
      <c r="BX78" s="66">
        <v>36587.752063971013</v>
      </c>
      <c r="BY78" s="67">
        <v>0</v>
      </c>
      <c r="BZ78" s="68">
        <v>116552.6925292142</v>
      </c>
    </row>
    <row r="79" spans="1:85" ht="15" thickBot="1">
      <c r="A79" s="69"/>
      <c r="B79" s="70" t="s">
        <v>114</v>
      </c>
      <c r="C79" s="71">
        <v>1512.2992146246634</v>
      </c>
      <c r="D79" s="72">
        <v>11448.728531581437</v>
      </c>
      <c r="E79" s="72">
        <v>25557.71899999999</v>
      </c>
      <c r="F79" s="72">
        <v>3421.0370000000003</v>
      </c>
      <c r="G79" s="72">
        <v>29.598000000000006</v>
      </c>
      <c r="H79" s="72">
        <v>2673.8829999999998</v>
      </c>
      <c r="I79" s="72">
        <v>7097.443000000002</v>
      </c>
      <c r="J79" s="72">
        <v>28389.412000000011</v>
      </c>
      <c r="K79" s="72">
        <v>13147.265999999998</v>
      </c>
      <c r="L79" s="72">
        <v>6406.5290000000023</v>
      </c>
      <c r="M79" s="72">
        <v>8147.143</v>
      </c>
      <c r="N79" s="72">
        <v>38703.505000000012</v>
      </c>
      <c r="O79" s="72">
        <v>7111.3470000000007</v>
      </c>
      <c r="P79" s="72">
        <v>6245.6820000000007</v>
      </c>
      <c r="Q79" s="72">
        <v>2014.7720000000002</v>
      </c>
      <c r="R79" s="72">
        <v>13743.5</v>
      </c>
      <c r="S79" s="72">
        <v>32516.284247284777</v>
      </c>
      <c r="T79" s="72">
        <v>89406.357042682357</v>
      </c>
      <c r="U79" s="72">
        <v>190466.70173842864</v>
      </c>
      <c r="V79" s="72">
        <v>61824.290783745382</v>
      </c>
      <c r="W79" s="72">
        <v>15857.388999999996</v>
      </c>
      <c r="X79" s="72">
        <v>2289.5279999999998</v>
      </c>
      <c r="Y79" s="72">
        <v>102307.00900000002</v>
      </c>
      <c r="Z79" s="72">
        <v>51951.452999999994</v>
      </c>
      <c r="AA79" s="72">
        <v>33978.014777243792</v>
      </c>
      <c r="AB79" s="72">
        <v>68358.296123052933</v>
      </c>
      <c r="AC79" s="72">
        <v>51738.011936033472</v>
      </c>
      <c r="AD79" s="72">
        <v>92686.29159503273</v>
      </c>
      <c r="AE79" s="72">
        <v>48821.366518956798</v>
      </c>
      <c r="AF79" s="72">
        <v>12497.736973482995</v>
      </c>
      <c r="AG79" s="72">
        <v>11654.900466501786</v>
      </c>
      <c r="AH79" s="72">
        <v>7820.8397258647356</v>
      </c>
      <c r="AI79" s="73">
        <v>1945.3419233888926</v>
      </c>
      <c r="AJ79" s="74">
        <v>21869.104759089481</v>
      </c>
      <c r="AK79" s="75">
        <v>150823.50492247081</v>
      </c>
      <c r="AL79" s="75">
        <v>71796.001338162067</v>
      </c>
      <c r="AM79" s="75">
        <v>26738.596604017675</v>
      </c>
      <c r="AN79" s="75">
        <v>14846.92825503424</v>
      </c>
      <c r="AO79" s="75">
        <v>6566.0093427630527</v>
      </c>
      <c r="AP79" s="75">
        <v>14529.985886244553</v>
      </c>
      <c r="AQ79" s="75">
        <v>77518.41666654672</v>
      </c>
      <c r="AR79" s="75">
        <v>63232.375389612367</v>
      </c>
      <c r="AS79" s="75">
        <v>18347.043899078169</v>
      </c>
      <c r="AT79" s="75">
        <v>14334.723281667866</v>
      </c>
      <c r="AU79" s="75">
        <v>164500.61909758291</v>
      </c>
      <c r="AV79" s="75">
        <v>68284.888316943805</v>
      </c>
      <c r="AW79" s="75">
        <v>144725.05430610233</v>
      </c>
      <c r="AX79" s="75">
        <v>51367.761395550733</v>
      </c>
      <c r="AY79" s="75">
        <v>60655.571515339652</v>
      </c>
      <c r="AZ79" s="75">
        <v>32767.315754654959</v>
      </c>
      <c r="BA79" s="75">
        <v>91204.776401817013</v>
      </c>
      <c r="BB79" s="75">
        <v>192563.15720702661</v>
      </c>
      <c r="BC79" s="75">
        <v>63159.316564357803</v>
      </c>
      <c r="BD79" s="75">
        <v>16162.232490575039</v>
      </c>
      <c r="BE79" s="75">
        <v>2301.3119622404738</v>
      </c>
      <c r="BF79" s="75">
        <v>104024.90220224863</v>
      </c>
      <c r="BG79" s="75">
        <v>52182.154085202441</v>
      </c>
      <c r="BH79" s="75">
        <v>34851.753676075896</v>
      </c>
      <c r="BI79" s="75">
        <v>69004.942645025105</v>
      </c>
      <c r="BJ79" s="75">
        <v>53121.803138075607</v>
      </c>
      <c r="BK79" s="75">
        <v>93252.208792419624</v>
      </c>
      <c r="BL79" s="75">
        <v>49564.223767098898</v>
      </c>
      <c r="BM79" s="75">
        <v>16797.054822621543</v>
      </c>
      <c r="BN79" s="75">
        <v>12042.142598495986</v>
      </c>
      <c r="BO79" s="75">
        <v>8470.7153448003282</v>
      </c>
      <c r="BP79" s="76">
        <v>1945.3419233888926</v>
      </c>
      <c r="BQ79" s="71">
        <v>241571.8913126812</v>
      </c>
      <c r="BR79" s="73">
        <v>246017.30630193106</v>
      </c>
      <c r="BS79" s="71">
        <v>18030.000000000007</v>
      </c>
      <c r="BT79" s="72">
        <v>0</v>
      </c>
      <c r="BU79" s="73">
        <v>39520</v>
      </c>
      <c r="BV79" s="71">
        <v>448069.19761461229</v>
      </c>
      <c r="BW79" s="72">
        <v>57550</v>
      </c>
      <c r="BX79" s="76">
        <v>1054114.2617544257</v>
      </c>
      <c r="BY79" s="77">
        <v>116552.6925292142</v>
      </c>
      <c r="BZ79" s="78"/>
    </row>
    <row r="80" spans="1:85">
      <c r="B80" s="37"/>
    </row>
    <row r="81" spans="2:74">
      <c r="AJ81" s="34">
        <v>20356.80554446482</v>
      </c>
      <c r="AK81" s="34">
        <v>139374.77639088937</v>
      </c>
      <c r="AL81" s="34">
        <v>46238.282338162076</v>
      </c>
      <c r="AM81" s="34">
        <v>23317.559604017675</v>
      </c>
      <c r="AN81" s="34">
        <v>14817.33025503424</v>
      </c>
      <c r="AO81" s="34">
        <v>3892.1263427630533</v>
      </c>
      <c r="AP81" s="34">
        <v>7432.5428862445506</v>
      </c>
      <c r="AQ81" s="34">
        <v>49129.004666546709</v>
      </c>
      <c r="AR81" s="34">
        <v>50085.109389612371</v>
      </c>
      <c r="AS81" s="34">
        <v>11940.514899078169</v>
      </c>
      <c r="AT81" s="34">
        <v>6187.580281667867</v>
      </c>
      <c r="AU81" s="34">
        <v>125797.1140975829</v>
      </c>
      <c r="AV81" s="34">
        <v>61173.541316943803</v>
      </c>
      <c r="AW81" s="34">
        <v>138479.37230610233</v>
      </c>
      <c r="AX81" s="34">
        <v>49352.989395550729</v>
      </c>
      <c r="AY81" s="34">
        <v>46912.071515339652</v>
      </c>
      <c r="AZ81" s="34">
        <v>251.03150737018399</v>
      </c>
      <c r="BA81" s="34">
        <v>1798.419359134663</v>
      </c>
      <c r="BB81" s="34">
        <v>2096.455468597982</v>
      </c>
      <c r="BC81" s="34">
        <v>1335.0257806124275</v>
      </c>
      <c r="BD81" s="34">
        <v>304.84349057504454</v>
      </c>
      <c r="BE81" s="34">
        <v>11.783962240474239</v>
      </c>
      <c r="BF81" s="34">
        <v>1717.8932022486185</v>
      </c>
      <c r="BG81" s="34">
        <v>230.70108520244324</v>
      </c>
      <c r="BH81" s="34">
        <v>873.73889883210711</v>
      </c>
      <c r="BI81" s="34">
        <v>646.64652197217947</v>
      </c>
      <c r="BJ81" s="34">
        <v>1383.7912020421388</v>
      </c>
      <c r="BK81" s="34">
        <v>565.91719738690153</v>
      </c>
      <c r="BL81" s="34">
        <v>742.85724814210334</v>
      </c>
      <c r="BM81" s="34">
        <v>4299.3178491385479</v>
      </c>
      <c r="BN81" s="34">
        <v>387.24213199420188</v>
      </c>
      <c r="BO81" s="34">
        <v>649.87561893559234</v>
      </c>
      <c r="BP81" s="34">
        <v>0</v>
      </c>
      <c r="BV81" t="s">
        <v>260</v>
      </c>
    </row>
    <row r="82" spans="2:74" ht="16">
      <c r="B82" s="290" t="s">
        <v>115</v>
      </c>
      <c r="C82" s="290"/>
      <c r="D82" s="290"/>
      <c r="E82" s="290"/>
    </row>
    <row r="83" spans="2:74">
      <c r="B83" s="291" t="s">
        <v>116</v>
      </c>
      <c r="C83" s="291"/>
      <c r="D83" s="291"/>
      <c r="E83" s="291"/>
    </row>
    <row r="85" spans="2:74" ht="16">
      <c r="B85" s="79"/>
      <c r="C85" s="289">
        <v>2022</v>
      </c>
      <c r="D85" s="289"/>
      <c r="E85" s="289" t="s">
        <v>117</v>
      </c>
      <c r="F85" s="289"/>
    </row>
    <row r="86" spans="2:74" ht="16">
      <c r="B86" s="80" t="s">
        <v>118</v>
      </c>
      <c r="C86" s="81">
        <v>505619.19761461229</v>
      </c>
      <c r="D86" s="82">
        <v>1</v>
      </c>
      <c r="E86" s="81">
        <v>402550.34730210376</v>
      </c>
      <c r="F86" s="82">
        <v>1</v>
      </c>
    </row>
    <row r="87" spans="2:74" ht="16">
      <c r="B87" s="80"/>
      <c r="C87" s="83"/>
      <c r="D87" s="84"/>
      <c r="E87" s="85"/>
      <c r="F87" s="79"/>
    </row>
    <row r="88" spans="2:74" ht="16">
      <c r="B88" s="80" t="s">
        <v>119</v>
      </c>
      <c r="C88" s="86">
        <v>110542.25714971946</v>
      </c>
      <c r="D88" s="87">
        <v>0.21862749213485325</v>
      </c>
      <c r="E88" s="81">
        <v>94349.509400818468</v>
      </c>
      <c r="F88" s="82">
        <v>0.23437940131749924</v>
      </c>
    </row>
    <row r="89" spans="2:74" ht="16">
      <c r="B89" s="80" t="s">
        <v>120</v>
      </c>
      <c r="C89" s="81">
        <v>54749.999999649997</v>
      </c>
      <c r="D89" s="82">
        <v>0.1082830720390901</v>
      </c>
      <c r="E89" s="81">
        <v>30515.442425558238</v>
      </c>
      <c r="F89" s="82">
        <v>7.5805281575517261E-2</v>
      </c>
      <c r="H89">
        <f>C89/D89*9%</f>
        <v>45505.727785315103</v>
      </c>
      <c r="I89" s="96">
        <f>C89-H89</f>
        <v>9244.2722143348947</v>
      </c>
    </row>
    <row r="90" spans="2:74" ht="16">
      <c r="B90" s="80" t="s">
        <v>121</v>
      </c>
      <c r="C90" s="86">
        <v>116552.6925292142</v>
      </c>
      <c r="D90" s="87">
        <v>0.23051476897847489</v>
      </c>
      <c r="E90" s="81">
        <v>92130.44338686949</v>
      </c>
      <c r="F90" s="82">
        <v>0.22886688337080963</v>
      </c>
    </row>
    <row r="91" spans="2:74" ht="16">
      <c r="B91" s="80" t="s">
        <v>122</v>
      </c>
      <c r="C91" s="86">
        <v>1017526.5096904546</v>
      </c>
      <c r="D91" s="87">
        <v>2.0124364630356122</v>
      </c>
      <c r="E91" s="81">
        <v>796729.2880798165</v>
      </c>
      <c r="F91" s="82">
        <v>1.9792040757622089</v>
      </c>
    </row>
    <row r="92" spans="2:74" ht="16">
      <c r="B92" s="80" t="s">
        <v>123</v>
      </c>
      <c r="C92" s="86">
        <v>793752.26175442606</v>
      </c>
      <c r="D92" s="87">
        <v>1.5698617961880306</v>
      </c>
      <c r="E92" s="81">
        <v>611174.33599095885</v>
      </c>
      <c r="F92" s="82">
        <v>1.5182556420260347</v>
      </c>
    </row>
    <row r="94" spans="2:74">
      <c r="B94" s="88" t="s">
        <v>124</v>
      </c>
      <c r="C94" s="88"/>
      <c r="D94" s="88"/>
      <c r="E94" s="88"/>
      <c r="F94" s="88"/>
      <c r="G94" s="89"/>
      <c r="H94" s="89"/>
      <c r="I94" s="89"/>
    </row>
    <row r="95" spans="2:74">
      <c r="B95" s="88" t="s">
        <v>125</v>
      </c>
      <c r="C95" s="88"/>
      <c r="D95" s="88"/>
      <c r="E95" s="88"/>
      <c r="F95" s="88"/>
    </row>
  </sheetData>
  <mergeCells count="14">
    <mergeCell ref="BV2:BX2"/>
    <mergeCell ref="C85:D85"/>
    <mergeCell ref="E85:F85"/>
    <mergeCell ref="A37:A69"/>
    <mergeCell ref="A70:A71"/>
    <mergeCell ref="A72:A74"/>
    <mergeCell ref="A75:A77"/>
    <mergeCell ref="B82:E82"/>
    <mergeCell ref="B83:E83"/>
    <mergeCell ref="A4:A36"/>
    <mergeCell ref="C2:AI2"/>
    <mergeCell ref="AJ2:BP2"/>
    <mergeCell ref="BQ2:BR2"/>
    <mergeCell ref="BS2:BU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0FE2-A1A8-4172-A5C3-179F758EA3D6}">
  <dimension ref="A2:I22"/>
  <sheetViews>
    <sheetView workbookViewId="0">
      <selection activeCell="H13" sqref="H13"/>
    </sheetView>
  </sheetViews>
  <sheetFormatPr defaultColWidth="8.81640625" defaultRowHeight="14.5"/>
  <cols>
    <col min="5" max="9" width="12.6328125" bestFit="1" customWidth="1"/>
  </cols>
  <sheetData>
    <row r="2" spans="1:9" s="1" customFormat="1" ht="20" thickBot="1">
      <c r="A2"/>
      <c r="B2" s="1" t="s">
        <v>2</v>
      </c>
    </row>
    <row r="3" spans="1:9" ht="15" thickTop="1"/>
    <row r="4" spans="1:9">
      <c r="B4" t="s">
        <v>3</v>
      </c>
    </row>
    <row r="6" spans="1:9">
      <c r="B6" t="s">
        <v>0</v>
      </c>
    </row>
    <row r="7" spans="1:9">
      <c r="B7" t="s">
        <v>1</v>
      </c>
    </row>
    <row r="10" spans="1:9">
      <c r="E10">
        <v>2020</v>
      </c>
      <c r="F10">
        <v>2021</v>
      </c>
      <c r="G10">
        <v>2022</v>
      </c>
      <c r="H10">
        <v>2023</v>
      </c>
      <c r="I10">
        <v>2024</v>
      </c>
    </row>
    <row r="11" spans="1:9">
      <c r="B11" t="s">
        <v>4</v>
      </c>
    </row>
    <row r="12" spans="1:9">
      <c r="B12" t="s">
        <v>5</v>
      </c>
      <c r="E12" s="2">
        <v>598870</v>
      </c>
      <c r="F12" s="2">
        <v>624195</v>
      </c>
      <c r="G12" s="2">
        <v>669750</v>
      </c>
      <c r="H12" s="2">
        <v>711590</v>
      </c>
      <c r="I12" s="2">
        <v>771200</v>
      </c>
    </row>
    <row r="13" spans="1:9">
      <c r="B13" t="s">
        <v>6</v>
      </c>
      <c r="E13" s="2">
        <v>2595090</v>
      </c>
      <c r="F13" s="2">
        <v>2690971</v>
      </c>
      <c r="G13" s="2">
        <v>2755900</v>
      </c>
      <c r="H13" s="2">
        <v>2855000</v>
      </c>
      <c r="I13" s="2">
        <v>3022000</v>
      </c>
    </row>
    <row r="14" spans="1:9">
      <c r="B14" t="s">
        <v>7</v>
      </c>
      <c r="E14">
        <v>4.3</v>
      </c>
      <c r="F14">
        <v>4.3</v>
      </c>
      <c r="G14">
        <v>4.0999999999999996</v>
      </c>
      <c r="H14">
        <v>4</v>
      </c>
      <c r="I14">
        <v>3.9</v>
      </c>
    </row>
    <row r="15" spans="1:9">
      <c r="B15" t="s">
        <v>8</v>
      </c>
    </row>
    <row r="16" spans="1:9">
      <c r="B16" t="s">
        <v>9</v>
      </c>
      <c r="E16" s="2">
        <v>2346</v>
      </c>
      <c r="F16" s="2">
        <v>2247</v>
      </c>
      <c r="G16" s="2">
        <v>2249</v>
      </c>
      <c r="H16" s="2">
        <v>2253</v>
      </c>
      <c r="I16" s="2">
        <v>2260</v>
      </c>
    </row>
    <row r="17" spans="2:9">
      <c r="B17" t="s">
        <v>6</v>
      </c>
      <c r="E17" s="2">
        <v>816110</v>
      </c>
      <c r="F17" s="2">
        <v>787329</v>
      </c>
      <c r="G17" s="2">
        <v>794000</v>
      </c>
      <c r="H17" s="2">
        <v>800000</v>
      </c>
      <c r="I17" s="2">
        <v>841600</v>
      </c>
    </row>
    <row r="18" spans="2:9">
      <c r="B18" t="s">
        <v>7</v>
      </c>
      <c r="E18">
        <v>347.9</v>
      </c>
      <c r="F18">
        <v>350.4</v>
      </c>
      <c r="G18">
        <v>353</v>
      </c>
      <c r="H18" s="2">
        <v>355.1</v>
      </c>
      <c r="I18" s="2">
        <v>372.4</v>
      </c>
    </row>
    <row r="21" spans="2:9">
      <c r="B21" t="s">
        <v>10</v>
      </c>
      <c r="E21" s="3">
        <f>E13/E12</f>
        <v>4.3333110691802892</v>
      </c>
      <c r="F21" s="3">
        <f t="shared" ref="F21:I21" si="0">F13/F12</f>
        <v>4.3111063049207381</v>
      </c>
      <c r="G21" s="3">
        <f t="shared" si="0"/>
        <v>4.1148189622993652</v>
      </c>
      <c r="H21" s="3">
        <f t="shared" si="0"/>
        <v>4.0121418232409116</v>
      </c>
      <c r="I21" s="3">
        <f t="shared" si="0"/>
        <v>3.9185684647302903</v>
      </c>
    </row>
    <row r="22" spans="2:9">
      <c r="B22" t="s">
        <v>11</v>
      </c>
      <c r="E22" s="3">
        <f>E17/E16</f>
        <v>347.87297527706733</v>
      </c>
      <c r="F22" s="3">
        <f t="shared" ref="F22:I22" si="1">F17/F16</f>
        <v>350.39118825100132</v>
      </c>
      <c r="G22" s="3">
        <f t="shared" si="1"/>
        <v>353.04579813250331</v>
      </c>
      <c r="H22" s="3">
        <f t="shared" si="1"/>
        <v>355.0821127385708</v>
      </c>
      <c r="I22" s="3">
        <f t="shared" si="1"/>
        <v>372.38938053097343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922D-C53C-416C-B2E8-309B3E5A1372}">
  <dimension ref="B1:M27"/>
  <sheetViews>
    <sheetView workbookViewId="0">
      <selection activeCell="L32" sqref="L32"/>
    </sheetView>
  </sheetViews>
  <sheetFormatPr defaultColWidth="10.81640625" defaultRowHeight="14.5"/>
  <cols>
    <col min="8" max="8" width="12.6328125" bestFit="1" customWidth="1"/>
  </cols>
  <sheetData>
    <row r="1" spans="2:11"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</row>
    <row r="2" spans="2:11">
      <c r="B2" t="s">
        <v>12</v>
      </c>
    </row>
    <row r="4" spans="2:11">
      <c r="C4" t="s">
        <v>13</v>
      </c>
      <c r="H4" s="2">
        <v>284650</v>
      </c>
    </row>
    <row r="5" spans="2:11">
      <c r="C5" t="s">
        <v>14</v>
      </c>
      <c r="H5" s="2">
        <v>3265250</v>
      </c>
    </row>
    <row r="7" spans="2:11">
      <c r="B7" t="s">
        <v>15</v>
      </c>
    </row>
    <row r="9" spans="2:11">
      <c r="C9" t="s">
        <v>16</v>
      </c>
      <c r="E9" s="217">
        <v>34.297959809884418</v>
      </c>
    </row>
    <row r="10" spans="2:11">
      <c r="C10" t="s">
        <v>17</v>
      </c>
      <c r="E10" s="217">
        <v>74.08298250037339</v>
      </c>
      <c r="F10" s="216"/>
    </row>
    <row r="12" spans="2:11">
      <c r="C12" t="s">
        <v>18</v>
      </c>
      <c r="E12">
        <v>95.8</v>
      </c>
    </row>
    <row r="13" spans="2:11">
      <c r="C13" t="s">
        <v>19</v>
      </c>
      <c r="E13">
        <v>99.7</v>
      </c>
    </row>
    <row r="15" spans="2:11">
      <c r="B15" t="s">
        <v>20</v>
      </c>
    </row>
    <row r="17" spans="2:13">
      <c r="C17" t="s">
        <v>13</v>
      </c>
      <c r="H17" s="2">
        <f>H4*E9%*E12%</f>
        <v>93528.718609684875</v>
      </c>
      <c r="M17" s="4">
        <f>H17/SUM($H$17:$H$18)</f>
        <v>3.7332844746985241E-2</v>
      </c>
    </row>
    <row r="18" spans="2:13">
      <c r="C18" t="s">
        <v>14</v>
      </c>
      <c r="H18" s="2">
        <f>H5*E10%*E13%</f>
        <v>2411737.602335162</v>
      </c>
      <c r="M18" s="4">
        <f>H18/SUM($H$17:$H$18)</f>
        <v>0.96266715525301472</v>
      </c>
    </row>
    <row r="21" spans="2:13">
      <c r="B21" t="s">
        <v>307</v>
      </c>
      <c r="H21" s="218">
        <f>H27-H17-H18</f>
        <v>1090205.6790551529</v>
      </c>
      <c r="J21" s="4">
        <f>H21/H27</f>
        <v>0.30321628955952179</v>
      </c>
    </row>
    <row r="23" spans="2:13">
      <c r="H23" s="101">
        <f>H21+H18</f>
        <v>3501943.2813903149</v>
      </c>
    </row>
    <row r="25" spans="2:13">
      <c r="H25" s="162">
        <f>H23+H4</f>
        <v>3786593.2813903149</v>
      </c>
    </row>
    <row r="27" spans="2:13">
      <c r="B27" t="s">
        <v>447</v>
      </c>
      <c r="H27" s="214">
        <v>3595472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105-8AA0-4E87-BD92-2BB44EAC5695}">
  <dimension ref="A2:H116"/>
  <sheetViews>
    <sheetView topLeftCell="A67" workbookViewId="0">
      <selection activeCell="F104" sqref="F104"/>
    </sheetView>
  </sheetViews>
  <sheetFormatPr defaultColWidth="8.81640625" defaultRowHeight="14.5"/>
  <cols>
    <col min="2" max="8" width="34.81640625" customWidth="1"/>
  </cols>
  <sheetData>
    <row r="2" spans="1:5" s="1" customFormat="1" ht="20" thickBot="1">
      <c r="A2"/>
      <c r="B2" s="1" t="s">
        <v>21</v>
      </c>
    </row>
    <row r="3" spans="1:5" ht="15" thickTop="1"/>
    <row r="5" spans="1:5">
      <c r="B5" s="5">
        <v>2023</v>
      </c>
      <c r="C5" s="5">
        <v>2024</v>
      </c>
      <c r="D5" s="6" t="s">
        <v>22</v>
      </c>
    </row>
    <row r="6" spans="1:5" ht="15.5">
      <c r="B6" s="7">
        <v>0.17354777548952308</v>
      </c>
      <c r="C6" s="7">
        <v>0.17312314703183881</v>
      </c>
      <c r="D6" s="8" t="s">
        <v>23</v>
      </c>
      <c r="E6" t="str">
        <f>LEFT(D6,1)</f>
        <v>N</v>
      </c>
    </row>
    <row r="7" spans="1:5" ht="15.5">
      <c r="B7" s="7">
        <v>0.13465834177808289</v>
      </c>
      <c r="C7" s="7">
        <v>0.15341628564712662</v>
      </c>
      <c r="D7" s="8" t="s">
        <v>24</v>
      </c>
      <c r="E7" t="str">
        <f t="shared" ref="E7:E25" si="0">LEFT(D7,1)</f>
        <v>F</v>
      </c>
    </row>
    <row r="8" spans="1:5" ht="15.5">
      <c r="B8" s="7">
        <v>0.17987861353557147</v>
      </c>
      <c r="C8" s="7">
        <v>0.14664513242798541</v>
      </c>
      <c r="D8" s="8" t="s">
        <v>25</v>
      </c>
      <c r="E8" t="str">
        <f t="shared" si="0"/>
        <v>K</v>
      </c>
    </row>
    <row r="9" spans="1:5" ht="15.5">
      <c r="B9" s="7">
        <v>0.13340524991010427</v>
      </c>
      <c r="C9" s="7">
        <v>0.14121607788721821</v>
      </c>
      <c r="D9" s="8" t="s">
        <v>26</v>
      </c>
      <c r="E9" t="str">
        <f t="shared" si="0"/>
        <v>G</v>
      </c>
    </row>
    <row r="10" spans="1:5" ht="15.5">
      <c r="B10" s="7">
        <v>6.0943850587863529E-2</v>
      </c>
      <c r="C10" s="7">
        <v>7.1874312837894194E-2</v>
      </c>
      <c r="D10" s="8" t="s">
        <v>27</v>
      </c>
      <c r="E10" t="str">
        <f t="shared" si="0"/>
        <v>C</v>
      </c>
    </row>
    <row r="11" spans="1:5" ht="15.5">
      <c r="B11" s="7">
        <v>6.8200886971113511E-2</v>
      </c>
      <c r="C11" s="7">
        <v>7.1692333356080773E-2</v>
      </c>
      <c r="D11" s="8" t="s">
        <v>28</v>
      </c>
      <c r="E11" t="str">
        <f t="shared" si="0"/>
        <v>M</v>
      </c>
    </row>
    <row r="12" spans="1:5" ht="15.5">
      <c r="B12" s="7">
        <v>5.3752192910768964E-2</v>
      </c>
      <c r="C12" s="7">
        <v>5.7406944033726863E-2</v>
      </c>
      <c r="D12" s="8" t="s">
        <v>29</v>
      </c>
      <c r="E12" t="str">
        <f t="shared" si="0"/>
        <v>P</v>
      </c>
    </row>
    <row r="13" spans="1:5" ht="15.5">
      <c r="B13" s="7">
        <v>5.0951804997112438E-2</v>
      </c>
      <c r="C13" s="7">
        <v>5.5731216305361569E-2</v>
      </c>
      <c r="D13" s="8" t="s">
        <v>30</v>
      </c>
      <c r="E13" t="str">
        <f t="shared" si="0"/>
        <v>Q</v>
      </c>
    </row>
    <row r="14" spans="1:5" ht="15.5">
      <c r="B14" s="7">
        <v>5.6617959530580887E-2</v>
      </c>
      <c r="C14" s="7">
        <v>5.4085818490631848E-2</v>
      </c>
      <c r="D14" s="8" t="s">
        <v>31</v>
      </c>
      <c r="E14" t="str">
        <f t="shared" si="0"/>
        <v>H</v>
      </c>
    </row>
    <row r="15" spans="1:5" ht="15.5">
      <c r="B15" s="7">
        <v>7.2385124165059433E-2</v>
      </c>
      <c r="C15" s="7">
        <v>5.0059522455509806E-2</v>
      </c>
      <c r="D15" s="8" t="s">
        <v>32</v>
      </c>
      <c r="E15" t="s">
        <v>45</v>
      </c>
    </row>
    <row r="16" spans="1:5" ht="15.5">
      <c r="B16" s="7">
        <v>2.4408050298017934E-2</v>
      </c>
      <c r="C16" s="7">
        <v>2.4900859094803728E-2</v>
      </c>
      <c r="D16" s="8" t="s">
        <v>33</v>
      </c>
      <c r="E16" t="str">
        <f t="shared" si="0"/>
        <v>J</v>
      </c>
    </row>
    <row r="17" spans="1:5" ht="15.5">
      <c r="B17" s="7">
        <v>2.0746842753315245E-2</v>
      </c>
      <c r="C17" s="7">
        <v>2.3649750157336426E-2</v>
      </c>
      <c r="D17" s="8" t="s">
        <v>34</v>
      </c>
      <c r="E17" t="str">
        <f t="shared" si="0"/>
        <v>I</v>
      </c>
    </row>
    <row r="18" spans="1:5" ht="15.5">
      <c r="B18" s="7">
        <v>2.8210911706057336E-2</v>
      </c>
      <c r="C18" s="7">
        <v>2.1640393378979852E-2</v>
      </c>
      <c r="D18" s="8" t="s">
        <v>35</v>
      </c>
      <c r="E18" t="str">
        <f t="shared" si="0"/>
        <v>S</v>
      </c>
    </row>
    <row r="19" spans="1:5" ht="15.5">
      <c r="B19" s="7">
        <v>1.8818170921730791E-2</v>
      </c>
      <c r="C19" s="7">
        <v>1.9016855849502967E-2</v>
      </c>
      <c r="D19" s="8" t="s">
        <v>36</v>
      </c>
      <c r="E19" t="str">
        <f t="shared" si="0"/>
        <v>L</v>
      </c>
    </row>
    <row r="20" spans="1:5" ht="15.5">
      <c r="B20" s="7">
        <v>2.2991511664650823E-2</v>
      </c>
      <c r="C20" s="7">
        <v>1.3231424823517815E-2</v>
      </c>
      <c r="D20" s="8" t="s">
        <v>37</v>
      </c>
      <c r="E20" t="str">
        <f t="shared" si="0"/>
        <v>B</v>
      </c>
    </row>
    <row r="21" spans="1:5" ht="15.5">
      <c r="B21" s="7">
        <v>9.6106698048445613E-3</v>
      </c>
      <c r="C21" s="7">
        <v>9.7813971474716224E-3</v>
      </c>
      <c r="D21" s="8" t="s">
        <v>38</v>
      </c>
      <c r="E21" t="str">
        <f t="shared" si="0"/>
        <v>R</v>
      </c>
    </row>
    <row r="22" spans="1:5" ht="15.5">
      <c r="B22" s="7">
        <v>6.2109770847634926E-3</v>
      </c>
      <c r="C22" s="7">
        <v>5.7323536771229045E-3</v>
      </c>
      <c r="D22" s="8" t="s">
        <v>39</v>
      </c>
      <c r="E22" t="str">
        <f t="shared" si="0"/>
        <v>O</v>
      </c>
    </row>
    <row r="23" spans="1:5" ht="15.5">
      <c r="B23" s="7">
        <v>4.7508526472927765E-3</v>
      </c>
      <c r="C23" s="7">
        <v>3.7533268124019018E-3</v>
      </c>
      <c r="D23" s="8" t="s">
        <v>40</v>
      </c>
      <c r="E23" t="str">
        <f t="shared" si="0"/>
        <v>D</v>
      </c>
    </row>
    <row r="24" spans="1:5" ht="15.5">
      <c r="B24" s="7">
        <v>3.7810685059875998E-3</v>
      </c>
      <c r="C24" s="7">
        <v>3.2907956294594451E-3</v>
      </c>
      <c r="D24" s="8" t="s">
        <v>41</v>
      </c>
      <c r="E24" t="str">
        <f t="shared" si="0"/>
        <v>E</v>
      </c>
    </row>
    <row r="25" spans="1:5" ht="15.5">
      <c r="B25" s="7">
        <v>3.4541749752105737E-3</v>
      </c>
      <c r="C25" s="7">
        <v>2.085181562445501E-3</v>
      </c>
      <c r="D25" s="8" t="s">
        <v>42</v>
      </c>
      <c r="E25" t="str">
        <f t="shared" si="0"/>
        <v>A</v>
      </c>
    </row>
    <row r="26" spans="1:5" ht="15.5">
      <c r="B26" s="9">
        <v>1</v>
      </c>
      <c r="C26" s="9">
        <v>1</v>
      </c>
      <c r="D26" s="10" t="s">
        <v>43</v>
      </c>
    </row>
    <row r="29" spans="1:5" s="1" customFormat="1" ht="20" thickBot="1">
      <c r="A29"/>
      <c r="B29" s="1" t="s">
        <v>44</v>
      </c>
    </row>
    <row r="30" spans="1:5" ht="15" thickTop="1"/>
    <row r="31" spans="1:5">
      <c r="B31">
        <v>2023</v>
      </c>
      <c r="C31">
        <v>2024</v>
      </c>
      <c r="D31" t="s">
        <v>22</v>
      </c>
    </row>
    <row r="32" spans="1:5">
      <c r="A32" t="s">
        <v>46</v>
      </c>
      <c r="B32">
        <f ca="1">OFFSET(B$5,MATCH($A32,$E$6:$E$25,0),0)</f>
        <v>3.4541749752105737E-3</v>
      </c>
      <c r="C32">
        <f t="shared" ref="C32:D32" ca="1" si="1">OFFSET(C$5,MATCH($A32,$E$6:$E$25,0),0)</f>
        <v>2.085181562445501E-3</v>
      </c>
      <c r="D32" t="str">
        <f t="shared" ca="1" si="1"/>
        <v>A-Agriculture, forestry and fishing</v>
      </c>
    </row>
    <row r="33" spans="1:4">
      <c r="A33" t="s">
        <v>47</v>
      </c>
      <c r="B33">
        <f t="shared" ref="B33:D50" ca="1" si="2">OFFSET(B$5,MATCH($A33,$E$6:$E$25,0),0)</f>
        <v>2.2991511664650823E-2</v>
      </c>
      <c r="C33">
        <f t="shared" ca="1" si="2"/>
        <v>1.3231424823517815E-2</v>
      </c>
      <c r="D33" t="str">
        <f t="shared" ca="1" si="2"/>
        <v>B-Mining and quarrying</v>
      </c>
    </row>
    <row r="34" spans="1:4">
      <c r="A34" t="s">
        <v>48</v>
      </c>
      <c r="B34">
        <f t="shared" ca="1" si="2"/>
        <v>6.0943850587863529E-2</v>
      </c>
      <c r="C34">
        <f t="shared" ca="1" si="2"/>
        <v>7.1874312837894194E-2</v>
      </c>
      <c r="D34" t="str">
        <f t="shared" ca="1" si="2"/>
        <v>C-Manufacturing</v>
      </c>
    </row>
    <row r="35" spans="1:4">
      <c r="A35" t="s">
        <v>49</v>
      </c>
      <c r="B35">
        <f t="shared" ca="1" si="2"/>
        <v>4.7508526472927765E-3</v>
      </c>
      <c r="C35">
        <f t="shared" ca="1" si="2"/>
        <v>3.7533268124019018E-3</v>
      </c>
      <c r="D35" t="str">
        <f t="shared" ca="1" si="2"/>
        <v>D-Electricity, gas, steam and air conditioning supply</v>
      </c>
    </row>
    <row r="36" spans="1:4">
      <c r="A36" t="s">
        <v>50</v>
      </c>
      <c r="B36">
        <f t="shared" ca="1" si="2"/>
        <v>3.7810685059875998E-3</v>
      </c>
      <c r="C36">
        <f t="shared" ca="1" si="2"/>
        <v>3.2907956294594451E-3</v>
      </c>
      <c r="D36" t="str">
        <f t="shared" ca="1" si="2"/>
        <v>E-Water supply; sewerage, waste management and remediation activities</v>
      </c>
    </row>
    <row r="37" spans="1:4">
      <c r="A37" t="s">
        <v>51</v>
      </c>
      <c r="B37">
        <f t="shared" ca="1" si="2"/>
        <v>0.13465834177808289</v>
      </c>
      <c r="C37">
        <f t="shared" ca="1" si="2"/>
        <v>0.15341628564712662</v>
      </c>
      <c r="D37" t="str">
        <f t="shared" ca="1" si="2"/>
        <v>F-Construction</v>
      </c>
    </row>
    <row r="38" spans="1:4">
      <c r="A38" t="s">
        <v>52</v>
      </c>
      <c r="B38">
        <f t="shared" ca="1" si="2"/>
        <v>0.13340524991010427</v>
      </c>
      <c r="C38">
        <f t="shared" ca="1" si="2"/>
        <v>0.14121607788721821</v>
      </c>
      <c r="D38" t="str">
        <f t="shared" ca="1" si="2"/>
        <v>G-Wholesale and retail trade; repair of motor vehicles and motorcycles</v>
      </c>
    </row>
    <row r="39" spans="1:4">
      <c r="A39" t="s">
        <v>53</v>
      </c>
      <c r="B39">
        <f t="shared" ca="1" si="2"/>
        <v>5.6617959530580887E-2</v>
      </c>
      <c r="C39">
        <f t="shared" ca="1" si="2"/>
        <v>5.4085818490631848E-2</v>
      </c>
      <c r="D39" t="str">
        <f t="shared" ca="1" si="2"/>
        <v>H-Transportation and storage</v>
      </c>
    </row>
    <row r="40" spans="1:4">
      <c r="A40" t="s">
        <v>54</v>
      </c>
      <c r="B40">
        <f t="shared" ca="1" si="2"/>
        <v>2.0746842753315245E-2</v>
      </c>
      <c r="C40">
        <f t="shared" ca="1" si="2"/>
        <v>2.3649750157336426E-2</v>
      </c>
      <c r="D40" t="str">
        <f t="shared" ca="1" si="2"/>
        <v>I-Accommodation and food service activities</v>
      </c>
    </row>
    <row r="41" spans="1:4">
      <c r="A41" t="s">
        <v>55</v>
      </c>
      <c r="B41">
        <f t="shared" ca="1" si="2"/>
        <v>2.4408050298017934E-2</v>
      </c>
      <c r="C41">
        <f t="shared" ca="1" si="2"/>
        <v>2.4900859094803728E-2</v>
      </c>
      <c r="D41" t="str">
        <f t="shared" ca="1" si="2"/>
        <v>J-Information and communication</v>
      </c>
    </row>
    <row r="42" spans="1:4">
      <c r="A42" t="s">
        <v>56</v>
      </c>
      <c r="B42">
        <f t="shared" ca="1" si="2"/>
        <v>0.17987861353557147</v>
      </c>
      <c r="C42">
        <f t="shared" ca="1" si="2"/>
        <v>0.14664513242798541</v>
      </c>
      <c r="D42" t="str">
        <f t="shared" ca="1" si="2"/>
        <v>K-Financial and insurance activities</v>
      </c>
    </row>
    <row r="43" spans="1:4">
      <c r="A43" t="s">
        <v>57</v>
      </c>
      <c r="B43">
        <f t="shared" ca="1" si="2"/>
        <v>1.8818170921730791E-2</v>
      </c>
      <c r="C43">
        <f t="shared" ca="1" si="2"/>
        <v>1.9016855849502967E-2</v>
      </c>
      <c r="D43" t="str">
        <f t="shared" ca="1" si="2"/>
        <v>L-Real estate activities</v>
      </c>
    </row>
    <row r="44" spans="1:4">
      <c r="A44" t="s">
        <v>58</v>
      </c>
      <c r="B44">
        <f t="shared" ca="1" si="2"/>
        <v>6.8200886971113511E-2</v>
      </c>
      <c r="C44">
        <f t="shared" ca="1" si="2"/>
        <v>7.1692333356080773E-2</v>
      </c>
      <c r="D44" t="str">
        <f t="shared" ca="1" si="2"/>
        <v>M-Professional, scientific and technical activities</v>
      </c>
    </row>
    <row r="45" spans="1:4">
      <c r="A45" t="s">
        <v>59</v>
      </c>
      <c r="B45">
        <f t="shared" ca="1" si="2"/>
        <v>0.17354777548952308</v>
      </c>
      <c r="C45">
        <f t="shared" ca="1" si="2"/>
        <v>0.17312314703183881</v>
      </c>
      <c r="D45" t="str">
        <f t="shared" ca="1" si="2"/>
        <v>N-Administrative and support service activities</v>
      </c>
    </row>
    <row r="46" spans="1:4">
      <c r="A46" t="s">
        <v>60</v>
      </c>
      <c r="B46">
        <f t="shared" ca="1" si="2"/>
        <v>6.2109770847634926E-3</v>
      </c>
      <c r="C46">
        <f t="shared" ca="1" si="2"/>
        <v>5.7323536771229045E-3</v>
      </c>
      <c r="D46" t="str">
        <f t="shared" ca="1" si="2"/>
        <v>O-Public administration and defence; compulsory social security</v>
      </c>
    </row>
    <row r="47" spans="1:4">
      <c r="A47" t="s">
        <v>61</v>
      </c>
      <c r="B47">
        <f t="shared" ca="1" si="2"/>
        <v>5.3752192910768964E-2</v>
      </c>
      <c r="C47">
        <f t="shared" ca="1" si="2"/>
        <v>5.7406944033726863E-2</v>
      </c>
      <c r="D47" t="str">
        <f t="shared" ca="1" si="2"/>
        <v>P-Education</v>
      </c>
    </row>
    <row r="48" spans="1:4">
      <c r="A48" t="s">
        <v>62</v>
      </c>
      <c r="B48">
        <f t="shared" ca="1" si="2"/>
        <v>5.0951804997112438E-2</v>
      </c>
      <c r="C48">
        <f t="shared" ca="1" si="2"/>
        <v>5.5731216305361569E-2</v>
      </c>
      <c r="D48" t="str">
        <f t="shared" ca="1" si="2"/>
        <v>Q-Human health and social work activities</v>
      </c>
    </row>
    <row r="49" spans="1:4">
      <c r="A49" t="s">
        <v>63</v>
      </c>
      <c r="B49">
        <f t="shared" ca="1" si="2"/>
        <v>9.6106698048445613E-3</v>
      </c>
      <c r="C49">
        <f t="shared" ca="1" si="2"/>
        <v>9.7813971474716224E-3</v>
      </c>
      <c r="D49" t="str">
        <f t="shared" ca="1" si="2"/>
        <v>R-Arts, entertainment and recreation</v>
      </c>
    </row>
    <row r="50" spans="1:4">
      <c r="A50" t="s">
        <v>64</v>
      </c>
      <c r="B50">
        <f t="shared" ca="1" si="2"/>
        <v>2.8210911706057336E-2</v>
      </c>
      <c r="C50">
        <f t="shared" ca="1" si="2"/>
        <v>2.1640393378979852E-2</v>
      </c>
      <c r="D50" t="str">
        <f t="shared" ca="1" si="2"/>
        <v>S-Other service activities</v>
      </c>
    </row>
    <row r="52" spans="1:4" s="1" customFormat="1" ht="20" thickBot="1">
      <c r="A52"/>
      <c r="B52" s="1" t="s">
        <v>65</v>
      </c>
    </row>
    <row r="53" spans="1:4" ht="15" thickTop="1"/>
    <row r="54" spans="1:4">
      <c r="B54">
        <v>2023</v>
      </c>
      <c r="C54">
        <v>2024</v>
      </c>
      <c r="D54" t="s">
        <v>22</v>
      </c>
    </row>
    <row r="55" spans="1:4">
      <c r="A55" t="s">
        <v>46</v>
      </c>
      <c r="B55" s="11">
        <f ca="1">B32/SUM(B$32:B$50)</f>
        <v>3.2742860093993697E-3</v>
      </c>
      <c r="C55" s="11">
        <f ca="1">C32/SUM(C$32:C$50)</f>
        <v>1.9815963740389261E-3</v>
      </c>
      <c r="D55" t="str">
        <f ca="1">D32</f>
        <v>A-Agriculture, forestry and fishing</v>
      </c>
    </row>
    <row r="56" spans="1:4">
      <c r="A56" t="s">
        <v>47</v>
      </c>
      <c r="B56" s="11">
        <f t="shared" ref="B56:C56" ca="1" si="3">B33/SUM(B$32:B$50)</f>
        <v>2.1794143469503691E-2</v>
      </c>
      <c r="C56" s="11">
        <f t="shared" ca="1" si="3"/>
        <v>1.2574129718901549E-2</v>
      </c>
      <c r="D56" t="str">
        <f t="shared" ref="D56:D73" ca="1" si="4">D33</f>
        <v>B-Mining and quarrying</v>
      </c>
    </row>
    <row r="57" spans="1:4">
      <c r="A57" t="s">
        <v>48</v>
      </c>
      <c r="B57" s="11">
        <f t="shared" ref="B57:C57" ca="1" si="5">B34/SUM(B$32:B$50)</f>
        <v>5.7769973661106234E-2</v>
      </c>
      <c r="C57" s="11">
        <f t="shared" ca="1" si="5"/>
        <v>6.8303825561872658E-2</v>
      </c>
      <c r="D57" t="str">
        <f t="shared" ca="1" si="4"/>
        <v>C-Manufacturing</v>
      </c>
    </row>
    <row r="58" spans="1:4">
      <c r="A58" t="s">
        <v>49</v>
      </c>
      <c r="B58" s="11">
        <f t="shared" ref="B58:C58" ca="1" si="6">B35/SUM(B$32:B$50)</f>
        <v>4.5034343851675877E-3</v>
      </c>
      <c r="C58" s="11">
        <f t="shared" ca="1" si="6"/>
        <v>3.5668734732700667E-3</v>
      </c>
      <c r="D58" t="str">
        <f t="shared" ca="1" si="4"/>
        <v>D-Electricity, gas, steam and air conditioning supply</v>
      </c>
    </row>
    <row r="59" spans="1:4">
      <c r="A59" t="s">
        <v>50</v>
      </c>
      <c r="B59" s="11">
        <f t="shared" ref="B59:C59" ca="1" si="7">B36/SUM(B$32:B$50)</f>
        <v>3.5841553478283324E-3</v>
      </c>
      <c r="C59" s="11">
        <f t="shared" ca="1" si="7"/>
        <v>3.1273193684832504E-3</v>
      </c>
      <c r="D59" t="str">
        <f t="shared" ca="1" si="4"/>
        <v>E-Water supply; sewerage, waste management and remediation activities</v>
      </c>
    </row>
    <row r="60" spans="1:4">
      <c r="A60" t="s">
        <v>51</v>
      </c>
      <c r="B60" s="11">
        <f t="shared" ref="B60:C60" ca="1" si="8">B37/SUM(B$32:B$50)</f>
        <v>0.12764550947683728</v>
      </c>
      <c r="C60" s="11">
        <f t="shared" ca="1" si="8"/>
        <v>0.14579505249428942</v>
      </c>
      <c r="D60" t="str">
        <f t="shared" ca="1" si="4"/>
        <v>F-Construction</v>
      </c>
    </row>
    <row r="61" spans="1:4">
      <c r="A61" t="s">
        <v>52</v>
      </c>
      <c r="B61" s="11">
        <f t="shared" ref="B61:C61" ca="1" si="9">B38/SUM(B$32:B$50)</f>
        <v>0.12645767701285957</v>
      </c>
      <c r="C61" s="11">
        <f t="shared" ca="1" si="9"/>
        <v>0.13420091225491257</v>
      </c>
      <c r="D61" t="str">
        <f t="shared" ca="1" si="4"/>
        <v>G-Wholesale and retail trade; repair of motor vehicles and motorcycles</v>
      </c>
    </row>
    <row r="62" spans="1:4">
      <c r="A62" t="s">
        <v>53</v>
      </c>
      <c r="B62" s="11">
        <f t="shared" ref="B62:C62" ca="1" si="10">B39/SUM(B$32:B$50)</f>
        <v>5.3669369415896298E-2</v>
      </c>
      <c r="C62" s="11">
        <f t="shared" ca="1" si="10"/>
        <v>5.1399007040071484E-2</v>
      </c>
      <c r="D62" t="str">
        <f t="shared" ca="1" si="4"/>
        <v>H-Transportation and storage</v>
      </c>
    </row>
    <row r="63" spans="1:4">
      <c r="A63" t="s">
        <v>54</v>
      </c>
      <c r="B63" s="11">
        <f t="shared" ref="B63:C63" ca="1" si="11">B40/SUM(B$32:B$50)</f>
        <v>1.9666374012291484E-2</v>
      </c>
      <c r="C63" s="11">
        <f t="shared" ca="1" si="11"/>
        <v>2.247490578409967E-2</v>
      </c>
      <c r="D63" t="str">
        <f t="shared" ca="1" si="4"/>
        <v>I-Accommodation and food service activities</v>
      </c>
    </row>
    <row r="64" spans="1:4">
      <c r="A64" t="s">
        <v>55</v>
      </c>
      <c r="B64" s="11">
        <f t="shared" ref="B64:C64" ca="1" si="12">B41/SUM(B$32:B$50)</f>
        <v>2.3136910602695862E-2</v>
      </c>
      <c r="C64" s="11">
        <f t="shared" ca="1" si="12"/>
        <v>2.3663863608523031E-2</v>
      </c>
      <c r="D64" t="str">
        <f t="shared" ca="1" si="4"/>
        <v>J-Information and communication</v>
      </c>
    </row>
    <row r="65" spans="1:4">
      <c r="A65" t="s">
        <v>56</v>
      </c>
      <c r="B65" s="11">
        <f t="shared" ref="B65:C65" ca="1" si="13">B42/SUM(B$32:B$50)</f>
        <v>0.17051076795951042</v>
      </c>
      <c r="C65" s="11">
        <f t="shared" ca="1" si="13"/>
        <v>0.13936026863241027</v>
      </c>
      <c r="D65" t="str">
        <f t="shared" ca="1" si="4"/>
        <v>K-Financial and insurance activities</v>
      </c>
    </row>
    <row r="66" spans="1:4">
      <c r="A66" t="s">
        <v>57</v>
      </c>
      <c r="B66" s="11">
        <f t="shared" ref="B66:C66" ca="1" si="14">B43/SUM(B$32:B$50)</f>
        <v>1.7838144915560603E-2</v>
      </c>
      <c r="C66" s="11">
        <f t="shared" ca="1" si="14"/>
        <v>1.8072158931235004E-2</v>
      </c>
      <c r="D66" t="str">
        <f t="shared" ca="1" si="4"/>
        <v>L-Real estate activities</v>
      </c>
    </row>
    <row r="67" spans="1:4">
      <c r="A67" t="s">
        <v>58</v>
      </c>
      <c r="B67" s="11">
        <f t="shared" ref="B67:C67" ca="1" si="15">B44/SUM(B$32:B$50)</f>
        <v>6.4649072974229199E-2</v>
      </c>
      <c r="C67" s="11">
        <f t="shared" ca="1" si="15"/>
        <v>6.8130886241956526E-2</v>
      </c>
      <c r="D67" t="str">
        <f t="shared" ca="1" si="4"/>
        <v>M-Professional, scientific and technical activities</v>
      </c>
    </row>
    <row r="68" spans="1:4">
      <c r="A68" t="s">
        <v>59</v>
      </c>
      <c r="B68" s="11">
        <f t="shared" ref="B68:C68" ca="1" si="16">B45/SUM(B$32:B$50)</f>
        <v>0.16450963177193617</v>
      </c>
      <c r="C68" s="11">
        <f t="shared" ca="1" si="16"/>
        <v>0.16452293968020637</v>
      </c>
      <c r="D68" t="str">
        <f t="shared" ca="1" si="4"/>
        <v>N-Administrative and support service activities</v>
      </c>
    </row>
    <row r="69" spans="1:4">
      <c r="A69" t="s">
        <v>60</v>
      </c>
      <c r="B69" s="11">
        <f t="shared" ref="B69:C69" ca="1" si="17">B46/SUM(B$32:B$50)</f>
        <v>5.887517430150287E-3</v>
      </c>
      <c r="C69" s="11">
        <f t="shared" ca="1" si="17"/>
        <v>5.4475885773579199E-3</v>
      </c>
      <c r="D69" t="str">
        <f t="shared" ca="1" si="4"/>
        <v>O-Public administration and defence; compulsory social security</v>
      </c>
    </row>
    <row r="70" spans="1:4">
      <c r="A70" t="s">
        <v>61</v>
      </c>
      <c r="B70" s="11">
        <f t="shared" ref="B70:C70" ca="1" si="18">B47/SUM(B$32:B$50)</f>
        <v>5.0952848215669061E-2</v>
      </c>
      <c r="C70" s="11">
        <f t="shared" ca="1" si="18"/>
        <v>5.4555149628540758E-2</v>
      </c>
      <c r="D70" t="str">
        <f t="shared" ca="1" si="4"/>
        <v>P-Education</v>
      </c>
    </row>
    <row r="71" spans="1:4">
      <c r="A71" t="s">
        <v>62</v>
      </c>
      <c r="B71" s="11">
        <f t="shared" ref="B71:C71" ca="1" si="19">B48/SUM(B$32:B$50)</f>
        <v>4.8298300883127615E-2</v>
      </c>
      <c r="C71" s="11">
        <f t="shared" ca="1" si="19"/>
        <v>5.2962666724313108E-2</v>
      </c>
      <c r="D71" t="str">
        <f t="shared" ca="1" si="4"/>
        <v>Q-Human health and social work activities</v>
      </c>
    </row>
    <row r="72" spans="1:4">
      <c r="A72" t="s">
        <v>63</v>
      </c>
      <c r="B72" s="11">
        <f t="shared" ref="B72:C72" ca="1" si="20">B49/SUM(B$32:B$50)</f>
        <v>9.1101585498114951E-3</v>
      </c>
      <c r="C72" s="11">
        <f t="shared" ca="1" si="20"/>
        <v>9.2954884454916897E-3</v>
      </c>
      <c r="D72" t="str">
        <f t="shared" ca="1" si="4"/>
        <v>R-Arts, entertainment and recreation</v>
      </c>
    </row>
    <row r="73" spans="1:4">
      <c r="A73" t="s">
        <v>64</v>
      </c>
      <c r="B73" s="11">
        <f t="shared" ref="B73:C73" ca="1" si="21">B50/SUM(B$32:B$50)</f>
        <v>2.6741723906419459E-2</v>
      </c>
      <c r="C73" s="11">
        <f t="shared" ca="1" si="21"/>
        <v>2.0565367460025796E-2</v>
      </c>
      <c r="D73" t="str">
        <f t="shared" ca="1" si="4"/>
        <v>S-Other service activities</v>
      </c>
    </row>
    <row r="74" spans="1:4">
      <c r="B74" s="11"/>
      <c r="C74" s="11"/>
    </row>
    <row r="75" spans="1:4">
      <c r="A75" t="s">
        <v>145</v>
      </c>
      <c r="B75" s="11">
        <f ca="1">1-SUM(B55:B73)</f>
        <v>0</v>
      </c>
      <c r="C75" s="11">
        <f ca="1">1-SUM(C55:C73)</f>
        <v>0</v>
      </c>
    </row>
    <row r="77" spans="1:4" s="1" customFormat="1" ht="20" thickBot="1">
      <c r="A77"/>
      <c r="B77" s="1" t="s">
        <v>140</v>
      </c>
    </row>
    <row r="78" spans="1:4" ht="15" thickTop="1"/>
    <row r="81" spans="2:8">
      <c r="D81" t="s">
        <v>141</v>
      </c>
      <c r="E81" t="s">
        <v>142</v>
      </c>
      <c r="F81" t="s">
        <v>143</v>
      </c>
      <c r="G81" t="s">
        <v>144</v>
      </c>
    </row>
    <row r="82" spans="2:8">
      <c r="B82" t="s">
        <v>74</v>
      </c>
      <c r="C82" t="s">
        <v>126</v>
      </c>
      <c r="D82" t="s">
        <v>46</v>
      </c>
      <c r="E82" cm="1">
        <f t="array" ref="E82:E114">TRANSPOSE('2022 SAM'!C70:AI70)</f>
        <v>233</v>
      </c>
      <c r="F82" s="11">
        <f>E82/SUMIFS($E$82:$E$114,$D$82:$D$114,D82)</f>
        <v>1</v>
      </c>
      <c r="G82" s="11">
        <f ca="1">VLOOKUP(D82,$A$55:$C$73,3,FALSE)*F82</f>
        <v>1.9815963740389261E-3</v>
      </c>
      <c r="H82" s="2"/>
    </row>
    <row r="83" spans="2:8">
      <c r="B83" t="s">
        <v>75</v>
      </c>
      <c r="C83" t="s">
        <v>75</v>
      </c>
      <c r="D83" t="s">
        <v>47</v>
      </c>
      <c r="E83">
        <v>1238</v>
      </c>
      <c r="F83" s="11">
        <f t="shared" ref="F83:F114" si="22">E83/SUMIFS($E$82:$E$114,$D$82:$D$114,D83)</f>
        <v>1</v>
      </c>
      <c r="G83" s="11">
        <f t="shared" ref="G83:G114" ca="1" si="23">VLOOKUP(D83,$A$55:$C$73,3,FALSE)*F83</f>
        <v>1.2574129718901549E-2</v>
      </c>
      <c r="H83" s="2"/>
    </row>
    <row r="84" spans="2:8">
      <c r="B84" t="s">
        <v>76</v>
      </c>
      <c r="C84" t="s">
        <v>127</v>
      </c>
      <c r="D84" t="s">
        <v>48</v>
      </c>
      <c r="E84">
        <v>2676.288</v>
      </c>
      <c r="F84" s="11">
        <f t="shared" si="22"/>
        <v>0.14093083647194551</v>
      </c>
      <c r="G84" s="11">
        <f t="shared" ca="1" si="23"/>
        <v>9.6261152706685667E-3</v>
      </c>
      <c r="H84" s="2"/>
    </row>
    <row r="85" spans="2:8">
      <c r="B85" t="s">
        <v>77</v>
      </c>
      <c r="C85" t="s">
        <v>127</v>
      </c>
      <c r="D85" t="s">
        <v>48</v>
      </c>
      <c r="E85">
        <v>837.92200000000003</v>
      </c>
      <c r="F85" s="11">
        <f t="shared" si="22"/>
        <v>4.4124193045832712E-2</v>
      </c>
      <c r="G85" s="11">
        <f t="shared" ca="1" si="23"/>
        <v>3.0138511848609522E-3</v>
      </c>
      <c r="H85" s="2"/>
    </row>
    <row r="86" spans="2:8">
      <c r="B86" t="s">
        <v>78</v>
      </c>
      <c r="C86" t="s">
        <v>127</v>
      </c>
      <c r="D86" t="s">
        <v>48</v>
      </c>
      <c r="E86">
        <v>7.4710000000000001</v>
      </c>
      <c r="F86" s="11">
        <f t="shared" si="22"/>
        <v>3.9341591012697627E-4</v>
      </c>
      <c r="G86" s="11">
        <f t="shared" ca="1" si="23"/>
        <v>2.6871811698578357E-5</v>
      </c>
      <c r="H86" s="2"/>
    </row>
    <row r="87" spans="2:8">
      <c r="B87" t="s">
        <v>79</v>
      </c>
      <c r="C87" t="s">
        <v>127</v>
      </c>
      <c r="D87" t="s">
        <v>48</v>
      </c>
      <c r="E87">
        <v>631.16899999999998</v>
      </c>
      <c r="F87" s="11">
        <f t="shared" si="22"/>
        <v>3.3236772397126683E-2</v>
      </c>
      <c r="G87" s="11">
        <f t="shared" ca="1" si="23"/>
        <v>2.2701987040530053E-3</v>
      </c>
      <c r="H87" s="2"/>
    </row>
    <row r="88" spans="2:8">
      <c r="B88" t="s">
        <v>80</v>
      </c>
      <c r="C88" t="s">
        <v>127</v>
      </c>
      <c r="D88" t="s">
        <v>48</v>
      </c>
      <c r="E88">
        <v>1294.8580000000002</v>
      </c>
      <c r="F88" s="11">
        <f t="shared" si="22"/>
        <v>6.8186017742631014E-2</v>
      </c>
      <c r="G88" s="11">
        <f t="shared" ca="1" si="23"/>
        <v>4.6573658616514231E-3</v>
      </c>
      <c r="H88" s="2"/>
    </row>
    <row r="89" spans="2:8">
      <c r="B89" t="s">
        <v>81</v>
      </c>
      <c r="C89" t="s">
        <v>127</v>
      </c>
      <c r="D89" t="s">
        <v>48</v>
      </c>
      <c r="E89">
        <v>258.90100000000001</v>
      </c>
      <c r="F89" s="11">
        <f t="shared" si="22"/>
        <v>1.3633485818201617E-2</v>
      </c>
      <c r="G89" s="11">
        <f t="shared" ca="1" si="23"/>
        <v>9.3121923712670797E-4</v>
      </c>
      <c r="H89" s="2"/>
    </row>
    <row r="90" spans="2:8">
      <c r="B90" t="s">
        <v>82</v>
      </c>
      <c r="C90" t="s">
        <v>127</v>
      </c>
      <c r="D90" t="s">
        <v>48</v>
      </c>
      <c r="E90">
        <v>1556.7369999999999</v>
      </c>
      <c r="F90" s="11">
        <f t="shared" si="22"/>
        <v>8.1976322270557969E-2</v>
      </c>
      <c r="G90" s="11">
        <f t="shared" ca="1" si="23"/>
        <v>5.5992964165720487E-3</v>
      </c>
      <c r="H90" s="2"/>
    </row>
    <row r="91" spans="2:8">
      <c r="B91" t="s">
        <v>83</v>
      </c>
      <c r="C91" t="s">
        <v>127</v>
      </c>
      <c r="D91" t="s">
        <v>48</v>
      </c>
      <c r="E91">
        <v>703.23</v>
      </c>
      <c r="F91" s="11">
        <f t="shared" si="22"/>
        <v>3.7031437622619935E-2</v>
      </c>
      <c r="G91" s="11">
        <f t="shared" ca="1" si="23"/>
        <v>2.5293888556808006E-3</v>
      </c>
      <c r="H91" s="2"/>
    </row>
    <row r="92" spans="2:8">
      <c r="B92" t="s">
        <v>84</v>
      </c>
      <c r="C92" t="s">
        <v>127</v>
      </c>
      <c r="D92" t="s">
        <v>48</v>
      </c>
      <c r="E92">
        <v>1703.9359999999999</v>
      </c>
      <c r="F92" s="11">
        <f t="shared" si="22"/>
        <v>8.9727684679175398E-2</v>
      </c>
      <c r="G92" s="11">
        <f t="shared" ca="1" si="23"/>
        <v>6.12874412239711E-3</v>
      </c>
      <c r="H92" s="2"/>
    </row>
    <row r="93" spans="2:8">
      <c r="B93" t="s">
        <v>85</v>
      </c>
      <c r="C93" t="s">
        <v>127</v>
      </c>
      <c r="D93" t="s">
        <v>48</v>
      </c>
      <c r="E93">
        <v>4050.4249999999997</v>
      </c>
      <c r="F93" s="11">
        <f t="shared" si="22"/>
        <v>0.21329161260554916</v>
      </c>
      <c r="G93" s="11">
        <f t="shared" ca="1" si="23"/>
        <v>1.4568633101219948E-2</v>
      </c>
      <c r="H93" s="2"/>
    </row>
    <row r="94" spans="2:8">
      <c r="B94" t="s">
        <v>86</v>
      </c>
      <c r="C94" t="s">
        <v>127</v>
      </c>
      <c r="D94" t="s">
        <v>48</v>
      </c>
      <c r="E94">
        <v>1322.0630000000001</v>
      </c>
      <c r="F94" s="11">
        <f t="shared" si="22"/>
        <v>6.9618607735269789E-2</v>
      </c>
      <c r="G94" s="11">
        <f t="shared" ca="1" si="23"/>
        <v>4.7552172386103059E-3</v>
      </c>
      <c r="H94" s="2"/>
    </row>
    <row r="95" spans="2:8">
      <c r="B95" t="s">
        <v>87</v>
      </c>
      <c r="C95" t="s">
        <v>127</v>
      </c>
      <c r="D95" t="s">
        <v>48</v>
      </c>
      <c r="E95">
        <v>760.10799999999995</v>
      </c>
      <c r="F95" s="11">
        <f t="shared" si="22"/>
        <v>4.0026580192048675E-2</v>
      </c>
      <c r="G95" s="11">
        <f t="shared" ca="1" si="23"/>
        <v>2.7339685512759999E-3</v>
      </c>
      <c r="H95" s="2"/>
    </row>
    <row r="96" spans="2:8">
      <c r="B96" t="s">
        <v>88</v>
      </c>
      <c r="C96" t="s">
        <v>127</v>
      </c>
      <c r="D96" t="s">
        <v>48</v>
      </c>
      <c r="E96">
        <v>301.423</v>
      </c>
      <c r="F96" s="11">
        <f t="shared" si="22"/>
        <v>1.587265478225185E-2</v>
      </c>
      <c r="G96" s="11">
        <f t="shared" ca="1" si="23"/>
        <v>1.0841630434507542E-3</v>
      </c>
      <c r="H96" s="2"/>
    </row>
    <row r="97" spans="2:8">
      <c r="B97" t="s">
        <v>89</v>
      </c>
      <c r="C97" t="s">
        <v>127</v>
      </c>
      <c r="D97" t="s">
        <v>48</v>
      </c>
      <c r="E97">
        <v>2885.55</v>
      </c>
      <c r="F97" s="11">
        <f t="shared" si="22"/>
        <v>0.15195037872666262</v>
      </c>
      <c r="G97" s="11">
        <f t="shared" ca="1" si="23"/>
        <v>1.0378792162606449E-2</v>
      </c>
      <c r="H97" s="2"/>
    </row>
    <row r="98" spans="2:8">
      <c r="B98" t="s">
        <v>90</v>
      </c>
      <c r="C98" t="s">
        <v>128</v>
      </c>
      <c r="D98" t="s">
        <v>146</v>
      </c>
      <c r="E98">
        <v>4344</v>
      </c>
      <c r="F98" s="11">
        <f t="shared" si="22"/>
        <v>1</v>
      </c>
      <c r="G98" s="91">
        <f ca="1">C58+C59</f>
        <v>6.6941928417533171E-3</v>
      </c>
      <c r="H98" s="2"/>
    </row>
    <row r="99" spans="2:8">
      <c r="B99" t="s">
        <v>91</v>
      </c>
      <c r="C99" t="s">
        <v>91</v>
      </c>
      <c r="D99" t="s">
        <v>51</v>
      </c>
      <c r="E99">
        <v>20526.655183717427</v>
      </c>
      <c r="F99" s="11">
        <f t="shared" si="22"/>
        <v>1</v>
      </c>
      <c r="G99" s="11">
        <f t="shared" ca="1" si="23"/>
        <v>0.14579505249428942</v>
      </c>
      <c r="H99" s="2"/>
    </row>
    <row r="100" spans="2:8">
      <c r="B100" t="s">
        <v>92</v>
      </c>
      <c r="C100" t="s">
        <v>129</v>
      </c>
      <c r="D100" t="s">
        <v>52</v>
      </c>
      <c r="E100">
        <v>53229</v>
      </c>
      <c r="F100" s="11">
        <f t="shared" si="22"/>
        <v>1</v>
      </c>
      <c r="G100" s="11">
        <f t="shared" ca="1" si="23"/>
        <v>0.13420091225491257</v>
      </c>
      <c r="H100" s="2"/>
    </row>
    <row r="101" spans="2:8">
      <c r="B101" t="s">
        <v>93</v>
      </c>
      <c r="C101" t="s">
        <v>131</v>
      </c>
      <c r="D101" t="s">
        <v>54</v>
      </c>
      <c r="E101">
        <v>13377.538423996233</v>
      </c>
      <c r="F101" s="11">
        <f t="shared" si="22"/>
        <v>1</v>
      </c>
      <c r="G101" s="11">
        <f t="shared" ca="1" si="23"/>
        <v>2.247490578409967E-2</v>
      </c>
      <c r="H101" s="2"/>
    </row>
    <row r="102" spans="2:8">
      <c r="B102" t="s">
        <v>94</v>
      </c>
      <c r="C102" t="s">
        <v>130</v>
      </c>
      <c r="D102" t="s">
        <v>53</v>
      </c>
      <c r="E102">
        <v>4282.6459999999997</v>
      </c>
      <c r="F102" s="11">
        <f t="shared" si="22"/>
        <v>0.1544446816582592</v>
      </c>
      <c r="G102" s="11">
        <f t="shared" ca="1" si="23"/>
        <v>7.9383032798544632E-3</v>
      </c>
      <c r="H102" s="2"/>
    </row>
    <row r="103" spans="2:8">
      <c r="B103" t="s">
        <v>95</v>
      </c>
      <c r="C103" t="s">
        <v>130</v>
      </c>
      <c r="D103" t="s">
        <v>53</v>
      </c>
      <c r="E103">
        <v>146.60300000000001</v>
      </c>
      <c r="F103" s="11">
        <f t="shared" si="22"/>
        <v>5.2869309452954491E-3</v>
      </c>
      <c r="G103" s="11">
        <f t="shared" ca="1" si="23"/>
        <v>2.7174300087761256E-4</v>
      </c>
      <c r="H103" s="2"/>
    </row>
    <row r="104" spans="2:8">
      <c r="B104" t="s">
        <v>96</v>
      </c>
      <c r="C104" t="s">
        <v>130</v>
      </c>
      <c r="D104" t="s">
        <v>53</v>
      </c>
      <c r="E104">
        <v>14274.281999999999</v>
      </c>
      <c r="F104" s="11">
        <f t="shared" si="22"/>
        <v>0.51477216174071339</v>
      </c>
      <c r="G104" s="11">
        <f t="shared" ca="1" si="23"/>
        <v>2.6458777965343745E-2</v>
      </c>
      <c r="H104" s="2"/>
    </row>
    <row r="105" spans="2:8">
      <c r="B105" t="s">
        <v>97</v>
      </c>
      <c r="C105" t="s">
        <v>130</v>
      </c>
      <c r="D105" t="s">
        <v>53</v>
      </c>
      <c r="E105">
        <v>9025.7890000000007</v>
      </c>
      <c r="F105" s="11">
        <f t="shared" si="22"/>
        <v>0.32549622565573194</v>
      </c>
      <c r="G105" s="11">
        <f t="shared" ca="1" si="23"/>
        <v>1.6730182793995664E-2</v>
      </c>
      <c r="H105" s="2"/>
    </row>
    <row r="106" spans="2:8">
      <c r="B106" t="s">
        <v>98</v>
      </c>
      <c r="C106" t="s">
        <v>132</v>
      </c>
      <c r="D106" t="s">
        <v>55</v>
      </c>
      <c r="E106">
        <v>4989.6801926048429</v>
      </c>
      <c r="F106" s="11">
        <f t="shared" si="22"/>
        <v>1</v>
      </c>
      <c r="G106" s="11">
        <f t="shared" ca="1" si="23"/>
        <v>2.3663863608523031E-2</v>
      </c>
      <c r="H106" s="2"/>
    </row>
    <row r="107" spans="2:8">
      <c r="B107" t="s">
        <v>99</v>
      </c>
      <c r="C107" t="s">
        <v>133</v>
      </c>
      <c r="D107" t="s">
        <v>56</v>
      </c>
      <c r="E107">
        <v>12121.987551268501</v>
      </c>
      <c r="F107" s="11">
        <f t="shared" si="22"/>
        <v>1</v>
      </c>
      <c r="G107" s="11">
        <f t="shared" ca="1" si="23"/>
        <v>0.13936026863241027</v>
      </c>
      <c r="H107" s="2"/>
    </row>
    <row r="108" spans="2:8">
      <c r="B108" t="s">
        <v>100</v>
      </c>
      <c r="C108" t="s">
        <v>100</v>
      </c>
      <c r="D108" t="s">
        <v>57</v>
      </c>
      <c r="E108">
        <v>6997</v>
      </c>
      <c r="F108" s="11">
        <f t="shared" si="22"/>
        <v>1</v>
      </c>
      <c r="G108" s="11">
        <f t="shared" ca="1" si="23"/>
        <v>1.8072158931235004E-2</v>
      </c>
      <c r="H108" s="2"/>
    </row>
    <row r="109" spans="2:8">
      <c r="B109" t="s">
        <v>101</v>
      </c>
      <c r="C109" t="s">
        <v>134</v>
      </c>
      <c r="D109" t="s">
        <v>58</v>
      </c>
      <c r="E109">
        <v>37477.836218262222</v>
      </c>
      <c r="F109" s="11">
        <f t="shared" si="22"/>
        <v>1</v>
      </c>
      <c r="G109" s="91">
        <f ca="1">C67+C68</f>
        <v>0.23265382592216288</v>
      </c>
      <c r="H109" s="2"/>
    </row>
    <row r="110" spans="2:8">
      <c r="B110" t="s">
        <v>102</v>
      </c>
      <c r="C110" t="s">
        <v>135</v>
      </c>
      <c r="D110" t="s">
        <v>60</v>
      </c>
      <c r="E110">
        <v>23934</v>
      </c>
      <c r="F110" s="11">
        <f t="shared" si="22"/>
        <v>1</v>
      </c>
      <c r="G110" s="11">
        <f t="shared" ca="1" si="23"/>
        <v>5.4475885773579199E-3</v>
      </c>
      <c r="H110" s="2"/>
    </row>
    <row r="111" spans="2:8">
      <c r="B111" t="s">
        <v>103</v>
      </c>
      <c r="C111" t="s">
        <v>136</v>
      </c>
      <c r="D111" t="s">
        <v>61</v>
      </c>
      <c r="E111">
        <v>6526</v>
      </c>
      <c r="F111" s="11">
        <f t="shared" si="22"/>
        <v>1</v>
      </c>
      <c r="G111" s="11">
        <f t="shared" ca="1" si="23"/>
        <v>5.4555149628540758E-2</v>
      </c>
      <c r="H111" s="2"/>
    </row>
    <row r="112" spans="2:8">
      <c r="B112" t="s">
        <v>104</v>
      </c>
      <c r="C112" t="s">
        <v>137</v>
      </c>
      <c r="D112" t="s">
        <v>62</v>
      </c>
      <c r="E112">
        <v>5247.7927428319872</v>
      </c>
      <c r="F112" s="11">
        <f t="shared" si="22"/>
        <v>1</v>
      </c>
      <c r="G112" s="11">
        <f t="shared" ca="1" si="23"/>
        <v>5.2962666724313108E-2</v>
      </c>
      <c r="H112" s="2"/>
    </row>
    <row r="113" spans="2:8">
      <c r="B113" t="s">
        <v>105</v>
      </c>
      <c r="C113" t="s">
        <v>138</v>
      </c>
      <c r="D113" t="s">
        <v>63</v>
      </c>
      <c r="E113">
        <v>2665</v>
      </c>
      <c r="F113" s="11">
        <f t="shared" si="22"/>
        <v>1</v>
      </c>
      <c r="G113" s="11">
        <f t="shared" ca="1" si="23"/>
        <v>9.2954884454916897E-3</v>
      </c>
      <c r="H113" s="2"/>
    </row>
    <row r="114" spans="2:8">
      <c r="B114" t="s">
        <v>106</v>
      </c>
      <c r="C114" t="s">
        <v>139</v>
      </c>
      <c r="D114" t="s">
        <v>64</v>
      </c>
      <c r="E114">
        <v>1945</v>
      </c>
      <c r="F114" s="11">
        <f t="shared" si="22"/>
        <v>1</v>
      </c>
      <c r="G114" s="11">
        <f t="shared" ca="1" si="23"/>
        <v>2.0565367460025796E-2</v>
      </c>
      <c r="H114" s="2"/>
    </row>
    <row r="116" spans="2:8">
      <c r="G116" s="9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FD19-06CC-44A1-871C-DB2D0369C07C}">
  <dimension ref="A2:AT379"/>
  <sheetViews>
    <sheetView tabSelected="1" topLeftCell="A182" workbookViewId="0">
      <selection activeCell="D216" sqref="D216"/>
    </sheetView>
  </sheetViews>
  <sheetFormatPr defaultRowHeight="14.5"/>
  <cols>
    <col min="1" max="1" width="13.36328125" bestFit="1" customWidth="1"/>
    <col min="3" max="8" width="17.81640625" customWidth="1"/>
    <col min="9" max="9" width="13.453125" bestFit="1" customWidth="1"/>
    <col min="11" max="11" width="11.90625" bestFit="1" customWidth="1"/>
    <col min="12" max="12" width="12.7265625" bestFit="1" customWidth="1"/>
    <col min="13" max="13" width="11.81640625" customWidth="1"/>
    <col min="18" max="19" width="11.81640625" customWidth="1"/>
    <col min="21" max="22" width="11.7265625" bestFit="1" customWidth="1"/>
    <col min="23" max="23" width="10.26953125" customWidth="1"/>
    <col min="24" max="24" width="21.1796875" bestFit="1" customWidth="1"/>
    <col min="26" max="26" width="20.08984375" bestFit="1" customWidth="1"/>
    <col min="27" max="30" width="13.54296875" customWidth="1"/>
    <col min="40" max="43" width="10.1796875" customWidth="1"/>
  </cols>
  <sheetData>
    <row r="2" spans="1:13" s="1" customFormat="1" ht="20" thickBot="1">
      <c r="A2"/>
      <c r="B2" s="1" t="s">
        <v>515</v>
      </c>
    </row>
    <row r="3" spans="1:13" ht="15" thickTop="1"/>
    <row r="4" spans="1:13">
      <c r="B4" t="s">
        <v>275</v>
      </c>
      <c r="H4" t="s">
        <v>517</v>
      </c>
      <c r="M4" t="s">
        <v>145</v>
      </c>
    </row>
    <row r="5" spans="1:13">
      <c r="M5">
        <f>SUM(J7:J171)-SUM(C7:C171)</f>
        <v>0</v>
      </c>
    </row>
    <row r="6" spans="1:13">
      <c r="A6" s="92" t="s">
        <v>209</v>
      </c>
      <c r="B6" s="92" t="s">
        <v>210</v>
      </c>
      <c r="C6" s="92" t="s">
        <v>212</v>
      </c>
    </row>
    <row r="7" spans="1:13">
      <c r="A7" t="s">
        <v>250</v>
      </c>
      <c r="B7" t="s">
        <v>213</v>
      </c>
      <c r="C7">
        <v>165.72003173828119</v>
      </c>
      <c r="G7" t="s">
        <v>217</v>
      </c>
      <c r="H7" t="s">
        <v>74</v>
      </c>
      <c r="I7" t="s">
        <v>250</v>
      </c>
      <c r="J7">
        <f>SUMIFS(C:C,B:B,G7,A:A,I7)</f>
        <v>1235.057722568512</v>
      </c>
    </row>
    <row r="8" spans="1:13">
      <c r="A8" t="s">
        <v>250</v>
      </c>
      <c r="B8" t="s">
        <v>217</v>
      </c>
      <c r="C8">
        <v>1235.057722568512</v>
      </c>
      <c r="G8" t="s">
        <v>232</v>
      </c>
      <c r="H8" t="s">
        <v>75</v>
      </c>
      <c r="I8" t="s">
        <v>250</v>
      </c>
      <c r="J8">
        <f>SUMIFS(C:C,B:B,G8,A:A,I8)</f>
        <v>891.51367264799774</v>
      </c>
    </row>
    <row r="9" spans="1:13">
      <c r="A9" t="s">
        <v>250</v>
      </c>
      <c r="B9" t="s">
        <v>218</v>
      </c>
      <c r="C9">
        <v>64.664741516113281</v>
      </c>
      <c r="G9" t="s">
        <v>226</v>
      </c>
      <c r="H9" t="s">
        <v>76</v>
      </c>
      <c r="I9" t="s">
        <v>250</v>
      </c>
      <c r="J9">
        <f>SUMIFS(C:C,B:B,G9,A:A,I9)</f>
        <v>1692.856004714966</v>
      </c>
    </row>
    <row r="10" spans="1:13">
      <c r="A10" t="s">
        <v>250</v>
      </c>
      <c r="B10" t="s">
        <v>219</v>
      </c>
      <c r="C10">
        <v>1125.8647308349609</v>
      </c>
      <c r="G10" t="s">
        <v>243</v>
      </c>
      <c r="H10" t="s">
        <v>77</v>
      </c>
      <c r="I10" t="s">
        <v>250</v>
      </c>
      <c r="J10">
        <f>SUMIFS(C:C,B:B,G10,A:A,I10)</f>
        <v>1251.798950195312</v>
      </c>
    </row>
    <row r="11" spans="1:13">
      <c r="A11" t="s">
        <v>250</v>
      </c>
      <c r="B11" t="s">
        <v>220</v>
      </c>
      <c r="C11">
        <v>568.5736083984375</v>
      </c>
      <c r="G11" t="s">
        <v>228</v>
      </c>
      <c r="H11" t="s">
        <v>78</v>
      </c>
      <c r="I11" t="s">
        <v>250</v>
      </c>
      <c r="J11">
        <f>SUMIFS(C:C,B:B,G11,A:A,I11)</f>
        <v>553.273193359375</v>
      </c>
    </row>
    <row r="12" spans="1:13">
      <c r="A12" t="s">
        <v>250</v>
      </c>
      <c r="B12" t="s">
        <v>221</v>
      </c>
      <c r="C12">
        <v>8939.3896484375</v>
      </c>
      <c r="G12" t="s">
        <v>246</v>
      </c>
      <c r="H12" t="s">
        <v>79</v>
      </c>
      <c r="I12" t="s">
        <v>250</v>
      </c>
      <c r="J12">
        <f>SUMIFS(C:C,B:B,G12,A:A,I12)</f>
        <v>448.44259643554688</v>
      </c>
    </row>
    <row r="13" spans="1:13">
      <c r="A13" t="s">
        <v>250</v>
      </c>
      <c r="B13" t="s">
        <v>222</v>
      </c>
      <c r="C13">
        <v>1.8095750361680981E-2</v>
      </c>
      <c r="G13" t="s">
        <v>239</v>
      </c>
      <c r="H13" t="s">
        <v>80</v>
      </c>
      <c r="I13" t="s">
        <v>250</v>
      </c>
      <c r="J13">
        <f>SUMIFS(C:C,B:B,G13,A:A,I13)</f>
        <v>318.16976928710938</v>
      </c>
    </row>
    <row r="14" spans="1:13">
      <c r="A14" t="s">
        <v>250</v>
      </c>
      <c r="B14" t="s">
        <v>223</v>
      </c>
      <c r="C14">
        <v>74.448951721191406</v>
      </c>
      <c r="G14" t="s">
        <v>234</v>
      </c>
      <c r="H14" t="s">
        <v>81</v>
      </c>
      <c r="I14" t="s">
        <v>250</v>
      </c>
      <c r="J14">
        <f>SUMIFS(C:C,B:B,G14,A:A,I14)</f>
        <v>415.37350463867188</v>
      </c>
    </row>
    <row r="15" spans="1:13">
      <c r="A15" t="s">
        <v>250</v>
      </c>
      <c r="B15" t="s">
        <v>224</v>
      </c>
      <c r="C15">
        <v>1631.823364257812</v>
      </c>
      <c r="G15" t="s">
        <v>219</v>
      </c>
      <c r="H15" t="s">
        <v>82</v>
      </c>
      <c r="I15" t="s">
        <v>250</v>
      </c>
      <c r="J15">
        <f>SUMIFS(C:C,B:B,G15,A:A,I15)</f>
        <v>1125.8647308349609</v>
      </c>
    </row>
    <row r="16" spans="1:13">
      <c r="A16" t="s">
        <v>250</v>
      </c>
      <c r="B16" t="s">
        <v>225</v>
      </c>
      <c r="C16">
        <v>1270.7752456665039</v>
      </c>
      <c r="G16" t="s">
        <v>242</v>
      </c>
      <c r="H16" t="s">
        <v>83</v>
      </c>
      <c r="I16" t="s">
        <v>250</v>
      </c>
      <c r="J16">
        <f>SUMIFS(C:C,B:B,G16,A:A,I16)</f>
        <v>965.979736328125</v>
      </c>
    </row>
    <row r="17" spans="1:10">
      <c r="A17" t="s">
        <v>250</v>
      </c>
      <c r="B17" t="s">
        <v>226</v>
      </c>
      <c r="C17">
        <v>1692.856004714966</v>
      </c>
      <c r="G17" t="s">
        <v>236</v>
      </c>
      <c r="H17" t="s">
        <v>84</v>
      </c>
      <c r="I17" t="s">
        <v>250</v>
      </c>
      <c r="J17">
        <f>SUMIFS(C:C,B:B,G17,A:A,I17)</f>
        <v>1083.141235351562</v>
      </c>
    </row>
    <row r="18" spans="1:10">
      <c r="A18" t="s">
        <v>250</v>
      </c>
      <c r="B18" t="s">
        <v>227</v>
      </c>
      <c r="C18">
        <v>438.576416015625</v>
      </c>
      <c r="G18" t="s">
        <v>231</v>
      </c>
      <c r="H18" t="s">
        <v>85</v>
      </c>
      <c r="I18" t="s">
        <v>250</v>
      </c>
      <c r="J18">
        <f>SUMIFS(C:C,B:B,G18,A:A,I18)</f>
        <v>4870.9757690429688</v>
      </c>
    </row>
    <row r="19" spans="1:10">
      <c r="A19" t="s">
        <v>250</v>
      </c>
      <c r="B19" t="s">
        <v>228</v>
      </c>
      <c r="C19">
        <v>553.273193359375</v>
      </c>
      <c r="G19" t="s">
        <v>230</v>
      </c>
      <c r="H19" t="s">
        <v>86</v>
      </c>
      <c r="I19" t="s">
        <v>250</v>
      </c>
      <c r="J19">
        <f>SUMIFS(C:C,B:B,G19,A:A,I19)</f>
        <v>1201.73583984375</v>
      </c>
    </row>
    <row r="20" spans="1:10">
      <c r="A20" t="s">
        <v>250</v>
      </c>
      <c r="B20" t="s">
        <v>229</v>
      </c>
      <c r="C20">
        <v>2726.40283203125</v>
      </c>
      <c r="G20" t="s">
        <v>224</v>
      </c>
      <c r="H20" t="s">
        <v>87</v>
      </c>
      <c r="I20" t="s">
        <v>250</v>
      </c>
      <c r="J20">
        <f>SUMIFS(C:C,B:B,G20,A:A,I20)</f>
        <v>1631.823364257812</v>
      </c>
    </row>
    <row r="21" spans="1:10">
      <c r="A21" t="s">
        <v>250</v>
      </c>
      <c r="B21" t="s">
        <v>230</v>
      </c>
      <c r="C21">
        <v>1201.73583984375</v>
      </c>
      <c r="G21" t="s">
        <v>245</v>
      </c>
      <c r="H21" t="s">
        <v>88</v>
      </c>
      <c r="I21" t="s">
        <v>250</v>
      </c>
      <c r="J21">
        <f>SUMIFS(C:C,B:B,G21,A:A,I21)</f>
        <v>1923.064453125</v>
      </c>
    </row>
    <row r="22" spans="1:10">
      <c r="A22" t="s">
        <v>250</v>
      </c>
      <c r="B22" t="s">
        <v>231</v>
      </c>
      <c r="C22">
        <v>4870.9757690429688</v>
      </c>
      <c r="G22" t="s">
        <v>229</v>
      </c>
      <c r="H22" t="s">
        <v>89</v>
      </c>
      <c r="I22" t="s">
        <v>250</v>
      </c>
      <c r="J22">
        <f>SUMIFS(C:C,B:B,G22,A:A,I22)</f>
        <v>2726.40283203125</v>
      </c>
    </row>
    <row r="23" spans="1:10">
      <c r="A23" t="s">
        <v>250</v>
      </c>
      <c r="B23" t="s">
        <v>232</v>
      </c>
      <c r="C23">
        <v>891.51367264799774</v>
      </c>
      <c r="G23" t="s">
        <v>225</v>
      </c>
      <c r="H23" t="s">
        <v>90</v>
      </c>
      <c r="I23" t="s">
        <v>250</v>
      </c>
      <c r="J23">
        <f>SUMIFS(C:C,B:B,G23,A:A,I23)</f>
        <v>1270.7752456665039</v>
      </c>
    </row>
    <row r="24" spans="1:10">
      <c r="A24" t="s">
        <v>250</v>
      </c>
      <c r="B24" t="s">
        <v>233</v>
      </c>
      <c r="C24">
        <v>66.74713134765625</v>
      </c>
      <c r="G24" t="s">
        <v>221</v>
      </c>
      <c r="H24" t="s">
        <v>91</v>
      </c>
      <c r="I24" t="s">
        <v>250</v>
      </c>
      <c r="J24">
        <f>SUMIFS(C:C,B:B,G24,A:A,I24)</f>
        <v>8939.3896484375</v>
      </c>
    </row>
    <row r="25" spans="1:10">
      <c r="A25" t="s">
        <v>250</v>
      </c>
      <c r="B25" t="s">
        <v>234</v>
      </c>
      <c r="C25">
        <v>415.37350463867188</v>
      </c>
      <c r="G25" t="s">
        <v>244</v>
      </c>
      <c r="H25" t="s">
        <v>256</v>
      </c>
      <c r="I25" t="s">
        <v>250</v>
      </c>
      <c r="J25">
        <f>SUMIFS(C:C,B:B,G25,A:A,I25)</f>
        <v>1310.787475585938</v>
      </c>
    </row>
    <row r="26" spans="1:10">
      <c r="A26" t="s">
        <v>250</v>
      </c>
      <c r="B26" t="s">
        <v>235</v>
      </c>
      <c r="C26">
        <v>14.18807989358902</v>
      </c>
      <c r="G26" t="s">
        <v>213</v>
      </c>
      <c r="H26" t="s">
        <v>93</v>
      </c>
      <c r="I26" t="s">
        <v>250</v>
      </c>
      <c r="J26">
        <f>SUMIFS(C:C,B:B,G26,A:A,I26)</f>
        <v>165.72003173828119</v>
      </c>
    </row>
    <row r="27" spans="1:10">
      <c r="A27" t="s">
        <v>250</v>
      </c>
      <c r="B27" t="s">
        <v>236</v>
      </c>
      <c r="C27">
        <v>1083.141235351562</v>
      </c>
      <c r="G27" t="s">
        <v>238</v>
      </c>
      <c r="H27" t="s">
        <v>94</v>
      </c>
      <c r="I27" t="s">
        <v>250</v>
      </c>
      <c r="J27">
        <f>SUMIFS(C:C,B:B,G27,A:A,I27)</f>
        <v>461.58206176757813</v>
      </c>
    </row>
    <row r="28" spans="1:10">
      <c r="A28" t="s">
        <v>250</v>
      </c>
      <c r="B28" t="s">
        <v>237</v>
      </c>
      <c r="C28">
        <v>225.49725341796881</v>
      </c>
      <c r="G28" t="s">
        <v>247</v>
      </c>
      <c r="H28" t="s">
        <v>95</v>
      </c>
      <c r="I28" t="s">
        <v>250</v>
      </c>
      <c r="J28">
        <f>SUMIFS(C:C,B:B,G28,A:A,I28)</f>
        <v>59.492568969726563</v>
      </c>
    </row>
    <row r="29" spans="1:10">
      <c r="A29" t="s">
        <v>250</v>
      </c>
      <c r="B29" t="s">
        <v>238</v>
      </c>
      <c r="C29">
        <v>461.58206176757813</v>
      </c>
      <c r="G29" t="s">
        <v>218</v>
      </c>
      <c r="H29" t="s">
        <v>96</v>
      </c>
      <c r="I29" t="s">
        <v>250</v>
      </c>
      <c r="J29">
        <f>SUMIFS(C:C,B:B,G29,A:A,I29)</f>
        <v>64.664741516113281</v>
      </c>
    </row>
    <row r="30" spans="1:10">
      <c r="A30" t="s">
        <v>250</v>
      </c>
      <c r="B30" t="s">
        <v>239</v>
      </c>
      <c r="C30">
        <v>318.16976928710938</v>
      </c>
      <c r="G30" t="s">
        <v>257</v>
      </c>
      <c r="H30" t="s">
        <v>97</v>
      </c>
      <c r="I30" t="s">
        <v>250</v>
      </c>
      <c r="J30">
        <f>SUMIFS(C:C,B:B,G30,A:A,I30)</f>
        <v>109.8913192749023</v>
      </c>
    </row>
    <row r="31" spans="1:10">
      <c r="A31" t="s">
        <v>250</v>
      </c>
      <c r="B31" t="s">
        <v>240</v>
      </c>
      <c r="C31">
        <v>6.4886007308959961</v>
      </c>
      <c r="G31" t="s">
        <v>220</v>
      </c>
      <c r="H31" t="s">
        <v>98</v>
      </c>
      <c r="I31" t="s">
        <v>250</v>
      </c>
      <c r="J31">
        <f>SUMIFS(C:C,B:B,G31,A:A,I31)</f>
        <v>568.5736083984375</v>
      </c>
    </row>
    <row r="32" spans="1:10">
      <c r="A32" t="s">
        <v>250</v>
      </c>
      <c r="B32" t="s">
        <v>241</v>
      </c>
      <c r="C32">
        <v>152.5564880371094</v>
      </c>
      <c r="G32" t="s">
        <v>235</v>
      </c>
      <c r="H32" t="s">
        <v>99</v>
      </c>
      <c r="I32" t="s">
        <v>250</v>
      </c>
      <c r="J32">
        <f>SUMIFS(C:C,B:B,G32,A:A,I32)</f>
        <v>14.18807989358902</v>
      </c>
    </row>
    <row r="33" spans="1:10">
      <c r="A33" t="s">
        <v>250</v>
      </c>
      <c r="B33" t="s">
        <v>242</v>
      </c>
      <c r="C33">
        <v>965.979736328125</v>
      </c>
      <c r="G33" t="s">
        <v>240</v>
      </c>
      <c r="H33" t="s">
        <v>100</v>
      </c>
      <c r="I33" t="s">
        <v>250</v>
      </c>
      <c r="J33">
        <f>SUMIFS(C:C,B:B,G33,A:A,I33)</f>
        <v>6.4886007308959961</v>
      </c>
    </row>
    <row r="34" spans="1:10">
      <c r="A34" t="s">
        <v>250</v>
      </c>
      <c r="B34" t="s">
        <v>243</v>
      </c>
      <c r="C34">
        <v>1251.798950195312</v>
      </c>
      <c r="G34" t="s">
        <v>233</v>
      </c>
      <c r="H34" t="s">
        <v>101</v>
      </c>
      <c r="I34" t="s">
        <v>250</v>
      </c>
      <c r="J34">
        <f>SUMIFS(C:C,B:B,G34,A:A,I34)</f>
        <v>66.74713134765625</v>
      </c>
    </row>
    <row r="35" spans="1:10">
      <c r="A35" t="s">
        <v>250</v>
      </c>
      <c r="B35" t="s">
        <v>244</v>
      </c>
      <c r="C35">
        <v>1310.787475585938</v>
      </c>
      <c r="G35" t="s">
        <v>237</v>
      </c>
      <c r="H35" t="s">
        <v>135</v>
      </c>
      <c r="I35" t="s">
        <v>250</v>
      </c>
      <c r="J35">
        <f>SUMIFS(C:C,B:B,G35,A:A,I35)</f>
        <v>225.49725341796881</v>
      </c>
    </row>
    <row r="36" spans="1:10">
      <c r="A36" t="s">
        <v>250</v>
      </c>
      <c r="B36" t="s">
        <v>245</v>
      </c>
      <c r="C36">
        <v>1923.064453125</v>
      </c>
      <c r="G36" t="s">
        <v>223</v>
      </c>
      <c r="H36" t="s">
        <v>103</v>
      </c>
      <c r="I36" t="s">
        <v>250</v>
      </c>
      <c r="J36">
        <f>SUMIFS(C:C,B:B,G36,A:A,I36)</f>
        <v>74.448951721191406</v>
      </c>
    </row>
    <row r="37" spans="1:10">
      <c r="A37" t="s">
        <v>250</v>
      </c>
      <c r="B37" t="s">
        <v>257</v>
      </c>
      <c r="C37">
        <v>109.8913192749023</v>
      </c>
      <c r="G37" t="s">
        <v>227</v>
      </c>
      <c r="H37" t="s">
        <v>104</v>
      </c>
      <c r="I37" t="s">
        <v>250</v>
      </c>
      <c r="J37">
        <f>SUMIFS(C:C,B:B,G37,A:A,I37)</f>
        <v>438.576416015625</v>
      </c>
    </row>
    <row r="38" spans="1:10">
      <c r="A38" t="s">
        <v>250</v>
      </c>
      <c r="B38" t="s">
        <v>246</v>
      </c>
      <c r="C38">
        <v>448.44259643554688</v>
      </c>
      <c r="G38" t="s">
        <v>241</v>
      </c>
      <c r="H38" t="s">
        <v>105</v>
      </c>
      <c r="I38" t="s">
        <v>250</v>
      </c>
      <c r="J38">
        <f>SUMIFS(C:C,B:B,G38,A:A,I38)</f>
        <v>152.5564880371094</v>
      </c>
    </row>
    <row r="39" spans="1:10">
      <c r="A39" t="s">
        <v>250</v>
      </c>
      <c r="B39" t="s">
        <v>247</v>
      </c>
      <c r="C39">
        <v>59.492568969726563</v>
      </c>
      <c r="G39" t="s">
        <v>222</v>
      </c>
      <c r="H39" t="s">
        <v>106</v>
      </c>
      <c r="I39" t="s">
        <v>250</v>
      </c>
      <c r="J39">
        <f>SUMIFS(C:C,B:B,G39,A:A,I39)</f>
        <v>1.8095750361680981E-2</v>
      </c>
    </row>
    <row r="40" spans="1:10">
      <c r="A40" t="s">
        <v>251</v>
      </c>
      <c r="B40" t="s">
        <v>213</v>
      </c>
      <c r="C40">
        <v>479.86105346679688</v>
      </c>
      <c r="G40" t="s">
        <v>217</v>
      </c>
      <c r="H40" t="s">
        <v>74</v>
      </c>
      <c r="I40" t="s">
        <v>251</v>
      </c>
      <c r="J40">
        <f>SUMIFS(C:C,B:B,G40,A:A,I40)</f>
        <v>4.0504074601922184</v>
      </c>
    </row>
    <row r="41" spans="1:10">
      <c r="A41" t="s">
        <v>251</v>
      </c>
      <c r="B41" t="s">
        <v>217</v>
      </c>
      <c r="C41">
        <v>4.0504074601922184</v>
      </c>
      <c r="G41" t="s">
        <v>232</v>
      </c>
      <c r="H41" t="s">
        <v>75</v>
      </c>
      <c r="I41" t="s">
        <v>251</v>
      </c>
      <c r="J41">
        <f>SUMIFS(C:C,B:B,G41,A:A,I41)</f>
        <v>355.99378378875548</v>
      </c>
    </row>
    <row r="42" spans="1:10">
      <c r="A42" t="s">
        <v>251</v>
      </c>
      <c r="B42" t="s">
        <v>218</v>
      </c>
      <c r="C42">
        <v>89.333908081054673</v>
      </c>
      <c r="G42" t="s">
        <v>226</v>
      </c>
      <c r="H42" t="s">
        <v>76</v>
      </c>
      <c r="I42" t="s">
        <v>251</v>
      </c>
      <c r="J42">
        <f>SUMIFS(C:C,B:B,G42,A:A,I42)</f>
        <v>192.58413362503049</v>
      </c>
    </row>
    <row r="43" spans="1:10">
      <c r="A43" t="s">
        <v>251</v>
      </c>
      <c r="B43" t="s">
        <v>219</v>
      </c>
      <c r="C43">
        <v>128.08158683776861</v>
      </c>
      <c r="G43" t="s">
        <v>243</v>
      </c>
      <c r="H43" t="s">
        <v>77</v>
      </c>
      <c r="I43" t="s">
        <v>251</v>
      </c>
      <c r="J43">
        <f>SUMIFS(C:C,B:B,G43,A:A,I43)</f>
        <v>142.40824127197271</v>
      </c>
    </row>
    <row r="44" spans="1:10">
      <c r="A44" t="s">
        <v>251</v>
      </c>
      <c r="B44" t="s">
        <v>220</v>
      </c>
      <c r="C44">
        <v>785.48065185546875</v>
      </c>
      <c r="G44" t="s">
        <v>228</v>
      </c>
      <c r="H44" t="s">
        <v>78</v>
      </c>
      <c r="I44" t="s">
        <v>251</v>
      </c>
      <c r="J44">
        <f>SUMIFS(C:C,B:B,G44,A:A,I44)</f>
        <v>62.941947937011719</v>
      </c>
    </row>
    <row r="45" spans="1:10">
      <c r="A45" t="s">
        <v>251</v>
      </c>
      <c r="B45" t="s">
        <v>221</v>
      </c>
      <c r="C45">
        <v>780.6396484375</v>
      </c>
      <c r="G45" t="s">
        <v>246</v>
      </c>
      <c r="H45" t="s">
        <v>79</v>
      </c>
      <c r="I45" t="s">
        <v>251</v>
      </c>
      <c r="J45">
        <f>SUMIFS(C:C,B:B,G45,A:A,I45)</f>
        <v>51.016105651855469</v>
      </c>
    </row>
    <row r="46" spans="1:10">
      <c r="A46" t="s">
        <v>251</v>
      </c>
      <c r="B46" t="s">
        <v>222</v>
      </c>
      <c r="C46">
        <v>0.32426086068153381</v>
      </c>
      <c r="G46" t="s">
        <v>239</v>
      </c>
      <c r="H46" t="s">
        <v>80</v>
      </c>
      <c r="I46" t="s">
        <v>251</v>
      </c>
      <c r="J46">
        <f>SUMIFS(C:C,B:B,G46,A:A,I46)</f>
        <v>36.195899963378913</v>
      </c>
    </row>
    <row r="47" spans="1:10">
      <c r="A47" t="s">
        <v>251</v>
      </c>
      <c r="B47" t="s">
        <v>223</v>
      </c>
      <c r="C47">
        <v>741.1993408203125</v>
      </c>
      <c r="G47" t="s">
        <v>234</v>
      </c>
      <c r="H47" t="s">
        <v>81</v>
      </c>
      <c r="I47" t="s">
        <v>251</v>
      </c>
      <c r="J47">
        <f>SUMIFS(C:C,B:B,G47,A:A,I47)</f>
        <v>47.254074096679688</v>
      </c>
    </row>
    <row r="48" spans="1:10">
      <c r="A48" t="s">
        <v>251</v>
      </c>
      <c r="B48" t="s">
        <v>224</v>
      </c>
      <c r="C48">
        <v>185.64090728759771</v>
      </c>
      <c r="G48" t="s">
        <v>219</v>
      </c>
      <c r="H48" t="s">
        <v>82</v>
      </c>
      <c r="I48" t="s">
        <v>251</v>
      </c>
      <c r="J48">
        <f>SUMIFS(C:C,B:B,G48,A:A,I48)</f>
        <v>128.08158683776861</v>
      </c>
    </row>
    <row r="49" spans="1:10">
      <c r="A49" t="s">
        <v>251</v>
      </c>
      <c r="B49" t="s">
        <v>225</v>
      </c>
      <c r="C49">
        <v>889.28226470947266</v>
      </c>
      <c r="G49" t="s">
        <v>242</v>
      </c>
      <c r="H49" t="s">
        <v>83</v>
      </c>
      <c r="I49" t="s">
        <v>251</v>
      </c>
      <c r="J49">
        <f>SUMIFS(C:C,B:B,G49,A:A,I49)</f>
        <v>109.8926086425781</v>
      </c>
    </row>
    <row r="50" spans="1:10">
      <c r="A50" t="s">
        <v>251</v>
      </c>
      <c r="B50" t="s">
        <v>226</v>
      </c>
      <c r="C50">
        <v>192.58413362503049</v>
      </c>
      <c r="G50" t="s">
        <v>236</v>
      </c>
      <c r="H50" t="s">
        <v>84</v>
      </c>
      <c r="I50" t="s">
        <v>251</v>
      </c>
      <c r="J50">
        <f>SUMIFS(C:C,B:B,G50,A:A,I50)</f>
        <v>123.22125244140619</v>
      </c>
    </row>
    <row r="51" spans="1:10">
      <c r="A51" t="s">
        <v>251</v>
      </c>
      <c r="B51" t="s">
        <v>227</v>
      </c>
      <c r="C51">
        <v>1126.371826171875</v>
      </c>
      <c r="G51" t="s">
        <v>231</v>
      </c>
      <c r="H51" t="s">
        <v>85</v>
      </c>
      <c r="I51" t="s">
        <v>251</v>
      </c>
      <c r="J51">
        <f>SUMIFS(C:C,B:B,G51,A:A,I51)</f>
        <v>554.13611221313477</v>
      </c>
    </row>
    <row r="52" spans="1:10">
      <c r="A52" t="s">
        <v>251</v>
      </c>
      <c r="B52" t="s">
        <v>228</v>
      </c>
      <c r="C52">
        <v>62.941947937011719</v>
      </c>
      <c r="G52" t="s">
        <v>230</v>
      </c>
      <c r="H52" t="s">
        <v>86</v>
      </c>
      <c r="I52" t="s">
        <v>251</v>
      </c>
      <c r="J52">
        <f>SUMIFS(C:C,B:B,G52,A:A,I52)</f>
        <v>136.7129211425781</v>
      </c>
    </row>
    <row r="53" spans="1:10">
      <c r="A53" t="s">
        <v>251</v>
      </c>
      <c r="B53" t="s">
        <v>229</v>
      </c>
      <c r="C53">
        <v>310.16336059570313</v>
      </c>
      <c r="G53" t="s">
        <v>224</v>
      </c>
      <c r="H53" t="s">
        <v>87</v>
      </c>
      <c r="I53" t="s">
        <v>251</v>
      </c>
      <c r="J53">
        <f>SUMIFS(C:C,B:B,G53,A:A,I53)</f>
        <v>185.64090728759771</v>
      </c>
    </row>
    <row r="54" spans="1:10">
      <c r="A54" t="s">
        <v>251</v>
      </c>
      <c r="B54" t="s">
        <v>230</v>
      </c>
      <c r="C54">
        <v>136.7129211425781</v>
      </c>
      <c r="G54" t="s">
        <v>245</v>
      </c>
      <c r="H54" t="s">
        <v>88</v>
      </c>
      <c r="I54" t="s">
        <v>251</v>
      </c>
      <c r="J54">
        <f>SUMIFS(C:C,B:B,G54,A:A,I54)</f>
        <v>218.7733154296875</v>
      </c>
    </row>
    <row r="55" spans="1:10">
      <c r="A55" t="s">
        <v>251</v>
      </c>
      <c r="B55" t="s">
        <v>231</v>
      </c>
      <c r="C55">
        <v>554.13611221313477</v>
      </c>
      <c r="G55" t="s">
        <v>229</v>
      </c>
      <c r="H55" t="s">
        <v>89</v>
      </c>
      <c r="I55" t="s">
        <v>251</v>
      </c>
      <c r="J55">
        <f>SUMIFS(C:C,B:B,G55,A:A,I55)</f>
        <v>310.16336059570313</v>
      </c>
    </row>
    <row r="56" spans="1:10">
      <c r="A56" t="s">
        <v>251</v>
      </c>
      <c r="B56" t="s">
        <v>232</v>
      </c>
      <c r="C56">
        <v>355.99378378875548</v>
      </c>
      <c r="G56" t="s">
        <v>225</v>
      </c>
      <c r="H56" t="s">
        <v>90</v>
      </c>
      <c r="I56" t="s">
        <v>251</v>
      </c>
      <c r="J56">
        <f>SUMIFS(C:C,B:B,G56,A:A,I56)</f>
        <v>889.28226470947266</v>
      </c>
    </row>
    <row r="57" spans="1:10">
      <c r="A57" t="s">
        <v>251</v>
      </c>
      <c r="B57" t="s">
        <v>233</v>
      </c>
      <c r="C57">
        <v>474.81072998046881</v>
      </c>
      <c r="G57" t="s">
        <v>221</v>
      </c>
      <c r="H57" t="s">
        <v>91</v>
      </c>
      <c r="I57" t="s">
        <v>251</v>
      </c>
      <c r="J57">
        <f>SUMIFS(C:C,B:B,G57,A:A,I57)</f>
        <v>780.6396484375</v>
      </c>
    </row>
    <row r="58" spans="1:10">
      <c r="A58" t="s">
        <v>251</v>
      </c>
      <c r="B58" t="s">
        <v>234</v>
      </c>
      <c r="C58">
        <v>47.254074096679688</v>
      </c>
      <c r="G58" t="s">
        <v>244</v>
      </c>
      <c r="H58" t="s">
        <v>256</v>
      </c>
      <c r="I58" t="s">
        <v>251</v>
      </c>
      <c r="J58">
        <f>SUMIFS(C:C,B:B,G58,A:A,I58)</f>
        <v>1334.710327148438</v>
      </c>
    </row>
    <row r="59" spans="1:10">
      <c r="A59" t="s">
        <v>251</v>
      </c>
      <c r="B59" t="s">
        <v>235</v>
      </c>
      <c r="C59">
        <v>607.26981353759766</v>
      </c>
      <c r="G59" t="s">
        <v>213</v>
      </c>
      <c r="H59" t="s">
        <v>93</v>
      </c>
      <c r="I59" t="s">
        <v>251</v>
      </c>
      <c r="J59">
        <f>SUMIFS(C:C,B:B,G59,A:A,I59)</f>
        <v>479.86105346679688</v>
      </c>
    </row>
    <row r="60" spans="1:10">
      <c r="A60" t="s">
        <v>251</v>
      </c>
      <c r="B60" t="s">
        <v>236</v>
      </c>
      <c r="C60">
        <v>123.22125244140619</v>
      </c>
      <c r="G60" t="s">
        <v>238</v>
      </c>
      <c r="H60" t="s">
        <v>94</v>
      </c>
      <c r="I60" t="s">
        <v>251</v>
      </c>
      <c r="J60">
        <f>SUMIFS(C:C,B:B,G60,A:A,I60)</f>
        <v>637.67254638671875</v>
      </c>
    </row>
    <row r="61" spans="1:10">
      <c r="A61" t="s">
        <v>251</v>
      </c>
      <c r="B61" t="s">
        <v>237</v>
      </c>
      <c r="C61">
        <v>1105.462158203125</v>
      </c>
      <c r="G61" t="s">
        <v>247</v>
      </c>
      <c r="H61" t="s">
        <v>95</v>
      </c>
      <c r="I61" t="s">
        <v>251</v>
      </c>
      <c r="J61">
        <f>SUMIFS(C:C,B:B,G61,A:A,I61)</f>
        <v>82.188583374023438</v>
      </c>
    </row>
    <row r="62" spans="1:10">
      <c r="A62" t="s">
        <v>251</v>
      </c>
      <c r="B62" t="s">
        <v>238</v>
      </c>
      <c r="C62">
        <v>637.67254638671875</v>
      </c>
      <c r="G62" t="s">
        <v>218</v>
      </c>
      <c r="H62" t="s">
        <v>96</v>
      </c>
      <c r="I62" t="s">
        <v>251</v>
      </c>
      <c r="J62">
        <f>SUMIFS(C:C,B:B,G62,A:A,I62)</f>
        <v>89.333908081054673</v>
      </c>
    </row>
    <row r="63" spans="1:10">
      <c r="A63" t="s">
        <v>251</v>
      </c>
      <c r="B63" t="s">
        <v>239</v>
      </c>
      <c r="C63">
        <v>36.195899963378913</v>
      </c>
      <c r="G63" t="s">
        <v>257</v>
      </c>
      <c r="H63" t="s">
        <v>97</v>
      </c>
      <c r="I63" t="s">
        <v>251</v>
      </c>
      <c r="J63">
        <f>SUMIFS(C:C,B:B,G63,A:A,I63)</f>
        <v>151.8141174316406</v>
      </c>
    </row>
    <row r="64" spans="1:10">
      <c r="A64" t="s">
        <v>251</v>
      </c>
      <c r="B64" t="s">
        <v>240</v>
      </c>
      <c r="C64">
        <v>46.157157897949219</v>
      </c>
      <c r="G64" t="s">
        <v>220</v>
      </c>
      <c r="H64" t="s">
        <v>98</v>
      </c>
      <c r="I64" t="s">
        <v>251</v>
      </c>
      <c r="J64">
        <f>SUMIFS(C:C,B:B,G64,A:A,I64)</f>
        <v>785.48065185546875</v>
      </c>
    </row>
    <row r="65" spans="1:10">
      <c r="A65" t="s">
        <v>251</v>
      </c>
      <c r="B65" t="s">
        <v>241</v>
      </c>
      <c r="C65">
        <v>60.301860809326172</v>
      </c>
      <c r="G65" t="s">
        <v>235</v>
      </c>
      <c r="H65" t="s">
        <v>99</v>
      </c>
      <c r="I65" t="s">
        <v>251</v>
      </c>
      <c r="J65">
        <f>SUMIFS(C:C,B:B,G65,A:A,I65)</f>
        <v>607.26981353759766</v>
      </c>
    </row>
    <row r="66" spans="1:10">
      <c r="A66" t="s">
        <v>251</v>
      </c>
      <c r="B66" t="s">
        <v>242</v>
      </c>
      <c r="C66">
        <v>109.8926086425781</v>
      </c>
      <c r="G66" t="s">
        <v>240</v>
      </c>
      <c r="H66" t="s">
        <v>100</v>
      </c>
      <c r="I66" t="s">
        <v>251</v>
      </c>
      <c r="J66">
        <f>SUMIFS(C:C,B:B,G66,A:A,I66)</f>
        <v>46.157157897949219</v>
      </c>
    </row>
    <row r="67" spans="1:10">
      <c r="A67" t="s">
        <v>251</v>
      </c>
      <c r="B67" t="s">
        <v>243</v>
      </c>
      <c r="C67">
        <v>142.40824127197271</v>
      </c>
      <c r="G67" t="s">
        <v>233</v>
      </c>
      <c r="H67" t="s">
        <v>101</v>
      </c>
      <c r="I67" t="s">
        <v>251</v>
      </c>
      <c r="J67">
        <f>SUMIFS(C:C,B:B,G67,A:A,I67)</f>
        <v>474.81072998046881</v>
      </c>
    </row>
    <row r="68" spans="1:10">
      <c r="A68" t="s">
        <v>251</v>
      </c>
      <c r="B68" t="s">
        <v>244</v>
      </c>
      <c r="C68">
        <v>1334.710327148438</v>
      </c>
      <c r="G68" t="s">
        <v>237</v>
      </c>
      <c r="H68" t="s">
        <v>135</v>
      </c>
      <c r="I68" t="s">
        <v>251</v>
      </c>
      <c r="J68">
        <f>SUMIFS(C:C,B:B,G68,A:A,I68)</f>
        <v>1105.462158203125</v>
      </c>
    </row>
    <row r="69" spans="1:10">
      <c r="A69" t="s">
        <v>251</v>
      </c>
      <c r="B69" t="s">
        <v>245</v>
      </c>
      <c r="C69">
        <v>218.7733154296875</v>
      </c>
      <c r="G69" t="s">
        <v>223</v>
      </c>
      <c r="H69" t="s">
        <v>103</v>
      </c>
      <c r="I69" t="s">
        <v>251</v>
      </c>
      <c r="J69">
        <f>SUMIFS(C:C,B:B,G69,A:A,I69)</f>
        <v>741.1993408203125</v>
      </c>
    </row>
    <row r="70" spans="1:10">
      <c r="A70" t="s">
        <v>251</v>
      </c>
      <c r="B70" t="s">
        <v>257</v>
      </c>
      <c r="C70">
        <v>151.8141174316406</v>
      </c>
      <c r="G70" t="s">
        <v>227</v>
      </c>
      <c r="H70" t="s">
        <v>104</v>
      </c>
      <c r="I70" t="s">
        <v>251</v>
      </c>
      <c r="J70">
        <f>SUMIFS(C:C,B:B,G70,A:A,I70)</f>
        <v>1126.371826171875</v>
      </c>
    </row>
    <row r="71" spans="1:10">
      <c r="A71" t="s">
        <v>251</v>
      </c>
      <c r="B71" t="s">
        <v>246</v>
      </c>
      <c r="C71">
        <v>51.016105651855469</v>
      </c>
      <c r="G71" t="s">
        <v>241</v>
      </c>
      <c r="H71" t="s">
        <v>105</v>
      </c>
      <c r="I71" t="s">
        <v>251</v>
      </c>
      <c r="J71">
        <f>SUMIFS(C:C,B:B,G71,A:A,I71)</f>
        <v>60.301860809326172</v>
      </c>
    </row>
    <row r="72" spans="1:10">
      <c r="A72" t="s">
        <v>251</v>
      </c>
      <c r="B72" t="s">
        <v>247</v>
      </c>
      <c r="C72">
        <v>82.188583374023438</v>
      </c>
      <c r="G72" t="s">
        <v>222</v>
      </c>
      <c r="H72" t="s">
        <v>106</v>
      </c>
      <c r="I72" t="s">
        <v>251</v>
      </c>
      <c r="J72">
        <f>SUMIFS(C:C,B:B,G72,A:A,I72)</f>
        <v>0.32426086068153381</v>
      </c>
    </row>
    <row r="73" spans="1:10">
      <c r="A73" t="s">
        <v>252</v>
      </c>
      <c r="B73" t="s">
        <v>213</v>
      </c>
      <c r="C73">
        <v>789.77117919921875</v>
      </c>
      <c r="G73" t="s">
        <v>217</v>
      </c>
      <c r="H73" t="s">
        <v>74</v>
      </c>
      <c r="I73" t="s">
        <v>252</v>
      </c>
      <c r="J73">
        <f>SUMIFS(C:C,B:B,G73,A:A,I73)</f>
        <v>6.9459184904117137</v>
      </c>
    </row>
    <row r="74" spans="1:10">
      <c r="A74" t="s">
        <v>252</v>
      </c>
      <c r="B74" t="s">
        <v>217</v>
      </c>
      <c r="C74">
        <v>6.9459184904117137</v>
      </c>
      <c r="G74" t="s">
        <v>232</v>
      </c>
      <c r="H74" t="s">
        <v>75</v>
      </c>
      <c r="I74" t="s">
        <v>252</v>
      </c>
      <c r="J74">
        <f>SUMIFS(C:C,B:B,G74,A:A,I74)</f>
        <v>1459.966811202466</v>
      </c>
    </row>
    <row r="75" spans="1:10">
      <c r="A75" t="s">
        <v>252</v>
      </c>
      <c r="B75" t="s">
        <v>218</v>
      </c>
      <c r="C75">
        <v>101.8675231933594</v>
      </c>
      <c r="G75" t="s">
        <v>226</v>
      </c>
      <c r="H75" t="s">
        <v>76</v>
      </c>
      <c r="I75" t="s">
        <v>252</v>
      </c>
      <c r="J75">
        <f>SUMIFS(C:C,B:B,G75,A:A,I75)</f>
        <v>319.6035590171814</v>
      </c>
    </row>
    <row r="76" spans="1:10">
      <c r="A76" t="s">
        <v>252</v>
      </c>
      <c r="B76" t="s">
        <v>219</v>
      </c>
      <c r="C76">
        <v>212.55818176269531</v>
      </c>
      <c r="G76" t="s">
        <v>243</v>
      </c>
      <c r="H76" t="s">
        <v>77</v>
      </c>
      <c r="I76" t="s">
        <v>252</v>
      </c>
      <c r="J76">
        <f>SUMIFS(C:C,B:B,G76,A:A,I76)</f>
        <v>236.3339920043945</v>
      </c>
    </row>
    <row r="77" spans="1:10">
      <c r="A77" t="s">
        <v>252</v>
      </c>
      <c r="B77" t="s">
        <v>220</v>
      </c>
      <c r="C77">
        <v>895.68414306640625</v>
      </c>
      <c r="G77" t="s">
        <v>228</v>
      </c>
      <c r="H77" t="s">
        <v>78</v>
      </c>
      <c r="I77" t="s">
        <v>252</v>
      </c>
      <c r="J77">
        <f>SUMIFS(C:C,B:B,G77,A:A,I77)</f>
        <v>104.45550537109381</v>
      </c>
    </row>
    <row r="78" spans="1:10">
      <c r="A78" t="s">
        <v>252</v>
      </c>
      <c r="B78" t="s">
        <v>221</v>
      </c>
      <c r="C78">
        <v>2042.827758789062</v>
      </c>
      <c r="G78" t="s">
        <v>246</v>
      </c>
      <c r="H78" t="s">
        <v>79</v>
      </c>
      <c r="I78" t="s">
        <v>252</v>
      </c>
      <c r="J78">
        <f>SUMIFS(C:C,B:B,G78,A:A,I78)</f>
        <v>84.6639404296875</v>
      </c>
    </row>
    <row r="79" spans="1:10">
      <c r="A79" t="s">
        <v>252</v>
      </c>
      <c r="B79" t="s">
        <v>222</v>
      </c>
      <c r="C79">
        <v>1.886375904083252</v>
      </c>
      <c r="G79" t="s">
        <v>239</v>
      </c>
      <c r="H79" t="s">
        <v>80</v>
      </c>
      <c r="I79" t="s">
        <v>252</v>
      </c>
      <c r="J79">
        <f>SUMIFS(C:C,B:B,G79,A:A,I79)</f>
        <v>60.069015502929688</v>
      </c>
    </row>
    <row r="80" spans="1:10">
      <c r="A80" t="s">
        <v>252</v>
      </c>
      <c r="B80" t="s">
        <v>223</v>
      </c>
      <c r="C80">
        <v>2042.032836914062</v>
      </c>
      <c r="G80" t="s">
        <v>234</v>
      </c>
      <c r="H80" t="s">
        <v>81</v>
      </c>
      <c r="I80" t="s">
        <v>252</v>
      </c>
      <c r="J80">
        <f>SUMIFS(C:C,B:B,G80,A:A,I80)</f>
        <v>78.420654296875</v>
      </c>
    </row>
    <row r="81" spans="1:10">
      <c r="A81" t="s">
        <v>252</v>
      </c>
      <c r="B81" t="s">
        <v>224</v>
      </c>
      <c r="C81">
        <v>308.08090209960938</v>
      </c>
      <c r="G81" t="s">
        <v>219</v>
      </c>
      <c r="H81" t="s">
        <v>82</v>
      </c>
      <c r="I81" t="s">
        <v>252</v>
      </c>
      <c r="J81">
        <f>SUMIFS(C:C,B:B,G81,A:A,I81)</f>
        <v>212.55818176269531</v>
      </c>
    </row>
    <row r="82" spans="1:10">
      <c r="A82" t="s">
        <v>252</v>
      </c>
      <c r="B82" t="s">
        <v>225</v>
      </c>
      <c r="C82">
        <v>870.67996215820313</v>
      </c>
      <c r="G82" t="s">
        <v>242</v>
      </c>
      <c r="H82" t="s">
        <v>83</v>
      </c>
      <c r="I82" t="s">
        <v>252</v>
      </c>
      <c r="J82">
        <f>SUMIFS(C:C,B:B,G82,A:A,I82)</f>
        <v>182.3725891113281</v>
      </c>
    </row>
    <row r="83" spans="1:10">
      <c r="A83" t="s">
        <v>252</v>
      </c>
      <c r="B83" t="s">
        <v>226</v>
      </c>
      <c r="C83">
        <v>319.6035590171814</v>
      </c>
      <c r="G83" t="s">
        <v>236</v>
      </c>
      <c r="H83" t="s">
        <v>84</v>
      </c>
      <c r="I83" t="s">
        <v>252</v>
      </c>
      <c r="J83">
        <f>SUMIFS(C:C,B:B,G83,A:A,I83)</f>
        <v>204.49217224121091</v>
      </c>
    </row>
    <row r="84" spans="1:10">
      <c r="A84" t="s">
        <v>252</v>
      </c>
      <c r="B84" t="s">
        <v>227</v>
      </c>
      <c r="C84">
        <v>2714.447021484375</v>
      </c>
      <c r="G84" t="s">
        <v>231</v>
      </c>
      <c r="H84" t="s">
        <v>85</v>
      </c>
      <c r="I84" t="s">
        <v>252</v>
      </c>
      <c r="J84">
        <f>SUMIFS(C:C,B:B,G84,A:A,I84)</f>
        <v>919.61830902099609</v>
      </c>
    </row>
    <row r="85" spans="1:10">
      <c r="A85" t="s">
        <v>252</v>
      </c>
      <c r="B85" t="s">
        <v>228</v>
      </c>
      <c r="C85">
        <v>104.45550537109381</v>
      </c>
      <c r="G85" t="s">
        <v>230</v>
      </c>
      <c r="H85" t="s">
        <v>86</v>
      </c>
      <c r="I85" t="s">
        <v>252</v>
      </c>
      <c r="J85">
        <f>SUMIFS(C:C,B:B,G85,A:A,I85)</f>
        <v>226.88230895996091</v>
      </c>
    </row>
    <row r="86" spans="1:10">
      <c r="A86" t="s">
        <v>252</v>
      </c>
      <c r="B86" t="s">
        <v>229</v>
      </c>
      <c r="C86">
        <v>514.7325439453125</v>
      </c>
      <c r="G86" t="s">
        <v>224</v>
      </c>
      <c r="H86" t="s">
        <v>87</v>
      </c>
      <c r="I86" t="s">
        <v>252</v>
      </c>
      <c r="J86">
        <f>SUMIFS(C:C,B:B,G86,A:A,I86)</f>
        <v>308.08090209960938</v>
      </c>
    </row>
    <row r="87" spans="1:10">
      <c r="A87" t="s">
        <v>252</v>
      </c>
      <c r="B87" t="s">
        <v>230</v>
      </c>
      <c r="C87">
        <v>226.88230895996091</v>
      </c>
      <c r="G87" t="s">
        <v>245</v>
      </c>
      <c r="H87" t="s">
        <v>88</v>
      </c>
      <c r="I87" t="s">
        <v>252</v>
      </c>
      <c r="J87">
        <f>SUMIFS(C:C,B:B,G87,A:A,I87)</f>
        <v>363.06585693359381</v>
      </c>
    </row>
    <row r="88" spans="1:10">
      <c r="A88" t="s">
        <v>252</v>
      </c>
      <c r="B88" t="s">
        <v>231</v>
      </c>
      <c r="C88">
        <v>919.61830902099609</v>
      </c>
      <c r="G88" t="s">
        <v>229</v>
      </c>
      <c r="H88" t="s">
        <v>89</v>
      </c>
      <c r="I88" t="s">
        <v>252</v>
      </c>
      <c r="J88">
        <f>SUMIFS(C:C,B:B,G88,A:A,I88)</f>
        <v>514.7325439453125</v>
      </c>
    </row>
    <row r="89" spans="1:10">
      <c r="A89" t="s">
        <v>252</v>
      </c>
      <c r="B89" t="s">
        <v>232</v>
      </c>
      <c r="C89">
        <v>1459.966811202466</v>
      </c>
      <c r="G89" t="s">
        <v>225</v>
      </c>
      <c r="H89" t="s">
        <v>90</v>
      </c>
      <c r="I89" t="s">
        <v>252</v>
      </c>
      <c r="J89">
        <f>SUMIFS(C:C,B:B,G89,A:A,I89)</f>
        <v>870.67996215820313</v>
      </c>
    </row>
    <row r="90" spans="1:10">
      <c r="A90" t="s">
        <v>252</v>
      </c>
      <c r="B90" t="s">
        <v>233</v>
      </c>
      <c r="C90">
        <v>1165.935546875</v>
      </c>
      <c r="G90" t="s">
        <v>221</v>
      </c>
      <c r="H90" t="s">
        <v>91</v>
      </c>
      <c r="I90" t="s">
        <v>252</v>
      </c>
      <c r="J90">
        <f>SUMIFS(C:C,B:B,G90,A:A,I90)</f>
        <v>2042.827758789062</v>
      </c>
    </row>
    <row r="91" spans="1:10">
      <c r="A91" t="s">
        <v>252</v>
      </c>
      <c r="B91" t="s">
        <v>234</v>
      </c>
      <c r="C91">
        <v>78.420654296875</v>
      </c>
      <c r="G91" t="s">
        <v>244</v>
      </c>
      <c r="H91" t="s">
        <v>256</v>
      </c>
      <c r="I91" t="s">
        <v>252</v>
      </c>
      <c r="J91">
        <f>SUMIFS(C:C,B:B,G91,A:A,I91)</f>
        <v>1024.890502929688</v>
      </c>
    </row>
    <row r="92" spans="1:10">
      <c r="A92" t="s">
        <v>252</v>
      </c>
      <c r="B92" t="s">
        <v>235</v>
      </c>
      <c r="C92">
        <v>307.67634773254389</v>
      </c>
      <c r="G92" t="s">
        <v>213</v>
      </c>
      <c r="H92" t="s">
        <v>93</v>
      </c>
      <c r="I92" t="s">
        <v>252</v>
      </c>
      <c r="J92">
        <f>SUMIFS(C:C,B:B,G92,A:A,I92)</f>
        <v>789.77117919921875</v>
      </c>
    </row>
    <row r="93" spans="1:10">
      <c r="A93" t="s">
        <v>252</v>
      </c>
      <c r="B93" t="s">
        <v>236</v>
      </c>
      <c r="C93">
        <v>204.49217224121091</v>
      </c>
      <c r="G93" t="s">
        <v>238</v>
      </c>
      <c r="H93" t="s">
        <v>94</v>
      </c>
      <c r="I93" t="s">
        <v>252</v>
      </c>
      <c r="J93">
        <f>SUMIFS(C:C,B:B,G93,A:A,I93)</f>
        <v>727.13848876953125</v>
      </c>
    </row>
    <row r="94" spans="1:10">
      <c r="A94" t="s">
        <v>252</v>
      </c>
      <c r="B94" t="s">
        <v>237</v>
      </c>
      <c r="C94">
        <v>1166.951782226562</v>
      </c>
      <c r="G94" t="s">
        <v>247</v>
      </c>
      <c r="H94" t="s">
        <v>95</v>
      </c>
      <c r="I94" t="s">
        <v>252</v>
      </c>
      <c r="J94">
        <f>SUMIFS(C:C,B:B,G94,A:A,I94)</f>
        <v>93.719711303710938</v>
      </c>
    </row>
    <row r="95" spans="1:10">
      <c r="A95" t="s">
        <v>252</v>
      </c>
      <c r="B95" t="s">
        <v>238</v>
      </c>
      <c r="C95">
        <v>727.13848876953125</v>
      </c>
      <c r="G95" t="s">
        <v>218</v>
      </c>
      <c r="H95" t="s">
        <v>96</v>
      </c>
      <c r="I95" t="s">
        <v>252</v>
      </c>
      <c r="J95">
        <f>SUMIFS(C:C,B:B,G95,A:A,I95)</f>
        <v>101.8675231933594</v>
      </c>
    </row>
    <row r="96" spans="1:10">
      <c r="A96" t="s">
        <v>252</v>
      </c>
      <c r="B96" t="s">
        <v>239</v>
      </c>
      <c r="C96">
        <v>60.069015502929688</v>
      </c>
      <c r="G96" t="s">
        <v>257</v>
      </c>
      <c r="H96" t="s">
        <v>97</v>
      </c>
      <c r="I96" t="s">
        <v>252</v>
      </c>
      <c r="J96">
        <f>SUMIFS(C:C,B:B,G96,A:A,I96)</f>
        <v>173.11376953125</v>
      </c>
    </row>
    <row r="97" spans="1:10">
      <c r="A97" t="s">
        <v>252</v>
      </c>
      <c r="B97" t="s">
        <v>240</v>
      </c>
      <c r="C97">
        <v>113.3425674438477</v>
      </c>
      <c r="G97" t="s">
        <v>220</v>
      </c>
      <c r="H97" t="s">
        <v>98</v>
      </c>
      <c r="I97" t="s">
        <v>252</v>
      </c>
      <c r="J97">
        <f>SUMIFS(C:C,B:B,G97,A:A,I97)</f>
        <v>895.68414306640625</v>
      </c>
    </row>
    <row r="98" spans="1:10">
      <c r="A98" t="s">
        <v>252</v>
      </c>
      <c r="B98" t="s">
        <v>241</v>
      </c>
      <c r="C98">
        <v>60.852405548095703</v>
      </c>
      <c r="G98" t="s">
        <v>235</v>
      </c>
      <c r="H98" t="s">
        <v>99</v>
      </c>
      <c r="I98" t="s">
        <v>252</v>
      </c>
      <c r="J98">
        <f>SUMIFS(C:C,B:B,G98,A:A,I98)</f>
        <v>307.67634773254389</v>
      </c>
    </row>
    <row r="99" spans="1:10">
      <c r="A99" t="s">
        <v>252</v>
      </c>
      <c r="B99" t="s">
        <v>242</v>
      </c>
      <c r="C99">
        <v>182.3725891113281</v>
      </c>
      <c r="G99" t="s">
        <v>240</v>
      </c>
      <c r="H99" t="s">
        <v>100</v>
      </c>
      <c r="I99" t="s">
        <v>252</v>
      </c>
      <c r="J99">
        <f>SUMIFS(C:C,B:B,G99,A:A,I99)</f>
        <v>113.3425674438477</v>
      </c>
    </row>
    <row r="100" spans="1:10">
      <c r="A100" t="s">
        <v>252</v>
      </c>
      <c r="B100" t="s">
        <v>243</v>
      </c>
      <c r="C100">
        <v>236.3339920043945</v>
      </c>
      <c r="G100" t="s">
        <v>233</v>
      </c>
      <c r="H100" t="s">
        <v>101</v>
      </c>
      <c r="I100" t="s">
        <v>252</v>
      </c>
      <c r="J100">
        <f>SUMIFS(C:C,B:B,G100,A:A,I100)</f>
        <v>1165.935546875</v>
      </c>
    </row>
    <row r="101" spans="1:10">
      <c r="A101" t="s">
        <v>252</v>
      </c>
      <c r="B101" t="s">
        <v>244</v>
      </c>
      <c r="C101">
        <v>1024.890502929688</v>
      </c>
      <c r="G101" t="s">
        <v>237</v>
      </c>
      <c r="H101" t="s">
        <v>135</v>
      </c>
      <c r="I101" t="s">
        <v>252</v>
      </c>
      <c r="J101">
        <f>SUMIFS(C:C,B:B,G101,A:A,I101)</f>
        <v>1166.951782226562</v>
      </c>
    </row>
    <row r="102" spans="1:10">
      <c r="A102" t="s">
        <v>252</v>
      </c>
      <c r="B102" t="s">
        <v>245</v>
      </c>
      <c r="C102">
        <v>363.06585693359381</v>
      </c>
      <c r="G102" t="s">
        <v>223</v>
      </c>
      <c r="H102" t="s">
        <v>103</v>
      </c>
      <c r="I102" t="s">
        <v>252</v>
      </c>
      <c r="J102">
        <f>SUMIFS(C:C,B:B,G102,A:A,I102)</f>
        <v>2042.032836914062</v>
      </c>
    </row>
    <row r="103" spans="1:10">
      <c r="A103" t="s">
        <v>252</v>
      </c>
      <c r="B103" t="s">
        <v>257</v>
      </c>
      <c r="C103">
        <v>173.11376953125</v>
      </c>
      <c r="G103" t="s">
        <v>227</v>
      </c>
      <c r="H103" t="s">
        <v>104</v>
      </c>
      <c r="I103" t="s">
        <v>252</v>
      </c>
      <c r="J103">
        <f>SUMIFS(C:C,B:B,G103,A:A,I103)</f>
        <v>2714.447021484375</v>
      </c>
    </row>
    <row r="104" spans="1:10">
      <c r="A104" t="s">
        <v>252</v>
      </c>
      <c r="B104" t="s">
        <v>246</v>
      </c>
      <c r="C104">
        <v>84.6639404296875</v>
      </c>
      <c r="G104" t="s">
        <v>241</v>
      </c>
      <c r="H104" t="s">
        <v>105</v>
      </c>
      <c r="I104" t="s">
        <v>252</v>
      </c>
      <c r="J104">
        <f>SUMIFS(C:C,B:B,G104,A:A,I104)</f>
        <v>60.852405548095703</v>
      </c>
    </row>
    <row r="105" spans="1:10">
      <c r="A105" t="s">
        <v>252</v>
      </c>
      <c r="B105" t="s">
        <v>247</v>
      </c>
      <c r="C105">
        <v>93.719711303710938</v>
      </c>
      <c r="G105" t="s">
        <v>222</v>
      </c>
      <c r="H105" t="s">
        <v>106</v>
      </c>
      <c r="I105" t="s">
        <v>252</v>
      </c>
      <c r="J105">
        <f>SUMIFS(C:C,B:B,G105,A:A,I105)</f>
        <v>1.886375904083252</v>
      </c>
    </row>
    <row r="106" spans="1:10">
      <c r="A106" t="s">
        <v>253</v>
      </c>
      <c r="B106" t="s">
        <v>213</v>
      </c>
      <c r="C106">
        <v>3751.85107421875</v>
      </c>
      <c r="G106" t="s">
        <v>217</v>
      </c>
      <c r="H106" t="s">
        <v>74</v>
      </c>
      <c r="I106" t="s">
        <v>253</v>
      </c>
      <c r="J106">
        <f>SUMIFS(C:C,B:B,G106,A:A,I106)</f>
        <v>7.3500931388116442</v>
      </c>
    </row>
    <row r="107" spans="1:10">
      <c r="A107" t="s">
        <v>253</v>
      </c>
      <c r="B107" t="s">
        <v>217</v>
      </c>
      <c r="C107">
        <v>7.3500931388116442</v>
      </c>
      <c r="G107" t="s">
        <v>232</v>
      </c>
      <c r="H107" t="s">
        <v>75</v>
      </c>
      <c r="I107" t="s">
        <v>253</v>
      </c>
      <c r="J107">
        <f>SUMIFS(C:C,B:B,G107,A:A,I107)</f>
        <v>409.85393471550202</v>
      </c>
    </row>
    <row r="108" spans="1:10">
      <c r="A108" t="s">
        <v>253</v>
      </c>
      <c r="B108" t="s">
        <v>218</v>
      </c>
      <c r="C108">
        <v>82.333778381347656</v>
      </c>
      <c r="G108" t="s">
        <v>226</v>
      </c>
      <c r="H108" t="s">
        <v>76</v>
      </c>
      <c r="I108" t="s">
        <v>253</v>
      </c>
      <c r="J108">
        <f>SUMIFS(C:C,B:B,G108,A:A,I108)</f>
        <v>174.62677454948431</v>
      </c>
    </row>
    <row r="109" spans="1:10">
      <c r="A109" t="s">
        <v>253</v>
      </c>
      <c r="B109" t="s">
        <v>219</v>
      </c>
      <c r="C109">
        <v>116.138708114624</v>
      </c>
      <c r="G109" t="s">
        <v>243</v>
      </c>
      <c r="H109" t="s">
        <v>77</v>
      </c>
      <c r="I109" t="s">
        <v>253</v>
      </c>
      <c r="J109">
        <f>SUMIFS(C:C,B:B,G109,A:A,I109)</f>
        <v>129.12947845458979</v>
      </c>
    </row>
    <row r="110" spans="1:10">
      <c r="A110" t="s">
        <v>253</v>
      </c>
      <c r="B110" t="s">
        <v>220</v>
      </c>
      <c r="C110">
        <v>723.9310302734375</v>
      </c>
      <c r="G110" t="s">
        <v>228</v>
      </c>
      <c r="H110" t="s">
        <v>78</v>
      </c>
      <c r="I110" t="s">
        <v>253</v>
      </c>
      <c r="J110">
        <f>SUMIFS(C:C,B:B,G110,A:A,I110)</f>
        <v>57.072975158691413</v>
      </c>
    </row>
    <row r="111" spans="1:10">
      <c r="A111" t="s">
        <v>253</v>
      </c>
      <c r="B111" t="s">
        <v>221</v>
      </c>
      <c r="C111">
        <v>342.03585815429688</v>
      </c>
      <c r="G111" t="s">
        <v>246</v>
      </c>
      <c r="H111" t="s">
        <v>79</v>
      </c>
      <c r="I111" t="s">
        <v>253</v>
      </c>
      <c r="J111">
        <f>SUMIFS(C:C,B:B,G111,A:A,I111)</f>
        <v>46.259147644042969</v>
      </c>
    </row>
    <row r="112" spans="1:10">
      <c r="A112" t="s">
        <v>253</v>
      </c>
      <c r="B112" t="s">
        <v>222</v>
      </c>
      <c r="C112">
        <v>0.68777984380722046</v>
      </c>
      <c r="G112" t="s">
        <v>239</v>
      </c>
      <c r="H112" t="s">
        <v>80</v>
      </c>
      <c r="I112" t="s">
        <v>253</v>
      </c>
      <c r="J112">
        <f>SUMIFS(C:C,B:B,G112,A:A,I112)</f>
        <v>32.820838928222663</v>
      </c>
    </row>
    <row r="113" spans="1:10">
      <c r="A113" t="s">
        <v>253</v>
      </c>
      <c r="B113" t="s">
        <v>223</v>
      </c>
      <c r="C113">
        <v>2121.676513671875</v>
      </c>
      <c r="G113" t="s">
        <v>234</v>
      </c>
      <c r="H113" t="s">
        <v>81</v>
      </c>
      <c r="I113" t="s">
        <v>253</v>
      </c>
      <c r="J113">
        <f>SUMIFS(C:C,B:B,G113,A:A,I113)</f>
        <v>42.847900390625</v>
      </c>
    </row>
    <row r="114" spans="1:10">
      <c r="A114" t="s">
        <v>253</v>
      </c>
      <c r="B114" t="s">
        <v>224</v>
      </c>
      <c r="C114">
        <v>168.3309516906738</v>
      </c>
      <c r="G114" t="s">
        <v>219</v>
      </c>
      <c r="H114" t="s">
        <v>82</v>
      </c>
      <c r="I114" t="s">
        <v>253</v>
      </c>
      <c r="J114">
        <f>SUMIFS(C:C,B:B,G114,A:A,I114)</f>
        <v>116.138708114624</v>
      </c>
    </row>
    <row r="115" spans="1:10">
      <c r="A115" t="s">
        <v>253</v>
      </c>
      <c r="B115" t="s">
        <v>225</v>
      </c>
      <c r="C115">
        <v>414.3192024230957</v>
      </c>
      <c r="G115" t="s">
        <v>242</v>
      </c>
      <c r="H115" t="s">
        <v>83</v>
      </c>
      <c r="I115" t="s">
        <v>253</v>
      </c>
      <c r="J115">
        <f>SUMIFS(C:C,B:B,G115,A:A,I115)</f>
        <v>99.645736694335938</v>
      </c>
    </row>
    <row r="116" spans="1:10">
      <c r="A116" t="s">
        <v>253</v>
      </c>
      <c r="B116" t="s">
        <v>226</v>
      </c>
      <c r="C116">
        <v>174.62677454948431</v>
      </c>
      <c r="G116" t="s">
        <v>236</v>
      </c>
      <c r="H116" t="s">
        <v>84</v>
      </c>
      <c r="I116" t="s">
        <v>253</v>
      </c>
      <c r="J116">
        <f>SUMIFS(C:C,B:B,G116,A:A,I116)</f>
        <v>111.731559753418</v>
      </c>
    </row>
    <row r="117" spans="1:10">
      <c r="A117" t="s">
        <v>253</v>
      </c>
      <c r="B117" t="s">
        <v>227</v>
      </c>
      <c r="C117">
        <v>2940.95361328125</v>
      </c>
      <c r="G117" t="s">
        <v>231</v>
      </c>
      <c r="H117" t="s">
        <v>85</v>
      </c>
      <c r="I117" t="s">
        <v>253</v>
      </c>
      <c r="J117">
        <f>SUMIFS(C:C,B:B,G117,A:A,I117)</f>
        <v>502.46614837646479</v>
      </c>
    </row>
    <row r="118" spans="1:10">
      <c r="A118" t="s">
        <v>253</v>
      </c>
      <c r="B118" t="s">
        <v>228</v>
      </c>
      <c r="C118">
        <v>57.072975158691413</v>
      </c>
      <c r="G118" t="s">
        <v>230</v>
      </c>
      <c r="H118" t="s">
        <v>86</v>
      </c>
      <c r="I118" t="s">
        <v>253</v>
      </c>
      <c r="J118">
        <f>SUMIFS(C:C,B:B,G118,A:A,I118)</f>
        <v>123.9652099609375</v>
      </c>
    </row>
    <row r="119" spans="1:10">
      <c r="A119" t="s">
        <v>253</v>
      </c>
      <c r="B119" t="s">
        <v>229</v>
      </c>
      <c r="C119">
        <v>281.242431640625</v>
      </c>
      <c r="G119" t="s">
        <v>224</v>
      </c>
      <c r="H119" t="s">
        <v>87</v>
      </c>
      <c r="I119" t="s">
        <v>253</v>
      </c>
      <c r="J119">
        <f>SUMIFS(C:C,B:B,G119,A:A,I119)</f>
        <v>168.3309516906738</v>
      </c>
    </row>
    <row r="120" spans="1:10">
      <c r="A120" t="s">
        <v>253</v>
      </c>
      <c r="B120" t="s">
        <v>230</v>
      </c>
      <c r="C120">
        <v>123.9652099609375</v>
      </c>
      <c r="G120" t="s">
        <v>245</v>
      </c>
      <c r="H120" t="s">
        <v>88</v>
      </c>
      <c r="I120" t="s">
        <v>253</v>
      </c>
      <c r="J120">
        <f>SUMIFS(C:C,B:B,G120,A:A,I120)</f>
        <v>198.37393951416021</v>
      </c>
    </row>
    <row r="121" spans="1:10">
      <c r="A121" t="s">
        <v>253</v>
      </c>
      <c r="B121" t="s">
        <v>231</v>
      </c>
      <c r="C121">
        <v>502.46614837646479</v>
      </c>
      <c r="G121" t="s">
        <v>229</v>
      </c>
      <c r="H121" t="s">
        <v>89</v>
      </c>
      <c r="I121" t="s">
        <v>253</v>
      </c>
      <c r="J121">
        <f>SUMIFS(C:C,B:B,G121,A:A,I121)</f>
        <v>281.242431640625</v>
      </c>
    </row>
    <row r="122" spans="1:10">
      <c r="A122" t="s">
        <v>253</v>
      </c>
      <c r="B122" t="s">
        <v>232</v>
      </c>
      <c r="C122">
        <v>409.85393471550202</v>
      </c>
      <c r="G122" t="s">
        <v>225</v>
      </c>
      <c r="H122" t="s">
        <v>90</v>
      </c>
      <c r="I122" t="s">
        <v>253</v>
      </c>
      <c r="J122">
        <f>SUMIFS(C:C,B:B,G122,A:A,I122)</f>
        <v>414.3192024230957</v>
      </c>
    </row>
    <row r="123" spans="1:10">
      <c r="A123" t="s">
        <v>253</v>
      </c>
      <c r="B123" t="s">
        <v>233</v>
      </c>
      <c r="C123">
        <v>261.27838134765619</v>
      </c>
      <c r="G123" t="s">
        <v>221</v>
      </c>
      <c r="H123" t="s">
        <v>91</v>
      </c>
      <c r="I123" t="s">
        <v>253</v>
      </c>
      <c r="J123">
        <f>SUMIFS(C:C,B:B,G123,A:A,I123)</f>
        <v>342.03585815429688</v>
      </c>
    </row>
    <row r="124" spans="1:10">
      <c r="A124" t="s">
        <v>253</v>
      </c>
      <c r="B124" t="s">
        <v>234</v>
      </c>
      <c r="C124">
        <v>42.847900390625</v>
      </c>
      <c r="G124" t="s">
        <v>244</v>
      </c>
      <c r="H124" t="s">
        <v>256</v>
      </c>
      <c r="I124" t="s">
        <v>253</v>
      </c>
      <c r="J124">
        <f>SUMIFS(C:C,B:B,G124,A:A,I124)</f>
        <v>4450.47119140625</v>
      </c>
    </row>
    <row r="125" spans="1:10">
      <c r="A125" t="s">
        <v>253</v>
      </c>
      <c r="B125" t="s">
        <v>235</v>
      </c>
      <c r="C125">
        <v>13.604443848133091</v>
      </c>
      <c r="G125" t="s">
        <v>213</v>
      </c>
      <c r="H125" t="s">
        <v>93</v>
      </c>
      <c r="I125" t="s">
        <v>253</v>
      </c>
      <c r="J125">
        <f>SUMIFS(C:C,B:B,G125,A:A,I125)</f>
        <v>3751.85107421875</v>
      </c>
    </row>
    <row r="126" spans="1:10">
      <c r="A126" t="s">
        <v>253</v>
      </c>
      <c r="B126" t="s">
        <v>236</v>
      </c>
      <c r="C126">
        <v>111.731559753418</v>
      </c>
      <c r="G126" t="s">
        <v>238</v>
      </c>
      <c r="H126" t="s">
        <v>94</v>
      </c>
      <c r="I126" t="s">
        <v>253</v>
      </c>
      <c r="J126">
        <f>SUMIFS(C:C,B:B,G126,A:A,I126)</f>
        <v>587.70513916015625</v>
      </c>
    </row>
    <row r="127" spans="1:10">
      <c r="A127" t="s">
        <v>253</v>
      </c>
      <c r="B127" t="s">
        <v>237</v>
      </c>
      <c r="C127">
        <v>1455.040649414062</v>
      </c>
      <c r="G127" t="s">
        <v>247</v>
      </c>
      <c r="H127" t="s">
        <v>95</v>
      </c>
      <c r="I127" t="s">
        <v>253</v>
      </c>
      <c r="J127">
        <f>SUMIFS(C:C,B:B,G127,A:A,I127)</f>
        <v>75.748374938964844</v>
      </c>
    </row>
    <row r="128" spans="1:10">
      <c r="A128" t="s">
        <v>253</v>
      </c>
      <c r="B128" t="s">
        <v>238</v>
      </c>
      <c r="C128">
        <v>587.70513916015625</v>
      </c>
      <c r="G128" t="s">
        <v>218</v>
      </c>
      <c r="H128" t="s">
        <v>96</v>
      </c>
      <c r="I128" t="s">
        <v>253</v>
      </c>
      <c r="J128">
        <f>SUMIFS(C:C,B:B,G128,A:A,I128)</f>
        <v>82.333778381347656</v>
      </c>
    </row>
    <row r="129" spans="1:10">
      <c r="A129" t="s">
        <v>253</v>
      </c>
      <c r="B129" t="s">
        <v>239</v>
      </c>
      <c r="C129">
        <v>32.820838928222663</v>
      </c>
      <c r="G129" t="s">
        <v>257</v>
      </c>
      <c r="H129" t="s">
        <v>97</v>
      </c>
      <c r="I129" t="s">
        <v>253</v>
      </c>
      <c r="J129">
        <f>SUMIFS(C:C,B:B,G129,A:A,I129)</f>
        <v>139.9181213378906</v>
      </c>
    </row>
    <row r="130" spans="1:10">
      <c r="A130" t="s">
        <v>253</v>
      </c>
      <c r="B130" t="s">
        <v>240</v>
      </c>
      <c r="C130">
        <v>25.399309158325199</v>
      </c>
      <c r="G130" t="s">
        <v>220</v>
      </c>
      <c r="H130" t="s">
        <v>98</v>
      </c>
      <c r="I130" t="s">
        <v>253</v>
      </c>
      <c r="J130">
        <f>SUMIFS(C:C,B:B,G130,A:A,I130)</f>
        <v>723.9310302734375</v>
      </c>
    </row>
    <row r="131" spans="1:10">
      <c r="A131" t="s">
        <v>253</v>
      </c>
      <c r="B131" t="s">
        <v>241</v>
      </c>
      <c r="C131">
        <v>3623.914794921875</v>
      </c>
      <c r="G131" t="s">
        <v>235</v>
      </c>
      <c r="H131" t="s">
        <v>99</v>
      </c>
      <c r="I131" t="s">
        <v>253</v>
      </c>
      <c r="J131">
        <f>SUMIFS(C:C,B:B,G131,A:A,I131)</f>
        <v>13.604443848133091</v>
      </c>
    </row>
    <row r="132" spans="1:10">
      <c r="A132" t="s">
        <v>253</v>
      </c>
      <c r="B132" t="s">
        <v>242</v>
      </c>
      <c r="C132">
        <v>99.645736694335938</v>
      </c>
      <c r="G132" t="s">
        <v>240</v>
      </c>
      <c r="H132" t="s">
        <v>100</v>
      </c>
      <c r="I132" t="s">
        <v>253</v>
      </c>
      <c r="J132">
        <f>SUMIFS(C:C,B:B,G132,A:A,I132)</f>
        <v>25.399309158325199</v>
      </c>
    </row>
    <row r="133" spans="1:10">
      <c r="A133" t="s">
        <v>253</v>
      </c>
      <c r="B133" t="s">
        <v>243</v>
      </c>
      <c r="C133">
        <v>129.12947845458979</v>
      </c>
      <c r="G133" t="s">
        <v>233</v>
      </c>
      <c r="H133" t="s">
        <v>101</v>
      </c>
      <c r="I133" t="s">
        <v>253</v>
      </c>
      <c r="J133">
        <f>SUMIFS(C:C,B:B,G133,A:A,I133)</f>
        <v>261.27838134765619</v>
      </c>
    </row>
    <row r="134" spans="1:10">
      <c r="A134" t="s">
        <v>253</v>
      </c>
      <c r="B134" t="s">
        <v>244</v>
      </c>
      <c r="C134">
        <v>4450.47119140625</v>
      </c>
      <c r="G134" t="s">
        <v>237</v>
      </c>
      <c r="H134" t="s">
        <v>135</v>
      </c>
      <c r="I134" t="s">
        <v>253</v>
      </c>
      <c r="J134">
        <f>SUMIFS(C:C,B:B,G134,A:A,I134)</f>
        <v>1455.040649414062</v>
      </c>
    </row>
    <row r="135" spans="1:10">
      <c r="A135" t="s">
        <v>253</v>
      </c>
      <c r="B135" t="s">
        <v>245</v>
      </c>
      <c r="C135">
        <v>198.37393951416021</v>
      </c>
      <c r="G135" t="s">
        <v>223</v>
      </c>
      <c r="H135" t="s">
        <v>103</v>
      </c>
      <c r="I135" t="s">
        <v>253</v>
      </c>
      <c r="J135">
        <f>SUMIFS(C:C,B:B,G135,A:A,I135)</f>
        <v>2121.676513671875</v>
      </c>
    </row>
    <row r="136" spans="1:10">
      <c r="A136" t="s">
        <v>253</v>
      </c>
      <c r="B136" t="s">
        <v>257</v>
      </c>
      <c r="C136">
        <v>139.9181213378906</v>
      </c>
      <c r="G136" t="s">
        <v>227</v>
      </c>
      <c r="H136" t="s">
        <v>104</v>
      </c>
      <c r="I136" t="s">
        <v>253</v>
      </c>
      <c r="J136">
        <f>SUMIFS(C:C,B:B,G136,A:A,I136)</f>
        <v>2940.95361328125</v>
      </c>
    </row>
    <row r="137" spans="1:10">
      <c r="A137" t="s">
        <v>253</v>
      </c>
      <c r="B137" t="s">
        <v>246</v>
      </c>
      <c r="C137">
        <v>46.259147644042969</v>
      </c>
      <c r="G137" t="s">
        <v>241</v>
      </c>
      <c r="H137" t="s">
        <v>105</v>
      </c>
      <c r="I137" t="s">
        <v>253</v>
      </c>
      <c r="J137">
        <f>SUMIFS(C:C,B:B,G137,A:A,I137)</f>
        <v>3623.914794921875</v>
      </c>
    </row>
    <row r="138" spans="1:10">
      <c r="A138" t="s">
        <v>253</v>
      </c>
      <c r="B138" t="s">
        <v>247</v>
      </c>
      <c r="C138">
        <v>75.748374938964844</v>
      </c>
      <c r="G138" t="s">
        <v>222</v>
      </c>
      <c r="H138" t="s">
        <v>106</v>
      </c>
      <c r="I138" t="s">
        <v>253</v>
      </c>
      <c r="J138">
        <f>SUMIFS(C:C,B:B,G138,A:A,I138)</f>
        <v>0.68777984380722046</v>
      </c>
    </row>
    <row r="139" spans="1:10">
      <c r="A139" t="s">
        <v>254</v>
      </c>
      <c r="B139" t="s">
        <v>213</v>
      </c>
      <c r="C139">
        <v>233.87535095214841</v>
      </c>
      <c r="G139" t="s">
        <v>217</v>
      </c>
      <c r="H139" t="s">
        <v>74</v>
      </c>
      <c r="I139" t="s">
        <v>254</v>
      </c>
      <c r="J139">
        <f>SUMIFS(C:C,B:B,G139,A:A,I139)</f>
        <v>3.2105283668497582</v>
      </c>
    </row>
    <row r="140" spans="1:10">
      <c r="A140" t="s">
        <v>254</v>
      </c>
      <c r="B140" t="s">
        <v>217</v>
      </c>
      <c r="C140">
        <v>3.2105283668497582</v>
      </c>
      <c r="G140" t="s">
        <v>232</v>
      </c>
      <c r="H140" t="s">
        <v>75</v>
      </c>
      <c r="I140" t="s">
        <v>254</v>
      </c>
      <c r="J140">
        <f>SUMIFS(C:C,B:B,G140,A:A,I140)</f>
        <v>644.02931750938296</v>
      </c>
    </row>
    <row r="141" spans="1:10">
      <c r="A141" t="s">
        <v>254</v>
      </c>
      <c r="B141" t="s">
        <v>218</v>
      </c>
      <c r="C141">
        <v>99.166175842285156</v>
      </c>
      <c r="G141" t="s">
        <v>226</v>
      </c>
      <c r="H141" t="s">
        <v>76</v>
      </c>
      <c r="I141" t="s">
        <v>254</v>
      </c>
      <c r="J141">
        <f>SUMIFS(C:C,B:B,G141,A:A,I141)</f>
        <v>345.50165557861328</v>
      </c>
    </row>
    <row r="142" spans="1:10">
      <c r="A142" t="s">
        <v>254</v>
      </c>
      <c r="B142" t="s">
        <v>219</v>
      </c>
      <c r="C142">
        <v>229.78214263916021</v>
      </c>
      <c r="G142" t="s">
        <v>243</v>
      </c>
      <c r="H142" t="s">
        <v>77</v>
      </c>
      <c r="I142" t="s">
        <v>254</v>
      </c>
      <c r="J142">
        <f>SUMIFS(C:C,B:B,G142,A:A,I142)</f>
        <v>255.48457336425781</v>
      </c>
    </row>
    <row r="143" spans="1:10">
      <c r="A143" t="s">
        <v>254</v>
      </c>
      <c r="B143" t="s">
        <v>220</v>
      </c>
      <c r="C143">
        <v>871.9320068359375</v>
      </c>
      <c r="G143" t="s">
        <v>228</v>
      </c>
      <c r="H143" t="s">
        <v>78</v>
      </c>
      <c r="I143" t="s">
        <v>254</v>
      </c>
      <c r="J143">
        <f>SUMIFS(C:C,B:B,G143,A:A,I143)</f>
        <v>112.9197235107422</v>
      </c>
    </row>
    <row r="144" spans="1:10">
      <c r="A144" t="s">
        <v>254</v>
      </c>
      <c r="B144" t="s">
        <v>221</v>
      </c>
      <c r="C144">
        <v>888.70941162109375</v>
      </c>
      <c r="G144" t="s">
        <v>246</v>
      </c>
      <c r="H144" t="s">
        <v>79</v>
      </c>
      <c r="I144" t="s">
        <v>254</v>
      </c>
      <c r="J144">
        <f>SUMIFS(C:C,B:B,G144,A:A,I144)</f>
        <v>91.5244140625</v>
      </c>
    </row>
    <row r="145" spans="1:10">
      <c r="A145" t="s">
        <v>254</v>
      </c>
      <c r="B145" t="s">
        <v>222</v>
      </c>
      <c r="C145">
        <v>2.038241863250732</v>
      </c>
      <c r="G145" t="s">
        <v>239</v>
      </c>
      <c r="H145" t="s">
        <v>80</v>
      </c>
      <c r="I145" t="s">
        <v>254</v>
      </c>
      <c r="J145">
        <f>SUMIFS(C:C,B:B,G145,A:A,I145)</f>
        <v>64.936515808105469</v>
      </c>
    </row>
    <row r="146" spans="1:10">
      <c r="A146" t="s">
        <v>254</v>
      </c>
      <c r="B146" t="s">
        <v>223</v>
      </c>
      <c r="C146">
        <v>1651.438232421875</v>
      </c>
      <c r="G146" t="s">
        <v>234</v>
      </c>
      <c r="H146" t="s">
        <v>81</v>
      </c>
      <c r="I146" t="s">
        <v>254</v>
      </c>
      <c r="J146">
        <f>SUMIFS(C:C,B:B,G146,A:A,I146)</f>
        <v>84.775215148925781</v>
      </c>
    </row>
    <row r="147" spans="1:10">
      <c r="A147" t="s">
        <v>254</v>
      </c>
      <c r="B147" t="s">
        <v>224</v>
      </c>
      <c r="C147">
        <v>333.04529190063482</v>
      </c>
      <c r="G147" t="s">
        <v>219</v>
      </c>
      <c r="H147" t="s">
        <v>82</v>
      </c>
      <c r="I147" t="s">
        <v>254</v>
      </c>
      <c r="J147">
        <f>SUMIFS(C:C,B:B,G147,A:A,I147)</f>
        <v>229.78214263916021</v>
      </c>
    </row>
    <row r="148" spans="1:10">
      <c r="A148" t="s">
        <v>254</v>
      </c>
      <c r="B148" t="s">
        <v>225</v>
      </c>
      <c r="C148">
        <v>971.78760528564453</v>
      </c>
      <c r="G148" t="s">
        <v>242</v>
      </c>
      <c r="H148" t="s">
        <v>83</v>
      </c>
      <c r="I148" t="s">
        <v>254</v>
      </c>
      <c r="J148">
        <f>SUMIFS(C:C,B:B,G148,A:A,I148)</f>
        <v>197.15057373046881</v>
      </c>
    </row>
    <row r="149" spans="1:10">
      <c r="A149" t="s">
        <v>254</v>
      </c>
      <c r="B149" t="s">
        <v>226</v>
      </c>
      <c r="C149">
        <v>345.50165557861328</v>
      </c>
      <c r="G149" t="s">
        <v>236</v>
      </c>
      <c r="H149" t="s">
        <v>84</v>
      </c>
      <c r="I149" t="s">
        <v>254</v>
      </c>
      <c r="J149">
        <f>SUMIFS(C:C,B:B,G149,A:A,I149)</f>
        <v>221.06254577636719</v>
      </c>
    </row>
    <row r="150" spans="1:10">
      <c r="A150" t="s">
        <v>254</v>
      </c>
      <c r="B150" t="s">
        <v>227</v>
      </c>
      <c r="C150">
        <v>2491.727783203125</v>
      </c>
      <c r="G150" t="s">
        <v>231</v>
      </c>
      <c r="H150" t="s">
        <v>85</v>
      </c>
      <c r="I150" t="s">
        <v>254</v>
      </c>
      <c r="J150">
        <f>SUMIFS(C:C,B:B,G150,A:A,I150)</f>
        <v>994.13662719726563</v>
      </c>
    </row>
    <row r="151" spans="1:10">
      <c r="A151" t="s">
        <v>254</v>
      </c>
      <c r="B151" t="s">
        <v>228</v>
      </c>
      <c r="C151">
        <v>112.9197235107422</v>
      </c>
      <c r="G151" t="s">
        <v>230</v>
      </c>
      <c r="H151" t="s">
        <v>86</v>
      </c>
      <c r="I151" t="s">
        <v>254</v>
      </c>
      <c r="J151">
        <f>SUMIFS(C:C,B:B,G151,A:A,I151)</f>
        <v>245.26698303222659</v>
      </c>
    </row>
    <row r="152" spans="1:10">
      <c r="A152" t="s">
        <v>254</v>
      </c>
      <c r="B152" t="s">
        <v>229</v>
      </c>
      <c r="C152">
        <v>556.4422607421875</v>
      </c>
      <c r="G152" t="s">
        <v>224</v>
      </c>
      <c r="H152" t="s">
        <v>87</v>
      </c>
      <c r="I152" t="s">
        <v>254</v>
      </c>
      <c r="J152">
        <f>SUMIFS(C:C,B:B,G152,A:A,I152)</f>
        <v>333.04529190063482</v>
      </c>
    </row>
    <row r="153" spans="1:10">
      <c r="A153" t="s">
        <v>254</v>
      </c>
      <c r="B153" t="s">
        <v>230</v>
      </c>
      <c r="C153">
        <v>245.26698303222659</v>
      </c>
      <c r="G153" t="s">
        <v>245</v>
      </c>
      <c r="H153" t="s">
        <v>88</v>
      </c>
      <c r="I153" t="s">
        <v>254</v>
      </c>
      <c r="J153">
        <f>SUMIFS(C:C,B:B,G153,A:A,I153)</f>
        <v>392.48573303222662</v>
      </c>
    </row>
    <row r="154" spans="1:10">
      <c r="A154" t="s">
        <v>254</v>
      </c>
      <c r="B154" t="s">
        <v>231</v>
      </c>
      <c r="C154">
        <v>994.13662719726563</v>
      </c>
      <c r="G154" t="s">
        <v>229</v>
      </c>
      <c r="H154" t="s">
        <v>89</v>
      </c>
      <c r="I154" t="s">
        <v>254</v>
      </c>
      <c r="J154">
        <f>SUMIFS(C:C,B:B,G154,A:A,I154)</f>
        <v>556.4422607421875</v>
      </c>
    </row>
    <row r="155" spans="1:10">
      <c r="A155" t="s">
        <v>254</v>
      </c>
      <c r="B155" t="s">
        <v>232</v>
      </c>
      <c r="C155">
        <v>644.02931750938296</v>
      </c>
      <c r="G155" t="s">
        <v>225</v>
      </c>
      <c r="H155" t="s">
        <v>90</v>
      </c>
      <c r="I155" t="s">
        <v>254</v>
      </c>
      <c r="J155">
        <f>SUMIFS(C:C,B:B,G155,A:A,I155)</f>
        <v>971.78760528564453</v>
      </c>
    </row>
    <row r="156" spans="1:10">
      <c r="A156" t="s">
        <v>254</v>
      </c>
      <c r="B156" t="s">
        <v>233</v>
      </c>
      <c r="C156">
        <v>819.93817138671875</v>
      </c>
      <c r="G156" t="s">
        <v>221</v>
      </c>
      <c r="H156" t="s">
        <v>91</v>
      </c>
      <c r="I156" t="s">
        <v>254</v>
      </c>
      <c r="J156">
        <f>SUMIFS(C:C,B:B,G156,A:A,I156)</f>
        <v>888.70941162109375</v>
      </c>
    </row>
    <row r="157" spans="1:10">
      <c r="A157" t="s">
        <v>254</v>
      </c>
      <c r="B157" t="s">
        <v>234</v>
      </c>
      <c r="C157">
        <v>84.775215148925781</v>
      </c>
      <c r="G157" t="s">
        <v>244</v>
      </c>
      <c r="H157" t="s">
        <v>256</v>
      </c>
      <c r="I157" t="s">
        <v>254</v>
      </c>
      <c r="J157">
        <f>SUMIFS(C:C,B:B,G157,A:A,I157)</f>
        <v>1456.985473632812</v>
      </c>
    </row>
    <row r="158" spans="1:10">
      <c r="A158" t="s">
        <v>254</v>
      </c>
      <c r="B158" t="s">
        <v>235</v>
      </c>
      <c r="C158">
        <v>292.86926651000982</v>
      </c>
      <c r="G158" t="s">
        <v>213</v>
      </c>
      <c r="H158" t="s">
        <v>93</v>
      </c>
      <c r="I158" t="s">
        <v>254</v>
      </c>
      <c r="J158">
        <f>SUMIFS(C:C,B:B,G158,A:A,I158)</f>
        <v>233.87535095214841</v>
      </c>
    </row>
    <row r="159" spans="1:10">
      <c r="A159" t="s">
        <v>254</v>
      </c>
      <c r="B159" t="s">
        <v>236</v>
      </c>
      <c r="C159">
        <v>221.06254577636719</v>
      </c>
      <c r="G159" t="s">
        <v>238</v>
      </c>
      <c r="H159" t="s">
        <v>94</v>
      </c>
      <c r="I159" t="s">
        <v>254</v>
      </c>
      <c r="J159">
        <f>SUMIFS(C:C,B:B,G159,A:A,I159)</f>
        <v>707.8558349609375</v>
      </c>
    </row>
    <row r="160" spans="1:10">
      <c r="A160" t="s">
        <v>254</v>
      </c>
      <c r="B160" t="s">
        <v>237</v>
      </c>
      <c r="C160">
        <v>995.53717041015625</v>
      </c>
      <c r="G160" t="s">
        <v>247</v>
      </c>
      <c r="H160" t="s">
        <v>95</v>
      </c>
      <c r="I160" t="s">
        <v>254</v>
      </c>
      <c r="J160">
        <f>SUMIFS(C:C,B:B,G160,A:A,I160)</f>
        <v>91.234413146972656</v>
      </c>
    </row>
    <row r="161" spans="1:10">
      <c r="A161" t="s">
        <v>254</v>
      </c>
      <c r="B161" t="s">
        <v>238</v>
      </c>
      <c r="C161">
        <v>707.8558349609375</v>
      </c>
      <c r="G161" t="s">
        <v>218</v>
      </c>
      <c r="H161" t="s">
        <v>96</v>
      </c>
      <c r="I161" t="s">
        <v>254</v>
      </c>
      <c r="J161">
        <f>SUMIFS(C:C,B:B,G161,A:A,I161)</f>
        <v>99.166175842285156</v>
      </c>
    </row>
    <row r="162" spans="1:10">
      <c r="A162" t="s">
        <v>254</v>
      </c>
      <c r="B162" t="s">
        <v>239</v>
      </c>
      <c r="C162">
        <v>64.936515808105469</v>
      </c>
      <c r="G162" t="s">
        <v>257</v>
      </c>
      <c r="H162" t="s">
        <v>97</v>
      </c>
      <c r="I162" t="s">
        <v>254</v>
      </c>
      <c r="J162">
        <f>SUMIFS(C:C,B:B,G162,A:A,I162)</f>
        <v>168.5230407714844</v>
      </c>
    </row>
    <row r="163" spans="1:10">
      <c r="A163" t="s">
        <v>254</v>
      </c>
      <c r="B163" t="s">
        <v>240</v>
      </c>
      <c r="C163">
        <v>79.707588195800781</v>
      </c>
      <c r="G163" t="s">
        <v>220</v>
      </c>
      <c r="H163" t="s">
        <v>98</v>
      </c>
      <c r="I163" t="s">
        <v>254</v>
      </c>
      <c r="J163">
        <f>SUMIFS(C:C,B:B,G163,A:A,I163)</f>
        <v>871.9320068359375</v>
      </c>
    </row>
    <row r="164" spans="1:10">
      <c r="A164" t="s">
        <v>254</v>
      </c>
      <c r="B164" t="s">
        <v>241</v>
      </c>
      <c r="C164">
        <v>91.472602844238281</v>
      </c>
      <c r="G164" t="s">
        <v>235</v>
      </c>
      <c r="H164" t="s">
        <v>99</v>
      </c>
      <c r="I164" t="s">
        <v>254</v>
      </c>
      <c r="J164">
        <f>SUMIFS(C:C,B:B,G164,A:A,I164)</f>
        <v>292.86926651000982</v>
      </c>
    </row>
    <row r="165" spans="1:10">
      <c r="A165" t="s">
        <v>254</v>
      </c>
      <c r="B165" t="s">
        <v>242</v>
      </c>
      <c r="C165">
        <v>197.15057373046881</v>
      </c>
      <c r="G165" t="s">
        <v>240</v>
      </c>
      <c r="H165" t="s">
        <v>100</v>
      </c>
      <c r="I165" t="s">
        <v>254</v>
      </c>
      <c r="J165">
        <f>SUMIFS(C:C,B:B,G165,A:A,I165)</f>
        <v>79.707588195800781</v>
      </c>
    </row>
    <row r="166" spans="1:10">
      <c r="A166" t="s">
        <v>254</v>
      </c>
      <c r="B166" t="s">
        <v>243</v>
      </c>
      <c r="C166">
        <v>255.48457336425781</v>
      </c>
      <c r="G166" t="s">
        <v>233</v>
      </c>
      <c r="H166" t="s">
        <v>101</v>
      </c>
      <c r="I166" t="s">
        <v>254</v>
      </c>
      <c r="J166">
        <f>SUMIFS(C:C,B:B,G166,A:A,I166)</f>
        <v>819.93817138671875</v>
      </c>
    </row>
    <row r="167" spans="1:10">
      <c r="A167" t="s">
        <v>254</v>
      </c>
      <c r="B167" t="s">
        <v>244</v>
      </c>
      <c r="C167">
        <v>1456.985473632812</v>
      </c>
      <c r="G167" t="s">
        <v>237</v>
      </c>
      <c r="H167" t="s">
        <v>135</v>
      </c>
      <c r="I167" t="s">
        <v>254</v>
      </c>
      <c r="J167">
        <f>SUMIFS(C:C,B:B,G167,A:A,I167)</f>
        <v>995.53717041015625</v>
      </c>
    </row>
    <row r="168" spans="1:10">
      <c r="A168" t="s">
        <v>254</v>
      </c>
      <c r="B168" t="s">
        <v>245</v>
      </c>
      <c r="C168">
        <v>392.48573303222662</v>
      </c>
      <c r="G168" t="s">
        <v>223</v>
      </c>
      <c r="H168" t="s">
        <v>103</v>
      </c>
      <c r="I168" t="s">
        <v>254</v>
      </c>
      <c r="J168">
        <f>SUMIFS(C:C,B:B,G168,A:A,I168)</f>
        <v>1651.438232421875</v>
      </c>
    </row>
    <row r="169" spans="1:10">
      <c r="A169" t="s">
        <v>254</v>
      </c>
      <c r="B169" t="s">
        <v>257</v>
      </c>
      <c r="C169">
        <v>168.5230407714844</v>
      </c>
      <c r="G169" t="s">
        <v>227</v>
      </c>
      <c r="H169" t="s">
        <v>104</v>
      </c>
      <c r="I169" t="s">
        <v>254</v>
      </c>
      <c r="J169">
        <f>SUMIFS(C:C,B:B,G169,A:A,I169)</f>
        <v>2491.727783203125</v>
      </c>
    </row>
    <row r="170" spans="1:10">
      <c r="A170" t="s">
        <v>254</v>
      </c>
      <c r="B170" t="s">
        <v>246</v>
      </c>
      <c r="C170">
        <v>91.5244140625</v>
      </c>
      <c r="G170" t="s">
        <v>241</v>
      </c>
      <c r="H170" t="s">
        <v>105</v>
      </c>
      <c r="I170" t="s">
        <v>254</v>
      </c>
      <c r="J170">
        <f>SUMIFS(C:C,B:B,G170,A:A,I170)</f>
        <v>91.472602844238281</v>
      </c>
    </row>
    <row r="171" spans="1:10">
      <c r="A171" t="s">
        <v>254</v>
      </c>
      <c r="B171" t="s">
        <v>247</v>
      </c>
      <c r="C171">
        <v>91.234413146972656</v>
      </c>
      <c r="G171" t="s">
        <v>222</v>
      </c>
      <c r="H171" t="s">
        <v>106</v>
      </c>
      <c r="I171" t="s">
        <v>254</v>
      </c>
      <c r="J171">
        <f>SUMIFS(C:C,B:B,G171,A:A,I171)</f>
        <v>2.038241863250732</v>
      </c>
    </row>
    <row r="173" spans="1:10" s="1" customFormat="1" ht="20" thickBot="1">
      <c r="A173"/>
      <c r="B173" s="1" t="s">
        <v>516</v>
      </c>
    </row>
    <row r="174" spans="1:10" ht="15" thickTop="1"/>
    <row r="175" spans="1:10" s="97" customFormat="1" ht="17.5" thickBot="1">
      <c r="A175"/>
      <c r="B175"/>
      <c r="C175" s="97" t="s">
        <v>518</v>
      </c>
    </row>
    <row r="176" spans="1:10" ht="15" thickTop="1"/>
    <row r="205" spans="3:6">
      <c r="C205" t="str">
        <f>'ILO occupation by income'!E5</f>
        <v>Occupation (ISCO-08): 1. Managers</v>
      </c>
      <c r="F205">
        <f>'ILO occupation by income'!H5</f>
        <v>8924.9650000000001</v>
      </c>
    </row>
    <row r="206" spans="3:6">
      <c r="C206" t="str">
        <f>'ILO occupation by income'!E6</f>
        <v>Occupation (ISCO-08): 2. Professionals</v>
      </c>
      <c r="F206">
        <f>'ILO occupation by income'!H6</f>
        <v>5543.4989999999998</v>
      </c>
    </row>
    <row r="207" spans="3:6">
      <c r="C207" t="str">
        <f>'ILO occupation by income'!E7</f>
        <v>Occupation (ISCO-08): 3. Technicians and associate professionals</v>
      </c>
      <c r="F207">
        <f>'ILO occupation by income'!H7</f>
        <v>4139.3469999999998</v>
      </c>
    </row>
    <row r="208" spans="3:6">
      <c r="C208" t="str">
        <f>'ILO occupation by income'!E8</f>
        <v>Occupation (ISCO-08): 4. Clerical support workers</v>
      </c>
      <c r="F208">
        <f>'ILO occupation by income'!H8</f>
        <v>2893.3510000000001</v>
      </c>
    </row>
    <row r="209" spans="1:6">
      <c r="C209" t="str">
        <f>'ILO occupation by income'!E9</f>
        <v>Occupation (ISCO-08): 5. Service and sales workers</v>
      </c>
      <c r="F209">
        <f>'ILO occupation by income'!H9</f>
        <v>1490.2950000000001</v>
      </c>
    </row>
    <row r="210" spans="1:6">
      <c r="C210" t="str">
        <f>'ILO occupation by income'!E10</f>
        <v>Occupation (ISCO-08): 6. Skilled agricultural, forestry and fishery workers</v>
      </c>
      <c r="F210">
        <f>'ILO occupation by income'!H10</f>
        <v>510.27499999999998</v>
      </c>
    </row>
    <row r="211" spans="1:6">
      <c r="C211" t="str">
        <f>'ILO occupation by income'!E11</f>
        <v>Occupation (ISCO-08): 7. Craft and related trades workers</v>
      </c>
      <c r="F211">
        <f>'ILO occupation by income'!H11</f>
        <v>968.904</v>
      </c>
    </row>
    <row r="212" spans="1:6">
      <c r="C212" t="str">
        <f>'ILO occupation by income'!E12</f>
        <v>Occupation (ISCO-08): 8. Plant and machine operators, and assemblers</v>
      </c>
      <c r="F212">
        <f>'ILO occupation by income'!H12</f>
        <v>1295.3900000000001</v>
      </c>
    </row>
    <row r="213" spans="1:6">
      <c r="C213" t="str">
        <f>'ILO occupation by income'!E13</f>
        <v>Occupation (ISCO-08): 9. Elementary occupations</v>
      </c>
      <c r="F213">
        <f>'ILO occupation by income'!H13</f>
        <v>727.76599999999996</v>
      </c>
    </row>
    <row r="214" spans="1:6">
      <c r="C214" t="str">
        <f>'ILO occupation by income'!E14</f>
        <v>Occupation (ISCO-08): 0. Armed forces occupations</v>
      </c>
      <c r="F214">
        <f>'ILO occupation by income'!H14</f>
        <v>8487.7579999999998</v>
      </c>
    </row>
    <row r="216" spans="1:6">
      <c r="C216" t="s">
        <v>250</v>
      </c>
      <c r="D216" s="258">
        <f>AVERAGE(F210:F213)</f>
        <v>875.58375000000012</v>
      </c>
      <c r="F216" t="s">
        <v>611</v>
      </c>
    </row>
    <row r="217" spans="1:6">
      <c r="C217" t="s">
        <v>251</v>
      </c>
      <c r="D217">
        <f>F208</f>
        <v>2893.3510000000001</v>
      </c>
    </row>
    <row r="218" spans="1:6">
      <c r="C218" t="s">
        <v>252</v>
      </c>
      <c r="D218">
        <f>AVERAGE(F205:F206)</f>
        <v>7234.232</v>
      </c>
    </row>
    <row r="219" spans="1:6">
      <c r="C219" t="s">
        <v>253</v>
      </c>
      <c r="D219">
        <f>F209</f>
        <v>1490.2950000000001</v>
      </c>
    </row>
    <row r="220" spans="1:6">
      <c r="C220" t="s">
        <v>254</v>
      </c>
      <c r="D220">
        <f>F207</f>
        <v>4139.3469999999998</v>
      </c>
    </row>
    <row r="222" spans="1:6" s="97" customFormat="1" ht="17.5" thickBot="1">
      <c r="A222"/>
      <c r="B222"/>
      <c r="C222" s="97" t="s">
        <v>519</v>
      </c>
    </row>
    <row r="223" spans="1:6" ht="15" thickTop="1"/>
    <row r="224" spans="1:6">
      <c r="D224" t="s">
        <v>574</v>
      </c>
    </row>
    <row r="226" spans="3:30">
      <c r="C226" t="s">
        <v>575</v>
      </c>
      <c r="J226" t="s">
        <v>576</v>
      </c>
      <c r="Q226" t="s">
        <v>577</v>
      </c>
      <c r="S226" t="s">
        <v>579</v>
      </c>
    </row>
    <row r="228" spans="3:30">
      <c r="D228" t="s">
        <v>252</v>
      </c>
      <c r="E228" t="s">
        <v>254</v>
      </c>
      <c r="F228" t="s">
        <v>251</v>
      </c>
      <c r="G228" t="s">
        <v>253</v>
      </c>
      <c r="H228" t="s">
        <v>250</v>
      </c>
      <c r="K228" t="s">
        <v>252</v>
      </c>
      <c r="L228" t="s">
        <v>254</v>
      </c>
      <c r="M228" t="s">
        <v>251</v>
      </c>
      <c r="N228" t="s">
        <v>253</v>
      </c>
      <c r="O228" t="s">
        <v>250</v>
      </c>
      <c r="S228" t="s">
        <v>252</v>
      </c>
      <c r="T228" t="s">
        <v>254</v>
      </c>
      <c r="U228" t="s">
        <v>251</v>
      </c>
      <c r="V228" t="s">
        <v>253</v>
      </c>
      <c r="W228" t="s">
        <v>250</v>
      </c>
      <c r="X228" s="264" t="s">
        <v>145</v>
      </c>
    </row>
    <row r="229" spans="3:30">
      <c r="C229" t="s">
        <v>74</v>
      </c>
      <c r="D229" s="96">
        <f>SUMIFS($J$7:$J$171,$H$7:$H$171,$C229,$I$7:$I$171,D$228)</f>
        <v>6.9459184904117137</v>
      </c>
      <c r="E229" s="96">
        <f t="shared" ref="E229:H229" si="0">SUMIFS($J$7:$J$171,$H$7:$H$171,$C229,$I$7:$I$171,E$228)</f>
        <v>3.2105283668497582</v>
      </c>
      <c r="F229" s="96">
        <f t="shared" si="0"/>
        <v>4.0504074601922184</v>
      </c>
      <c r="G229" s="96">
        <f t="shared" si="0"/>
        <v>7.3500931388116442</v>
      </c>
      <c r="H229" s="96">
        <f t="shared" si="0"/>
        <v>1235.057722568512</v>
      </c>
      <c r="J229" t="s">
        <v>74</v>
      </c>
      <c r="K229" s="11">
        <f>D229/SUM($D229:$H229)</f>
        <v>5.5274848019041169E-3</v>
      </c>
      <c r="L229" s="11">
        <f t="shared" ref="L229:O244" si="1">E229/SUM($D229:$H229)</f>
        <v>2.5549028221884874E-3</v>
      </c>
      <c r="M229" s="11">
        <f t="shared" si="1"/>
        <v>3.2232692780137244E-3</v>
      </c>
      <c r="N229" s="11">
        <f t="shared" si="1"/>
        <v>5.8491224988378651E-3</v>
      </c>
      <c r="O229" s="11">
        <f t="shared" si="1"/>
        <v>0.98284522059905577</v>
      </c>
      <c r="Q229" s="263">
        <f>SUMPRODUCT(K229:O229,$D$265:$H$265)</f>
        <v>929.16900809068034</v>
      </c>
      <c r="S229" s="11" cm="1">
        <f t="array" ref="S229">(K229/D$265)   /   SUM($K229:$O229/$D$265:$H$265)</f>
        <v>6.7681632512252103E-4</v>
      </c>
      <c r="T229" s="11" cm="1">
        <f t="array" ref="T229">(L229/E$265)   /   SUM($K229:$O229/$D$265:$H$265)</f>
        <v>5.4673673147523046E-4</v>
      </c>
      <c r="U229" s="11" cm="1">
        <f t="array" ref="U229">(M229/F$265)   /   SUM($K229:$O229/$D$265:$H$265)</f>
        <v>9.8680460463455616E-4</v>
      </c>
      <c r="V229" s="11" cm="1">
        <f t="array" ref="V229">(N229/G$265)   /   SUM($K229:$O229/$D$265:$H$265)</f>
        <v>3.4765955770828692E-3</v>
      </c>
      <c r="W229" s="11" cm="1">
        <f t="array" ref="W229">(O229/H$265)   /   SUM($K229:$O229/$D$265:$H$265)</f>
        <v>0.99431304676168486</v>
      </c>
      <c r="X229" s="265">
        <f>1-SUM(S229:W229)</f>
        <v>0</v>
      </c>
      <c r="Z229" s="95"/>
      <c r="AA229" s="95"/>
      <c r="AB229" s="95"/>
      <c r="AC229" s="95"/>
      <c r="AD229" s="95"/>
    </row>
    <row r="230" spans="3:30">
      <c r="C230" t="s">
        <v>75</v>
      </c>
      <c r="D230" s="96">
        <f t="shared" ref="D230:H261" si="2">SUMIFS($J$7:$J$171,$H$7:$H$171,$C230,$I$7:$I$171,D$228)</f>
        <v>1459.966811202466</v>
      </c>
      <c r="E230" s="96">
        <f t="shared" si="2"/>
        <v>644.02931750938296</v>
      </c>
      <c r="F230" s="96">
        <f t="shared" si="2"/>
        <v>355.99378378875548</v>
      </c>
      <c r="G230" s="96">
        <f t="shared" si="2"/>
        <v>409.85393471550202</v>
      </c>
      <c r="H230" s="96">
        <f t="shared" si="2"/>
        <v>891.51367264799774</v>
      </c>
      <c r="J230" t="s">
        <v>75</v>
      </c>
      <c r="K230" s="11">
        <f t="shared" ref="K230:K261" si="3">D230/SUM($D230:$H230)</f>
        <v>0.38814890727409868</v>
      </c>
      <c r="L230" s="11">
        <f t="shared" si="1"/>
        <v>0.17122257432541307</v>
      </c>
      <c r="M230" s="11">
        <f t="shared" si="1"/>
        <v>9.4645026937406715E-2</v>
      </c>
      <c r="N230" s="11">
        <f t="shared" si="1"/>
        <v>0.10896436527265024</v>
      </c>
      <c r="O230" s="11">
        <f t="shared" si="1"/>
        <v>0.23701912619043128</v>
      </c>
      <c r="Q230" s="263">
        <f t="shared" ref="Q230:Q261" si="4">SUMPRODUCT(K230:O230,$D$265:$H$265)</f>
        <v>4160.4693225434112</v>
      </c>
      <c r="S230" s="11" cm="1">
        <f t="array" ref="S230">(K230/D$265)   /   SUM($K230:$O230/$D$265:$H$265)</f>
        <v>0.11378449011709767</v>
      </c>
      <c r="T230" s="11" cm="1">
        <f t="array" ref="T230">(L230/E$265)   /   SUM($K230:$O230/$D$265:$H$265)</f>
        <v>8.772155465497429E-2</v>
      </c>
      <c r="U230" s="11" cm="1">
        <f t="array" ref="U230">(M230/F$265)   /   SUM($K230:$O230/$D$265:$H$265)</f>
        <v>6.9370337773970586E-2</v>
      </c>
      <c r="V230" s="11" cm="1">
        <f t="array" ref="V230">(N230/G$265)   /   SUM($K230:$O230/$D$265:$H$265)</f>
        <v>0.15505628741158869</v>
      </c>
      <c r="W230" s="11" cm="1">
        <f t="array" ref="W230">(O230/H$265)   /   SUM($K230:$O230/$D$265:$H$265)</f>
        <v>0.57406733004236876</v>
      </c>
      <c r="X230" s="265">
        <f t="shared" ref="X230:X261" si="5">1-SUM(S230:W230)</f>
        <v>0</v>
      </c>
      <c r="Z230" s="95"/>
      <c r="AA230" s="95"/>
      <c r="AB230" s="95"/>
      <c r="AC230" s="95"/>
      <c r="AD230" s="95"/>
    </row>
    <row r="231" spans="3:30">
      <c r="C231" t="s">
        <v>76</v>
      </c>
      <c r="D231" s="96">
        <f t="shared" si="2"/>
        <v>319.6035590171814</v>
      </c>
      <c r="E231" s="96">
        <f t="shared" si="2"/>
        <v>345.50165557861328</v>
      </c>
      <c r="F231" s="96">
        <f t="shared" si="2"/>
        <v>192.58413362503049</v>
      </c>
      <c r="G231" s="96">
        <f t="shared" si="2"/>
        <v>174.62677454948431</v>
      </c>
      <c r="H231" s="96">
        <f t="shared" si="2"/>
        <v>1692.856004714966</v>
      </c>
      <c r="J231" t="s">
        <v>76</v>
      </c>
      <c r="K231" s="11">
        <f t="shared" si="3"/>
        <v>0.11727830172404707</v>
      </c>
      <c r="L231" s="11">
        <f t="shared" si="1"/>
        <v>0.12678159008525972</v>
      </c>
      <c r="M231" s="11">
        <f t="shared" si="1"/>
        <v>7.0668612702546096E-2</v>
      </c>
      <c r="N231" s="11">
        <f t="shared" si="1"/>
        <v>6.4079172389975153E-2</v>
      </c>
      <c r="O231" s="11">
        <f t="shared" si="1"/>
        <v>0.62119232309817207</v>
      </c>
      <c r="Q231" s="263">
        <f t="shared" si="4"/>
        <v>2217.0833129903576</v>
      </c>
      <c r="S231" s="11" cm="1">
        <f t="array" ref="S231">(K231/D$265)   /   SUM($K231:$O231/$D$265:$H$265)</f>
        <v>1.9680861555934511E-2</v>
      </c>
      <c r="T231" s="11" cm="1">
        <f t="array" ref="T231">(L231/E$265)   /   SUM($K231:$O231/$D$265:$H$265)</f>
        <v>3.7182897544252504E-2</v>
      </c>
      <c r="U231" s="11" cm="1">
        <f t="array" ref="U231">(M231/F$265)   /   SUM($K231:$O231/$D$265:$H$265)</f>
        <v>2.9651339250970809E-2</v>
      </c>
      <c r="V231" s="11" cm="1">
        <f t="array" ref="V231">(N231/G$265)   /   SUM($K231:$O231/$D$265:$H$265)</f>
        <v>5.2199160671787738E-2</v>
      </c>
      <c r="W231" s="11" cm="1">
        <f t="array" ref="W231">(O231/H$265)   /   SUM($K231:$O231/$D$265:$H$265)</f>
        <v>0.86128574097705446</v>
      </c>
      <c r="X231" s="265">
        <f t="shared" si="5"/>
        <v>0</v>
      </c>
      <c r="Z231" s="95"/>
      <c r="AA231" s="95"/>
      <c r="AB231" s="95"/>
      <c r="AC231" s="95"/>
      <c r="AD231" s="95"/>
    </row>
    <row r="232" spans="3:30">
      <c r="C232" t="s">
        <v>77</v>
      </c>
      <c r="D232" s="96">
        <f t="shared" si="2"/>
        <v>236.3339920043945</v>
      </c>
      <c r="E232" s="96">
        <f t="shared" si="2"/>
        <v>255.48457336425781</v>
      </c>
      <c r="F232" s="96">
        <f t="shared" si="2"/>
        <v>142.40824127197271</v>
      </c>
      <c r="G232" s="96">
        <f t="shared" si="2"/>
        <v>129.12947845458979</v>
      </c>
      <c r="H232" s="96">
        <f t="shared" si="2"/>
        <v>1251.798950195312</v>
      </c>
      <c r="J232" t="s">
        <v>77</v>
      </c>
      <c r="K232" s="11">
        <f t="shared" si="3"/>
        <v>0.11727830584243898</v>
      </c>
      <c r="L232" s="11">
        <f t="shared" si="1"/>
        <v>0.12678158431175371</v>
      </c>
      <c r="M232" s="11">
        <f t="shared" si="1"/>
        <v>7.0668620847684507E-2</v>
      </c>
      <c r="N232" s="11">
        <f t="shared" si="1"/>
        <v>6.4079171764637316E-2</v>
      </c>
      <c r="O232" s="11">
        <f t="shared" si="1"/>
        <v>0.62119231723348545</v>
      </c>
      <c r="Q232" s="263">
        <f t="shared" si="4"/>
        <v>2217.0833363849979</v>
      </c>
      <c r="S232" s="11" cm="1">
        <f t="array" ref="S232">(K232/D$265)   /   SUM($K232:$O232/$D$265:$H$265)</f>
        <v>1.9680862369576894E-2</v>
      </c>
      <c r="T232" s="11" cm="1">
        <f t="array" ref="T232">(L232/E$265)   /   SUM($K232:$O232/$D$265:$H$265)</f>
        <v>3.718289608245938E-2</v>
      </c>
      <c r="U232" s="11" cm="1">
        <f t="array" ref="U232">(M232/F$265)   /   SUM($K232:$O232/$D$265:$H$265)</f>
        <v>2.9651342853122983E-2</v>
      </c>
      <c r="V232" s="11" cm="1">
        <f t="array" ref="V232">(N232/G$265)   /   SUM($K232:$O232/$D$265:$H$265)</f>
        <v>5.2199160487345866E-2</v>
      </c>
      <c r="W232" s="11" cm="1">
        <f t="array" ref="W232">(O232/H$265)   /   SUM($K232:$O232/$D$265:$H$265)</f>
        <v>0.86128573820749488</v>
      </c>
      <c r="X232" s="265">
        <f t="shared" si="5"/>
        <v>0</v>
      </c>
      <c r="Z232" s="95"/>
      <c r="AA232" s="95"/>
      <c r="AB232" s="95"/>
      <c r="AC232" s="95"/>
      <c r="AD232" s="95"/>
    </row>
    <row r="233" spans="3:30">
      <c r="C233" t="s">
        <v>78</v>
      </c>
      <c r="D233" s="96">
        <f t="shared" si="2"/>
        <v>104.45550537109381</v>
      </c>
      <c r="E233" s="96">
        <f t="shared" si="2"/>
        <v>112.9197235107422</v>
      </c>
      <c r="F233" s="96">
        <f t="shared" si="2"/>
        <v>62.941947937011719</v>
      </c>
      <c r="G233" s="96">
        <f t="shared" si="2"/>
        <v>57.072975158691413</v>
      </c>
      <c r="H233" s="96">
        <f t="shared" si="2"/>
        <v>553.273193359375</v>
      </c>
      <c r="J233" t="s">
        <v>78</v>
      </c>
      <c r="K233" s="11">
        <f t="shared" si="3"/>
        <v>0.11727832510226531</v>
      </c>
      <c r="L233" s="11">
        <f t="shared" si="1"/>
        <v>0.12678159946958151</v>
      </c>
      <c r="M233" s="11">
        <f t="shared" si="1"/>
        <v>7.0668618245654277E-2</v>
      </c>
      <c r="N233" s="11">
        <f t="shared" si="1"/>
        <v>6.4079178128861061E-2</v>
      </c>
      <c r="O233" s="11">
        <f t="shared" si="1"/>
        <v>0.62119227905363794</v>
      </c>
      <c r="Q233" s="263">
        <f t="shared" si="4"/>
        <v>2217.0835069848886</v>
      </c>
      <c r="S233" s="11" cm="1">
        <f t="array" ref="S233">(K233/D$265)   /   SUM($K233:$O233/$D$265:$H$265)</f>
        <v>1.9680866411822234E-2</v>
      </c>
      <c r="T233" s="11" cm="1">
        <f t="array" ref="T233">(L233/E$265)   /   SUM($K233:$O233/$D$265:$H$265)</f>
        <v>3.7182902058679274E-2</v>
      </c>
      <c r="U233" s="11" cm="1">
        <f t="array" ref="U233">(M233/F$265)   /   SUM($K233:$O233/$D$265:$H$265)</f>
        <v>2.9651342981993869E-2</v>
      </c>
      <c r="V233" s="11" cm="1">
        <f t="array" ref="V233">(N233/G$265)   /   SUM($K233:$O233/$D$265:$H$265)</f>
        <v>5.2199167820519414E-2</v>
      </c>
      <c r="W233" s="11" cm="1">
        <f t="array" ref="W233">(O233/H$265)   /   SUM($K233:$O233/$D$265:$H$265)</f>
        <v>0.86128572072698528</v>
      </c>
      <c r="X233" s="265">
        <f t="shared" si="5"/>
        <v>0</v>
      </c>
      <c r="Z233" s="95"/>
      <c r="AA233" s="95"/>
      <c r="AB233" s="95"/>
      <c r="AC233" s="95"/>
      <c r="AD233" s="95"/>
    </row>
    <row r="234" spans="3:30">
      <c r="C234" t="s">
        <v>79</v>
      </c>
      <c r="D234" s="96">
        <f t="shared" si="2"/>
        <v>84.6639404296875</v>
      </c>
      <c r="E234" s="96">
        <f t="shared" si="2"/>
        <v>91.5244140625</v>
      </c>
      <c r="F234" s="96">
        <f t="shared" si="2"/>
        <v>51.016105651855469</v>
      </c>
      <c r="G234" s="96">
        <f t="shared" si="2"/>
        <v>46.259147644042969</v>
      </c>
      <c r="H234" s="96">
        <f t="shared" si="2"/>
        <v>448.44259643554688</v>
      </c>
      <c r="J234" t="s">
        <v>79</v>
      </c>
      <c r="K234" s="11">
        <f t="shared" si="3"/>
        <v>0.11727831113563919</v>
      </c>
      <c r="L234" s="11">
        <f t="shared" si="1"/>
        <v>0.12678158675880763</v>
      </c>
      <c r="M234" s="11">
        <f t="shared" si="1"/>
        <v>7.0668606743337595E-2</v>
      </c>
      <c r="N234" s="11">
        <f t="shared" si="1"/>
        <v>6.4079166203858756E-2</v>
      </c>
      <c r="O234" s="11">
        <f t="shared" si="1"/>
        <v>0.62119232915835687</v>
      </c>
      <c r="Q234" s="263">
        <f t="shared" si="4"/>
        <v>2217.0833461516386</v>
      </c>
      <c r="S234" s="11" cm="1">
        <f t="array" ref="S234">(K234/D$265)   /   SUM($K234:$O234/$D$265:$H$265)</f>
        <v>1.9680863106460091E-2</v>
      </c>
      <c r="T234" s="11" cm="1">
        <f t="array" ref="T234">(L234/E$265)   /   SUM($K234:$O234/$D$265:$H$265)</f>
        <v>3.7182896514125971E-2</v>
      </c>
      <c r="U234" s="11" cm="1">
        <f t="array" ref="U234">(M234/F$265)   /   SUM($K234:$O234/$D$265:$H$265)</f>
        <v>2.9651336707100823E-2</v>
      </c>
      <c r="V234" s="11" cm="1">
        <f t="array" ref="V234">(N234/G$265)   /   SUM($K234:$O234/$D$265:$H$265)</f>
        <v>5.2199155555993575E-2</v>
      </c>
      <c r="W234" s="11" cm="1">
        <f t="array" ref="W234">(O234/H$265)   /   SUM($K234:$O234/$D$265:$H$265)</f>
        <v>0.86128574811631953</v>
      </c>
      <c r="X234" s="265">
        <f t="shared" si="5"/>
        <v>0</v>
      </c>
      <c r="Z234" s="95"/>
      <c r="AA234" s="95"/>
      <c r="AB234" s="95"/>
      <c r="AC234" s="95"/>
      <c r="AD234" s="95"/>
    </row>
    <row r="235" spans="3:30">
      <c r="C235" t="s">
        <v>80</v>
      </c>
      <c r="D235" s="96">
        <f t="shared" si="2"/>
        <v>60.069015502929688</v>
      </c>
      <c r="E235" s="96">
        <f t="shared" si="2"/>
        <v>64.936515808105469</v>
      </c>
      <c r="F235" s="96">
        <f t="shared" si="2"/>
        <v>36.195899963378913</v>
      </c>
      <c r="G235" s="96">
        <f t="shared" si="2"/>
        <v>32.820838928222663</v>
      </c>
      <c r="H235" s="96">
        <f t="shared" si="2"/>
        <v>318.16976928710938</v>
      </c>
      <c r="J235" t="s">
        <v>80</v>
      </c>
      <c r="K235" s="11">
        <f t="shared" si="3"/>
        <v>0.11727830749336011</v>
      </c>
      <c r="L235" s="11">
        <f t="shared" si="1"/>
        <v>0.12678157956690672</v>
      </c>
      <c r="M235" s="11">
        <f t="shared" si="1"/>
        <v>7.0668610936315698E-2</v>
      </c>
      <c r="N235" s="11">
        <f t="shared" si="1"/>
        <v>6.4079166401959917E-2</v>
      </c>
      <c r="O235" s="11">
        <f t="shared" si="1"/>
        <v>0.62119233560145759</v>
      </c>
      <c r="Q235" s="263">
        <f t="shared" si="4"/>
        <v>2217.0833081012338</v>
      </c>
      <c r="S235" s="11" cm="1">
        <f t="array" ref="S235">(K235/D$265)   /   SUM($K235:$O235/$D$265:$H$265)</f>
        <v>1.968086233516135E-2</v>
      </c>
      <c r="T235" s="11" cm="1">
        <f t="array" ref="T235">(L235/E$265)   /   SUM($K235:$O235/$D$265:$H$265)</f>
        <v>3.7182894102433105E-2</v>
      </c>
      <c r="U235" s="11" cm="1">
        <f t="array" ref="U235">(M235/F$265)   /   SUM($K235:$O235/$D$265:$H$265)</f>
        <v>2.9651338225231198E-2</v>
      </c>
      <c r="V235" s="11" cm="1">
        <f t="array" ref="V235">(N235/G$265)   /   SUM($K235:$O235/$D$265:$H$265)</f>
        <v>5.2199155292801822E-2</v>
      </c>
      <c r="W235" s="11" cm="1">
        <f t="array" ref="W235">(O235/H$265)   /   SUM($K235:$O235/$D$265:$H$265)</f>
        <v>0.86128575004437258</v>
      </c>
      <c r="X235" s="265">
        <f t="shared" si="5"/>
        <v>0</v>
      </c>
      <c r="Z235" s="95"/>
      <c r="AA235" s="95"/>
      <c r="AB235" s="95"/>
      <c r="AC235" s="95"/>
      <c r="AD235" s="95"/>
    </row>
    <row r="236" spans="3:30">
      <c r="C236" t="s">
        <v>81</v>
      </c>
      <c r="D236" s="96">
        <f t="shared" si="2"/>
        <v>78.420654296875</v>
      </c>
      <c r="E236" s="96">
        <f t="shared" si="2"/>
        <v>84.775215148925781</v>
      </c>
      <c r="F236" s="96">
        <f t="shared" si="2"/>
        <v>47.254074096679688</v>
      </c>
      <c r="G236" s="96">
        <f t="shared" si="2"/>
        <v>42.847900390625</v>
      </c>
      <c r="H236" s="96">
        <f t="shared" si="2"/>
        <v>415.37350463867188</v>
      </c>
      <c r="J236" t="s">
        <v>81</v>
      </c>
      <c r="K236" s="11">
        <f t="shared" si="3"/>
        <v>0.11727832284780043</v>
      </c>
      <c r="L236" s="11">
        <f t="shared" si="1"/>
        <v>0.12678158759156963</v>
      </c>
      <c r="M236" s="11">
        <f t="shared" si="1"/>
        <v>7.0668609022369808E-2</v>
      </c>
      <c r="N236" s="11">
        <f t="shared" si="1"/>
        <v>6.4079163077862267E-2</v>
      </c>
      <c r="O236" s="11">
        <f t="shared" si="1"/>
        <v>0.62119231746039782</v>
      </c>
      <c r="Q236" s="263">
        <f t="shared" si="4"/>
        <v>2217.0834260200613</v>
      </c>
      <c r="S236" s="11" cm="1">
        <f t="array" ref="S236">(K236/D$265)   /   SUM($K236:$O236/$D$265:$H$265)</f>
        <v>1.9680865378934036E-2</v>
      </c>
      <c r="T236" s="11" cm="1">
        <f t="array" ref="T236">(L236/E$265)   /   SUM($K236:$O236/$D$265:$H$265)</f>
        <v>3.7182897338406157E-2</v>
      </c>
      <c r="U236" s="11" cm="1">
        <f t="array" ref="U236">(M236/F$265)   /   SUM($K236:$O236/$D$265:$H$265)</f>
        <v>2.965133812589817E-2</v>
      </c>
      <c r="V236" s="11" cm="1">
        <f t="array" ref="V236">(N236/G$265)   /   SUM($K236:$O236/$D$265:$H$265)</f>
        <v>5.2199153823839349E-2</v>
      </c>
      <c r="W236" s="11" cm="1">
        <f t="array" ref="W236">(O236/H$265)   /   SUM($K236:$O236/$D$265:$H$265)</f>
        <v>0.86128574533292235</v>
      </c>
      <c r="X236" s="265">
        <f t="shared" si="5"/>
        <v>0</v>
      </c>
      <c r="Z236" s="95"/>
      <c r="AA236" s="95"/>
      <c r="AB236" s="95"/>
      <c r="AC236" s="95"/>
      <c r="AD236" s="95"/>
    </row>
    <row r="237" spans="3:30">
      <c r="C237" t="s">
        <v>82</v>
      </c>
      <c r="D237" s="96">
        <f t="shared" si="2"/>
        <v>212.55818176269531</v>
      </c>
      <c r="E237" s="96">
        <f t="shared" si="2"/>
        <v>229.78214263916021</v>
      </c>
      <c r="F237" s="96">
        <f t="shared" si="2"/>
        <v>128.08158683776861</v>
      </c>
      <c r="G237" s="96">
        <f t="shared" si="2"/>
        <v>116.138708114624</v>
      </c>
      <c r="H237" s="96">
        <f t="shared" si="2"/>
        <v>1125.8647308349609</v>
      </c>
      <c r="J237" t="s">
        <v>82</v>
      </c>
      <c r="K237" s="11">
        <f t="shared" si="3"/>
        <v>0.11727830982970151</v>
      </c>
      <c r="L237" s="11">
        <f t="shared" si="1"/>
        <v>0.12678157619852978</v>
      </c>
      <c r="M237" s="11">
        <f t="shared" si="1"/>
        <v>7.0668613647672421E-2</v>
      </c>
      <c r="N237" s="11">
        <f t="shared" si="1"/>
        <v>6.4079167786137869E-2</v>
      </c>
      <c r="O237" s="11">
        <f t="shared" si="1"/>
        <v>0.62119233253795847</v>
      </c>
      <c r="Q237" s="263">
        <f t="shared" si="4"/>
        <v>2217.0833182853785</v>
      </c>
      <c r="S237" s="11" cm="1">
        <f t="array" ref="S237">(K237/D$265)   /   SUM($K237:$O237/$D$265:$H$265)</f>
        <v>1.9680862777971313E-2</v>
      </c>
      <c r="T237" s="11" cm="1">
        <f t="array" ref="T237">(L237/E$265)   /   SUM($K237:$O237/$D$265:$H$265)</f>
        <v>3.7182893210409178E-2</v>
      </c>
      <c r="U237" s="11" cm="1">
        <f t="array" ref="U237">(M237/F$265)   /   SUM($K237:$O237/$D$265:$H$265)</f>
        <v>2.9651339439316422E-2</v>
      </c>
      <c r="V237" s="11" cm="1">
        <f t="array" ref="V237">(N237/G$265)   /   SUM($K237:$O237/$D$265:$H$265)</f>
        <v>5.2199156554937599E-2</v>
      </c>
      <c r="W237" s="11" cm="1">
        <f t="array" ref="W237">(O237/H$265)   /   SUM($K237:$O237/$D$265:$H$265)</f>
        <v>0.86128574801736557</v>
      </c>
      <c r="X237" s="265">
        <f t="shared" si="5"/>
        <v>0</v>
      </c>
      <c r="Z237" s="95"/>
      <c r="AA237" s="95"/>
      <c r="AB237" s="95"/>
      <c r="AC237" s="95"/>
      <c r="AD237" s="95"/>
    </row>
    <row r="238" spans="3:30">
      <c r="C238" t="s">
        <v>83</v>
      </c>
      <c r="D238" s="96">
        <f t="shared" si="2"/>
        <v>182.3725891113281</v>
      </c>
      <c r="E238" s="96">
        <f t="shared" si="2"/>
        <v>197.15057373046881</v>
      </c>
      <c r="F238" s="96">
        <f t="shared" si="2"/>
        <v>109.8926086425781</v>
      </c>
      <c r="G238" s="96">
        <f t="shared" si="2"/>
        <v>99.645736694335938</v>
      </c>
      <c r="H238" s="96">
        <f t="shared" si="2"/>
        <v>965.979736328125</v>
      </c>
      <c r="J238" t="s">
        <v>83</v>
      </c>
      <c r="K238" s="11">
        <f t="shared" si="3"/>
        <v>0.11727829712270142</v>
      </c>
      <c r="L238" s="11">
        <f t="shared" si="1"/>
        <v>0.12678157214601271</v>
      </c>
      <c r="M238" s="11">
        <f t="shared" si="1"/>
        <v>7.0668613472968891E-2</v>
      </c>
      <c r="N238" s="11">
        <f t="shared" si="1"/>
        <v>6.4079159987770917E-2</v>
      </c>
      <c r="O238" s="11">
        <f t="shared" si="1"/>
        <v>0.62119235727054611</v>
      </c>
      <c r="Q238" s="263">
        <f t="shared" si="4"/>
        <v>2217.0832191133231</v>
      </c>
      <c r="S238" s="11" cm="1">
        <f t="array" ref="S238">(K238/D$265)   /   SUM($K238:$O238/$D$265:$H$265)</f>
        <v>1.9680860162500459E-2</v>
      </c>
      <c r="T238" s="11" cm="1">
        <f t="array" ref="T238">(L238/E$265)   /   SUM($K238:$O238/$D$265:$H$265)</f>
        <v>3.7182891109219907E-2</v>
      </c>
      <c r="U238" s="11" cm="1">
        <f t="array" ref="U238">(M238/F$265)   /   SUM($K238:$O238/$D$265:$H$265)</f>
        <v>2.9651338638221347E-2</v>
      </c>
      <c r="V238" s="11" cm="1">
        <f t="array" ref="V238">(N238/G$265)   /   SUM($K238:$O238/$D$265:$H$265)</f>
        <v>5.219914892112671E-2</v>
      </c>
      <c r="W238" s="11" cm="1">
        <f t="array" ref="W238">(O238/H$265)   /   SUM($K238:$O238/$D$265:$H$265)</f>
        <v>0.86128576116893152</v>
      </c>
      <c r="X238" s="265">
        <f t="shared" si="5"/>
        <v>0</v>
      </c>
      <c r="Z238" s="95"/>
      <c r="AA238" s="95"/>
      <c r="AB238" s="95"/>
      <c r="AC238" s="95"/>
      <c r="AD238" s="95"/>
    </row>
    <row r="239" spans="3:30">
      <c r="C239" t="s">
        <v>84</v>
      </c>
      <c r="D239" s="96">
        <f t="shared" si="2"/>
        <v>204.49217224121091</v>
      </c>
      <c r="E239" s="96">
        <f t="shared" si="2"/>
        <v>221.06254577636719</v>
      </c>
      <c r="F239" s="96">
        <f t="shared" si="2"/>
        <v>123.22125244140619</v>
      </c>
      <c r="G239" s="96">
        <f t="shared" si="2"/>
        <v>111.731559753418</v>
      </c>
      <c r="H239" s="96">
        <f t="shared" si="2"/>
        <v>1083.141235351562</v>
      </c>
      <c r="J239" t="s">
        <v>84</v>
      </c>
      <c r="K239" s="11">
        <f t="shared" si="3"/>
        <v>0.11727830528705713</v>
      </c>
      <c r="L239" s="11">
        <f t="shared" si="1"/>
        <v>0.12678158017957641</v>
      </c>
      <c r="M239" s="11">
        <f t="shared" si="1"/>
        <v>7.0668620237603647E-2</v>
      </c>
      <c r="N239" s="11">
        <f t="shared" si="1"/>
        <v>6.4079166607432902E-2</v>
      </c>
      <c r="O239" s="11">
        <f t="shared" si="1"/>
        <v>0.62119232768832988</v>
      </c>
      <c r="Q239" s="263">
        <f t="shared" si="4"/>
        <v>2217.0833149658783</v>
      </c>
      <c r="S239" s="11" cm="1">
        <f t="array" ref="S239">(K239/D$265)   /   SUM($K239:$O239/$D$265:$H$265)</f>
        <v>1.9680862104493067E-2</v>
      </c>
      <c r="T239" s="11" cm="1">
        <f t="array" ref="T239">(L239/E$265)   /   SUM($K239:$O239/$D$265:$H$265)</f>
        <v>3.7182894545823783E-2</v>
      </c>
      <c r="U239" s="11" cm="1">
        <f t="array" ref="U239">(M239/F$265)   /   SUM($K239:$O239/$D$265:$H$265)</f>
        <v>2.9651342338182691E-2</v>
      </c>
      <c r="V239" s="11" cm="1">
        <f t="array" ref="V239">(N239/G$265)   /   SUM($K239:$O239/$D$265:$H$265)</f>
        <v>5.2199155830382891E-2</v>
      </c>
      <c r="W239" s="11" cm="1">
        <f t="array" ref="W239">(O239/H$265)   /   SUM($K239:$O239/$D$265:$H$265)</f>
        <v>0.86128574518111756</v>
      </c>
      <c r="X239" s="265">
        <f t="shared" si="5"/>
        <v>0</v>
      </c>
      <c r="Z239" s="95"/>
      <c r="AA239" s="95"/>
      <c r="AB239" s="95"/>
      <c r="AC239" s="95"/>
      <c r="AD239" s="95"/>
    </row>
    <row r="240" spans="3:30">
      <c r="C240" t="s">
        <v>85</v>
      </c>
      <c r="D240" s="96">
        <f t="shared" si="2"/>
        <v>919.61830902099609</v>
      </c>
      <c r="E240" s="96">
        <f t="shared" si="2"/>
        <v>994.13662719726563</v>
      </c>
      <c r="F240" s="96">
        <f t="shared" si="2"/>
        <v>554.13611221313477</v>
      </c>
      <c r="G240" s="96">
        <f t="shared" si="2"/>
        <v>502.46614837646479</v>
      </c>
      <c r="H240" s="96">
        <f t="shared" si="2"/>
        <v>4870.9757690429688</v>
      </c>
      <c r="J240" t="s">
        <v>85</v>
      </c>
      <c r="K240" s="11">
        <f t="shared" si="3"/>
        <v>0.11727831390733606</v>
      </c>
      <c r="L240" s="11">
        <f t="shared" si="1"/>
        <v>0.12678158567258291</v>
      </c>
      <c r="M240" s="11">
        <f t="shared" si="1"/>
        <v>7.0668611398904901E-2</v>
      </c>
      <c r="N240" s="11">
        <f t="shared" si="1"/>
        <v>6.4079175130646204E-2</v>
      </c>
      <c r="O240" s="11">
        <f t="shared" si="1"/>
        <v>0.62119231389052987</v>
      </c>
      <c r="Q240" s="263">
        <f t="shared" si="4"/>
        <v>2217.0833751119512</v>
      </c>
      <c r="S240" s="11" cm="1">
        <f t="array" ref="S240">(K240/D$265)   /   SUM($K240:$O240/$D$265:$H$265)</f>
        <v>1.9680863803765946E-2</v>
      </c>
      <c r="T240" s="11" cm="1">
        <f t="array" ref="T240">(L240/E$265)   /   SUM($K240:$O240/$D$265:$H$265)</f>
        <v>3.7182896634207006E-2</v>
      </c>
      <c r="U240" s="11" cm="1">
        <f t="array" ref="U240">(M240/F$265)   /   SUM($K240:$O240/$D$265:$H$265)</f>
        <v>2.9651339010298546E-2</v>
      </c>
      <c r="V240" s="11" cm="1">
        <f t="array" ref="V240">(N240/G$265)   /   SUM($K240:$O240/$D$265:$H$265)</f>
        <v>5.2199163443593412E-2</v>
      </c>
      <c r="W240" s="11" cm="1">
        <f t="array" ref="W240">(O240/H$265)   /   SUM($K240:$O240/$D$265:$H$265)</f>
        <v>0.86128573710813505</v>
      </c>
      <c r="X240" s="265">
        <f t="shared" si="5"/>
        <v>0</v>
      </c>
      <c r="Z240" s="95"/>
      <c r="AA240" s="95"/>
      <c r="AB240" s="95"/>
      <c r="AC240" s="95"/>
      <c r="AD240" s="95"/>
    </row>
    <row r="241" spans="3:30">
      <c r="C241" t="s">
        <v>86</v>
      </c>
      <c r="D241" s="96">
        <f t="shared" si="2"/>
        <v>226.88230895996091</v>
      </c>
      <c r="E241" s="96">
        <f t="shared" si="2"/>
        <v>245.26698303222659</v>
      </c>
      <c r="F241" s="96">
        <f t="shared" si="2"/>
        <v>136.7129211425781</v>
      </c>
      <c r="G241" s="96">
        <f t="shared" si="2"/>
        <v>123.9652099609375</v>
      </c>
      <c r="H241" s="96">
        <f t="shared" si="2"/>
        <v>1201.73583984375</v>
      </c>
      <c r="J241" t="s">
        <v>86</v>
      </c>
      <c r="K241" s="11">
        <f t="shared" si="3"/>
        <v>0.11727830942846854</v>
      </c>
      <c r="L241" s="11">
        <f t="shared" si="1"/>
        <v>0.12678157790485386</v>
      </c>
      <c r="M241" s="11">
        <f t="shared" si="1"/>
        <v>7.066862260934853E-2</v>
      </c>
      <c r="N241" s="11">
        <f t="shared" si="1"/>
        <v>6.4079170909396771E-2</v>
      </c>
      <c r="O241" s="11">
        <f t="shared" si="1"/>
        <v>0.62119231914793227</v>
      </c>
      <c r="Q241" s="263">
        <f t="shared" si="4"/>
        <v>2217.0833413055962</v>
      </c>
      <c r="S241" s="11" cm="1">
        <f t="array" ref="S241">(K241/D$265)   /   SUM($K241:$O241/$D$265:$H$265)</f>
        <v>1.9680862943421123E-2</v>
      </c>
      <c r="T241" s="11" cm="1">
        <f t="array" ref="T241">(L241/E$265)   /   SUM($K241:$O241/$D$265:$H$265)</f>
        <v>3.7182894150638419E-2</v>
      </c>
      <c r="U241" s="11" cm="1">
        <f t="array" ref="U241">(M241/F$265)   /   SUM($K241:$O241/$D$265:$H$265)</f>
        <v>2.9651343550193447E-2</v>
      </c>
      <c r="V241" s="11" cm="1">
        <f t="array" ref="V241">(N241/G$265)   /   SUM($K241:$O241/$D$265:$H$265)</f>
        <v>5.219915971656048E-2</v>
      </c>
      <c r="W241" s="11" cm="1">
        <f t="array" ref="W241">(O241/H$265)   /   SUM($K241:$O241/$D$265:$H$265)</f>
        <v>0.86128573963918653</v>
      </c>
      <c r="X241" s="265">
        <f t="shared" si="5"/>
        <v>0</v>
      </c>
      <c r="Z241" s="95"/>
      <c r="AA241" s="95"/>
      <c r="AB241" s="95"/>
      <c r="AC241" s="95"/>
      <c r="AD241" s="95"/>
    </row>
    <row r="242" spans="3:30">
      <c r="C242" t="s">
        <v>87</v>
      </c>
      <c r="D242" s="96">
        <f t="shared" si="2"/>
        <v>308.08090209960938</v>
      </c>
      <c r="E242" s="96">
        <f t="shared" si="2"/>
        <v>333.04529190063482</v>
      </c>
      <c r="F242" s="96">
        <f t="shared" si="2"/>
        <v>185.64090728759771</v>
      </c>
      <c r="G242" s="96">
        <f t="shared" si="2"/>
        <v>168.3309516906738</v>
      </c>
      <c r="H242" s="96">
        <f t="shared" si="2"/>
        <v>1631.823364257812</v>
      </c>
      <c r="J242" t="s">
        <v>87</v>
      </c>
      <c r="K242" s="11">
        <f t="shared" si="3"/>
        <v>0.11727830915617118</v>
      </c>
      <c r="L242" s="11">
        <f t="shared" si="1"/>
        <v>0.12678159678298165</v>
      </c>
      <c r="M242" s="11">
        <f t="shared" si="1"/>
        <v>7.0668618432789904E-2</v>
      </c>
      <c r="N242" s="11">
        <f t="shared" si="1"/>
        <v>6.4079172900332756E-2</v>
      </c>
      <c r="O242" s="11">
        <f t="shared" si="1"/>
        <v>0.62119230272772452</v>
      </c>
      <c r="Q242" s="263">
        <f t="shared" si="4"/>
        <v>2217.0833939844201</v>
      </c>
      <c r="S242" s="11" cm="1">
        <f t="array" ref="S242">(K242/D$265)   /   SUM($K242:$O242/$D$265:$H$265)</f>
        <v>1.9680863240297667E-2</v>
      </c>
      <c r="T242" s="11" cm="1">
        <f t="array" ref="T242">(L242/E$265)   /   SUM($K242:$O242/$D$265:$H$265)</f>
        <v>3.7182900334492217E-2</v>
      </c>
      <c r="U242" s="11" cm="1">
        <f t="array" ref="U242">(M242/F$265)   /   SUM($K242:$O242/$D$265:$H$265)</f>
        <v>2.9651342313902134E-2</v>
      </c>
      <c r="V242" s="11" cm="1">
        <f t="array" ref="V242">(N242/G$265)   /   SUM($K242:$O242/$D$265:$H$265)</f>
        <v>5.2199162246981248E-2</v>
      </c>
      <c r="W242" s="11" cm="1">
        <f t="array" ref="W242">(O242/H$265)   /   SUM($K242:$O242/$D$265:$H$265)</f>
        <v>0.86128573186432666</v>
      </c>
      <c r="X242" s="265">
        <f t="shared" si="5"/>
        <v>0</v>
      </c>
      <c r="Z242" s="95"/>
      <c r="AA242" s="95"/>
      <c r="AB242" s="95"/>
      <c r="AC242" s="95"/>
      <c r="AD242" s="95"/>
    </row>
    <row r="243" spans="3:30">
      <c r="C243" t="s">
        <v>88</v>
      </c>
      <c r="D243" s="96">
        <f t="shared" si="2"/>
        <v>363.06585693359381</v>
      </c>
      <c r="E243" s="96">
        <f t="shared" si="2"/>
        <v>392.48573303222662</v>
      </c>
      <c r="F243" s="96">
        <f t="shared" si="2"/>
        <v>218.7733154296875</v>
      </c>
      <c r="G243" s="96">
        <f t="shared" si="2"/>
        <v>198.37393951416021</v>
      </c>
      <c r="H243" s="96">
        <f t="shared" si="2"/>
        <v>1923.064453125</v>
      </c>
      <c r="J243" t="s">
        <v>88</v>
      </c>
      <c r="K243" s="11">
        <f t="shared" si="3"/>
        <v>0.11727830004447841</v>
      </c>
      <c r="L243" s="11">
        <f t="shared" si="1"/>
        <v>0.12678157056820025</v>
      </c>
      <c r="M243" s="11">
        <f t="shared" si="1"/>
        <v>7.0668618485326323E-2</v>
      </c>
      <c r="N243" s="11">
        <f t="shared" si="1"/>
        <v>6.4079168985593002E-2</v>
      </c>
      <c r="O243" s="11">
        <f t="shared" si="1"/>
        <v>0.62119234191640205</v>
      </c>
      <c r="Q243" s="263">
        <f t="shared" si="4"/>
        <v>2217.0832481871025</v>
      </c>
      <c r="S243" s="11" cm="1">
        <f t="array" ref="S243">(K243/D$265)   /   SUM($K243:$O243/$D$265:$H$265)</f>
        <v>1.9680860885603779E-2</v>
      </c>
      <c r="T243" s="11" cm="1">
        <f t="array" ref="T243">(L243/E$265)   /   SUM($K243:$O243/$D$265:$H$265)</f>
        <v>3.7182891086282886E-2</v>
      </c>
      <c r="U243" s="11" cm="1">
        <f t="array" ref="U243">(M243/F$265)   /   SUM($K243:$O243/$D$265:$H$265)</f>
        <v>2.9651341092044196E-2</v>
      </c>
      <c r="V243" s="11" cm="1">
        <f t="array" ref="V243">(N243/G$265)   /   SUM($K243:$O243/$D$265:$H$265)</f>
        <v>5.2199156868214726E-2</v>
      </c>
      <c r="W243" s="11" cm="1">
        <f t="array" ref="W243">(O243/H$265)   /   SUM($K243:$O243/$D$265:$H$265)</f>
        <v>0.86128575006785446</v>
      </c>
      <c r="X243" s="265">
        <f t="shared" si="5"/>
        <v>0</v>
      </c>
      <c r="Z243" s="95"/>
      <c r="AA243" s="95"/>
      <c r="AB243" s="95"/>
      <c r="AC243" s="95"/>
      <c r="AD243" s="95"/>
    </row>
    <row r="244" spans="3:30">
      <c r="C244" t="s">
        <v>89</v>
      </c>
      <c r="D244" s="96">
        <f t="shared" si="2"/>
        <v>514.7325439453125</v>
      </c>
      <c r="E244" s="96">
        <f t="shared" si="2"/>
        <v>556.4422607421875</v>
      </c>
      <c r="F244" s="96">
        <f t="shared" si="2"/>
        <v>310.16336059570313</v>
      </c>
      <c r="G244" s="96">
        <f t="shared" si="2"/>
        <v>281.242431640625</v>
      </c>
      <c r="H244" s="96">
        <f t="shared" si="2"/>
        <v>2726.40283203125</v>
      </c>
      <c r="J244" t="s">
        <v>89</v>
      </c>
      <c r="K244" s="11">
        <f t="shared" si="3"/>
        <v>0.11727830653210262</v>
      </c>
      <c r="L244" s="11">
        <f t="shared" si="1"/>
        <v>0.1267815816006998</v>
      </c>
      <c r="M244" s="11">
        <f t="shared" si="1"/>
        <v>7.0668610537348575E-2</v>
      </c>
      <c r="N244" s="11">
        <f t="shared" si="1"/>
        <v>6.4079173729663125E-2</v>
      </c>
      <c r="O244" s="11">
        <f t="shared" si="1"/>
        <v>0.62119232760018583</v>
      </c>
      <c r="Q244" s="263">
        <f t="shared" si="4"/>
        <v>2217.0833123261536</v>
      </c>
      <c r="S244" s="11" cm="1">
        <f t="array" ref="S244">(K244/D$265)   /   SUM($K244:$O244/$D$265:$H$265)</f>
        <v>1.9680862269436598E-2</v>
      </c>
      <c r="T244" s="11" cm="1">
        <f t="array" ref="T244">(L244/E$265)   /   SUM($K244:$O244/$D$265:$H$265)</f>
        <v>3.7182894879502104E-2</v>
      </c>
      <c r="U244" s="11" cm="1">
        <f t="array" ref="U244">(M244/F$265)   /   SUM($K244:$O244/$D$265:$H$265)</f>
        <v>2.9651338201843631E-2</v>
      </c>
      <c r="V244" s="11" cm="1">
        <f t="array" ref="V244">(N244/G$265)   /   SUM($K244:$O244/$D$265:$H$265)</f>
        <v>5.2199161515502981E-2</v>
      </c>
      <c r="W244" s="11" cm="1">
        <f t="array" ref="W244">(O244/H$265)   /   SUM($K244:$O244/$D$265:$H$265)</f>
        <v>0.86128574313371475</v>
      </c>
      <c r="X244" s="265">
        <f t="shared" si="5"/>
        <v>0</v>
      </c>
      <c r="Z244" s="95"/>
      <c r="AA244" s="95"/>
      <c r="AB244" s="95"/>
      <c r="AC244" s="95"/>
      <c r="AD244" s="95"/>
    </row>
    <row r="245" spans="3:30">
      <c r="C245" t="s">
        <v>90</v>
      </c>
      <c r="D245" s="96">
        <f t="shared" si="2"/>
        <v>870.67996215820313</v>
      </c>
      <c r="E245" s="96">
        <f t="shared" si="2"/>
        <v>971.78760528564453</v>
      </c>
      <c r="F245" s="96">
        <f t="shared" si="2"/>
        <v>889.28226470947266</v>
      </c>
      <c r="G245" s="96">
        <f t="shared" si="2"/>
        <v>414.3192024230957</v>
      </c>
      <c r="H245" s="96">
        <f t="shared" si="2"/>
        <v>1270.7752456665039</v>
      </c>
      <c r="J245" t="s">
        <v>90</v>
      </c>
      <c r="K245" s="11">
        <f t="shared" si="3"/>
        <v>0.19712715842232886</v>
      </c>
      <c r="L245" s="11">
        <f t="shared" ref="L245:L261" si="6">E245/SUM($D245:$H245)</f>
        <v>0.2200185344166577</v>
      </c>
      <c r="M245" s="11">
        <f t="shared" ref="M245:M261" si="7">F245/SUM($D245:$H245)</f>
        <v>0.20133883113954007</v>
      </c>
      <c r="N245" s="11">
        <f t="shared" ref="N245:N261" si="8">G245/SUM($D245:$H245)</f>
        <v>9.3804349018233618E-2</v>
      </c>
      <c r="O245" s="11">
        <f t="shared" ref="O245:O261" si="9">H245/SUM($D245:$H245)</f>
        <v>0.28771112700323975</v>
      </c>
      <c r="Q245" s="263">
        <f t="shared" si="4"/>
        <v>3311.0519061446407</v>
      </c>
      <c r="S245" s="11" cm="1">
        <f t="array" ref="S245">(K245/D$265)   /   SUM($K245:$O245/$D$265:$H$265)</f>
        <v>5.0319325864508407E-2</v>
      </c>
      <c r="T245" s="11" cm="1">
        <f t="array" ref="T245">(L245/E$265)   /   SUM($K245:$O245/$D$265:$H$265)</f>
        <v>9.8154048564227811E-2</v>
      </c>
      <c r="U245" s="11" cm="1">
        <f t="array" ref="U245">(M245/F$265)   /   SUM($K245:$O245/$D$265:$H$265)</f>
        <v>0.12850120661532127</v>
      </c>
      <c r="V245" s="11" cm="1">
        <f t="array" ref="V245">(N245/G$265)   /   SUM($K245:$O245/$D$265:$H$265)</f>
        <v>0.11623355326765585</v>
      </c>
      <c r="W245" s="11" cm="1">
        <f t="array" ref="W245">(O245/H$265)   /   SUM($K245:$O245/$D$265:$H$265)</f>
        <v>0.60679186568828658</v>
      </c>
      <c r="X245" s="265">
        <f t="shared" si="5"/>
        <v>0</v>
      </c>
      <c r="Z245" s="95"/>
      <c r="AA245" s="95"/>
      <c r="AB245" s="95"/>
      <c r="AC245" s="95"/>
      <c r="AD245" s="95"/>
    </row>
    <row r="246" spans="3:30">
      <c r="C246" t="s">
        <v>91</v>
      </c>
      <c r="D246" s="96">
        <f t="shared" si="2"/>
        <v>2042.827758789062</v>
      </c>
      <c r="E246" s="96">
        <f t="shared" si="2"/>
        <v>888.70941162109375</v>
      </c>
      <c r="F246" s="96">
        <f t="shared" si="2"/>
        <v>780.6396484375</v>
      </c>
      <c r="G246" s="96">
        <f t="shared" si="2"/>
        <v>342.03585815429688</v>
      </c>
      <c r="H246" s="96">
        <f t="shared" si="2"/>
        <v>8939.3896484375</v>
      </c>
      <c r="J246" t="s">
        <v>91</v>
      </c>
      <c r="K246" s="11">
        <f t="shared" si="3"/>
        <v>0.15721796832195817</v>
      </c>
      <c r="L246" s="11">
        <f t="shared" si="6"/>
        <v>6.8395922036273107E-2</v>
      </c>
      <c r="M246" s="11">
        <f t="shared" si="7"/>
        <v>6.007877021979724E-2</v>
      </c>
      <c r="N246" s="11">
        <f t="shared" si="8"/>
        <v>2.6323405133358888E-2</v>
      </c>
      <c r="O246" s="11">
        <f t="shared" si="9"/>
        <v>0.6879839342886126</v>
      </c>
      <c r="Q246" s="263">
        <f t="shared" si="4"/>
        <v>2235.9118741743937</v>
      </c>
      <c r="S246" s="11" cm="1">
        <f t="array" ref="S246">(K246/D$265)   /   SUM($K246:$O246/$D$265:$H$265)</f>
        <v>2.5199247710879162E-2</v>
      </c>
      <c r="T246" s="11" cm="1">
        <f t="array" ref="T246">(L246/E$265)   /   SUM($K246:$O246/$D$265:$H$265)</f>
        <v>1.9159148440912491E-2</v>
      </c>
      <c r="U246" s="11" cm="1">
        <f t="array" ref="U246">(M246/F$265)   /   SUM($K246:$O246/$D$265:$H$265)</f>
        <v>2.4076743186927367E-2</v>
      </c>
      <c r="V246" s="11" cm="1">
        <f t="array" ref="V246">(N246/G$265)   /   SUM($K246:$O246/$D$265:$H$265)</f>
        <v>2.0480834673334086E-2</v>
      </c>
      <c r="W246" s="11" cm="1">
        <f t="array" ref="W246">(O246/H$265)   /   SUM($K246:$O246/$D$265:$H$265)</f>
        <v>0.9110840259879468</v>
      </c>
      <c r="X246" s="265">
        <f t="shared" si="5"/>
        <v>0</v>
      </c>
      <c r="Z246" s="95"/>
      <c r="AA246" s="95"/>
      <c r="AB246" s="95"/>
      <c r="AC246" s="95"/>
      <c r="AD246" s="95"/>
    </row>
    <row r="247" spans="3:30">
      <c r="C247" t="s">
        <v>256</v>
      </c>
      <c r="D247" s="96">
        <f t="shared" si="2"/>
        <v>1024.890502929688</v>
      </c>
      <c r="E247" s="96">
        <f t="shared" si="2"/>
        <v>1456.985473632812</v>
      </c>
      <c r="F247" s="96">
        <f t="shared" si="2"/>
        <v>1334.710327148438</v>
      </c>
      <c r="G247" s="96">
        <f t="shared" si="2"/>
        <v>4450.47119140625</v>
      </c>
      <c r="H247" s="96">
        <f t="shared" si="2"/>
        <v>1310.787475585938</v>
      </c>
      <c r="J247" t="s">
        <v>256</v>
      </c>
      <c r="K247" s="11">
        <f t="shared" si="3"/>
        <v>0.10700637837265485</v>
      </c>
      <c r="L247" s="11">
        <f t="shared" si="6"/>
        <v>0.15212038596254837</v>
      </c>
      <c r="M247" s="11">
        <f t="shared" si="7"/>
        <v>0.13935392890896361</v>
      </c>
      <c r="N247" s="11">
        <f t="shared" si="8"/>
        <v>0.46466310584681908</v>
      </c>
      <c r="O247" s="11">
        <f t="shared" si="9"/>
        <v>0.13685620090901418</v>
      </c>
      <c r="Q247" s="263">
        <f t="shared" si="4"/>
        <v>2619.3020283938163</v>
      </c>
      <c r="S247" s="11" cm="1">
        <f t="array" ref="S247">(K247/D$265)   /   SUM($K247:$O247/$D$265:$H$265)</f>
        <v>2.6050821975779591E-2</v>
      </c>
      <c r="T247" s="11" cm="1">
        <f t="array" ref="T247">(L247/E$265)   /   SUM($K247:$O247/$D$265:$H$265)</f>
        <v>6.4723170271966321E-2</v>
      </c>
      <c r="U247" s="11" cm="1">
        <f t="array" ref="U247">(M247/F$265)   /   SUM($K247:$O247/$D$265:$H$265)</f>
        <v>8.4824692344081437E-2</v>
      </c>
      <c r="V247" s="11" cm="1">
        <f t="array" ref="V247">(N247/G$265)   /   SUM($K247:$O247/$D$265:$H$265)</f>
        <v>0.5491236446738913</v>
      </c>
      <c r="W247" s="11" cm="1">
        <f t="array" ref="W247">(O247/H$265)   /   SUM($K247:$O247/$D$265:$H$265)</f>
        <v>0.27527767073428128</v>
      </c>
      <c r="X247" s="265">
        <f t="shared" si="5"/>
        <v>0</v>
      </c>
      <c r="Z247" s="95"/>
      <c r="AA247" s="95"/>
      <c r="AB247" s="95"/>
      <c r="AC247" s="95"/>
      <c r="AD247" s="95"/>
    </row>
    <row r="248" spans="3:30">
      <c r="C248" t="s">
        <v>93</v>
      </c>
      <c r="D248" s="96">
        <f t="shared" si="2"/>
        <v>789.77117919921875</v>
      </c>
      <c r="E248" s="96">
        <f t="shared" si="2"/>
        <v>233.87535095214841</v>
      </c>
      <c r="F248" s="96">
        <f t="shared" si="2"/>
        <v>479.86105346679688</v>
      </c>
      <c r="G248" s="96">
        <f t="shared" si="2"/>
        <v>3751.85107421875</v>
      </c>
      <c r="H248" s="96">
        <f t="shared" si="2"/>
        <v>165.72003173828119</v>
      </c>
      <c r="J248" t="s">
        <v>93</v>
      </c>
      <c r="K248" s="11">
        <f t="shared" si="3"/>
        <v>0.14568524539552599</v>
      </c>
      <c r="L248" s="11">
        <f t="shared" si="6"/>
        <v>4.3141847655134347E-2</v>
      </c>
      <c r="M248" s="11">
        <f t="shared" si="7"/>
        <v>8.8517632918624828E-2</v>
      </c>
      <c r="N248" s="11">
        <f t="shared" si="8"/>
        <v>0.69208570638046785</v>
      </c>
      <c r="O248" s="11">
        <f t="shared" si="9"/>
        <v>3.0569567650246984E-2</v>
      </c>
      <c r="Q248" s="263">
        <f t="shared" si="4"/>
        <v>2546.7906080260018</v>
      </c>
      <c r="S248" s="11" cm="1">
        <f t="array" ref="S248">(K248/D$265)   /   SUM($K248:$O248/$D$265:$H$265)</f>
        <v>3.5931593800455242E-2</v>
      </c>
      <c r="T248" s="11" cm="1">
        <f t="array" ref="T248">(L248/E$265)   /   SUM($K248:$O248/$D$265:$H$265)</f>
        <v>1.8596030514822261E-2</v>
      </c>
      <c r="U248" s="11" cm="1">
        <f t="array" ref="U248">(M248/F$265)   /   SUM($K248:$O248/$D$265:$H$265)</f>
        <v>5.4586093339965884E-2</v>
      </c>
      <c r="V248" s="11" cm="1">
        <f t="array" ref="V248">(N248/G$265)   /   SUM($K248:$O248/$D$265:$H$265)</f>
        <v>0.82859246465005065</v>
      </c>
      <c r="W248" s="11" cm="1">
        <f t="array" ref="W248">(O248/H$265)   /   SUM($K248:$O248/$D$265:$H$265)</f>
        <v>6.229381769470594E-2</v>
      </c>
      <c r="X248" s="265">
        <f t="shared" si="5"/>
        <v>0</v>
      </c>
      <c r="Z248" s="95"/>
      <c r="AA248" s="95"/>
      <c r="AB248" s="95"/>
      <c r="AC248" s="95"/>
      <c r="AD248" s="95"/>
    </row>
    <row r="249" spans="3:30">
      <c r="C249" t="s">
        <v>94</v>
      </c>
      <c r="D249" s="96">
        <f t="shared" si="2"/>
        <v>727.13848876953125</v>
      </c>
      <c r="E249" s="96">
        <f t="shared" si="2"/>
        <v>707.8558349609375</v>
      </c>
      <c r="F249" s="96">
        <f t="shared" si="2"/>
        <v>637.67254638671875</v>
      </c>
      <c r="G249" s="96">
        <f t="shared" si="2"/>
        <v>587.70513916015625</v>
      </c>
      <c r="H249" s="96">
        <f t="shared" si="2"/>
        <v>461.58206176757813</v>
      </c>
      <c r="J249" t="s">
        <v>94</v>
      </c>
      <c r="K249" s="11">
        <f t="shared" si="3"/>
        <v>0.23291133444706863</v>
      </c>
      <c r="L249" s="11">
        <f t="shared" si="6"/>
        <v>0.2267348650404768</v>
      </c>
      <c r="M249" s="11">
        <f t="shared" si="7"/>
        <v>0.20425430095238042</v>
      </c>
      <c r="N249" s="11">
        <f t="shared" si="8"/>
        <v>0.18824913044395</v>
      </c>
      <c r="O249" s="11">
        <f t="shared" si="9"/>
        <v>0.14785036911612412</v>
      </c>
      <c r="Q249" s="263">
        <f t="shared" si="4"/>
        <v>3624.4504166198062</v>
      </c>
      <c r="S249" s="11" cm="1">
        <f t="array" ref="S249">(K249/D$265)   /   SUM($K249:$O249/$D$265:$H$265)</f>
        <v>7.1112817686811616E-2</v>
      </c>
      <c r="T249" s="11" cm="1">
        <f t="array" ref="T249">(L249/E$265)   /   SUM($K249:$O249/$D$265:$H$265)</f>
        <v>0.1209862923061108</v>
      </c>
      <c r="U249" s="11" cm="1">
        <f t="array" ref="U249">(M249/F$265)   /   SUM($K249:$O249/$D$265:$H$265)</f>
        <v>0.15592644720566698</v>
      </c>
      <c r="V249" s="11" cm="1">
        <f t="array" ref="V249">(N249/G$265)   /   SUM($K249:$O249/$D$265:$H$265)</f>
        <v>0.27900400024942001</v>
      </c>
      <c r="W249" s="11" cm="1">
        <f t="array" ref="W249">(O249/H$265)   /   SUM($K249:$O249/$D$265:$H$265)</f>
        <v>0.37297044255199058</v>
      </c>
      <c r="X249" s="265">
        <f t="shared" si="5"/>
        <v>0</v>
      </c>
      <c r="Z249" s="95"/>
      <c r="AA249" s="95"/>
      <c r="AB249" s="95"/>
      <c r="AC249" s="95"/>
      <c r="AD249" s="95"/>
    </row>
    <row r="250" spans="3:30">
      <c r="C250" t="s">
        <v>95</v>
      </c>
      <c r="D250" s="96">
        <f t="shared" si="2"/>
        <v>93.719711303710938</v>
      </c>
      <c r="E250" s="96">
        <f t="shared" si="2"/>
        <v>91.234413146972656</v>
      </c>
      <c r="F250" s="96">
        <f t="shared" si="2"/>
        <v>82.188583374023438</v>
      </c>
      <c r="G250" s="96">
        <f t="shared" si="2"/>
        <v>75.748374938964844</v>
      </c>
      <c r="H250" s="96">
        <f t="shared" si="2"/>
        <v>59.492568969726563</v>
      </c>
      <c r="J250" t="s">
        <v>95</v>
      </c>
      <c r="K250" s="11">
        <f t="shared" si="3"/>
        <v>0.23291132952341081</v>
      </c>
      <c r="L250" s="11">
        <f t="shared" si="6"/>
        <v>0.22673489033152999</v>
      </c>
      <c r="M250" s="11">
        <f t="shared" si="7"/>
        <v>0.20425428075909494</v>
      </c>
      <c r="N250" s="11">
        <f t="shared" si="8"/>
        <v>0.18824913639670521</v>
      </c>
      <c r="O250" s="11">
        <f t="shared" si="9"/>
        <v>0.14785036298925908</v>
      </c>
      <c r="Q250" s="263">
        <f t="shared" si="4"/>
        <v>3624.450430769883</v>
      </c>
      <c r="S250" s="11" cm="1">
        <f t="array" ref="S250">(K250/D$265)   /   SUM($K250:$O250/$D$265:$H$265)</f>
        <v>7.1112816898662098E-2</v>
      </c>
      <c r="T250" s="11" cm="1">
        <f t="array" ref="T250">(L250/E$265)   /   SUM($K250:$O250/$D$265:$H$265)</f>
        <v>0.1209863070181834</v>
      </c>
      <c r="U250" s="11" cm="1">
        <f t="array" ref="U250">(M250/F$265)   /   SUM($K250:$O250/$D$265:$H$265)</f>
        <v>0.15592643335831988</v>
      </c>
      <c r="V250" s="11" cm="1">
        <f t="array" ref="V250">(N250/G$265)   /   SUM($K250:$O250/$D$265:$H$265)</f>
        <v>0.27900401187781143</v>
      </c>
      <c r="W250" s="11" cm="1">
        <f t="array" ref="W250">(O250/H$265)   /   SUM($K250:$O250/$D$265:$H$265)</f>
        <v>0.37297043084702314</v>
      </c>
      <c r="X250" s="265">
        <f t="shared" si="5"/>
        <v>0</v>
      </c>
      <c r="Z250" s="95"/>
      <c r="AA250" s="95"/>
      <c r="AB250" s="95"/>
      <c r="AC250" s="95"/>
      <c r="AD250" s="95"/>
    </row>
    <row r="251" spans="3:30">
      <c r="C251" t="s">
        <v>96</v>
      </c>
      <c r="D251" s="96">
        <f t="shared" si="2"/>
        <v>101.8675231933594</v>
      </c>
      <c r="E251" s="96">
        <f t="shared" si="2"/>
        <v>99.166175842285156</v>
      </c>
      <c r="F251" s="96">
        <f t="shared" si="2"/>
        <v>89.333908081054673</v>
      </c>
      <c r="G251" s="96">
        <f t="shared" si="2"/>
        <v>82.333778381347656</v>
      </c>
      <c r="H251" s="96">
        <f t="shared" si="2"/>
        <v>64.664741516113281</v>
      </c>
      <c r="J251" t="s">
        <v>96</v>
      </c>
      <c r="K251" s="11">
        <f t="shared" si="3"/>
        <v>0.23291132280589563</v>
      </c>
      <c r="L251" s="11">
        <f t="shared" si="6"/>
        <v>0.22673492462546044</v>
      </c>
      <c r="M251" s="11">
        <f t="shared" si="7"/>
        <v>0.20425429077218502</v>
      </c>
      <c r="N251" s="11">
        <f t="shared" si="8"/>
        <v>0.18824909680004098</v>
      </c>
      <c r="O251" s="11">
        <f t="shared" si="9"/>
        <v>0.14785036499641796</v>
      </c>
      <c r="Q251" s="263">
        <f t="shared" si="4"/>
        <v>3624.4504958464076</v>
      </c>
      <c r="S251" s="11" cm="1">
        <f t="array" ref="S251">(K251/D$265)   /   SUM($K251:$O251/$D$265:$H$265)</f>
        <v>7.1112816961891243E-2</v>
      </c>
      <c r="T251" s="11" cm="1">
        <f t="array" ref="T251">(L251/E$265)   /   SUM($K251:$O251/$D$265:$H$265)</f>
        <v>0.12098632891451325</v>
      </c>
      <c r="U251" s="11" cm="1">
        <f t="array" ref="U251">(M251/F$265)   /   SUM($K251:$O251/$D$265:$H$265)</f>
        <v>0.15592644563804473</v>
      </c>
      <c r="V251" s="11" cm="1">
        <f t="array" ref="V251">(N251/G$265)   /   SUM($K251:$O251/$D$265:$H$265)</f>
        <v>0.27900396148657197</v>
      </c>
      <c r="W251" s="11" cm="1">
        <f t="array" ref="W251">(O251/H$265)   /   SUM($K251:$O251/$D$265:$H$265)</f>
        <v>0.37297044699897874</v>
      </c>
      <c r="X251" s="265">
        <f t="shared" si="5"/>
        <v>0</v>
      </c>
      <c r="Z251" s="95"/>
      <c r="AA251" s="95"/>
      <c r="AB251" s="95"/>
      <c r="AC251" s="95"/>
      <c r="AD251" s="95"/>
    </row>
    <row r="252" spans="3:30">
      <c r="C252" t="s">
        <v>97</v>
      </c>
      <c r="D252" s="96">
        <f t="shared" si="2"/>
        <v>173.11376953125</v>
      </c>
      <c r="E252" s="96">
        <f t="shared" si="2"/>
        <v>168.5230407714844</v>
      </c>
      <c r="F252" s="96">
        <f t="shared" si="2"/>
        <v>151.8141174316406</v>
      </c>
      <c r="G252" s="96">
        <f t="shared" si="2"/>
        <v>139.9181213378906</v>
      </c>
      <c r="H252" s="96">
        <f t="shared" si="2"/>
        <v>109.8913192749023</v>
      </c>
      <c r="J252" t="s">
        <v>97</v>
      </c>
      <c r="K252" s="11">
        <f t="shared" si="3"/>
        <v>0.23291134157497637</v>
      </c>
      <c r="L252" s="11">
        <f t="shared" si="6"/>
        <v>0.22673486701065343</v>
      </c>
      <c r="M252" s="11">
        <f t="shared" si="7"/>
        <v>0.2042542881295267</v>
      </c>
      <c r="N252" s="11">
        <f t="shared" si="8"/>
        <v>0.18824913488800002</v>
      </c>
      <c r="O252" s="11">
        <f t="shared" si="9"/>
        <v>0.1478503683968434</v>
      </c>
      <c r="Q252" s="263">
        <f t="shared" si="4"/>
        <v>3624.4504452321275</v>
      </c>
      <c r="S252" s="11" cm="1">
        <f t="array" ref="S252">(K252/D$265)   /   SUM($K252:$O252/$D$265:$H$265)</f>
        <v>7.111281999035228E-2</v>
      </c>
      <c r="T252" s="11" cm="1">
        <f t="array" ref="T252">(L252/E$265)   /   SUM($K252:$O252/$D$265:$H$265)</f>
        <v>0.12098629357387534</v>
      </c>
      <c r="U252" s="11" cm="1">
        <f t="array" ref="U252">(M252/F$265)   /   SUM($K252:$O252/$D$265:$H$265)</f>
        <v>0.1559264376957708</v>
      </c>
      <c r="V252" s="11" cm="1">
        <f t="array" ref="V252">(N252/G$265)   /   SUM($K252:$O252/$D$265:$H$265)</f>
        <v>0.27900400733515041</v>
      </c>
      <c r="W252" s="11" cm="1">
        <f t="array" ref="W252">(O252/H$265)   /   SUM($K252:$O252/$D$265:$H$265)</f>
        <v>0.37297044140485108</v>
      </c>
      <c r="X252" s="265">
        <f t="shared" si="5"/>
        <v>0</v>
      </c>
    </row>
    <row r="253" spans="3:30">
      <c r="C253" t="s">
        <v>98</v>
      </c>
      <c r="D253" s="96">
        <f t="shared" si="2"/>
        <v>895.68414306640625</v>
      </c>
      <c r="E253" s="96">
        <f t="shared" si="2"/>
        <v>871.9320068359375</v>
      </c>
      <c r="F253" s="96">
        <f t="shared" si="2"/>
        <v>785.48065185546875</v>
      </c>
      <c r="G253" s="96">
        <f t="shared" si="2"/>
        <v>723.9310302734375</v>
      </c>
      <c r="H253" s="96">
        <f t="shared" si="2"/>
        <v>568.5736083984375</v>
      </c>
      <c r="J253" t="s">
        <v>98</v>
      </c>
      <c r="K253" s="11">
        <f t="shared" si="3"/>
        <v>0.2329113292006483</v>
      </c>
      <c r="L253" s="11">
        <f t="shared" si="6"/>
        <v>0.22673488668615444</v>
      </c>
      <c r="M253" s="11">
        <f t="shared" si="7"/>
        <v>0.20425430560679819</v>
      </c>
      <c r="N253" s="11">
        <f t="shared" si="8"/>
        <v>0.18824910524075247</v>
      </c>
      <c r="O253" s="11">
        <f t="shared" si="9"/>
        <v>0.1478503732656466</v>
      </c>
      <c r="Q253" s="263">
        <f t="shared" si="4"/>
        <v>3624.4504478048743</v>
      </c>
      <c r="S253" s="11" cm="1">
        <f t="array" ref="S253">(K253/D$265)   /   SUM($K253:$O253/$D$265:$H$265)</f>
        <v>7.1112817036775591E-2</v>
      </c>
      <c r="T253" s="11" cm="1">
        <f t="array" ref="T253">(L253/E$265)   /   SUM($K253:$O253/$D$265:$H$265)</f>
        <v>0.12098630547563806</v>
      </c>
      <c r="U253" s="11" cm="1">
        <f t="array" ref="U253">(M253/F$265)   /   SUM($K253:$O253/$D$265:$H$265)</f>
        <v>0.15592645284581549</v>
      </c>
      <c r="V253" s="11" cm="1">
        <f t="array" ref="V253">(N253/G$265)   /   SUM($K253:$O253/$D$265:$H$265)</f>
        <v>0.27900396663009019</v>
      </c>
      <c r="W253" s="11" cm="1">
        <f t="array" ref="W253">(O253/H$265)   /   SUM($K253:$O253/$D$265:$H$265)</f>
        <v>0.37297045801168061</v>
      </c>
      <c r="X253" s="265">
        <f t="shared" si="5"/>
        <v>0</v>
      </c>
    </row>
    <row r="254" spans="3:30">
      <c r="C254" t="s">
        <v>99</v>
      </c>
      <c r="D254" s="96">
        <f t="shared" si="2"/>
        <v>307.67634773254389</v>
      </c>
      <c r="E254" s="96">
        <f t="shared" si="2"/>
        <v>292.86926651000982</v>
      </c>
      <c r="F254" s="96">
        <f t="shared" si="2"/>
        <v>607.26981353759766</v>
      </c>
      <c r="G254" s="96">
        <f t="shared" si="2"/>
        <v>13.604443848133091</v>
      </c>
      <c r="H254" s="96">
        <f t="shared" si="2"/>
        <v>14.18807989358902</v>
      </c>
      <c r="J254" t="s">
        <v>99</v>
      </c>
      <c r="K254" s="11">
        <f t="shared" si="3"/>
        <v>0.24900806712483933</v>
      </c>
      <c r="L254" s="11">
        <f t="shared" si="6"/>
        <v>0.23702442684128783</v>
      </c>
      <c r="M254" s="11">
        <f t="shared" si="7"/>
        <v>0.49147451081844823</v>
      </c>
      <c r="N254" s="11">
        <f t="shared" si="8"/>
        <v>1.1010323971593718E-2</v>
      </c>
      <c r="O254" s="11">
        <f t="shared" si="9"/>
        <v>1.1482671243830898E-2</v>
      </c>
      <c r="Q254" s="263">
        <f t="shared" si="4"/>
        <v>4230.9794160868696</v>
      </c>
      <c r="S254" s="11" cm="1">
        <f t="array" ref="S254">(K254/D$265)   /   SUM($K254:$O254/$D$265:$H$265)</f>
        <v>0.12203887119930898</v>
      </c>
      <c r="T254" s="11" cm="1">
        <f t="array" ref="T254">(L254/E$265)   /   SUM($K254:$O254/$D$265:$H$265)</f>
        <v>0.20301983362826462</v>
      </c>
      <c r="U254" s="11" cm="1">
        <f t="array" ref="U254">(M254/F$265)   /   SUM($K254:$O254/$D$265:$H$265)</f>
        <v>0.60225036792842124</v>
      </c>
      <c r="V254" s="11" cm="1">
        <f t="array" ref="V254">(N254/G$265)   /   SUM($K254:$O254/$D$265:$H$265)</f>
        <v>2.6194194669399113E-2</v>
      </c>
      <c r="W254" s="11" cm="1">
        <f t="array" ref="W254">(O254/H$265)   /   SUM($K254:$O254/$D$265:$H$265)</f>
        <v>4.6496732574606119E-2</v>
      </c>
      <c r="X254" s="265">
        <f t="shared" si="5"/>
        <v>0</v>
      </c>
    </row>
    <row r="255" spans="3:30">
      <c r="C255" t="s">
        <v>100</v>
      </c>
      <c r="D255" s="96">
        <f t="shared" si="2"/>
        <v>113.3425674438477</v>
      </c>
      <c r="E255" s="96">
        <f t="shared" si="2"/>
        <v>79.707588195800781</v>
      </c>
      <c r="F255" s="96">
        <f t="shared" si="2"/>
        <v>46.157157897949219</v>
      </c>
      <c r="G255" s="96">
        <f t="shared" si="2"/>
        <v>25.399309158325199</v>
      </c>
      <c r="H255" s="96">
        <f t="shared" si="2"/>
        <v>6.4886007308959961</v>
      </c>
      <c r="J255" t="s">
        <v>100</v>
      </c>
      <c r="K255" s="11">
        <f t="shared" si="3"/>
        <v>0.41809134816587457</v>
      </c>
      <c r="L255" s="11">
        <f t="shared" si="6"/>
        <v>0.2940206293133657</v>
      </c>
      <c r="M255" s="11">
        <f t="shared" si="7"/>
        <v>0.17026178961950306</v>
      </c>
      <c r="N255" s="11">
        <f t="shared" si="8"/>
        <v>9.3691466921701938E-2</v>
      </c>
      <c r="O255" s="11">
        <f t="shared" si="9"/>
        <v>2.3934765979554667E-2</v>
      </c>
      <c r="Q255" s="263">
        <f t="shared" si="4"/>
        <v>4894.8351558163113</v>
      </c>
      <c r="S255" s="11" cm="1">
        <f t="array" ref="S255">(K255/D$265)   /   SUM($K255:$O255/$D$265:$H$265)</f>
        <v>0.20798477870726004</v>
      </c>
      <c r="T255" s="11" cm="1">
        <f t="array" ref="T255">(L255/E$265)   /   SUM($K255:$O255/$D$265:$H$265)</f>
        <v>0.25562232016358533</v>
      </c>
      <c r="U255" s="11" cm="1">
        <f t="array" ref="U255">(M255/F$265)   /   SUM($K255:$O255/$D$265:$H$265)</f>
        <v>0.21177216473238192</v>
      </c>
      <c r="V255" s="11" cm="1">
        <f t="array" ref="V255">(N255/G$265)   /   SUM($K255:$O255/$D$265:$H$265)</f>
        <v>0.22624583796614206</v>
      </c>
      <c r="W255" s="11" cm="1">
        <f t="array" ref="W255">(O255/H$265)   /   SUM($K255:$O255/$D$265:$H$265)</f>
        <v>9.8374898430630603E-2</v>
      </c>
      <c r="X255" s="265">
        <f t="shared" si="5"/>
        <v>0</v>
      </c>
    </row>
    <row r="256" spans="3:30">
      <c r="C256" t="s">
        <v>101</v>
      </c>
      <c r="D256" s="96">
        <f t="shared" si="2"/>
        <v>1165.935546875</v>
      </c>
      <c r="E256" s="96">
        <f t="shared" si="2"/>
        <v>819.93817138671875</v>
      </c>
      <c r="F256" s="96">
        <f t="shared" si="2"/>
        <v>474.81072998046881</v>
      </c>
      <c r="G256" s="96">
        <f t="shared" si="2"/>
        <v>261.27838134765619</v>
      </c>
      <c r="H256" s="96">
        <f t="shared" si="2"/>
        <v>66.74713134765625</v>
      </c>
      <c r="J256" t="s">
        <v>101</v>
      </c>
      <c r="K256" s="11">
        <f t="shared" si="3"/>
        <v>0.41809136238859324</v>
      </c>
      <c r="L256" s="11">
        <f t="shared" si="6"/>
        <v>0.29402059836695044</v>
      </c>
      <c r="M256" s="11">
        <f t="shared" si="7"/>
        <v>0.17026178291443703</v>
      </c>
      <c r="N256" s="11">
        <f t="shared" si="8"/>
        <v>9.3691486388860754E-2</v>
      </c>
      <c r="O256" s="11">
        <f t="shared" si="9"/>
        <v>2.3934769941158528E-2</v>
      </c>
      <c r="Q256" s="263">
        <f t="shared" si="4"/>
        <v>4894.8351436892217</v>
      </c>
      <c r="S256" s="11" cm="1">
        <f t="array" ref="S256">(K256/D$265)   /   SUM($K256:$O256/$D$265:$H$265)</f>
        <v>0.20798477847758212</v>
      </c>
      <c r="T256" s="11" cm="1">
        <f t="array" ref="T256">(L256/E$265)   /   SUM($K256:$O256/$D$265:$H$265)</f>
        <v>0.25562228428059303</v>
      </c>
      <c r="U256" s="11" cm="1">
        <f t="array" ref="U256">(M256/F$265)   /   SUM($K256:$O256/$D$265:$H$265)</f>
        <v>0.2117721489546297</v>
      </c>
      <c r="V256" s="11" cm="1">
        <f t="array" ref="V256">(N256/G$265)   /   SUM($K256:$O256/$D$265:$H$265)</f>
        <v>0.22624587702904839</v>
      </c>
      <c r="W256" s="11" cm="1">
        <f t="array" ref="W256">(O256/H$265)   /   SUM($K256:$O256/$D$265:$H$265)</f>
        <v>9.8374911258146916E-2</v>
      </c>
      <c r="X256" s="265">
        <f t="shared" si="5"/>
        <v>0</v>
      </c>
    </row>
    <row r="257" spans="1:24">
      <c r="C257" t="s">
        <v>135</v>
      </c>
      <c r="D257" s="96">
        <f t="shared" si="2"/>
        <v>1166.951782226562</v>
      </c>
      <c r="E257" s="96">
        <f t="shared" si="2"/>
        <v>995.53717041015625</v>
      </c>
      <c r="F257" s="96">
        <f t="shared" si="2"/>
        <v>1105.462158203125</v>
      </c>
      <c r="G257" s="96">
        <f t="shared" si="2"/>
        <v>1455.040649414062</v>
      </c>
      <c r="H257" s="96">
        <f t="shared" si="2"/>
        <v>225.49725341796881</v>
      </c>
      <c r="J257" t="s">
        <v>135</v>
      </c>
      <c r="K257" s="11">
        <f t="shared" si="3"/>
        <v>0.23581981873708585</v>
      </c>
      <c r="L257" s="11">
        <f t="shared" si="6"/>
        <v>0.20118003044154453</v>
      </c>
      <c r="M257" s="11">
        <f t="shared" si="7"/>
        <v>0.22339387945470063</v>
      </c>
      <c r="N257" s="11">
        <f t="shared" si="8"/>
        <v>0.29403736077700088</v>
      </c>
      <c r="O257" s="11">
        <f t="shared" si="9"/>
        <v>4.5568910589668159E-2</v>
      </c>
      <c r="Q257" s="263">
        <f t="shared" si="4"/>
        <v>3663.1879451209566</v>
      </c>
      <c r="S257" s="11" cm="1">
        <f t="array" ref="S257">(K257/D$265)   /   SUM($K257:$O257/$D$265:$H$265)</f>
        <v>7.9944590797422888E-2</v>
      </c>
      <c r="T257" s="11" cm="1">
        <f t="array" ref="T257">(L257/E$265)   /   SUM($K257:$O257/$D$265:$H$265)</f>
        <v>0.11919396034011548</v>
      </c>
      <c r="U257" s="11" cm="1">
        <f t="array" ref="U257">(M257/F$265)   /   SUM($K257:$O257/$D$265:$H$265)</f>
        <v>0.18935263930254567</v>
      </c>
      <c r="V257" s="11" cm="1">
        <f t="array" ref="V257">(N257/G$265)   /   SUM($K257:$O257/$D$265:$H$265)</f>
        <v>0.48387310847295134</v>
      </c>
      <c r="W257" s="11" cm="1">
        <f t="array" ref="W257">(O257/H$265)   /   SUM($K257:$O257/$D$265:$H$265)</f>
        <v>0.12763570108696462</v>
      </c>
      <c r="X257" s="265">
        <f t="shared" si="5"/>
        <v>0</v>
      </c>
    </row>
    <row r="258" spans="1:24">
      <c r="C258" t="s">
        <v>103</v>
      </c>
      <c r="D258" s="96">
        <f t="shared" si="2"/>
        <v>2042.032836914062</v>
      </c>
      <c r="E258" s="96">
        <f t="shared" si="2"/>
        <v>1651.438232421875</v>
      </c>
      <c r="F258" s="96">
        <f t="shared" si="2"/>
        <v>741.1993408203125</v>
      </c>
      <c r="G258" s="96">
        <f t="shared" si="2"/>
        <v>2121.676513671875</v>
      </c>
      <c r="H258" s="96">
        <f t="shared" si="2"/>
        <v>74.448951721191406</v>
      </c>
      <c r="J258" t="s">
        <v>103</v>
      </c>
      <c r="K258" s="11">
        <f t="shared" si="3"/>
        <v>0.30796195136151638</v>
      </c>
      <c r="L258" s="11">
        <f t="shared" si="6"/>
        <v>0.24905580919953513</v>
      </c>
      <c r="M258" s="11">
        <f t="shared" si="7"/>
        <v>0.11178135396286938</v>
      </c>
      <c r="N258" s="11">
        <f t="shared" si="8"/>
        <v>0.31997313044960962</v>
      </c>
      <c r="O258" s="11">
        <f t="shared" si="9"/>
        <v>1.12277550264694E-2</v>
      </c>
      <c r="Q258" s="263">
        <f t="shared" si="4"/>
        <v>4068.904508527974</v>
      </c>
      <c r="S258" s="11" cm="1">
        <f t="array" ref="S258">(K258/D$265)   /   SUM($K258:$O258/$D$265:$H$265)</f>
        <v>0.11539751503189805</v>
      </c>
      <c r="T258" s="11" cm="1">
        <f t="array" ref="T258">(L258/E$265)   /   SUM($K258:$O258/$D$265:$H$265)</f>
        <v>0.16310101651423639</v>
      </c>
      <c r="U258" s="11" cm="1">
        <f t="array" ref="U258">(M258/F$265)   /   SUM($K258:$O258/$D$265:$H$265)</f>
        <v>0.10472733927049034</v>
      </c>
      <c r="V258" s="11" cm="1">
        <f t="array" ref="V258">(N258/G$265)   /   SUM($K258:$O258/$D$265:$H$265)</f>
        <v>0.58201354537402439</v>
      </c>
      <c r="W258" s="11" cm="1">
        <f t="array" ref="W258">(O258/H$265)   /   SUM($K258:$O258/$D$265:$H$265)</f>
        <v>3.4760583809350709E-2</v>
      </c>
      <c r="X258" s="265">
        <f t="shared" si="5"/>
        <v>0</v>
      </c>
    </row>
    <row r="259" spans="1:24">
      <c r="C259" t="s">
        <v>104</v>
      </c>
      <c r="D259" s="96">
        <f t="shared" si="2"/>
        <v>2714.447021484375</v>
      </c>
      <c r="E259" s="96">
        <f t="shared" si="2"/>
        <v>2491.727783203125</v>
      </c>
      <c r="F259" s="96">
        <f t="shared" si="2"/>
        <v>1126.371826171875</v>
      </c>
      <c r="G259" s="96">
        <f t="shared" si="2"/>
        <v>2940.95361328125</v>
      </c>
      <c r="H259" s="96">
        <f t="shared" si="2"/>
        <v>438.576416015625</v>
      </c>
      <c r="J259" t="s">
        <v>104</v>
      </c>
      <c r="K259" s="11">
        <f t="shared" si="3"/>
        <v>0.27949192705823478</v>
      </c>
      <c r="L259" s="11">
        <f t="shared" si="6"/>
        <v>0.2565597318053951</v>
      </c>
      <c r="M259" s="11">
        <f t="shared" si="7"/>
        <v>0.11597641427119396</v>
      </c>
      <c r="N259" s="11">
        <f t="shared" si="8"/>
        <v>0.30281408561636447</v>
      </c>
      <c r="O259" s="11">
        <f t="shared" si="9"/>
        <v>4.515784124881167E-2</v>
      </c>
      <c r="Q259" s="263">
        <f t="shared" si="4"/>
        <v>3910.2814625499668</v>
      </c>
      <c r="S259" s="11" cm="1">
        <f t="array" ref="S259">(K259/D$265)   /   SUM($K259:$O259/$D$265:$H$265)</f>
        <v>9.7694351847247798E-2</v>
      </c>
      <c r="T259" s="11" cm="1">
        <f t="array" ref="T259">(L259/E$265)   /   SUM($K259:$O259/$D$265:$H$265)</f>
        <v>0.1567289696230352</v>
      </c>
      <c r="U259" s="11" cm="1">
        <f t="array" ref="U259">(M259/F$265)   /   SUM($K259:$O259/$D$265:$H$265)</f>
        <v>0.10135873346559517</v>
      </c>
      <c r="V259" s="11" cm="1">
        <f t="array" ref="V259">(N259/G$265)   /   SUM($K259:$O259/$D$265:$H$265)</f>
        <v>0.51380277867661406</v>
      </c>
      <c r="W259" s="11" cm="1">
        <f t="array" ref="W259">(O259/H$265)   /   SUM($K259:$O259/$D$265:$H$265)</f>
        <v>0.13041516638750769</v>
      </c>
      <c r="X259" s="265">
        <f t="shared" si="5"/>
        <v>0</v>
      </c>
    </row>
    <row r="260" spans="1:24">
      <c r="C260" t="s">
        <v>105</v>
      </c>
      <c r="D260" s="96">
        <f t="shared" si="2"/>
        <v>60.852405548095703</v>
      </c>
      <c r="E260" s="96">
        <f t="shared" si="2"/>
        <v>91.472602844238281</v>
      </c>
      <c r="F260" s="96">
        <f t="shared" si="2"/>
        <v>60.301860809326172</v>
      </c>
      <c r="G260" s="96">
        <f t="shared" si="2"/>
        <v>3623.914794921875</v>
      </c>
      <c r="H260" s="96">
        <f t="shared" si="2"/>
        <v>152.5564880371094</v>
      </c>
      <c r="J260" t="s">
        <v>105</v>
      </c>
      <c r="K260" s="11">
        <f t="shared" si="3"/>
        <v>1.5254677430069192E-2</v>
      </c>
      <c r="L260" s="11">
        <f t="shared" si="6"/>
        <v>2.2930647318039368E-2</v>
      </c>
      <c r="M260" s="11">
        <f t="shared" si="7"/>
        <v>1.5116665098015809E-2</v>
      </c>
      <c r="N260" s="11">
        <f t="shared" si="8"/>
        <v>0.90845465734129094</v>
      </c>
      <c r="O260" s="11">
        <f t="shared" si="9"/>
        <v>3.8243352812584751E-2</v>
      </c>
      <c r="Q260" s="263">
        <f t="shared" si="4"/>
        <v>1636.3622917069329</v>
      </c>
      <c r="S260" s="11" cm="1">
        <f t="array" ref="S260">(K260/D$265)   /   SUM($K260:$O260/$D$265:$H$265)</f>
        <v>3.1655631542532453E-3</v>
      </c>
      <c r="T260" s="11" cm="1">
        <f t="array" ref="T260">(L260/E$265)   /   SUM($K260:$O260/$D$265:$H$265)</f>
        <v>8.3161988659712117E-3</v>
      </c>
      <c r="U260" s="11" cm="1">
        <f t="array" ref="U260">(M260/F$265)   /   SUM($K260:$O260/$D$265:$H$265)</f>
        <v>7.8432355018420059E-3</v>
      </c>
      <c r="V260" s="11" cm="1">
        <f t="array" ref="V260">(N260/G$265)   /   SUM($K260:$O260/$D$265:$H$265)</f>
        <v>0.91510598844210411</v>
      </c>
      <c r="W260" s="11" cm="1">
        <f t="array" ref="W260">(O260/H$265)   /   SUM($K260:$O260/$D$265:$H$265)</f>
        <v>6.5569014035829334E-2</v>
      </c>
      <c r="X260" s="265">
        <f t="shared" si="5"/>
        <v>0</v>
      </c>
    </row>
    <row r="261" spans="1:24">
      <c r="C261" t="s">
        <v>106</v>
      </c>
      <c r="D261" s="96">
        <f t="shared" si="2"/>
        <v>1.886375904083252</v>
      </c>
      <c r="E261" s="96">
        <f t="shared" si="2"/>
        <v>2.038241863250732</v>
      </c>
      <c r="F261" s="96">
        <f t="shared" si="2"/>
        <v>0.32426086068153381</v>
      </c>
      <c r="G261" s="96">
        <f t="shared" si="2"/>
        <v>0.68777984380722046</v>
      </c>
      <c r="H261" s="96">
        <f t="shared" si="2"/>
        <v>1.8095750361680981E-2</v>
      </c>
      <c r="J261" t="s">
        <v>106</v>
      </c>
      <c r="K261" s="11">
        <f t="shared" si="3"/>
        <v>0.38072037875000769</v>
      </c>
      <c r="L261" s="11">
        <f t="shared" si="6"/>
        <v>0.41137093220985749</v>
      </c>
      <c r="M261" s="11">
        <f t="shared" si="7"/>
        <v>6.544438858938513E-2</v>
      </c>
      <c r="N261" s="11">
        <f t="shared" si="8"/>
        <v>0.13881210105796057</v>
      </c>
      <c r="O261" s="11">
        <f t="shared" si="9"/>
        <v>3.6521993927890626E-3</v>
      </c>
      <c r="Q261" s="263">
        <f t="shared" si="4"/>
        <v>4856.4489548912479</v>
      </c>
      <c r="S261" s="11" cm="1">
        <f t="array" ref="S261">(K261/D$265)   /   SUM($K261:$O261/$D$265:$H$265)</f>
        <v>0.19352490260609836</v>
      </c>
      <c r="T261" s="11" cm="1">
        <f t="array" ref="T261">(L261/E$265)   /   SUM($K261:$O261/$D$265:$H$265)</f>
        <v>0.36544744699908227</v>
      </c>
      <c r="U261" s="11" cm="1">
        <f t="array" ref="U261">(M261/F$265)   /   SUM($K261:$O261/$D$265:$H$265)</f>
        <v>8.317531581140479E-2</v>
      </c>
      <c r="V261" s="11" cm="1">
        <f t="array" ref="V261">(N261/G$265)   /   SUM($K261:$O261/$D$265:$H$265)</f>
        <v>0.34251393833126592</v>
      </c>
      <c r="W261" s="11" cm="1">
        <f t="array" ref="W261">(O261/H$265)   /   SUM($K261:$O261/$D$265:$H$265)</f>
        <v>1.5338396252148516E-2</v>
      </c>
      <c r="X261" s="265">
        <f t="shared" si="5"/>
        <v>0</v>
      </c>
    </row>
    <row r="263" spans="1:24">
      <c r="C263" t="s">
        <v>145</v>
      </c>
      <c r="D263">
        <f>SUM(D229:H261)-SUM(J7:J171)</f>
        <v>0</v>
      </c>
    </row>
    <row r="265" spans="1:24">
      <c r="C265" t="s">
        <v>578</v>
      </c>
      <c r="D265" s="96">
        <f>D218</f>
        <v>7234.232</v>
      </c>
      <c r="E265" s="96">
        <f>D220</f>
        <v>4139.3469999999998</v>
      </c>
      <c r="F265" s="96">
        <f>D217</f>
        <v>2893.3510000000001</v>
      </c>
      <c r="G265" s="96">
        <f>D219</f>
        <v>1490.2950000000001</v>
      </c>
      <c r="H265" s="96">
        <f>D216</f>
        <v>875.58375000000012</v>
      </c>
    </row>
    <row r="268" spans="1:24" s="97" customFormat="1" ht="17.5" thickBot="1">
      <c r="A268"/>
      <c r="B268"/>
      <c r="C268" s="97" t="s">
        <v>520</v>
      </c>
    </row>
    <row r="269" spans="1:24" ht="15" thickTop="1"/>
    <row r="271" spans="1:24">
      <c r="C271" t="s">
        <v>4</v>
      </c>
      <c r="D271">
        <f>'Household characteristics'!G13</f>
        <v>2755900</v>
      </c>
    </row>
    <row r="272" spans="1:24">
      <c r="C272" t="s">
        <v>521</v>
      </c>
      <c r="D272">
        <f>'Household characteristics'!G17</f>
        <v>794000</v>
      </c>
    </row>
    <row r="274" spans="1:43">
      <c r="C274" t="s">
        <v>522</v>
      </c>
      <c r="D274">
        <f>'Labour force absolute size'!H4</f>
        <v>284650</v>
      </c>
    </row>
    <row r="275" spans="1:43">
      <c r="C275" t="s">
        <v>523</v>
      </c>
      <c r="D275">
        <f>D271-D274</f>
        <v>2471250</v>
      </c>
    </row>
    <row r="277" spans="1:43">
      <c r="C277" t="s">
        <v>524</v>
      </c>
      <c r="D277">
        <f>D275+D272</f>
        <v>3265250</v>
      </c>
    </row>
    <row r="278" spans="1:43">
      <c r="C278" t="s">
        <v>525</v>
      </c>
      <c r="D278">
        <f>'Labour force absolute size'!H18</f>
        <v>2411737.602335162</v>
      </c>
    </row>
    <row r="280" spans="1:43">
      <c r="C280" t="s">
        <v>526</v>
      </c>
    </row>
    <row r="282" spans="1:43">
      <c r="C282" t="s">
        <v>527</v>
      </c>
      <c r="D282">
        <f>D272*F282</f>
        <v>778120</v>
      </c>
      <c r="F282" s="228">
        <v>0.98</v>
      </c>
    </row>
    <row r="283" spans="1:43">
      <c r="C283" t="s">
        <v>528</v>
      </c>
      <c r="D283">
        <f>D278-D282</f>
        <v>1633617.602335162</v>
      </c>
      <c r="F283" s="229">
        <f>D283/D275</f>
        <v>0.66104910564902863</v>
      </c>
      <c r="H283" t="s">
        <v>529</v>
      </c>
    </row>
    <row r="286" spans="1:43" s="97" customFormat="1" ht="17.5" thickBot="1">
      <c r="A286"/>
      <c r="B286"/>
      <c r="C286" s="97" t="s">
        <v>530</v>
      </c>
    </row>
    <row r="287" spans="1:43" ht="15" thickTop="1"/>
    <row r="288" spans="1:43" ht="95.5" customHeight="1">
      <c r="G288" s="292" t="s">
        <v>563</v>
      </c>
      <c r="H288" s="292"/>
      <c r="I288" s="292"/>
      <c r="K288" s="292" t="s">
        <v>580</v>
      </c>
      <c r="L288" s="292"/>
      <c r="M288" s="292"/>
      <c r="N288" s="266"/>
      <c r="O288" s="292" t="s">
        <v>581</v>
      </c>
      <c r="P288" s="292"/>
      <c r="Q288" s="292"/>
      <c r="R288" s="292"/>
      <c r="S288" s="292"/>
      <c r="T288" s="266"/>
      <c r="U288" s="292" t="s">
        <v>585</v>
      </c>
      <c r="V288" s="292"/>
      <c r="W288" s="266"/>
      <c r="X288" s="292" t="s">
        <v>586</v>
      </c>
      <c r="Y288" s="292"/>
      <c r="Z288" s="266"/>
      <c r="AA288" t="s">
        <v>590</v>
      </c>
      <c r="AE288" s="266"/>
      <c r="AF288" t="s">
        <v>591</v>
      </c>
      <c r="AG288" s="266"/>
      <c r="AN288" s="266" t="s">
        <v>587</v>
      </c>
      <c r="AO288" s="266"/>
      <c r="AP288" s="266"/>
      <c r="AQ288" s="266"/>
    </row>
    <row r="290" spans="3:46">
      <c r="O290" s="293" t="s">
        <v>582</v>
      </c>
      <c r="P290" s="293"/>
      <c r="R290" s="293" t="s">
        <v>583</v>
      </c>
      <c r="S290" s="293"/>
      <c r="X290" t="s">
        <v>568</v>
      </c>
      <c r="Y290">
        <v>0.13731182910002798</v>
      </c>
    </row>
    <row r="294" spans="3:46">
      <c r="O294" t="s">
        <v>573</v>
      </c>
      <c r="P294" t="s">
        <v>584</v>
      </c>
      <c r="R294" t="s">
        <v>573</v>
      </c>
      <c r="S294" t="s">
        <v>584</v>
      </c>
      <c r="U294" t="s">
        <v>573</v>
      </c>
      <c r="V294" t="s">
        <v>584</v>
      </c>
      <c r="X294" t="s">
        <v>573</v>
      </c>
      <c r="Y294" t="s">
        <v>584</v>
      </c>
      <c r="AA294" t="s">
        <v>564</v>
      </c>
      <c r="AB294" t="s">
        <v>573</v>
      </c>
      <c r="AC294" t="s">
        <v>588</v>
      </c>
      <c r="AD294" t="s">
        <v>589</v>
      </c>
      <c r="AF294" t="s">
        <v>564</v>
      </c>
      <c r="AG294" t="s">
        <v>573</v>
      </c>
      <c r="AH294" t="s">
        <v>588</v>
      </c>
      <c r="AI294" t="s">
        <v>589</v>
      </c>
      <c r="AN294" t="s">
        <v>564</v>
      </c>
      <c r="AO294" t="s">
        <v>573</v>
      </c>
      <c r="AP294" t="s">
        <v>588</v>
      </c>
      <c r="AQ294" t="s">
        <v>589</v>
      </c>
    </row>
    <row r="295" spans="3:46">
      <c r="G295" t="s">
        <v>564</v>
      </c>
      <c r="H295" t="s">
        <v>565</v>
      </c>
      <c r="I295" t="s">
        <v>566</v>
      </c>
      <c r="K295" t="s">
        <v>564</v>
      </c>
      <c r="L295" t="s">
        <v>565</v>
      </c>
      <c r="M295" t="s">
        <v>566</v>
      </c>
    </row>
    <row r="296" spans="3:46">
      <c r="C296" t="s">
        <v>74</v>
      </c>
      <c r="G296" s="257" cm="1">
        <f t="array" aca="1" ref="G296:I328" ca="1">TRANSPOSE(Calculations!C341:AI343)</f>
        <v>14.240860604754507</v>
      </c>
      <c r="H296" s="257">
        <f ca="1"/>
        <v>155.77575607652062</v>
      </c>
      <c r="I296" s="257">
        <f ca="1"/>
        <v>62.983383318724883</v>
      </c>
      <c r="J296" s="267"/>
      <c r="K296" s="263" cm="1">
        <f t="array" aca="1" ref="K296" ca="1">G$330   *   ((G296/$Q229)/SUM(G$296:G$328/$Q$229:$Q$261))</f>
        <v>294.7307032672029</v>
      </c>
      <c r="L296" s="263" cm="1">
        <f t="array" aca="1" ref="L296" ca="1">H$330   *   ((H296/$Q229)/SUM(H$296:H$328/$Q$229:$Q$261))</f>
        <v>7799.1233817268576</v>
      </c>
      <c r="M296" s="263" cm="1">
        <f t="array" aca="1" ref="M296" ca="1">I$330   *   ((I296/$Q229)/SUM(I$296:I$328/$Q$229:$Q$261))</f>
        <v>3525.5280649842534</v>
      </c>
      <c r="N296" s="263"/>
      <c r="O296" s="11">
        <f>SUM(K229:N229) / SUM(K229:O229)</f>
        <v>1.7154779400944193E-2</v>
      </c>
      <c r="P296" s="11">
        <f>1-O296</f>
        <v>0.98284522059905577</v>
      </c>
      <c r="Q296" s="263"/>
      <c r="R296" s="11">
        <f>SUM(S229:V229) / SUM(S229:W229)</f>
        <v>5.6869532383151764E-3</v>
      </c>
      <c r="S296" s="11">
        <f>1-R296</f>
        <v>0.99431304676168486</v>
      </c>
      <c r="T296" s="263"/>
      <c r="U296" s="268">
        <f t="shared" ref="U296:U328" ca="1" si="10">$H296   *   (O296+P296*adjFactor)</f>
        <v>23.695214501089801</v>
      </c>
      <c r="V296" s="268">
        <f ca="1">H296-U296</f>
        <v>132.08054157543083</v>
      </c>
      <c r="W296" s="263"/>
      <c r="X296" s="263">
        <f t="shared" ref="X296:X328" ca="1" si="11">$L296    *    (R296 + S296*adjFactor)</f>
        <v>1109.1749210132925</v>
      </c>
      <c r="Y296" s="263">
        <f ca="1">L296-X296</f>
        <v>6689.9484607135655</v>
      </c>
      <c r="Z296" s="263"/>
      <c r="AA296" s="262">
        <f ca="1">G296</f>
        <v>14.240860604754507</v>
      </c>
      <c r="AB296" s="270">
        <f ca="1">U296</f>
        <v>23.695214501089801</v>
      </c>
      <c r="AC296" s="270">
        <f ca="1">V296</f>
        <v>132.08054157543083</v>
      </c>
      <c r="AD296" s="262">
        <f ca="1">I296</f>
        <v>62.983383318724883</v>
      </c>
      <c r="AE296" s="263"/>
      <c r="AF296" s="263">
        <f ca="1">K296</f>
        <v>294.7307032672029</v>
      </c>
      <c r="AG296" s="263">
        <f ca="1">X296</f>
        <v>1109.1749210132925</v>
      </c>
      <c r="AH296" s="263">
        <f ca="1">Y296</f>
        <v>6689.9484607135655</v>
      </c>
      <c r="AI296" s="263">
        <f ca="1">M296</f>
        <v>3525.5280649842534</v>
      </c>
      <c r="AJ296" s="90"/>
      <c r="AL296" s="230"/>
      <c r="AM296" s="230"/>
      <c r="AN296" s="269">
        <f t="shared" ref="AN296:AN328" ca="1" si="12">G296/K296</f>
        <v>4.8318212004684634E-2</v>
      </c>
      <c r="AO296" s="269">
        <f t="shared" ref="AO296:AO328" ca="1" si="13">U296/X296</f>
        <v>2.1362919456782266E-2</v>
      </c>
      <c r="AP296" s="269">
        <f t="shared" ref="AP296:AP328" ca="1" si="14">V296/Y296</f>
        <v>1.9743132903200695E-2</v>
      </c>
      <c r="AQ296" s="269">
        <f t="shared" ref="AQ296:AQ328" ca="1" si="15">I296/M296</f>
        <v>1.7864950202575169E-2</v>
      </c>
      <c r="AR296" s="261"/>
      <c r="AT296" s="262"/>
    </row>
    <row r="297" spans="3:46">
      <c r="C297" t="s">
        <v>75</v>
      </c>
      <c r="G297" s="257">
        <f ca="1"/>
        <v>90.36473365562405</v>
      </c>
      <c r="H297" s="257">
        <f ca="1"/>
        <v>817.21729116822326</v>
      </c>
      <c r="I297" s="257">
        <f ca="1"/>
        <v>330.41797517615271</v>
      </c>
      <c r="K297" s="263" cm="1">
        <f t="array" aca="1" ref="K297" ca="1">G$330   *   ((G297/$Q230)/SUM(G$296:G$328/$Q$229:$Q$261))</f>
        <v>417.67695061773355</v>
      </c>
      <c r="L297" s="263" cm="1">
        <f t="array" aca="1" ref="L297" ca="1">H$330   *   ((H297/$Q230)/SUM(H$296:H$328/$Q$229:$Q$261))</f>
        <v>9137.6782492102266</v>
      </c>
      <c r="M297" s="263" cm="1">
        <f t="array" aca="1" ref="M297" ca="1">I$330   *   ((I297/$Q230)/SUM(I$296:I$328/$Q$229:$Q$261))</f>
        <v>4130.6105237245083</v>
      </c>
      <c r="N297" s="263"/>
      <c r="O297" s="11">
        <f t="shared" ref="O297:O328" si="16">SUM(K230:N230) / SUM(K230:O230)</f>
        <v>0.76298087380956869</v>
      </c>
      <c r="P297" s="11">
        <f t="shared" ref="P297:P328" si="17">1-O297</f>
        <v>0.23701912619043131</v>
      </c>
      <c r="Q297" s="263"/>
      <c r="R297" s="11">
        <f t="shared" ref="R297:R328" si="18">SUM(S230:V230) / SUM(S230:W230)</f>
        <v>0.42593266995763124</v>
      </c>
      <c r="S297" s="11">
        <f t="shared" ref="S297:S328" si="19">1-R297</f>
        <v>0.57406733004236876</v>
      </c>
      <c r="T297" s="263"/>
      <c r="U297" s="268">
        <f t="shared" ca="1" si="10"/>
        <v>650.11793256884937</v>
      </c>
      <c r="V297" s="268">
        <f t="shared" ref="V297:V328" ca="1" si="20">H297-U297</f>
        <v>167.09935859937389</v>
      </c>
      <c r="W297" s="263"/>
      <c r="X297" s="263">
        <f t="shared" ca="1" si="11"/>
        <v>4612.324467974493</v>
      </c>
      <c r="Y297" s="263">
        <f t="shared" ref="Y297:Y328" ca="1" si="21">L297-X297</f>
        <v>4525.3537812357335</v>
      </c>
      <c r="Z297" s="263"/>
      <c r="AA297" s="262">
        <f t="shared" ref="AA297:AA328" ca="1" si="22">G297</f>
        <v>90.36473365562405</v>
      </c>
      <c r="AB297" s="270">
        <f t="shared" ref="AB297:AB328" ca="1" si="23">U297</f>
        <v>650.11793256884937</v>
      </c>
      <c r="AC297" s="270">
        <f t="shared" ref="AC297:AC328" ca="1" si="24">V297</f>
        <v>167.09935859937389</v>
      </c>
      <c r="AD297" s="262">
        <f t="shared" ref="AD297:AD328" ca="1" si="25">I297</f>
        <v>330.41797517615271</v>
      </c>
      <c r="AE297" s="263"/>
      <c r="AF297" s="263">
        <f t="shared" ref="AF297:AF328" ca="1" si="26">K297</f>
        <v>417.67695061773355</v>
      </c>
      <c r="AG297" s="263">
        <f t="shared" ref="AG297:AG328" ca="1" si="27">X297</f>
        <v>4612.324467974493</v>
      </c>
      <c r="AH297" s="263">
        <f t="shared" ref="AH297:AH328" ca="1" si="28">Y297</f>
        <v>4525.3537812357335</v>
      </c>
      <c r="AI297" s="263">
        <f t="shared" ref="AI297:AI328" ca="1" si="29">M297</f>
        <v>4130.6105237245083</v>
      </c>
      <c r="AJ297" s="90"/>
      <c r="AL297" s="230"/>
      <c r="AM297" s="230"/>
      <c r="AN297" s="269">
        <f t="shared" ca="1" si="12"/>
        <v>0.2163507790458078</v>
      </c>
      <c r="AO297" s="269">
        <f t="shared" ca="1" si="13"/>
        <v>0.1409523412940524</v>
      </c>
      <c r="AP297" s="269">
        <f t="shared" ca="1" si="14"/>
        <v>3.6925148104938715E-2</v>
      </c>
      <c r="AQ297" s="269">
        <f t="shared" ca="1" si="15"/>
        <v>7.9992527322140239E-2</v>
      </c>
      <c r="AR297" s="261"/>
      <c r="AT297" s="262"/>
    </row>
    <row r="298" spans="3:46">
      <c r="C298" t="s">
        <v>76</v>
      </c>
      <c r="G298" s="257">
        <f ca="1"/>
        <v>69.178651884330151</v>
      </c>
      <c r="H298" s="257">
        <f ca="1"/>
        <v>1856.491257917748</v>
      </c>
      <c r="I298" s="257">
        <f ca="1"/>
        <v>750.61809019792213</v>
      </c>
      <c r="K298" s="263" cm="1">
        <f t="array" aca="1" ref="K298" ca="1">G$330   *   ((G298/$Q231)/SUM(G$296:G$328/$Q$229:$Q$261))</f>
        <v>600.03135035911112</v>
      </c>
      <c r="L298" s="263" cm="1">
        <f t="array" aca="1" ref="L298" ca="1">H$330   *   ((H298/$Q231)/SUM(H$296:H$328/$Q$229:$Q$261))</f>
        <v>38953.952834522192</v>
      </c>
      <c r="M298" s="263" cm="1">
        <f t="array" aca="1" ref="M298" ca="1">I$330   *   ((I298/$Q231)/SUM(I$296:I$328/$Q$229:$Q$261))</f>
        <v>17608.806430982884</v>
      </c>
      <c r="N298" s="263"/>
      <c r="O298" s="11">
        <f t="shared" si="16"/>
        <v>0.37880767690182804</v>
      </c>
      <c r="P298" s="11">
        <f t="shared" si="17"/>
        <v>0.62119232309817196</v>
      </c>
      <c r="Q298" s="263"/>
      <c r="R298" s="11">
        <f t="shared" si="18"/>
        <v>0.13871425902294557</v>
      </c>
      <c r="S298" s="11">
        <f t="shared" si="19"/>
        <v>0.86128574097705446</v>
      </c>
      <c r="T298" s="263"/>
      <c r="U298" s="268">
        <f t="shared" ca="1" si="10"/>
        <v>861.60637587709584</v>
      </c>
      <c r="V298" s="268">
        <f t="shared" ca="1" si="20"/>
        <v>994.8848820406522</v>
      </c>
      <c r="W298" s="263"/>
      <c r="X298" s="263">
        <f t="shared" ca="1" si="11"/>
        <v>10010.347046683744</v>
      </c>
      <c r="Y298" s="263">
        <f t="shared" ca="1" si="21"/>
        <v>28943.605787838445</v>
      </c>
      <c r="Z298" s="263"/>
      <c r="AA298" s="262">
        <f t="shared" ca="1" si="22"/>
        <v>69.178651884330151</v>
      </c>
      <c r="AB298" s="270">
        <f t="shared" ca="1" si="23"/>
        <v>861.60637587709584</v>
      </c>
      <c r="AC298" s="270">
        <f t="shared" ca="1" si="24"/>
        <v>994.8848820406522</v>
      </c>
      <c r="AD298" s="262">
        <f t="shared" ca="1" si="25"/>
        <v>750.61809019792213</v>
      </c>
      <c r="AE298" s="263"/>
      <c r="AF298" s="263">
        <f t="shared" ca="1" si="26"/>
        <v>600.03135035911112</v>
      </c>
      <c r="AG298" s="263">
        <f t="shared" ca="1" si="27"/>
        <v>10010.347046683744</v>
      </c>
      <c r="AH298" s="263">
        <f t="shared" ca="1" si="28"/>
        <v>28943.605787838445</v>
      </c>
      <c r="AI298" s="263">
        <f t="shared" ca="1" si="29"/>
        <v>17608.806430982884</v>
      </c>
      <c r="AJ298" s="90"/>
      <c r="AL298" s="230"/>
      <c r="AM298" s="230"/>
      <c r="AN298" s="269">
        <f t="shared" ca="1" si="12"/>
        <v>0.11529172907870165</v>
      </c>
      <c r="AO298" s="269">
        <f t="shared" ca="1" si="13"/>
        <v>8.6071578923183414E-2</v>
      </c>
      <c r="AP298" s="269">
        <f t="shared" ca="1" si="14"/>
        <v>3.437321836585696E-2</v>
      </c>
      <c r="AQ298" s="269">
        <f t="shared" ca="1" si="15"/>
        <v>4.2627425836040851E-2</v>
      </c>
      <c r="AR298" s="261"/>
      <c r="AT298" s="262"/>
    </row>
    <row r="299" spans="3:46">
      <c r="C299" t="s">
        <v>77</v>
      </c>
      <c r="G299" s="257">
        <f ca="1"/>
        <v>21.6592214082422</v>
      </c>
      <c r="H299" s="257">
        <f ca="1"/>
        <v>581.2509221044055</v>
      </c>
      <c r="I299" s="257">
        <f ca="1"/>
        <v>235.01185648735236</v>
      </c>
      <c r="K299" s="263" cm="1">
        <f t="array" aca="1" ref="K299" ca="1">G$330   *   ((G299/$Q232)/SUM(G$296:G$328/$Q$229:$Q$261))</f>
        <v>187.86448388599558</v>
      </c>
      <c r="L299" s="263" cm="1">
        <f t="array" aca="1" ref="L299" ca="1">H$330   *   ((H299/$Q232)/SUM(H$296:H$328/$Q$229:$Q$261))</f>
        <v>12196.136485530558</v>
      </c>
      <c r="M299" s="263" cm="1">
        <f t="array" aca="1" ref="M299" ca="1">I$330   *   ((I299/$Q232)/SUM(I$296:I$328/$Q$229:$Q$261))</f>
        <v>5513.1608207223881</v>
      </c>
      <c r="N299" s="263"/>
      <c r="O299" s="11">
        <f t="shared" si="16"/>
        <v>0.37880768276651455</v>
      </c>
      <c r="P299" s="11">
        <f t="shared" si="17"/>
        <v>0.62119231723348545</v>
      </c>
      <c r="Q299" s="263"/>
      <c r="R299" s="11">
        <f t="shared" si="18"/>
        <v>0.13871426179250512</v>
      </c>
      <c r="S299" s="11">
        <f t="shared" si="19"/>
        <v>0.86128573820749488</v>
      </c>
      <c r="T299" s="263"/>
      <c r="U299" s="268">
        <f t="shared" ca="1" si="10"/>
        <v>269.76130579297063</v>
      </c>
      <c r="V299" s="268">
        <f t="shared" ca="1" si="20"/>
        <v>311.48961631143487</v>
      </c>
      <c r="W299" s="263"/>
      <c r="X299" s="263">
        <f t="shared" ca="1" si="11"/>
        <v>3134.1507369643882</v>
      </c>
      <c r="Y299" s="263">
        <f t="shared" ca="1" si="21"/>
        <v>9061.9857485661705</v>
      </c>
      <c r="Z299" s="263"/>
      <c r="AA299" s="262">
        <f t="shared" ca="1" si="22"/>
        <v>21.6592214082422</v>
      </c>
      <c r="AB299" s="270">
        <f t="shared" ca="1" si="23"/>
        <v>269.76130579297063</v>
      </c>
      <c r="AC299" s="270">
        <f t="shared" ca="1" si="24"/>
        <v>311.48961631143487</v>
      </c>
      <c r="AD299" s="262">
        <f t="shared" ca="1" si="25"/>
        <v>235.01185648735236</v>
      </c>
      <c r="AE299" s="263"/>
      <c r="AF299" s="263">
        <f t="shared" ca="1" si="26"/>
        <v>187.86448388599558</v>
      </c>
      <c r="AG299" s="263">
        <f t="shared" ca="1" si="27"/>
        <v>3134.1507369643882</v>
      </c>
      <c r="AH299" s="263">
        <f t="shared" ca="1" si="28"/>
        <v>9061.9857485661705</v>
      </c>
      <c r="AI299" s="263">
        <f t="shared" ca="1" si="29"/>
        <v>5513.1608207223881</v>
      </c>
      <c r="AJ299" s="90"/>
      <c r="AL299" s="230"/>
      <c r="AM299" s="230"/>
      <c r="AN299" s="269">
        <f t="shared" ca="1" si="12"/>
        <v>0.11529173029525883</v>
      </c>
      <c r="AO299" s="269">
        <f t="shared" ca="1" si="13"/>
        <v>8.6071579969459452E-2</v>
      </c>
      <c r="AP299" s="269">
        <f t="shared" ca="1" si="14"/>
        <v>3.4373218514575594E-2</v>
      </c>
      <c r="AQ299" s="269">
        <f t="shared" ca="1" si="15"/>
        <v>4.262742628584501E-2</v>
      </c>
      <c r="AR299" s="261"/>
      <c r="AT299" s="262"/>
    </row>
    <row r="300" spans="3:46">
      <c r="C300" t="s">
        <v>78</v>
      </c>
      <c r="G300" s="257">
        <f ca="1"/>
        <v>0.1931158784958236</v>
      </c>
      <c r="H300" s="257">
        <f ca="1"/>
        <v>5.1824938825356224</v>
      </c>
      <c r="I300" s="257">
        <f ca="1"/>
        <v>2.0953902389685548</v>
      </c>
      <c r="K300" s="263" cm="1">
        <f t="array" aca="1" ref="K300" ca="1">G$330   *   ((G300/$Q233)/SUM(G$296:G$328/$Q$229:$Q$261))</f>
        <v>1.6750192155274335</v>
      </c>
      <c r="L300" s="263" cm="1">
        <f t="array" aca="1" ref="L300" ca="1">H$330   *   ((H300/$Q233)/SUM(H$296:H$328/$Q$229:$Q$261))</f>
        <v>108.74201736213202</v>
      </c>
      <c r="M300" s="263" cm="1">
        <f t="array" aca="1" ref="M300" ca="1">I$330   *   ((I300/$Q233)/SUM(I$296:I$328/$Q$229:$Q$261))</f>
        <v>49.155913464766357</v>
      </c>
      <c r="N300" s="263"/>
      <c r="O300" s="11">
        <f t="shared" si="16"/>
        <v>0.37880772094636217</v>
      </c>
      <c r="P300" s="11">
        <f t="shared" si="17"/>
        <v>0.62119227905363783</v>
      </c>
      <c r="Q300" s="263"/>
      <c r="R300" s="11">
        <f t="shared" si="18"/>
        <v>0.1387142792730148</v>
      </c>
      <c r="S300" s="11">
        <f t="shared" si="19"/>
        <v>0.86128572072698517</v>
      </c>
      <c r="T300" s="263"/>
      <c r="U300" s="268">
        <f t="shared" ca="1" si="10"/>
        <v>2.4052201262293695</v>
      </c>
      <c r="V300" s="268">
        <f t="shared" ca="1" si="20"/>
        <v>2.7772737563062528</v>
      </c>
      <c r="W300" s="263"/>
      <c r="X300" s="263">
        <f t="shared" ca="1" si="11"/>
        <v>27.944414549537878</v>
      </c>
      <c r="Y300" s="263">
        <f t="shared" ca="1" si="21"/>
        <v>80.797602812594135</v>
      </c>
      <c r="Z300" s="263"/>
      <c r="AA300" s="262">
        <f t="shared" ca="1" si="22"/>
        <v>0.1931158784958236</v>
      </c>
      <c r="AB300" s="270">
        <f t="shared" ca="1" si="23"/>
        <v>2.4052201262293695</v>
      </c>
      <c r="AC300" s="270">
        <f t="shared" ca="1" si="24"/>
        <v>2.7772737563062528</v>
      </c>
      <c r="AD300" s="262">
        <f t="shared" ca="1" si="25"/>
        <v>2.0953902389685548</v>
      </c>
      <c r="AE300" s="263"/>
      <c r="AF300" s="263">
        <f t="shared" ca="1" si="26"/>
        <v>1.6750192155274335</v>
      </c>
      <c r="AG300" s="263">
        <f t="shared" ca="1" si="27"/>
        <v>27.944414549537878</v>
      </c>
      <c r="AH300" s="263">
        <f t="shared" ca="1" si="28"/>
        <v>80.797602812594135</v>
      </c>
      <c r="AI300" s="263">
        <f t="shared" ca="1" si="29"/>
        <v>49.155913464766357</v>
      </c>
      <c r="AJ300" s="90"/>
      <c r="AL300" s="230"/>
      <c r="AM300" s="230"/>
      <c r="AN300" s="269">
        <f t="shared" ca="1" si="12"/>
        <v>0.11529173916671449</v>
      </c>
      <c r="AO300" s="269">
        <f t="shared" ca="1" si="13"/>
        <v>8.6071587650031658E-2</v>
      </c>
      <c r="AP300" s="269">
        <f t="shared" ca="1" si="14"/>
        <v>3.4373219744501526E-2</v>
      </c>
      <c r="AQ300" s="269">
        <f t="shared" ca="1" si="15"/>
        <v>4.2627429565935633E-2</v>
      </c>
      <c r="AR300" s="261"/>
      <c r="AT300" s="262"/>
    </row>
    <row r="301" spans="3:46">
      <c r="C301" t="s">
        <v>79</v>
      </c>
      <c r="G301" s="257">
        <f ca="1"/>
        <v>16.314918473340981</v>
      </c>
      <c r="H301" s="257">
        <f ca="1"/>
        <v>437.83020764905979</v>
      </c>
      <c r="I301" s="257">
        <f ca="1"/>
        <v>177.02387387759921</v>
      </c>
      <c r="K301" s="263" cm="1">
        <f t="array" aca="1" ref="K301" ca="1">G$330   *   ((G301/$Q234)/SUM(G$296:G$328/$Q$229:$Q$261))</f>
        <v>141.50987551048865</v>
      </c>
      <c r="L301" s="263" cm="1">
        <f t="array" aca="1" ref="L301" ca="1">H$330   *   ((H301/$Q234)/SUM(H$296:H$328/$Q$229:$Q$261))</f>
        <v>9186.8016778716592</v>
      </c>
      <c r="M301" s="263" cm="1">
        <f t="array" aca="1" ref="M301" ca="1">I$330   *   ((I301/$Q234)/SUM(I$296:I$328/$Q$229:$Q$261))</f>
        <v>4152.8163560876565</v>
      </c>
      <c r="N301" s="263"/>
      <c r="O301" s="11">
        <f t="shared" si="16"/>
        <v>0.37880767084164313</v>
      </c>
      <c r="P301" s="11">
        <f t="shared" si="17"/>
        <v>0.62119232915835687</v>
      </c>
      <c r="Q301" s="263"/>
      <c r="R301" s="11">
        <f t="shared" si="18"/>
        <v>0.13871425188368047</v>
      </c>
      <c r="S301" s="11">
        <f t="shared" si="19"/>
        <v>0.86128574811631953</v>
      </c>
      <c r="T301" s="263"/>
      <c r="U301" s="268">
        <f t="shared" ca="1" si="10"/>
        <v>203.19906845972943</v>
      </c>
      <c r="V301" s="268">
        <f t="shared" ca="1" si="20"/>
        <v>234.63113918933036</v>
      </c>
      <c r="W301" s="263"/>
      <c r="X301" s="263">
        <f t="shared" ca="1" si="11"/>
        <v>2360.8148634146382</v>
      </c>
      <c r="Y301" s="263">
        <f t="shared" ca="1" si="21"/>
        <v>6825.986814457021</v>
      </c>
      <c r="Z301" s="263"/>
      <c r="AA301" s="262">
        <f t="shared" ca="1" si="22"/>
        <v>16.314918473340981</v>
      </c>
      <c r="AB301" s="270">
        <f t="shared" ca="1" si="23"/>
        <v>203.19906845972943</v>
      </c>
      <c r="AC301" s="270">
        <f t="shared" ca="1" si="24"/>
        <v>234.63113918933036</v>
      </c>
      <c r="AD301" s="262">
        <f t="shared" ca="1" si="25"/>
        <v>177.02387387759921</v>
      </c>
      <c r="AE301" s="263"/>
      <c r="AF301" s="263">
        <f t="shared" ca="1" si="26"/>
        <v>141.50987551048865</v>
      </c>
      <c r="AG301" s="263">
        <f t="shared" ca="1" si="27"/>
        <v>2360.8148634146382</v>
      </c>
      <c r="AH301" s="263">
        <f t="shared" ca="1" si="28"/>
        <v>6825.986814457021</v>
      </c>
      <c r="AI301" s="263">
        <f t="shared" ca="1" si="29"/>
        <v>4152.8163560876565</v>
      </c>
      <c r="AJ301" s="90"/>
      <c r="AL301" s="230"/>
      <c r="AM301" s="230"/>
      <c r="AN301" s="269">
        <f t="shared" ca="1" si="12"/>
        <v>0.11529173080313908</v>
      </c>
      <c r="AO301" s="269">
        <f t="shared" ca="1" si="13"/>
        <v>8.6071581303849523E-2</v>
      </c>
      <c r="AP301" s="269">
        <f t="shared" ca="1" si="14"/>
        <v>3.437321893039641E-2</v>
      </c>
      <c r="AQ301" s="269">
        <f t="shared" ca="1" si="15"/>
        <v>4.2627426473626287E-2</v>
      </c>
      <c r="AR301" s="261"/>
      <c r="AT301" s="262"/>
    </row>
    <row r="302" spans="3:46">
      <c r="C302" t="s">
        <v>80</v>
      </c>
      <c r="G302" s="257">
        <f ca="1"/>
        <v>33.47043771882548</v>
      </c>
      <c r="H302" s="257">
        <f ca="1"/>
        <v>898.218935049165</v>
      </c>
      <c r="I302" s="257">
        <f ca="1"/>
        <v>363.16862723200984</v>
      </c>
      <c r="K302" s="263" cm="1">
        <f t="array" aca="1" ref="K302" ca="1">G$330   *   ((G302/$Q235)/SUM(G$296:G$328/$Q$229:$Q$261))</f>
        <v>290.31083200935188</v>
      </c>
      <c r="L302" s="263" cm="1">
        <f t="array" aca="1" ref="L302" ca="1">H$330   *   ((H302/$Q235)/SUM(H$296:H$328/$Q$229:$Q$261))</f>
        <v>18846.939331878308</v>
      </c>
      <c r="M302" s="263" cm="1">
        <f t="array" aca="1" ref="M302" ca="1">I$330   *   ((I302/$Q235)/SUM(I$296:I$328/$Q$229:$Q$261))</f>
        <v>8519.6002552379687</v>
      </c>
      <c r="N302" s="263"/>
      <c r="O302" s="11">
        <f t="shared" si="16"/>
        <v>0.37880766439854247</v>
      </c>
      <c r="P302" s="11">
        <f t="shared" si="17"/>
        <v>0.62119233560145748</v>
      </c>
      <c r="Q302" s="263"/>
      <c r="R302" s="11">
        <f t="shared" si="18"/>
        <v>0.13871424995562748</v>
      </c>
      <c r="S302" s="11">
        <f t="shared" si="19"/>
        <v>0.86128575004437247</v>
      </c>
      <c r="T302" s="263"/>
      <c r="U302" s="268">
        <f t="shared" ca="1" si="10"/>
        <v>416.86764754990122</v>
      </c>
      <c r="V302" s="268">
        <f t="shared" ca="1" si="20"/>
        <v>481.35128749926378</v>
      </c>
      <c r="W302" s="263"/>
      <c r="X302" s="263">
        <f t="shared" ca="1" si="11"/>
        <v>4843.2670886708429</v>
      </c>
      <c r="Y302" s="263">
        <f t="shared" ca="1" si="21"/>
        <v>14003.672243207464</v>
      </c>
      <c r="Z302" s="263"/>
      <c r="AA302" s="262">
        <f t="shared" ca="1" si="22"/>
        <v>33.47043771882548</v>
      </c>
      <c r="AB302" s="270">
        <f t="shared" ca="1" si="23"/>
        <v>416.86764754990122</v>
      </c>
      <c r="AC302" s="270">
        <f t="shared" ca="1" si="24"/>
        <v>481.35128749926378</v>
      </c>
      <c r="AD302" s="262">
        <f t="shared" ca="1" si="25"/>
        <v>363.16862723200984</v>
      </c>
      <c r="AE302" s="263"/>
      <c r="AF302" s="263">
        <f t="shared" ca="1" si="26"/>
        <v>290.31083200935188</v>
      </c>
      <c r="AG302" s="263">
        <f t="shared" ca="1" si="27"/>
        <v>4843.2670886708429</v>
      </c>
      <c r="AH302" s="263">
        <f t="shared" ca="1" si="28"/>
        <v>14003.672243207464</v>
      </c>
      <c r="AI302" s="263">
        <f t="shared" ca="1" si="29"/>
        <v>8519.6002552379687</v>
      </c>
      <c r="AJ302" s="90"/>
      <c r="AL302" s="230"/>
      <c r="AM302" s="230"/>
      <c r="AN302" s="269">
        <f t="shared" ca="1" si="12"/>
        <v>0.11529172882445972</v>
      </c>
      <c r="AO302" s="269">
        <f t="shared" ca="1" si="13"/>
        <v>8.6071579352916483E-2</v>
      </c>
      <c r="AP302" s="269">
        <f t="shared" ca="1" si="14"/>
        <v>3.4373218620047691E-2</v>
      </c>
      <c r="AQ302" s="269">
        <f t="shared" ca="1" si="15"/>
        <v>4.2627425742038628E-2</v>
      </c>
      <c r="AR302" s="261"/>
      <c r="AT302" s="262"/>
    </row>
    <row r="303" spans="3:46">
      <c r="C303" t="s">
        <v>81</v>
      </c>
      <c r="G303" s="257">
        <f ca="1"/>
        <v>6.6922626232696052</v>
      </c>
      <c r="H303" s="257">
        <f ca="1"/>
        <v>179.59481310164034</v>
      </c>
      <c r="I303" s="257">
        <f ca="1"/>
        <v>72.613924275090056</v>
      </c>
      <c r="K303" s="263" cm="1">
        <f t="array" aca="1" ref="K303" ca="1">G$330   *   ((G303/$Q236)/SUM(G$296:G$328/$Q$229:$Q$261))</f>
        <v>58.04633459457694</v>
      </c>
      <c r="L303" s="263" cm="1">
        <f t="array" aca="1" ref="L303" ca="1">H$330   *   ((H303/$Q236)/SUM(H$296:H$328/$Q$229:$Q$261))</f>
        <v>3768.3600676211054</v>
      </c>
      <c r="M303" s="263" cm="1">
        <f t="array" aca="1" ref="M303" ca="1">I$330   *   ((I303/$Q236)/SUM(I$296:I$328/$Q$229:$Q$261))</f>
        <v>1703.4554432734903</v>
      </c>
      <c r="N303" s="263"/>
      <c r="O303" s="11">
        <f t="shared" si="16"/>
        <v>0.37880768253960212</v>
      </c>
      <c r="P303" s="11">
        <f t="shared" si="17"/>
        <v>0.62119231746039794</v>
      </c>
      <c r="Q303" s="263"/>
      <c r="R303" s="11">
        <f t="shared" si="18"/>
        <v>0.13871425466707771</v>
      </c>
      <c r="S303" s="11">
        <f t="shared" si="19"/>
        <v>0.86128574533292235</v>
      </c>
      <c r="T303" s="263"/>
      <c r="U303" s="268">
        <f t="shared" ca="1" si="10"/>
        <v>83.350803298693037</v>
      </c>
      <c r="V303" s="268">
        <f t="shared" ca="1" si="20"/>
        <v>96.244009802947303</v>
      </c>
      <c r="W303" s="263"/>
      <c r="X303" s="263">
        <f t="shared" ca="1" si="11"/>
        <v>968.3893103836831</v>
      </c>
      <c r="Y303" s="263">
        <f t="shared" ca="1" si="21"/>
        <v>2799.9707572374223</v>
      </c>
      <c r="Z303" s="263"/>
      <c r="AA303" s="262">
        <f t="shared" ca="1" si="22"/>
        <v>6.6922626232696052</v>
      </c>
      <c r="AB303" s="270">
        <f t="shared" ca="1" si="23"/>
        <v>83.350803298693037</v>
      </c>
      <c r="AC303" s="270">
        <f t="shared" ca="1" si="24"/>
        <v>96.244009802947303</v>
      </c>
      <c r="AD303" s="262">
        <f t="shared" ca="1" si="25"/>
        <v>72.613924275090056</v>
      </c>
      <c r="AE303" s="263"/>
      <c r="AF303" s="263">
        <f t="shared" ca="1" si="26"/>
        <v>58.04633459457694</v>
      </c>
      <c r="AG303" s="263">
        <f t="shared" ca="1" si="27"/>
        <v>968.3893103836831</v>
      </c>
      <c r="AH303" s="263">
        <f t="shared" ca="1" si="28"/>
        <v>2799.9707572374223</v>
      </c>
      <c r="AI303" s="263">
        <f t="shared" ca="1" si="29"/>
        <v>1703.4554432734903</v>
      </c>
      <c r="AJ303" s="90"/>
      <c r="AL303" s="230"/>
      <c r="AM303" s="230"/>
      <c r="AN303" s="269">
        <f t="shared" ca="1" si="12"/>
        <v>0.11529173495641944</v>
      </c>
      <c r="AO303" s="269">
        <f t="shared" ca="1" si="13"/>
        <v>8.6071585471827264E-2</v>
      </c>
      <c r="AP303" s="269">
        <f t="shared" ca="1" si="14"/>
        <v>3.4373219632445731E-2</v>
      </c>
      <c r="AQ303" s="269">
        <f t="shared" ca="1" si="15"/>
        <v>4.2627428009240784E-2</v>
      </c>
      <c r="AR303" s="261"/>
      <c r="AT303" s="262"/>
    </row>
    <row r="304" spans="3:46">
      <c r="C304" t="s">
        <v>82</v>
      </c>
      <c r="G304" s="257">
        <f ca="1"/>
        <v>40.239677866678207</v>
      </c>
      <c r="H304" s="257">
        <f ca="1"/>
        <v>1079.87953141706</v>
      </c>
      <c r="I304" s="257">
        <f ca="1"/>
        <v>436.61779071626165</v>
      </c>
      <c r="K304" s="263" cm="1">
        <f t="array" aca="1" ref="K304" ca="1">G$330   *   ((G304/$Q237)/SUM(G$296:G$328/$Q$229:$Q$261))</f>
        <v>349.02484412481715</v>
      </c>
      <c r="L304" s="263" cm="1">
        <f t="array" aca="1" ref="L304" ca="1">H$330   *   ((H304/$Q237)/SUM(H$296:H$328/$Q$229:$Q$261))</f>
        <v>22658.644932431631</v>
      </c>
      <c r="M304" s="263" cm="1">
        <f t="array" aca="1" ref="M304" ca="1">I$330   *   ((I304/$Q237)/SUM(I$296:I$328/$Q$229:$Q$261))</f>
        <v>10242.64968175351</v>
      </c>
      <c r="N304" s="263"/>
      <c r="O304" s="11">
        <f t="shared" si="16"/>
        <v>0.37880766746204159</v>
      </c>
      <c r="P304" s="11">
        <f t="shared" si="17"/>
        <v>0.62119233253795847</v>
      </c>
      <c r="Q304" s="263"/>
      <c r="R304" s="11">
        <f t="shared" si="18"/>
        <v>0.13871425198263451</v>
      </c>
      <c r="S304" s="11">
        <f t="shared" si="19"/>
        <v>0.86128574801736546</v>
      </c>
      <c r="T304" s="263"/>
      <c r="U304" s="268">
        <f t="shared" ca="1" si="10"/>
        <v>501.17719065670144</v>
      </c>
      <c r="V304" s="268">
        <f t="shared" ca="1" si="20"/>
        <v>578.70234076035854</v>
      </c>
      <c r="W304" s="263"/>
      <c r="X304" s="263">
        <f t="shared" ca="1" si="11"/>
        <v>5822.7953138400817</v>
      </c>
      <c r="Y304" s="263">
        <f t="shared" ca="1" si="21"/>
        <v>16835.84961859155</v>
      </c>
      <c r="Z304" s="263"/>
      <c r="AA304" s="262">
        <f t="shared" ca="1" si="22"/>
        <v>40.239677866678207</v>
      </c>
      <c r="AB304" s="270">
        <f t="shared" ca="1" si="23"/>
        <v>501.17719065670144</v>
      </c>
      <c r="AC304" s="270">
        <f t="shared" ca="1" si="24"/>
        <v>578.70234076035854</v>
      </c>
      <c r="AD304" s="262">
        <f t="shared" ca="1" si="25"/>
        <v>436.61779071626165</v>
      </c>
      <c r="AE304" s="263"/>
      <c r="AF304" s="263">
        <f t="shared" ca="1" si="26"/>
        <v>349.02484412481715</v>
      </c>
      <c r="AG304" s="263">
        <f t="shared" ca="1" si="27"/>
        <v>5822.7953138400817</v>
      </c>
      <c r="AH304" s="263">
        <f t="shared" ca="1" si="28"/>
        <v>16835.84961859155</v>
      </c>
      <c r="AI304" s="263">
        <f t="shared" ca="1" si="29"/>
        <v>10242.64968175351</v>
      </c>
      <c r="AJ304" s="90"/>
      <c r="AL304" s="230"/>
      <c r="AM304" s="230"/>
      <c r="AN304" s="269">
        <f t="shared" ca="1" si="12"/>
        <v>0.11529172935405085</v>
      </c>
      <c r="AO304" s="269">
        <f t="shared" ca="1" si="13"/>
        <v>8.6071579652725175E-2</v>
      </c>
      <c r="AP304" s="269">
        <f t="shared" ca="1" si="14"/>
        <v>3.4373218689320383E-2</v>
      </c>
      <c r="AQ304" s="269">
        <f t="shared" ca="1" si="15"/>
        <v>4.2627425937847171E-2</v>
      </c>
      <c r="AR304" s="261"/>
      <c r="AT304" s="262"/>
    </row>
    <row r="305" spans="3:46">
      <c r="C305" t="s">
        <v>83</v>
      </c>
      <c r="G305" s="257">
        <f ca="1"/>
        <v>18.177603966620001</v>
      </c>
      <c r="H305" s="257">
        <f ca="1"/>
        <v>487.81758439506427</v>
      </c>
      <c r="I305" s="257">
        <f ca="1"/>
        <v>197.23481163831573</v>
      </c>
      <c r="K305" s="263" cm="1">
        <f t="array" aca="1" ref="K305" ca="1">G$330   *   ((G305/$Q238)/SUM(G$296:G$328/$Q$229:$Q$261))</f>
        <v>157.666164620518</v>
      </c>
      <c r="L305" s="263" cm="1">
        <f t="array" aca="1" ref="L305" ca="1">H$330   *   ((H305/$Q238)/SUM(H$296:H$328/$Q$229:$Q$261))</f>
        <v>10235.665747384575</v>
      </c>
      <c r="M305" s="263" cm="1">
        <f t="array" aca="1" ref="M305" ca="1">I$330   *   ((I305/$Q238)/SUM(I$296:I$328/$Q$229:$Q$261))</f>
        <v>4626.9465284715461</v>
      </c>
      <c r="N305" s="263"/>
      <c r="O305" s="11">
        <f t="shared" si="16"/>
        <v>0.37880764272945394</v>
      </c>
      <c r="P305" s="11">
        <f t="shared" si="17"/>
        <v>0.621192357270546</v>
      </c>
      <c r="Q305" s="263"/>
      <c r="R305" s="11">
        <f t="shared" si="18"/>
        <v>0.13871423883106843</v>
      </c>
      <c r="S305" s="11">
        <f t="shared" si="19"/>
        <v>0.86128576116893152</v>
      </c>
      <c r="T305" s="263"/>
      <c r="U305" s="268">
        <f t="shared" ca="1" si="10"/>
        <v>226.3984344063816</v>
      </c>
      <c r="V305" s="268">
        <f t="shared" ca="1" si="20"/>
        <v>261.41914998868265</v>
      </c>
      <c r="W305" s="263"/>
      <c r="X305" s="263">
        <f t="shared" ca="1" si="11"/>
        <v>2630.3507599093564</v>
      </c>
      <c r="Y305" s="263">
        <f t="shared" ca="1" si="21"/>
        <v>7605.3149874752189</v>
      </c>
      <c r="Z305" s="263"/>
      <c r="AA305" s="262">
        <f t="shared" ca="1" si="22"/>
        <v>18.177603966620001</v>
      </c>
      <c r="AB305" s="270">
        <f t="shared" ca="1" si="23"/>
        <v>226.3984344063816</v>
      </c>
      <c r="AC305" s="270">
        <f t="shared" ca="1" si="24"/>
        <v>261.41914998868265</v>
      </c>
      <c r="AD305" s="262">
        <f t="shared" ca="1" si="25"/>
        <v>197.23481163831573</v>
      </c>
      <c r="AE305" s="263"/>
      <c r="AF305" s="263">
        <f t="shared" ca="1" si="26"/>
        <v>157.666164620518</v>
      </c>
      <c r="AG305" s="263">
        <f t="shared" ca="1" si="27"/>
        <v>2630.3507599093564</v>
      </c>
      <c r="AH305" s="263">
        <f t="shared" ca="1" si="28"/>
        <v>7605.3149874752189</v>
      </c>
      <c r="AI305" s="263">
        <f t="shared" ca="1" si="29"/>
        <v>4626.9465284715461</v>
      </c>
      <c r="AJ305" s="90"/>
      <c r="AL305" s="230"/>
      <c r="AM305" s="230"/>
      <c r="AN305" s="269">
        <f t="shared" ca="1" si="12"/>
        <v>0.11529172419695205</v>
      </c>
      <c r="AO305" s="269">
        <f t="shared" ca="1" si="13"/>
        <v>8.6071575645745219E-2</v>
      </c>
      <c r="AP305" s="269">
        <f t="shared" ca="1" si="14"/>
        <v>3.4373217995467602E-2</v>
      </c>
      <c r="AQ305" s="269">
        <f t="shared" ca="1" si="15"/>
        <v>4.2627424031085527E-2</v>
      </c>
      <c r="AR305" s="261"/>
      <c r="AT305" s="262"/>
    </row>
    <row r="306" spans="3:46">
      <c r="C306" t="s">
        <v>84</v>
      </c>
      <c r="G306" s="257">
        <f ca="1"/>
        <v>44.044585402310204</v>
      </c>
      <c r="H306" s="257">
        <f ca="1"/>
        <v>1181.9887426358207</v>
      </c>
      <c r="I306" s="257">
        <f ca="1"/>
        <v>477.90267196186898</v>
      </c>
      <c r="K306" s="263" cm="1">
        <f t="array" aca="1" ref="K306" ca="1">G$330   *   ((G306/$Q239)/SUM(G$296:G$328/$Q$229:$Q$261))</f>
        <v>382.02727736868547</v>
      </c>
      <c r="L306" s="263" cm="1">
        <f t="array" aca="1" ref="L306" ca="1">H$330   *   ((H306/$Q239)/SUM(H$296:H$328/$Q$229:$Q$261))</f>
        <v>24801.158364832645</v>
      </c>
      <c r="M306" s="263" cm="1">
        <f t="array" aca="1" ref="M306" ca="1">I$330   *   ((I306/$Q239)/SUM(I$296:I$328/$Q$229:$Q$261))</f>
        <v>11211.154841350442</v>
      </c>
      <c r="N306" s="263"/>
      <c r="O306" s="11">
        <f t="shared" si="16"/>
        <v>0.37880767231167006</v>
      </c>
      <c r="P306" s="11">
        <f t="shared" si="17"/>
        <v>0.62119232768832999</v>
      </c>
      <c r="Q306" s="263"/>
      <c r="R306" s="11">
        <f t="shared" si="18"/>
        <v>0.13871425481888244</v>
      </c>
      <c r="S306" s="11">
        <f t="shared" si="19"/>
        <v>0.86128574518111756</v>
      </c>
      <c r="T306" s="263"/>
      <c r="U306" s="268">
        <f t="shared" ca="1" si="10"/>
        <v>548.5665627765303</v>
      </c>
      <c r="V306" s="268">
        <f t="shared" ca="1" si="20"/>
        <v>633.4221798592904</v>
      </c>
      <c r="W306" s="263"/>
      <c r="X306" s="263">
        <f t="shared" ca="1" si="11"/>
        <v>6373.3762769219356</v>
      </c>
      <c r="Y306" s="263">
        <f t="shared" ca="1" si="21"/>
        <v>18427.782087910709</v>
      </c>
      <c r="Z306" s="263"/>
      <c r="AA306" s="262">
        <f t="shared" ca="1" si="22"/>
        <v>44.044585402310204</v>
      </c>
      <c r="AB306" s="270">
        <f t="shared" ca="1" si="23"/>
        <v>548.5665627765303</v>
      </c>
      <c r="AC306" s="270">
        <f t="shared" ca="1" si="24"/>
        <v>633.4221798592904</v>
      </c>
      <c r="AD306" s="262">
        <f t="shared" ca="1" si="25"/>
        <v>477.90267196186898</v>
      </c>
      <c r="AE306" s="263"/>
      <c r="AF306" s="263">
        <f t="shared" ca="1" si="26"/>
        <v>382.02727736868547</v>
      </c>
      <c r="AG306" s="263">
        <f t="shared" ca="1" si="27"/>
        <v>6373.3762769219356</v>
      </c>
      <c r="AH306" s="263">
        <f t="shared" ca="1" si="28"/>
        <v>18427.782087910709</v>
      </c>
      <c r="AI306" s="263">
        <f t="shared" ca="1" si="29"/>
        <v>11211.154841350442</v>
      </c>
      <c r="AJ306" s="90"/>
      <c r="AL306" s="230"/>
      <c r="AM306" s="230"/>
      <c r="AN306" s="269">
        <f t="shared" ca="1" si="12"/>
        <v>0.11529172918143177</v>
      </c>
      <c r="AO306" s="269">
        <f t="shared" ca="1" si="13"/>
        <v>8.6071579480234944E-2</v>
      </c>
      <c r="AP306" s="269">
        <f t="shared" ca="1" si="14"/>
        <v>3.4373218482697289E-2</v>
      </c>
      <c r="AQ306" s="269">
        <f t="shared" ca="1" si="15"/>
        <v>4.2627425874023794E-2</v>
      </c>
      <c r="AR306" s="261"/>
      <c r="AT306" s="262"/>
    </row>
    <row r="307" spans="3:46">
      <c r="C307" t="s">
        <v>85</v>
      </c>
      <c r="G307" s="257">
        <f ca="1"/>
        <v>104.69835124567608</v>
      </c>
      <c r="H307" s="257">
        <f ca="1"/>
        <v>2809.7045621964057</v>
      </c>
      <c r="I307" s="257">
        <f ca="1"/>
        <v>1136.0220865579186</v>
      </c>
      <c r="K307" s="263" cm="1">
        <f t="array" aca="1" ref="K307" ca="1">G$330   *   ((G307/$Q240)/SUM(G$296:G$328/$Q$229:$Q$261))</f>
        <v>908.11673264618241</v>
      </c>
      <c r="L307" s="263" cm="1">
        <f t="array" aca="1" ref="L307" ca="1">H$330   *   ((H307/$Q240)/SUM(H$296:H$328/$Q$229:$Q$261))</f>
        <v>58954.813528607214</v>
      </c>
      <c r="M307" s="263" cm="1">
        <f t="array" aca="1" ref="M307" ca="1">I$330   *   ((I307/$Q240)/SUM(I$296:I$328/$Q$229:$Q$261))</f>
        <v>26650.027123304379</v>
      </c>
      <c r="N307" s="263"/>
      <c r="O307" s="11">
        <f t="shared" si="16"/>
        <v>0.37880768610947008</v>
      </c>
      <c r="P307" s="11">
        <f t="shared" si="17"/>
        <v>0.62119231389052998</v>
      </c>
      <c r="Q307" s="263"/>
      <c r="R307" s="11">
        <f t="shared" si="18"/>
        <v>0.13871426289186489</v>
      </c>
      <c r="S307" s="11">
        <f t="shared" si="19"/>
        <v>0.86128573710813505</v>
      </c>
      <c r="T307" s="263"/>
      <c r="U307" s="268">
        <f t="shared" ca="1" si="10"/>
        <v>1303.9972023722537</v>
      </c>
      <c r="V307" s="268">
        <f t="shared" ca="1" si="20"/>
        <v>1505.707359824152</v>
      </c>
      <c r="W307" s="263"/>
      <c r="X307" s="263">
        <f t="shared" ca="1" si="11"/>
        <v>15150.148013628694</v>
      </c>
      <c r="Y307" s="263">
        <f t="shared" ca="1" si="21"/>
        <v>43804.665514978522</v>
      </c>
      <c r="Z307" s="263"/>
      <c r="AA307" s="262">
        <f t="shared" ca="1" si="22"/>
        <v>104.69835124567608</v>
      </c>
      <c r="AB307" s="270">
        <f t="shared" ca="1" si="23"/>
        <v>1303.9972023722537</v>
      </c>
      <c r="AC307" s="270">
        <f t="shared" ca="1" si="24"/>
        <v>1505.707359824152</v>
      </c>
      <c r="AD307" s="262">
        <f t="shared" ca="1" si="25"/>
        <v>1136.0220865579186</v>
      </c>
      <c r="AE307" s="263"/>
      <c r="AF307" s="263">
        <f t="shared" ca="1" si="26"/>
        <v>908.11673264618241</v>
      </c>
      <c r="AG307" s="263">
        <f t="shared" ca="1" si="27"/>
        <v>15150.148013628694</v>
      </c>
      <c r="AH307" s="263">
        <f t="shared" ca="1" si="28"/>
        <v>43804.665514978522</v>
      </c>
      <c r="AI307" s="263">
        <f t="shared" ca="1" si="29"/>
        <v>26650.027123304379</v>
      </c>
      <c r="AJ307" s="90"/>
      <c r="AL307" s="230"/>
      <c r="AM307" s="230"/>
      <c r="AN307" s="269">
        <f t="shared" ca="1" si="12"/>
        <v>0.1152917323091197</v>
      </c>
      <c r="AO307" s="269">
        <f t="shared" ca="1" si="13"/>
        <v>8.6071581690106952E-2</v>
      </c>
      <c r="AP307" s="269">
        <f t="shared" ca="1" si="14"/>
        <v>3.4373218973885143E-2</v>
      </c>
      <c r="AQ307" s="269">
        <f t="shared" ca="1" si="15"/>
        <v>4.2627427030440534E-2</v>
      </c>
      <c r="AR307" s="261"/>
      <c r="AT307" s="262"/>
    </row>
    <row r="308" spans="3:46">
      <c r="C308" t="s">
        <v>86</v>
      </c>
      <c r="G308" s="257">
        <f ca="1"/>
        <v>34.173652479162627</v>
      </c>
      <c r="H308" s="257">
        <f ca="1"/>
        <v>917.09053805738085</v>
      </c>
      <c r="I308" s="257">
        <f ca="1"/>
        <v>370.79880946345668</v>
      </c>
      <c r="K308" s="263" cm="1">
        <f t="array" aca="1" ref="K308" ca="1">G$330   *   ((G308/$Q241)/SUM(G$296:G$328/$Q$229:$Q$261))</f>
        <v>296.41026564350994</v>
      </c>
      <c r="L308" s="263" cm="1">
        <f t="array" aca="1" ref="L308" ca="1">H$330   *   ((H308/$Q241)/SUM(H$296:H$328/$Q$229:$Q$261))</f>
        <v>19242.913725483068</v>
      </c>
      <c r="M308" s="263" cm="1">
        <f t="array" aca="1" ref="M308" ca="1">I$330   *   ((I308/$Q241)/SUM(I$296:I$328/$Q$229:$Q$261))</f>
        <v>8698.5971462141442</v>
      </c>
      <c r="N308" s="263"/>
      <c r="O308" s="11">
        <f t="shared" si="16"/>
        <v>0.37880768085206773</v>
      </c>
      <c r="P308" s="11">
        <f t="shared" si="17"/>
        <v>0.62119231914793227</v>
      </c>
      <c r="Q308" s="263"/>
      <c r="R308" s="11">
        <f t="shared" si="18"/>
        <v>0.13871426036081347</v>
      </c>
      <c r="S308" s="11">
        <f t="shared" si="19"/>
        <v>0.86128573963918653</v>
      </c>
      <c r="T308" s="263"/>
      <c r="U308" s="268">
        <f t="shared" ca="1" si="10"/>
        <v>425.62606060160988</v>
      </c>
      <c r="V308" s="268">
        <f t="shared" ca="1" si="20"/>
        <v>491.46447745577098</v>
      </c>
      <c r="W308" s="263"/>
      <c r="X308" s="263">
        <f t="shared" ca="1" si="11"/>
        <v>4945.0243538805262</v>
      </c>
      <c r="Y308" s="263">
        <f t="shared" ca="1" si="21"/>
        <v>14297.889371602541</v>
      </c>
      <c r="Z308" s="263"/>
      <c r="AA308" s="262">
        <f t="shared" ca="1" si="22"/>
        <v>34.173652479162627</v>
      </c>
      <c r="AB308" s="270">
        <f t="shared" ca="1" si="23"/>
        <v>425.62606060160988</v>
      </c>
      <c r="AC308" s="270">
        <f t="shared" ca="1" si="24"/>
        <v>491.46447745577098</v>
      </c>
      <c r="AD308" s="262">
        <f t="shared" ca="1" si="25"/>
        <v>370.79880946345668</v>
      </c>
      <c r="AE308" s="263"/>
      <c r="AF308" s="263">
        <f t="shared" ca="1" si="26"/>
        <v>296.41026564350994</v>
      </c>
      <c r="AG308" s="263">
        <f t="shared" ca="1" si="27"/>
        <v>4945.0243538805262</v>
      </c>
      <c r="AH308" s="263">
        <f t="shared" ca="1" si="28"/>
        <v>14297.889371602541</v>
      </c>
      <c r="AI308" s="263">
        <f t="shared" ca="1" si="29"/>
        <v>8698.5971462141442</v>
      </c>
      <c r="AJ308" s="90"/>
      <c r="AL308" s="230"/>
      <c r="AM308" s="230"/>
      <c r="AN308" s="269">
        <f t="shared" ca="1" si="12"/>
        <v>0.11529173055113746</v>
      </c>
      <c r="AO308" s="269">
        <f t="shared" ca="1" si="13"/>
        <v>8.6071580267872067E-2</v>
      </c>
      <c r="AP308" s="269">
        <f t="shared" ca="1" si="14"/>
        <v>3.4373218639660412E-2</v>
      </c>
      <c r="AQ308" s="269">
        <f t="shared" ca="1" si="15"/>
        <v>4.2627426380452388E-2</v>
      </c>
      <c r="AR308" s="261"/>
      <c r="AT308" s="262"/>
    </row>
    <row r="309" spans="3:46">
      <c r="C309" t="s">
        <v>87</v>
      </c>
      <c r="G309" s="257">
        <f ca="1"/>
        <v>19.647828158439758</v>
      </c>
      <c r="H309" s="257">
        <f ca="1"/>
        <v>527.27279615398027</v>
      </c>
      <c r="I309" s="257">
        <f ca="1"/>
        <v>213.18737568757999</v>
      </c>
      <c r="K309" s="263" cm="1">
        <f t="array" aca="1" ref="K309" ca="1">G$330   *   ((G309/$Q242)/SUM(G$296:G$328/$Q$229:$Q$261))</f>
        <v>170.41836042945357</v>
      </c>
      <c r="L309" s="263" cm="1">
        <f t="array" aca="1" ref="L309" ca="1">H$330   *   ((H309/$Q242)/SUM(H$296:H$328/$Q$229:$Q$261))</f>
        <v>11063.536547436224</v>
      </c>
      <c r="M309" s="263" cm="1">
        <f t="array" aca="1" ref="M309" ca="1">I$330   *   ((I309/$Q242)/SUM(I$296:I$328/$Q$229:$Q$261))</f>
        <v>5001.1785539067951</v>
      </c>
      <c r="N309" s="263"/>
      <c r="O309" s="11">
        <f t="shared" si="16"/>
        <v>0.37880769727227553</v>
      </c>
      <c r="P309" s="11">
        <f t="shared" si="17"/>
        <v>0.62119230272772441</v>
      </c>
      <c r="Q309" s="263"/>
      <c r="R309" s="11">
        <f t="shared" si="18"/>
        <v>0.13871426813567328</v>
      </c>
      <c r="S309" s="11">
        <f t="shared" si="19"/>
        <v>0.86128573186432678</v>
      </c>
      <c r="T309" s="263"/>
      <c r="U309" s="268">
        <f t="shared" ca="1" si="10"/>
        <v>244.70980849352847</v>
      </c>
      <c r="V309" s="268">
        <f t="shared" ca="1" si="20"/>
        <v>282.56298766045177</v>
      </c>
      <c r="W309" s="263"/>
      <c r="X309" s="263">
        <f t="shared" ca="1" si="11"/>
        <v>2843.0964185331623</v>
      </c>
      <c r="Y309" s="263">
        <f t="shared" ca="1" si="21"/>
        <v>8220.4401289030611</v>
      </c>
      <c r="Z309" s="263"/>
      <c r="AA309" s="262">
        <f t="shared" ca="1" si="22"/>
        <v>19.647828158439758</v>
      </c>
      <c r="AB309" s="270">
        <f t="shared" ca="1" si="23"/>
        <v>244.70980849352847</v>
      </c>
      <c r="AC309" s="270">
        <f t="shared" ca="1" si="24"/>
        <v>282.56298766045177</v>
      </c>
      <c r="AD309" s="262">
        <f t="shared" ca="1" si="25"/>
        <v>213.18737568757999</v>
      </c>
      <c r="AE309" s="263"/>
      <c r="AF309" s="263">
        <f t="shared" ca="1" si="26"/>
        <v>170.41836042945357</v>
      </c>
      <c r="AG309" s="263">
        <f t="shared" ca="1" si="27"/>
        <v>2843.0964185331623</v>
      </c>
      <c r="AH309" s="263">
        <f t="shared" ca="1" si="28"/>
        <v>8220.4401289030611</v>
      </c>
      <c r="AI309" s="263">
        <f t="shared" ca="1" si="29"/>
        <v>5001.1785539067951</v>
      </c>
      <c r="AJ309" s="90"/>
      <c r="AL309" s="230"/>
      <c r="AM309" s="230"/>
      <c r="AN309" s="269">
        <f t="shared" ca="1" si="12"/>
        <v>0.11529173329051701</v>
      </c>
      <c r="AO309" s="269">
        <f t="shared" ca="1" si="13"/>
        <v>8.6071582693555471E-2</v>
      </c>
      <c r="AP309" s="269">
        <f t="shared" ca="1" si="14"/>
        <v>3.4373218858070695E-2</v>
      </c>
      <c r="AQ309" s="269">
        <f t="shared" ca="1" si="15"/>
        <v>4.26274273932978E-2</v>
      </c>
      <c r="AR309" s="261"/>
      <c r="AT309" s="262"/>
    </row>
    <row r="310" spans="3:46">
      <c r="C310" t="s">
        <v>88</v>
      </c>
      <c r="G310" s="257">
        <f ca="1"/>
        <v>7.7914024151849324</v>
      </c>
      <c r="H310" s="257">
        <f ca="1"/>
        <v>209.09153440711216</v>
      </c>
      <c r="I310" s="257">
        <f ca="1"/>
        <v>84.540063177702962</v>
      </c>
      <c r="K310" s="263" cm="1">
        <f t="array" aca="1" ref="K310" ca="1">G$330   *   ((G310/$Q243)/SUM(G$296:G$328/$Q$229:$Q$261))</f>
        <v>67.57989237546812</v>
      </c>
      <c r="L310" s="263" cm="1">
        <f t="array" aca="1" ref="L310" ca="1">H$330   *   ((H310/$Q243)/SUM(H$296:H$328/$Q$229:$Q$261))</f>
        <v>4387.2773290604737</v>
      </c>
      <c r="M310" s="263" cm="1">
        <f t="array" aca="1" ref="M310" ca="1">I$330   *   ((I310/$Q243)/SUM(I$296:I$328/$Q$229:$Q$261))</f>
        <v>1983.2317807295794</v>
      </c>
      <c r="N310" s="263"/>
      <c r="O310" s="11">
        <f t="shared" si="16"/>
        <v>0.37880765808359801</v>
      </c>
      <c r="P310" s="11">
        <f t="shared" si="17"/>
        <v>0.62119234191640205</v>
      </c>
      <c r="Q310" s="263"/>
      <c r="R310" s="11">
        <f t="shared" si="18"/>
        <v>0.13871424993214559</v>
      </c>
      <c r="S310" s="11">
        <f t="shared" si="19"/>
        <v>0.86128575006785435</v>
      </c>
      <c r="T310" s="263"/>
      <c r="U310" s="268">
        <f t="shared" ca="1" si="10"/>
        <v>97.040366937894348</v>
      </c>
      <c r="V310" s="268">
        <f t="shared" ca="1" si="20"/>
        <v>112.05116746921782</v>
      </c>
      <c r="W310" s="263"/>
      <c r="X310" s="263">
        <f t="shared" ca="1" si="11"/>
        <v>1127.4380163730066</v>
      </c>
      <c r="Y310" s="263">
        <f t="shared" ca="1" si="21"/>
        <v>3259.8393126874671</v>
      </c>
      <c r="Z310" s="263"/>
      <c r="AA310" s="262">
        <f t="shared" ca="1" si="22"/>
        <v>7.7914024151849324</v>
      </c>
      <c r="AB310" s="270">
        <f t="shared" ca="1" si="23"/>
        <v>97.040366937894348</v>
      </c>
      <c r="AC310" s="270">
        <f t="shared" ca="1" si="24"/>
        <v>112.05116746921782</v>
      </c>
      <c r="AD310" s="262">
        <f t="shared" ca="1" si="25"/>
        <v>84.540063177702962</v>
      </c>
      <c r="AE310" s="263"/>
      <c r="AF310" s="263">
        <f t="shared" ca="1" si="26"/>
        <v>67.57989237546812</v>
      </c>
      <c r="AG310" s="263">
        <f t="shared" ca="1" si="27"/>
        <v>1127.4380163730066</v>
      </c>
      <c r="AH310" s="263">
        <f t="shared" ca="1" si="28"/>
        <v>3259.8393126874671</v>
      </c>
      <c r="AI310" s="263">
        <f t="shared" ca="1" si="29"/>
        <v>1983.2317807295794</v>
      </c>
      <c r="AJ310" s="90"/>
      <c r="AL310" s="230"/>
      <c r="AM310" s="230"/>
      <c r="AN310" s="269">
        <f t="shared" ca="1" si="12"/>
        <v>0.11529172570883311</v>
      </c>
      <c r="AO310" s="269">
        <f t="shared" ca="1" si="13"/>
        <v>8.6071576023376783E-2</v>
      </c>
      <c r="AP310" s="269">
        <f t="shared" ca="1" si="14"/>
        <v>3.437321803964654E-2</v>
      </c>
      <c r="AQ310" s="269">
        <f t="shared" ca="1" si="15"/>
        <v>4.2627424590081384E-2</v>
      </c>
      <c r="AR310" s="261"/>
      <c r="AT310" s="262"/>
    </row>
    <row r="311" spans="3:46">
      <c r="C311" t="s">
        <v>89</v>
      </c>
      <c r="G311" s="257">
        <f ca="1"/>
        <v>74.58780928839829</v>
      </c>
      <c r="H311" s="257">
        <f ca="1"/>
        <v>2001.6524190537634</v>
      </c>
      <c r="I311" s="257">
        <f ca="1"/>
        <v>809.30977165783884</v>
      </c>
      <c r="K311" s="263" cm="1">
        <f t="array" aca="1" ref="K311" ca="1">G$330   *   ((G311/$Q244)/SUM(G$296:G$328/$Q$229:$Q$261))</f>
        <v>646.94848370109639</v>
      </c>
      <c r="L311" s="263" cm="1">
        <f t="array" aca="1" ref="L311" ca="1">H$330   *   ((H311/$Q244)/SUM(H$296:H$328/$Q$229:$Q$261))</f>
        <v>41999.806685726602</v>
      </c>
      <c r="M311" s="263" cm="1">
        <f t="array" aca="1" ref="M311" ca="1">I$330   *   ((I311/$Q244)/SUM(I$296:I$328/$Q$229:$Q$261))</f>
        <v>18985.659021803665</v>
      </c>
      <c r="N311" s="263"/>
      <c r="O311" s="11">
        <f t="shared" si="16"/>
        <v>0.37880767239981417</v>
      </c>
      <c r="P311" s="11">
        <f t="shared" si="17"/>
        <v>0.62119232760018583</v>
      </c>
      <c r="Q311" s="263"/>
      <c r="R311" s="11">
        <f t="shared" si="18"/>
        <v>0.1387142568662853</v>
      </c>
      <c r="S311" s="11">
        <f t="shared" si="19"/>
        <v>0.86128574313371464</v>
      </c>
      <c r="T311" s="263"/>
      <c r="U311" s="268">
        <f t="shared" ca="1" si="10"/>
        <v>928.97634974504285</v>
      </c>
      <c r="V311" s="268">
        <f t="shared" ca="1" si="20"/>
        <v>1072.6760693087206</v>
      </c>
      <c r="W311" s="263"/>
      <c r="X311" s="263">
        <f t="shared" ca="1" si="11"/>
        <v>10793.067382913267</v>
      </c>
      <c r="Y311" s="263">
        <f t="shared" ca="1" si="21"/>
        <v>31206.739302813337</v>
      </c>
      <c r="Z311" s="263"/>
      <c r="AA311" s="262">
        <f t="shared" ca="1" si="22"/>
        <v>74.58780928839829</v>
      </c>
      <c r="AB311" s="270">
        <f t="shared" ca="1" si="23"/>
        <v>928.97634974504285</v>
      </c>
      <c r="AC311" s="270">
        <f t="shared" ca="1" si="24"/>
        <v>1072.6760693087206</v>
      </c>
      <c r="AD311" s="262">
        <f t="shared" ca="1" si="25"/>
        <v>809.30977165783884</v>
      </c>
      <c r="AE311" s="263"/>
      <c r="AF311" s="263">
        <f t="shared" ca="1" si="26"/>
        <v>646.94848370109639</v>
      </c>
      <c r="AG311" s="263">
        <f t="shared" ca="1" si="27"/>
        <v>10793.067382913267</v>
      </c>
      <c r="AH311" s="263">
        <f t="shared" ca="1" si="28"/>
        <v>31206.739302813337</v>
      </c>
      <c r="AI311" s="263">
        <f t="shared" ca="1" si="29"/>
        <v>18985.659021803665</v>
      </c>
      <c r="AJ311" s="90"/>
      <c r="AL311" s="230"/>
      <c r="AM311" s="230"/>
      <c r="AN311" s="269">
        <f t="shared" ca="1" si="12"/>
        <v>0.11529172904416204</v>
      </c>
      <c r="AO311" s="269">
        <f t="shared" ca="1" si="13"/>
        <v>8.6071578800269971E-2</v>
      </c>
      <c r="AP311" s="269">
        <f t="shared" ca="1" si="14"/>
        <v>3.4373218518604316E-2</v>
      </c>
      <c r="AQ311" s="269">
        <f t="shared" ca="1" si="15"/>
        <v>4.262742582327033E-2</v>
      </c>
      <c r="AR311" s="261"/>
      <c r="AT311" s="262"/>
    </row>
    <row r="312" spans="3:46">
      <c r="C312" t="s">
        <v>90</v>
      </c>
      <c r="G312" s="257">
        <f ca="1"/>
        <v>48.108216370243397</v>
      </c>
      <c r="H312" s="257">
        <f ca="1"/>
        <v>3059.0529495947653</v>
      </c>
      <c r="I312" s="257">
        <f ca="1"/>
        <v>1236.838834034992</v>
      </c>
      <c r="K312" s="263" cm="1">
        <f t="array" aca="1" ref="K312" ca="1">G$330   *   ((G312/$Q245)/SUM(G$296:G$328/$Q$229:$Q$261))</f>
        <v>279.4069001968345</v>
      </c>
      <c r="L312" s="263" cm="1">
        <f t="array" aca="1" ref="L312" ca="1">H$330   *   ((H312/$Q245)/SUM(H$296:H$328/$Q$229:$Q$261))</f>
        <v>42979.528224163587</v>
      </c>
      <c r="M312" s="263" cm="1">
        <f t="array" aca="1" ref="M312" ca="1">I$330   *   ((I312/$Q245)/SUM(I$296:I$328/$Q$229:$Q$261))</f>
        <v>19428.53389511595</v>
      </c>
      <c r="N312" s="263"/>
      <c r="O312" s="11">
        <f t="shared" si="16"/>
        <v>0.71228887299676025</v>
      </c>
      <c r="P312" s="11">
        <f t="shared" si="17"/>
        <v>0.28771112700323975</v>
      </c>
      <c r="Q312" s="263"/>
      <c r="R312" s="11">
        <f t="shared" si="18"/>
        <v>0.39320813431171336</v>
      </c>
      <c r="S312" s="11">
        <f t="shared" si="19"/>
        <v>0.60679186568828669</v>
      </c>
      <c r="T312" s="263"/>
      <c r="U312" s="268">
        <f t="shared" ca="1" si="10"/>
        <v>2299.7807553671419</v>
      </c>
      <c r="V312" s="268">
        <f t="shared" ca="1" si="20"/>
        <v>759.27219422762346</v>
      </c>
      <c r="W312" s="263"/>
      <c r="X312" s="263">
        <f t="shared" ca="1" si="11"/>
        <v>20480.941545689286</v>
      </c>
      <c r="Y312" s="263">
        <f t="shared" ca="1" si="21"/>
        <v>22498.586678474301</v>
      </c>
      <c r="Z312" s="263"/>
      <c r="AA312" s="262">
        <f t="shared" ca="1" si="22"/>
        <v>48.108216370243397</v>
      </c>
      <c r="AB312" s="270">
        <f t="shared" ca="1" si="23"/>
        <v>2299.7807553671419</v>
      </c>
      <c r="AC312" s="270">
        <f t="shared" ca="1" si="24"/>
        <v>759.27219422762346</v>
      </c>
      <c r="AD312" s="262">
        <f t="shared" ca="1" si="25"/>
        <v>1236.838834034992</v>
      </c>
      <c r="AE312" s="263"/>
      <c r="AF312" s="263">
        <f t="shared" ca="1" si="26"/>
        <v>279.4069001968345</v>
      </c>
      <c r="AG312" s="263">
        <f t="shared" ca="1" si="27"/>
        <v>20480.941545689286</v>
      </c>
      <c r="AH312" s="263">
        <f t="shared" ca="1" si="28"/>
        <v>22498.586678474301</v>
      </c>
      <c r="AI312" s="263">
        <f t="shared" ca="1" si="29"/>
        <v>19428.53389511595</v>
      </c>
      <c r="AJ312" s="90"/>
      <c r="AL312" s="230"/>
      <c r="AM312" s="230"/>
      <c r="AN312" s="269">
        <f t="shared" ca="1" si="12"/>
        <v>0.17217977199687079</v>
      </c>
      <c r="AO312" s="269">
        <f t="shared" ca="1" si="13"/>
        <v>0.11228881983949546</v>
      </c>
      <c r="AP312" s="269">
        <f t="shared" ca="1" si="14"/>
        <v>3.3747550682997479E-2</v>
      </c>
      <c r="AQ312" s="269">
        <f t="shared" ca="1" si="15"/>
        <v>6.3660945324645168E-2</v>
      </c>
      <c r="AR312" s="261"/>
      <c r="AT312" s="262"/>
    </row>
    <row r="313" spans="3:46">
      <c r="C313" t="s">
        <v>91</v>
      </c>
      <c r="G313" s="257">
        <f ca="1"/>
        <v>1047.764845876356</v>
      </c>
      <c r="H313" s="257">
        <f ca="1"/>
        <v>13870.683886840949</v>
      </c>
      <c r="I313" s="257">
        <f ca="1"/>
        <v>5608.206451000121</v>
      </c>
      <c r="K313" s="263" cm="1">
        <f t="array" aca="1" ref="K313" ca="1">G$330   *   ((G313/$Q246)/SUM(G$296:G$328/$Q$229:$Q$261))</f>
        <v>9011.4152256278303</v>
      </c>
      <c r="L313" s="263" cm="1">
        <f t="array" aca="1" ref="L313" ca="1">H$330   *   ((H313/$Q246)/SUM(H$296:H$328/$Q$229:$Q$261))</f>
        <v>288591.69617516594</v>
      </c>
      <c r="M313" s="263" cm="1">
        <f t="array" aca="1" ref="M313" ca="1">I$330   *   ((I313/$Q246)/SUM(I$296:I$328/$Q$229:$Q$261))</f>
        <v>130455.44664298905</v>
      </c>
      <c r="N313" s="263"/>
      <c r="O313" s="11">
        <f t="shared" si="16"/>
        <v>0.3120160657113874</v>
      </c>
      <c r="P313" s="11">
        <f t="shared" si="17"/>
        <v>0.6879839342886126</v>
      </c>
      <c r="Q313" s="263"/>
      <c r="R313" s="11">
        <f t="shared" si="18"/>
        <v>8.8915974012053131E-2</v>
      </c>
      <c r="S313" s="11">
        <f t="shared" si="19"/>
        <v>0.91108402598794691</v>
      </c>
      <c r="T313" s="263"/>
      <c r="U313" s="268">
        <f t="shared" ca="1" si="10"/>
        <v>5638.21659125519</v>
      </c>
      <c r="V313" s="268">
        <f t="shared" ca="1" si="20"/>
        <v>8232.4672955857586</v>
      </c>
      <c r="W313" s="263"/>
      <c r="X313" s="263">
        <f t="shared" ca="1" si="11"/>
        <v>61763.987348255236</v>
      </c>
      <c r="Y313" s="263">
        <f t="shared" ca="1" si="21"/>
        <v>226827.7088269107</v>
      </c>
      <c r="Z313" s="263"/>
      <c r="AA313" s="262">
        <f t="shared" ca="1" si="22"/>
        <v>1047.764845876356</v>
      </c>
      <c r="AB313" s="270">
        <f t="shared" ca="1" si="23"/>
        <v>5638.21659125519</v>
      </c>
      <c r="AC313" s="270">
        <f t="shared" ca="1" si="24"/>
        <v>8232.4672955857586</v>
      </c>
      <c r="AD313" s="262">
        <f t="shared" ca="1" si="25"/>
        <v>5608.206451000121</v>
      </c>
      <c r="AE313" s="263"/>
      <c r="AF313" s="263">
        <f t="shared" ca="1" si="26"/>
        <v>9011.4152256278303</v>
      </c>
      <c r="AG313" s="263">
        <f t="shared" ca="1" si="27"/>
        <v>61763.987348255236</v>
      </c>
      <c r="AH313" s="263">
        <f t="shared" ca="1" si="28"/>
        <v>226827.7088269107</v>
      </c>
      <c r="AI313" s="263">
        <f t="shared" ca="1" si="29"/>
        <v>130455.44664298905</v>
      </c>
      <c r="AJ313" s="90"/>
      <c r="AL313" s="230"/>
      <c r="AM313" s="230"/>
      <c r="AN313" s="269">
        <f t="shared" ca="1" si="12"/>
        <v>0.11627084310759386</v>
      </c>
      <c r="AO313" s="269">
        <f t="shared" ca="1" si="13"/>
        <v>9.1286473450365141E-2</v>
      </c>
      <c r="AP313" s="269">
        <f t="shared" ca="1" si="14"/>
        <v>3.6293922546596143E-2</v>
      </c>
      <c r="AQ313" s="269">
        <f t="shared" ca="1" si="15"/>
        <v>4.298943888749867E-2</v>
      </c>
      <c r="AR313" s="261"/>
      <c r="AT313" s="262"/>
    </row>
    <row r="314" spans="3:46">
      <c r="C314" t="s">
        <v>256</v>
      </c>
      <c r="G314" s="257">
        <f ca="1"/>
        <v>964.44286510162874</v>
      </c>
      <c r="H314" s="257">
        <f ca="1"/>
        <v>37216.963488704656</v>
      </c>
      <c r="I314" s="257">
        <f ca="1"/>
        <v>15047.593646193718</v>
      </c>
      <c r="K314" s="263" cm="1">
        <f t="array" aca="1" ref="K314" ca="1">G$330   *   ((G314/$Q247)/SUM(G$296:G$328/$Q$229:$Q$261))</f>
        <v>7080.6770392722292</v>
      </c>
      <c r="L314" s="263" cm="1">
        <f t="array" aca="1" ref="L314" ca="1">H$330   *   ((H314/$Q247)/SUM(H$296:H$328/$Q$229:$Q$261))</f>
        <v>660991.68448488333</v>
      </c>
      <c r="M314" s="263" cm="1">
        <f t="array" aca="1" ref="M314" ca="1">I$330   *   ((I314/$Q247)/SUM(I$296:I$328/$Q$229:$Q$261))</f>
        <v>298795.72617515066</v>
      </c>
      <c r="N314" s="263"/>
      <c r="O314" s="11">
        <f t="shared" si="16"/>
        <v>0.86314379909098582</v>
      </c>
      <c r="P314" s="11">
        <f t="shared" si="17"/>
        <v>0.13685620090901418</v>
      </c>
      <c r="Q314" s="263"/>
      <c r="R314" s="11">
        <f t="shared" si="18"/>
        <v>0.72472232926571867</v>
      </c>
      <c r="S314" s="11">
        <f t="shared" si="19"/>
        <v>0.27527767073428133</v>
      </c>
      <c r="T314" s="263"/>
      <c r="U314" s="268">
        <f t="shared" ca="1" si="10"/>
        <v>32822.971513793796</v>
      </c>
      <c r="V314" s="268">
        <f t="shared" ca="1" si="20"/>
        <v>4393.9919749108594</v>
      </c>
      <c r="W314" s="263"/>
      <c r="X314" s="263">
        <f t="shared" ca="1" si="11"/>
        <v>504020.17888455937</v>
      </c>
      <c r="Y314" s="263">
        <f t="shared" ca="1" si="21"/>
        <v>156971.50560032396</v>
      </c>
      <c r="Z314" s="263"/>
      <c r="AA314" s="262">
        <f t="shared" ca="1" si="22"/>
        <v>964.44286510162874</v>
      </c>
      <c r="AB314" s="270">
        <f t="shared" ca="1" si="23"/>
        <v>32822.971513793796</v>
      </c>
      <c r="AC314" s="270">
        <f t="shared" ca="1" si="24"/>
        <v>4393.9919749108594</v>
      </c>
      <c r="AD314" s="262">
        <f t="shared" ca="1" si="25"/>
        <v>15047.593646193718</v>
      </c>
      <c r="AE314" s="263"/>
      <c r="AF314" s="263">
        <f t="shared" ca="1" si="26"/>
        <v>7080.6770392722292</v>
      </c>
      <c r="AG314" s="263">
        <f t="shared" ca="1" si="27"/>
        <v>504020.17888455937</v>
      </c>
      <c r="AH314" s="263">
        <f t="shared" ca="1" si="28"/>
        <v>156971.50560032396</v>
      </c>
      <c r="AI314" s="263">
        <f t="shared" ca="1" si="29"/>
        <v>298795.72617515066</v>
      </c>
      <c r="AJ314" s="90"/>
      <c r="AL314" s="230"/>
      <c r="AM314" s="230"/>
      <c r="AN314" s="269">
        <f t="shared" ca="1" si="12"/>
        <v>0.13620771852076405</v>
      </c>
      <c r="AO314" s="269">
        <f t="shared" ca="1" si="13"/>
        <v>6.512233614621124E-2</v>
      </c>
      <c r="AP314" s="269">
        <f t="shared" ca="1" si="14"/>
        <v>2.7992290435811373E-2</v>
      </c>
      <c r="AQ314" s="269">
        <f t="shared" ca="1" si="15"/>
        <v>5.0360806156152946E-2</v>
      </c>
      <c r="AR314" s="261"/>
      <c r="AT314" s="262"/>
    </row>
    <row r="315" spans="3:46">
      <c r="C315" t="s">
        <v>93</v>
      </c>
      <c r="G315" s="257">
        <f ca="1"/>
        <v>161.51725173174293</v>
      </c>
      <c r="H315" s="257">
        <f ca="1"/>
        <v>9410.9699650681196</v>
      </c>
      <c r="I315" s="257">
        <f ca="1"/>
        <v>3805.0512071963717</v>
      </c>
      <c r="K315" s="263" cm="1">
        <f t="array" aca="1" ref="K315" ca="1">G$330   *   ((G315/$Q248)/SUM(G$296:G$328/$Q$229:$Q$261))</f>
        <v>1219.5778761694744</v>
      </c>
      <c r="L315" s="263" cm="1">
        <f t="array" aca="1" ref="L315" ca="1">H$330   *   ((H315/$Q248)/SUM(H$296:H$328/$Q$229:$Q$261))</f>
        <v>171902.33922877573</v>
      </c>
      <c r="M315" s="263" cm="1">
        <f t="array" aca="1" ref="M315" ca="1">I$330   *   ((I315/$Q248)/SUM(I$296:I$328/$Q$229:$Q$261))</f>
        <v>77707.005226695561</v>
      </c>
      <c r="N315" s="263"/>
      <c r="O315" s="11">
        <f t="shared" si="16"/>
        <v>0.96943043234975301</v>
      </c>
      <c r="P315" s="11">
        <f t="shared" si="17"/>
        <v>3.0569567650246987E-2</v>
      </c>
      <c r="Q315" s="263"/>
      <c r="R315" s="11">
        <f t="shared" si="18"/>
        <v>0.93770618230529401</v>
      </c>
      <c r="S315" s="11">
        <f t="shared" si="19"/>
        <v>6.2293817694705989E-2</v>
      </c>
      <c r="T315" s="263"/>
      <c r="U315" s="268">
        <f t="shared" ca="1" si="10"/>
        <v>9162.783823727952</v>
      </c>
      <c r="V315" s="268">
        <f t="shared" ca="1" si="20"/>
        <v>248.18614134016752</v>
      </c>
      <c r="W315" s="263"/>
      <c r="X315" s="263">
        <f t="shared" ca="1" si="11"/>
        <v>162664.28351324657</v>
      </c>
      <c r="Y315" s="263">
        <f t="shared" ca="1" si="21"/>
        <v>9238.0557155291608</v>
      </c>
      <c r="Z315" s="263"/>
      <c r="AA315" s="262">
        <f t="shared" ca="1" si="22"/>
        <v>161.51725173174293</v>
      </c>
      <c r="AB315" s="270">
        <f t="shared" ca="1" si="23"/>
        <v>9162.783823727952</v>
      </c>
      <c r="AC315" s="270">
        <f t="shared" ca="1" si="24"/>
        <v>248.18614134016752</v>
      </c>
      <c r="AD315" s="262">
        <f t="shared" ca="1" si="25"/>
        <v>3805.0512071963717</v>
      </c>
      <c r="AE315" s="263"/>
      <c r="AF315" s="263">
        <f t="shared" ca="1" si="26"/>
        <v>1219.5778761694744</v>
      </c>
      <c r="AG315" s="263">
        <f t="shared" ca="1" si="27"/>
        <v>162664.28351324657</v>
      </c>
      <c r="AH315" s="263">
        <f t="shared" ca="1" si="28"/>
        <v>9238.0557155291608</v>
      </c>
      <c r="AI315" s="263">
        <f t="shared" ca="1" si="29"/>
        <v>77707.005226695561</v>
      </c>
      <c r="AJ315" s="90"/>
      <c r="AL315" s="230"/>
      <c r="AM315" s="230"/>
      <c r="AN315" s="269">
        <f t="shared" ca="1" si="12"/>
        <v>0.13243701356656806</v>
      </c>
      <c r="AO315" s="269">
        <f t="shared" ca="1" si="13"/>
        <v>5.6329414336256434E-2</v>
      </c>
      <c r="AP315" s="269">
        <f t="shared" ca="1" si="14"/>
        <v>2.686562508201449E-2</v>
      </c>
      <c r="AQ315" s="269">
        <f t="shared" ca="1" si="15"/>
        <v>4.8966643304498111E-2</v>
      </c>
      <c r="AR315" s="261"/>
      <c r="AT315" s="262"/>
    </row>
    <row r="316" spans="3:46">
      <c r="C316" t="s">
        <v>94</v>
      </c>
      <c r="G316" s="257">
        <f ca="1"/>
        <v>57.049090282828814</v>
      </c>
      <c r="H316" s="257">
        <f ca="1"/>
        <v>3008.9968140554297</v>
      </c>
      <c r="I316" s="257">
        <f ca="1"/>
        <v>1216.6000956617415</v>
      </c>
      <c r="K316" s="263" cm="1">
        <f t="array" aca="1" ref="K316" ca="1">G$330   *   ((G316/$Q249)/SUM(G$296:G$328/$Q$229:$Q$261))</f>
        <v>302.68466677896703</v>
      </c>
      <c r="L316" s="263" cm="1">
        <f t="array" aca="1" ref="L316" ca="1">H$330   *   ((H316/$Q249)/SUM(H$296:H$328/$Q$229:$Q$261))</f>
        <v>38620.705578820394</v>
      </c>
      <c r="M316" s="263" cm="1">
        <f t="array" aca="1" ref="M316" ca="1">I$330   *   ((I316/$Q249)/SUM(I$296:I$328/$Q$229:$Q$261))</f>
        <v>17458.164814604777</v>
      </c>
      <c r="N316" s="263"/>
      <c r="O316" s="11">
        <f t="shared" si="16"/>
        <v>0.85214963088387585</v>
      </c>
      <c r="P316" s="11">
        <f t="shared" si="17"/>
        <v>0.14785036911612415</v>
      </c>
      <c r="Q316" s="263"/>
      <c r="R316" s="11">
        <f t="shared" si="18"/>
        <v>0.62702955744800937</v>
      </c>
      <c r="S316" s="11">
        <f t="shared" si="19"/>
        <v>0.37297044255199063</v>
      </c>
      <c r="T316" s="263"/>
      <c r="U316" s="268">
        <f t="shared" ca="1" si="10"/>
        <v>2625.2029880392015</v>
      </c>
      <c r="V316" s="268">
        <f t="shared" ca="1" si="20"/>
        <v>383.79382601622819</v>
      </c>
      <c r="W316" s="263"/>
      <c r="X316" s="263">
        <f t="shared" ca="1" si="11"/>
        <v>26194.215919026614</v>
      </c>
      <c r="Y316" s="263">
        <f t="shared" ca="1" si="21"/>
        <v>12426.48965979378</v>
      </c>
      <c r="Z316" s="263"/>
      <c r="AA316" s="262">
        <f t="shared" ca="1" si="22"/>
        <v>57.049090282828814</v>
      </c>
      <c r="AB316" s="270">
        <f t="shared" ca="1" si="23"/>
        <v>2625.2029880392015</v>
      </c>
      <c r="AC316" s="270">
        <f t="shared" ca="1" si="24"/>
        <v>383.79382601622819</v>
      </c>
      <c r="AD316" s="262">
        <f t="shared" ca="1" si="25"/>
        <v>1216.6000956617415</v>
      </c>
      <c r="AE316" s="263"/>
      <c r="AF316" s="263">
        <f t="shared" ca="1" si="26"/>
        <v>302.68466677896703</v>
      </c>
      <c r="AG316" s="263">
        <f t="shared" ca="1" si="27"/>
        <v>26194.215919026614</v>
      </c>
      <c r="AH316" s="263">
        <f t="shared" ca="1" si="28"/>
        <v>12426.48965979378</v>
      </c>
      <c r="AI316" s="263">
        <f t="shared" ca="1" si="29"/>
        <v>17458.164814604777</v>
      </c>
      <c r="AJ316" s="90"/>
      <c r="AL316" s="230"/>
      <c r="AM316" s="230"/>
      <c r="AN316" s="269">
        <f t="shared" ca="1" si="12"/>
        <v>0.18847697470083094</v>
      </c>
      <c r="AO316" s="269">
        <f t="shared" ca="1" si="13"/>
        <v>0.10022071270063636</v>
      </c>
      <c r="AP316" s="269">
        <f t="shared" ca="1" si="14"/>
        <v>3.0885136231030938E-2</v>
      </c>
      <c r="AQ316" s="269">
        <f t="shared" ca="1" si="15"/>
        <v>6.9686596992370259E-2</v>
      </c>
      <c r="AR316" s="261"/>
      <c r="AT316" s="262"/>
    </row>
    <row r="317" spans="3:46">
      <c r="C317" t="s">
        <v>95</v>
      </c>
      <c r="G317" s="257">
        <f ca="1"/>
        <v>1.9528972935735414</v>
      </c>
      <c r="H317" s="257">
        <f ca="1"/>
        <v>103.00360102865571</v>
      </c>
      <c r="I317" s="257">
        <f ca="1"/>
        <v>41.646501677770779</v>
      </c>
      <c r="K317" s="263" cm="1">
        <f t="array" aca="1" ref="K317" ca="1">G$330   *   ((G317/$Q250)/SUM(G$296:G$328/$Q$229:$Q$261))</f>
        <v>10.36146345753448</v>
      </c>
      <c r="L317" s="263" cm="1">
        <f t="array" aca="1" ref="L317" ca="1">H$330   *   ((H317/$Q250)/SUM(H$296:H$328/$Q$229:$Q$261))</f>
        <v>1322.0591377077064</v>
      </c>
      <c r="M317" s="263" cm="1">
        <f t="array" aca="1" ref="M317" ca="1">I$330   *   ((I317/$Q250)/SUM(I$296:I$328/$Q$229:$Q$261))</f>
        <v>597.62570297040065</v>
      </c>
      <c r="N317" s="263"/>
      <c r="O317" s="11">
        <f t="shared" si="16"/>
        <v>0.85214963701074087</v>
      </c>
      <c r="P317" s="11">
        <f t="shared" si="17"/>
        <v>0.14785036298925913</v>
      </c>
      <c r="Q317" s="263"/>
      <c r="R317" s="11">
        <f t="shared" si="18"/>
        <v>0.62702956915297681</v>
      </c>
      <c r="S317" s="11">
        <f t="shared" si="19"/>
        <v>0.37297043084702319</v>
      </c>
      <c r="T317" s="263"/>
      <c r="U317" s="268">
        <f t="shared" ca="1" si="10"/>
        <v>89.865619522866382</v>
      </c>
      <c r="V317" s="268">
        <f t="shared" ca="1" si="20"/>
        <v>13.137981505789327</v>
      </c>
      <c r="W317" s="263"/>
      <c r="X317" s="263">
        <f t="shared" ca="1" si="11"/>
        <v>896.67711936904584</v>
      </c>
      <c r="Y317" s="263">
        <f t="shared" ca="1" si="21"/>
        <v>425.3820183386606</v>
      </c>
      <c r="Z317" s="263"/>
      <c r="AA317" s="262">
        <f t="shared" ca="1" si="22"/>
        <v>1.9528972935735414</v>
      </c>
      <c r="AB317" s="270">
        <f t="shared" ca="1" si="23"/>
        <v>89.865619522866382</v>
      </c>
      <c r="AC317" s="270">
        <f t="shared" ca="1" si="24"/>
        <v>13.137981505789327</v>
      </c>
      <c r="AD317" s="262">
        <f t="shared" ca="1" si="25"/>
        <v>41.646501677770779</v>
      </c>
      <c r="AE317" s="263"/>
      <c r="AF317" s="263">
        <f t="shared" ca="1" si="26"/>
        <v>10.36146345753448</v>
      </c>
      <c r="AG317" s="263">
        <f t="shared" ca="1" si="27"/>
        <v>896.67711936904584</v>
      </c>
      <c r="AH317" s="263">
        <f t="shared" ca="1" si="28"/>
        <v>425.3820183386606</v>
      </c>
      <c r="AI317" s="263">
        <f t="shared" ca="1" si="29"/>
        <v>597.62570297040065</v>
      </c>
      <c r="AJ317" s="90"/>
      <c r="AL317" s="230"/>
      <c r="AM317" s="230"/>
      <c r="AN317" s="269">
        <f t="shared" ca="1" si="12"/>
        <v>0.18847697543665662</v>
      </c>
      <c r="AO317" s="269">
        <f t="shared" ca="1" si="13"/>
        <v>0.10022071220697709</v>
      </c>
      <c r="AP317" s="269">
        <f t="shared" ca="1" si="14"/>
        <v>3.08851360410109E-2</v>
      </c>
      <c r="AQ317" s="269">
        <f t="shared" ca="1" si="15"/>
        <v>6.9686597264431008E-2</v>
      </c>
      <c r="AR317" s="261"/>
      <c r="AT317" s="262"/>
    </row>
    <row r="318" spans="3:46">
      <c r="C318" t="s">
        <v>96</v>
      </c>
      <c r="G318" s="257">
        <f ca="1"/>
        <v>190.14758692186052</v>
      </c>
      <c r="H318" s="257">
        <f ca="1"/>
        <v>10029.142978646558</v>
      </c>
      <c r="I318" s="257">
        <f ca="1"/>
        <v>4054.9914344315812</v>
      </c>
      <c r="K318" s="263" cm="1">
        <f t="array" aca="1" ref="K318" ca="1">G$330   *   ((G318/$Q251)/SUM(G$296:G$328/$Q$229:$Q$261))</f>
        <v>1008.8637249576983</v>
      </c>
      <c r="L318" s="263" cm="1">
        <f t="array" aca="1" ref="L318" ca="1">H$330   *   ((H318/$Q251)/SUM(H$296:H$328/$Q$229:$Q$261))</f>
        <v>128724.81882009478</v>
      </c>
      <c r="M318" s="263" cm="1">
        <f t="array" aca="1" ref="M318" ca="1">I$330   *   ((I318/$Q251)/SUM(I$296:I$328/$Q$229:$Q$261))</f>
        <v>58188.970631436969</v>
      </c>
      <c r="N318" s="263"/>
      <c r="O318" s="11">
        <f t="shared" si="16"/>
        <v>0.8521496350035821</v>
      </c>
      <c r="P318" s="11">
        <f t="shared" si="17"/>
        <v>0.1478503649964179</v>
      </c>
      <c r="Q318" s="263"/>
      <c r="R318" s="11">
        <f t="shared" si="18"/>
        <v>0.62702955300102126</v>
      </c>
      <c r="S318" s="11">
        <f t="shared" si="19"/>
        <v>0.37297044699897874</v>
      </c>
      <c r="T318" s="263"/>
      <c r="U318" s="268">
        <f t="shared" ca="1" si="10"/>
        <v>8749.9382183733942</v>
      </c>
      <c r="V318" s="268">
        <f t="shared" ca="1" si="20"/>
        <v>1279.2047602731636</v>
      </c>
      <c r="W318" s="263"/>
      <c r="X318" s="263">
        <f t="shared" ca="1" si="11"/>
        <v>87306.682482983902</v>
      </c>
      <c r="Y318" s="263">
        <f t="shared" ca="1" si="21"/>
        <v>41418.136337110875</v>
      </c>
      <c r="Z318" s="263"/>
      <c r="AA318" s="262">
        <f t="shared" ca="1" si="22"/>
        <v>190.14758692186052</v>
      </c>
      <c r="AB318" s="270">
        <f t="shared" ca="1" si="23"/>
        <v>8749.9382183733942</v>
      </c>
      <c r="AC318" s="270">
        <f t="shared" ca="1" si="24"/>
        <v>1279.2047602731636</v>
      </c>
      <c r="AD318" s="262">
        <f t="shared" ca="1" si="25"/>
        <v>4054.9914344315812</v>
      </c>
      <c r="AE318" s="263"/>
      <c r="AF318" s="263">
        <f t="shared" ca="1" si="26"/>
        <v>1008.8637249576983</v>
      </c>
      <c r="AG318" s="263">
        <f t="shared" ca="1" si="27"/>
        <v>87306.682482983902</v>
      </c>
      <c r="AH318" s="263">
        <f t="shared" ca="1" si="28"/>
        <v>41418.136337110875</v>
      </c>
      <c r="AI318" s="263">
        <f t="shared" ca="1" si="29"/>
        <v>58188.970631436969</v>
      </c>
      <c r="AJ318" s="90"/>
      <c r="AL318" s="230"/>
      <c r="AM318" s="230"/>
      <c r="AN318" s="269">
        <f t="shared" ca="1" si="12"/>
        <v>0.18847697882073558</v>
      </c>
      <c r="AO318" s="269">
        <f t="shared" ca="1" si="13"/>
        <v>0.10022071586649464</v>
      </c>
      <c r="AP318" s="269">
        <f t="shared" ca="1" si="14"/>
        <v>3.0885135677314126E-2</v>
      </c>
      <c r="AQ318" s="269">
        <f t="shared" ca="1" si="15"/>
        <v>6.9686598515644571E-2</v>
      </c>
      <c r="AR318" s="261"/>
      <c r="AT318" s="262"/>
    </row>
    <row r="319" spans="3:46">
      <c r="C319" t="s">
        <v>97</v>
      </c>
      <c r="G319" s="257">
        <f ca="1"/>
        <v>120.23245711524216</v>
      </c>
      <c r="H319" s="257">
        <f ca="1"/>
        <v>6341.5398670206569</v>
      </c>
      <c r="I319" s="257">
        <f ca="1"/>
        <v>2564.0166758641026</v>
      </c>
      <c r="K319" s="263" cm="1">
        <f t="array" aca="1" ref="K319" ca="1">G$330   *   ((G319/$Q252)/SUM(G$296:G$328/$Q$229:$Q$261))</f>
        <v>637.91588525304837</v>
      </c>
      <c r="L319" s="263" cm="1">
        <f t="array" aca="1" ref="L319" ca="1">H$330   *   ((H319/$Q252)/SUM(H$296:H$328/$Q$229:$Q$261))</f>
        <v>81394.151380655632</v>
      </c>
      <c r="M319" s="263" cm="1">
        <f t="array" aca="1" ref="M319" ca="1">I$330   *   ((I319/$Q252)/SUM(I$296:I$328/$Q$229:$Q$261))</f>
        <v>36793.54088568619</v>
      </c>
      <c r="N319" s="263"/>
      <c r="O319" s="11">
        <f t="shared" si="16"/>
        <v>0.8521496316031566</v>
      </c>
      <c r="P319" s="11">
        <f t="shared" si="17"/>
        <v>0.1478503683968434</v>
      </c>
      <c r="Q319" s="263"/>
      <c r="R319" s="11">
        <f t="shared" si="18"/>
        <v>0.62702955859514886</v>
      </c>
      <c r="S319" s="11">
        <f t="shared" si="19"/>
        <v>0.37297044140485114</v>
      </c>
      <c r="T319" s="263"/>
      <c r="U319" s="268">
        <f t="shared" ca="1" si="10"/>
        <v>5532.6842958917605</v>
      </c>
      <c r="V319" s="268">
        <f t="shared" ca="1" si="20"/>
        <v>808.85557112889637</v>
      </c>
      <c r="W319" s="263"/>
      <c r="X319" s="263">
        <f t="shared" ca="1" si="11"/>
        <v>55204.998121291013</v>
      </c>
      <c r="Y319" s="263">
        <f t="shared" ca="1" si="21"/>
        <v>26189.153259364619</v>
      </c>
      <c r="Z319" s="263"/>
      <c r="AA319" s="262">
        <f t="shared" ca="1" si="22"/>
        <v>120.23245711524216</v>
      </c>
      <c r="AB319" s="270">
        <f t="shared" ca="1" si="23"/>
        <v>5532.6842958917605</v>
      </c>
      <c r="AC319" s="270">
        <f t="shared" ca="1" si="24"/>
        <v>808.85557112889637</v>
      </c>
      <c r="AD319" s="262">
        <f t="shared" ca="1" si="25"/>
        <v>2564.0166758641026</v>
      </c>
      <c r="AE319" s="263"/>
      <c r="AF319" s="263">
        <f t="shared" ca="1" si="26"/>
        <v>637.91588525304837</v>
      </c>
      <c r="AG319" s="263">
        <f t="shared" ca="1" si="27"/>
        <v>55204.998121291013</v>
      </c>
      <c r="AH319" s="263">
        <f t="shared" ca="1" si="28"/>
        <v>26189.153259364619</v>
      </c>
      <c r="AI319" s="263">
        <f t="shared" ca="1" si="29"/>
        <v>36793.54088568619</v>
      </c>
      <c r="AJ319" s="90"/>
      <c r="AL319" s="230"/>
      <c r="AM319" s="230"/>
      <c r="AN319" s="269">
        <f t="shared" ca="1" si="12"/>
        <v>0.18847697618871548</v>
      </c>
      <c r="AO319" s="269">
        <f t="shared" ca="1" si="13"/>
        <v>0.10022071341685201</v>
      </c>
      <c r="AP319" s="269">
        <f t="shared" ca="1" si="14"/>
        <v>3.0885136419585037E-2</v>
      </c>
      <c r="AQ319" s="269">
        <f t="shared" ca="1" si="15"/>
        <v>6.9686597542493747E-2</v>
      </c>
      <c r="AR319" s="261"/>
      <c r="AT319" s="262"/>
    </row>
    <row r="320" spans="3:46">
      <c r="C320" t="s">
        <v>98</v>
      </c>
      <c r="G320" s="257">
        <f ca="1"/>
        <v>170.06176809459561</v>
      </c>
      <c r="H320" s="257">
        <f ca="1"/>
        <v>3431.9924011125927</v>
      </c>
      <c r="I320" s="257">
        <f ca="1"/>
        <v>1387.6260233976552</v>
      </c>
      <c r="K320" s="263" cm="1">
        <f t="array" aca="1" ref="K320" ca="1">G$330   *   ((G320/$Q253)/SUM(G$296:G$328/$Q$229:$Q$261))</f>
        <v>902.29465377035513</v>
      </c>
      <c r="L320" s="263" cm="1">
        <f t="array" aca="1" ref="L320" ca="1">H$330   *   ((H320/$Q253)/SUM(H$296:H$328/$Q$229:$Q$261))</f>
        <v>44049.886099095173</v>
      </c>
      <c r="M320" s="263" cm="1">
        <f t="array" aca="1" ref="M320" ca="1">I$330   *   ((I320/$Q253)/SUM(I$296:I$328/$Q$229:$Q$261))</f>
        <v>19912.380161286015</v>
      </c>
      <c r="N320" s="263"/>
      <c r="O320" s="11">
        <f t="shared" si="16"/>
        <v>0.85214962673435335</v>
      </c>
      <c r="P320" s="11">
        <f t="shared" si="17"/>
        <v>0.14785037326564665</v>
      </c>
      <c r="Q320" s="263"/>
      <c r="R320" s="11">
        <f t="shared" si="18"/>
        <v>0.62702954198831939</v>
      </c>
      <c r="S320" s="11">
        <f t="shared" si="19"/>
        <v>0.37297045801168061</v>
      </c>
      <c r="T320" s="263"/>
      <c r="U320" s="268">
        <f t="shared" ca="1" si="10"/>
        <v>2994.2459982927548</v>
      </c>
      <c r="V320" s="268">
        <f t="shared" ca="1" si="20"/>
        <v>437.74640281983784</v>
      </c>
      <c r="W320" s="263"/>
      <c r="X320" s="263">
        <f t="shared" ca="1" si="11"/>
        <v>29876.517989660399</v>
      </c>
      <c r="Y320" s="263">
        <f t="shared" ca="1" si="21"/>
        <v>14173.368109434774</v>
      </c>
      <c r="Z320" s="263"/>
      <c r="AA320" s="262">
        <f t="shared" ca="1" si="22"/>
        <v>170.06176809459561</v>
      </c>
      <c r="AB320" s="270">
        <f t="shared" ca="1" si="23"/>
        <v>2994.2459982927548</v>
      </c>
      <c r="AC320" s="270">
        <f t="shared" ca="1" si="24"/>
        <v>437.74640281983784</v>
      </c>
      <c r="AD320" s="262">
        <f t="shared" ca="1" si="25"/>
        <v>1387.6260233976552</v>
      </c>
      <c r="AE320" s="263"/>
      <c r="AF320" s="263">
        <f t="shared" ca="1" si="26"/>
        <v>902.29465377035513</v>
      </c>
      <c r="AG320" s="263">
        <f t="shared" ca="1" si="27"/>
        <v>29876.517989660399</v>
      </c>
      <c r="AH320" s="263">
        <f t="shared" ca="1" si="28"/>
        <v>14173.368109434774</v>
      </c>
      <c r="AI320" s="263">
        <f t="shared" ca="1" si="29"/>
        <v>19912.380161286015</v>
      </c>
      <c r="AJ320" s="90"/>
      <c r="AL320" s="230"/>
      <c r="AM320" s="230"/>
      <c r="AN320" s="269">
        <f t="shared" ca="1" si="12"/>
        <v>0.18847697632250227</v>
      </c>
      <c r="AO320" s="269">
        <f t="shared" ca="1" si="13"/>
        <v>0.10022071512245828</v>
      </c>
      <c r="AP320" s="269">
        <f t="shared" ca="1" si="14"/>
        <v>3.0885136083387516E-2</v>
      </c>
      <c r="AQ320" s="269">
        <f t="shared" ca="1" si="15"/>
        <v>6.9686597591959457E-2</v>
      </c>
      <c r="AR320" s="261"/>
      <c r="AT320" s="262"/>
    </row>
    <row r="321" spans="3:46">
      <c r="C321" t="s">
        <v>99</v>
      </c>
      <c r="G321" s="257">
        <f ca="1"/>
        <v>1001.5208876216442</v>
      </c>
      <c r="H321" s="257">
        <f ca="1"/>
        <v>7918.7507650753796</v>
      </c>
      <c r="I321" s="257">
        <f ca="1"/>
        <v>3201.7158985714782</v>
      </c>
      <c r="K321" s="263" cm="1">
        <f t="array" aca="1" ref="K321" ca="1">G$330   *   ((G321/$Q254)/SUM(G$296:G$328/$Q$229:$Q$261))</f>
        <v>4552.0074015768914</v>
      </c>
      <c r="L321" s="263" cm="1">
        <f t="array" aca="1" ref="L321" ca="1">H$330   *   ((H321/$Q254)/SUM(H$296:H$328/$Q$229:$Q$261))</f>
        <v>87067.565342047616</v>
      </c>
      <c r="M321" s="263" cm="1">
        <f t="array" aca="1" ref="M321" ca="1">I$330   *   ((I321/$Q254)/SUM(I$296:I$328/$Q$229:$Q$261))</f>
        <v>39358.159903257401</v>
      </c>
      <c r="N321" s="263"/>
      <c r="O321" s="11">
        <f t="shared" si="16"/>
        <v>0.98851732875616916</v>
      </c>
      <c r="P321" s="11">
        <f t="shared" si="17"/>
        <v>1.1482671243830844E-2</v>
      </c>
      <c r="Q321" s="263"/>
      <c r="R321" s="11">
        <f t="shared" si="18"/>
        <v>0.95350326742539393</v>
      </c>
      <c r="S321" s="11">
        <f t="shared" si="19"/>
        <v>4.649673257460607E-2</v>
      </c>
      <c r="T321" s="263"/>
      <c r="U321" s="268">
        <f t="shared" ca="1" si="10"/>
        <v>7840.3078999054869</v>
      </c>
      <c r="V321" s="268">
        <f t="shared" ca="1" si="20"/>
        <v>78.442865169892684</v>
      </c>
      <c r="W321" s="263"/>
      <c r="X321" s="263">
        <f t="shared" ca="1" si="11"/>
        <v>83575.095386353831</v>
      </c>
      <c r="Y321" s="263">
        <f t="shared" ca="1" si="21"/>
        <v>3492.4699556937849</v>
      </c>
      <c r="Z321" s="263"/>
      <c r="AA321" s="262">
        <f t="shared" ca="1" si="22"/>
        <v>1001.5208876216442</v>
      </c>
      <c r="AB321" s="270">
        <f t="shared" ca="1" si="23"/>
        <v>7840.3078999054869</v>
      </c>
      <c r="AC321" s="270">
        <f t="shared" ca="1" si="24"/>
        <v>78.442865169892684</v>
      </c>
      <c r="AD321" s="262">
        <f t="shared" ca="1" si="25"/>
        <v>3201.7158985714782</v>
      </c>
      <c r="AE321" s="263"/>
      <c r="AF321" s="263">
        <f t="shared" ca="1" si="26"/>
        <v>4552.0074015768914</v>
      </c>
      <c r="AG321" s="263">
        <f t="shared" ca="1" si="27"/>
        <v>83575.095386353831</v>
      </c>
      <c r="AH321" s="263">
        <f t="shared" ca="1" si="28"/>
        <v>3492.4699556937849</v>
      </c>
      <c r="AI321" s="263">
        <f t="shared" ca="1" si="29"/>
        <v>39358.159903257401</v>
      </c>
      <c r="AJ321" s="90"/>
      <c r="AL321" s="230"/>
      <c r="AM321" s="230"/>
      <c r="AN321" s="269">
        <f t="shared" ca="1" si="12"/>
        <v>0.22001741193889549</v>
      </c>
      <c r="AO321" s="269">
        <f t="shared" ca="1" si="13"/>
        <v>9.3811533970269992E-2</v>
      </c>
      <c r="AP321" s="269">
        <f t="shared" ca="1" si="14"/>
        <v>2.2460569787295388E-2</v>
      </c>
      <c r="AQ321" s="269">
        <f t="shared" ca="1" si="15"/>
        <v>8.1348211055631559E-2</v>
      </c>
      <c r="AR321" s="261"/>
      <c r="AT321" s="262"/>
    </row>
    <row r="322" spans="3:46">
      <c r="C322" t="s">
        <v>100</v>
      </c>
      <c r="G322" s="257">
        <f ca="1"/>
        <v>129.87664871536109</v>
      </c>
      <c r="H322" s="257">
        <f ca="1"/>
        <v>4889.9960709040179</v>
      </c>
      <c r="I322" s="257">
        <f ca="1"/>
        <v>1977.1272803806219</v>
      </c>
      <c r="K322" s="263" cm="1">
        <f t="array" aca="1" ref="K322" ca="1">G$330   *   ((G322/$Q255)/SUM(G$296:G$328/$Q$229:$Q$261))</f>
        <v>510.24277500646929</v>
      </c>
      <c r="L322" s="263" cm="1">
        <f t="array" aca="1" ref="L322" ca="1">H$330   *   ((H322/$Q255)/SUM(H$296:H$328/$Q$229:$Q$261))</f>
        <v>46474.109657879191</v>
      </c>
      <c r="M322" s="263" cm="1">
        <f t="array" aca="1" ref="M322" ca="1">I$330   *   ((I322/$Q255)/SUM(I$296:I$328/$Q$229:$Q$261))</f>
        <v>21008.23001183636</v>
      </c>
      <c r="N322" s="263"/>
      <c r="O322" s="11">
        <f t="shared" si="16"/>
        <v>0.97606523402044532</v>
      </c>
      <c r="P322" s="11">
        <f t="shared" si="17"/>
        <v>2.3934765979554684E-2</v>
      </c>
      <c r="Q322" s="263"/>
      <c r="R322" s="11">
        <f t="shared" si="18"/>
        <v>0.90162510156936937</v>
      </c>
      <c r="S322" s="11">
        <f t="shared" si="19"/>
        <v>9.8374898430630631E-2</v>
      </c>
      <c r="T322" s="263"/>
      <c r="U322" s="268">
        <f t="shared" ca="1" si="10"/>
        <v>4789.0262609570482</v>
      </c>
      <c r="V322" s="268">
        <f t="shared" ca="1" si="20"/>
        <v>100.96980994696969</v>
      </c>
      <c r="W322" s="263"/>
      <c r="X322" s="263">
        <f t="shared" ca="1" si="11"/>
        <v>42529.997844634112</v>
      </c>
      <c r="Y322" s="263">
        <f t="shared" ca="1" si="21"/>
        <v>3944.1118132450792</v>
      </c>
      <c r="Z322" s="263"/>
      <c r="AA322" s="262">
        <f t="shared" ca="1" si="22"/>
        <v>129.87664871536109</v>
      </c>
      <c r="AB322" s="270">
        <f t="shared" ca="1" si="23"/>
        <v>4789.0262609570482</v>
      </c>
      <c r="AC322" s="270">
        <f t="shared" ca="1" si="24"/>
        <v>100.96980994696969</v>
      </c>
      <c r="AD322" s="262">
        <f t="shared" ca="1" si="25"/>
        <v>1977.1272803806219</v>
      </c>
      <c r="AE322" s="263"/>
      <c r="AF322" s="263">
        <f t="shared" ca="1" si="26"/>
        <v>510.24277500646929</v>
      </c>
      <c r="AG322" s="263">
        <f t="shared" ca="1" si="27"/>
        <v>42529.997844634112</v>
      </c>
      <c r="AH322" s="263">
        <f t="shared" ca="1" si="28"/>
        <v>3944.1118132450792</v>
      </c>
      <c r="AI322" s="263">
        <f t="shared" ca="1" si="29"/>
        <v>21008.23001183636</v>
      </c>
      <c r="AJ322" s="90"/>
      <c r="AL322" s="230"/>
      <c r="AM322" s="230"/>
      <c r="AN322" s="269">
        <f t="shared" ca="1" si="12"/>
        <v>0.25453892750115747</v>
      </c>
      <c r="AO322" s="269">
        <f t="shared" ca="1" si="13"/>
        <v>0.11260349173897891</v>
      </c>
      <c r="AP322" s="269">
        <f t="shared" ca="1" si="14"/>
        <v>2.5600138821595734E-2</v>
      </c>
      <c r="AQ322" s="269">
        <f t="shared" ca="1" si="15"/>
        <v>9.4112035105607561E-2</v>
      </c>
      <c r="AR322" s="261"/>
      <c r="AT322" s="262"/>
    </row>
    <row r="323" spans="3:46">
      <c r="C323" t="s">
        <v>101</v>
      </c>
      <c r="G323" s="257">
        <f ca="1"/>
        <v>1671.9806048934861</v>
      </c>
      <c r="H323" s="257">
        <f ca="1"/>
        <v>25496.919788396601</v>
      </c>
      <c r="I323" s="257">
        <f ca="1"/>
        <v>10308.935824972139</v>
      </c>
      <c r="K323" s="263" cm="1">
        <f t="array" aca="1" ref="K323" ca="1">G$330   *   ((G323/$Q256)/SUM(G$296:G$328/$Q$229:$Q$261))</f>
        <v>6568.6636831934538</v>
      </c>
      <c r="L323" s="263" cm="1">
        <f t="array" aca="1" ref="L323" ca="1">H$330   *   ((H323/$Q256)/SUM(H$296:H$328/$Q$229:$Q$261))</f>
        <v>242320.57284675271</v>
      </c>
      <c r="M323" s="263" cm="1">
        <f t="array" aca="1" ref="M323" ca="1">I$330   *   ((I323/$Q256)/SUM(I$296:I$328/$Q$229:$Q$261))</f>
        <v>109538.97489247436</v>
      </c>
      <c r="N323" s="263"/>
      <c r="O323" s="11">
        <f t="shared" si="16"/>
        <v>0.97606523005884149</v>
      </c>
      <c r="P323" s="11">
        <f t="shared" si="17"/>
        <v>2.3934769941158507E-2</v>
      </c>
      <c r="Q323" s="263"/>
      <c r="R323" s="11">
        <f t="shared" si="18"/>
        <v>0.90162508874185299</v>
      </c>
      <c r="S323" s="11">
        <f t="shared" si="19"/>
        <v>9.8374911258147013E-2</v>
      </c>
      <c r="T323" s="263"/>
      <c r="U323" s="268">
        <f t="shared" ca="1" si="10"/>
        <v>24970.453195367012</v>
      </c>
      <c r="V323" s="268">
        <f t="shared" ca="1" si="20"/>
        <v>526.46659302958869</v>
      </c>
      <c r="W323" s="263"/>
      <c r="X323" s="263">
        <f t="shared" ca="1" si="11"/>
        <v>221755.58374603011</v>
      </c>
      <c r="Y323" s="263">
        <f t="shared" ca="1" si="21"/>
        <v>20564.989100722596</v>
      </c>
      <c r="Z323" s="263"/>
      <c r="AA323" s="262">
        <f t="shared" ca="1" si="22"/>
        <v>1671.9806048934861</v>
      </c>
      <c r="AB323" s="270">
        <f t="shared" ca="1" si="23"/>
        <v>24970.453195367012</v>
      </c>
      <c r="AC323" s="270">
        <f t="shared" ca="1" si="24"/>
        <v>526.46659302958869</v>
      </c>
      <c r="AD323" s="262">
        <f t="shared" ca="1" si="25"/>
        <v>10308.935824972139</v>
      </c>
      <c r="AE323" s="263"/>
      <c r="AF323" s="263">
        <f t="shared" ca="1" si="26"/>
        <v>6568.6636831934538</v>
      </c>
      <c r="AG323" s="263">
        <f t="shared" ca="1" si="27"/>
        <v>221755.58374603011</v>
      </c>
      <c r="AH323" s="263">
        <f t="shared" ca="1" si="28"/>
        <v>20564.989100722596</v>
      </c>
      <c r="AI323" s="263">
        <f t="shared" ca="1" si="29"/>
        <v>109538.97489247436</v>
      </c>
      <c r="AJ323" s="90"/>
      <c r="AL323" s="230"/>
      <c r="AM323" s="230"/>
      <c r="AN323" s="269">
        <f t="shared" ca="1" si="12"/>
        <v>0.2545389268705302</v>
      </c>
      <c r="AO323" s="269">
        <f t="shared" ca="1" si="13"/>
        <v>0.11260349242869531</v>
      </c>
      <c r="AP323" s="269">
        <f t="shared" ca="1" si="14"/>
        <v>2.5600139657311567E-2</v>
      </c>
      <c r="AQ323" s="269">
        <f t="shared" ca="1" si="15"/>
        <v>9.4112034872442393E-2</v>
      </c>
      <c r="AR323" s="261"/>
      <c r="AT323" s="262"/>
    </row>
    <row r="324" spans="3:46">
      <c r="C324" t="s">
        <v>135</v>
      </c>
      <c r="G324" s="257">
        <f ca="1"/>
        <v>9787.3551065403699</v>
      </c>
      <c r="H324" s="257">
        <f ca="1"/>
        <v>10073.65594103548</v>
      </c>
      <c r="I324" s="257">
        <f ca="1"/>
        <v>4072.9889524241512</v>
      </c>
      <c r="K324" s="263" cm="1">
        <f t="array" aca="1" ref="K324" ca="1">G$330   *   ((G324/$Q257)/SUM(G$296:G$328/$Q$229:$Q$261))</f>
        <v>51379.515557429542</v>
      </c>
      <c r="L324" s="263" cm="1">
        <f t="array" aca="1" ref="L324" ca="1">H$330   *   ((H324/$Q257)/SUM(H$296:H$328/$Q$229:$Q$261))</f>
        <v>127928.86629858075</v>
      </c>
      <c r="M324" s="263" cm="1">
        <f t="array" aca="1" ref="M324" ca="1">I$330   *   ((I324/$Q257)/SUM(I$296:I$328/$Q$229:$Q$261))</f>
        <v>57829.16699509912</v>
      </c>
      <c r="N324" s="263"/>
      <c r="O324" s="11">
        <f t="shared" si="16"/>
        <v>0.95443108941033183</v>
      </c>
      <c r="P324" s="11">
        <f t="shared" si="17"/>
        <v>4.5568910589668166E-2</v>
      </c>
      <c r="Q324" s="263"/>
      <c r="R324" s="11">
        <f t="shared" si="18"/>
        <v>0.87236429891303535</v>
      </c>
      <c r="S324" s="11">
        <f t="shared" si="19"/>
        <v>0.12763570108696465</v>
      </c>
      <c r="T324" s="263"/>
      <c r="U324" s="268">
        <f t="shared" ca="1" si="10"/>
        <v>9677.64279508455</v>
      </c>
      <c r="V324" s="268">
        <f t="shared" ca="1" si="20"/>
        <v>396.01314595093027</v>
      </c>
      <c r="W324" s="263"/>
      <c r="X324" s="263">
        <f t="shared" ca="1" si="11"/>
        <v>113842.64319932603</v>
      </c>
      <c r="Y324" s="263">
        <f t="shared" ca="1" si="21"/>
        <v>14086.223099254712</v>
      </c>
      <c r="Z324" s="263"/>
      <c r="AA324" s="262">
        <f t="shared" ca="1" si="22"/>
        <v>9787.3551065403699</v>
      </c>
      <c r="AB324" s="270">
        <f t="shared" ca="1" si="23"/>
        <v>9677.64279508455</v>
      </c>
      <c r="AC324" s="270">
        <f t="shared" ca="1" si="24"/>
        <v>396.01314595093027</v>
      </c>
      <c r="AD324" s="262">
        <f t="shared" ca="1" si="25"/>
        <v>4072.9889524241512</v>
      </c>
      <c r="AE324" s="263"/>
      <c r="AF324" s="263">
        <f t="shared" ca="1" si="26"/>
        <v>51379.515557429542</v>
      </c>
      <c r="AG324" s="263">
        <f t="shared" ca="1" si="27"/>
        <v>113842.64319932603</v>
      </c>
      <c r="AH324" s="263">
        <f t="shared" ca="1" si="28"/>
        <v>14086.223099254712</v>
      </c>
      <c r="AI324" s="263">
        <f t="shared" ca="1" si="29"/>
        <v>57829.16699509912</v>
      </c>
      <c r="AJ324" s="90"/>
      <c r="AL324" s="230"/>
      <c r="AM324" s="230"/>
      <c r="AN324" s="269">
        <f t="shared" ca="1" si="12"/>
        <v>0.19049138553283043</v>
      </c>
      <c r="AO324" s="269">
        <f t="shared" ca="1" si="13"/>
        <v>8.5008943249324023E-2</v>
      </c>
      <c r="AP324" s="269">
        <f t="shared" ca="1" si="14"/>
        <v>2.8113508011376232E-2</v>
      </c>
      <c r="AQ324" s="269">
        <f t="shared" ca="1" si="15"/>
        <v>7.0431395852015771E-2</v>
      </c>
      <c r="AR324" s="261"/>
      <c r="AT324" s="262"/>
    </row>
    <row r="325" spans="3:46">
      <c r="C325" t="s">
        <v>103</v>
      </c>
      <c r="G325" s="257">
        <f ca="1"/>
        <v>392.06383868580497</v>
      </c>
      <c r="H325" s="257">
        <f ca="1"/>
        <v>4367.902277798943</v>
      </c>
      <c r="I325" s="257">
        <f ca="1"/>
        <v>1766.0338835152525</v>
      </c>
      <c r="K325" s="263" cm="1">
        <f t="array" aca="1" ref="K325" ca="1">G$330   *   ((G325/$Q258)/SUM(G$296:G$328/$Q$229:$Q$261))</f>
        <v>1852.9476546455385</v>
      </c>
      <c r="L325" s="263" cm="1">
        <f t="array" aca="1" ref="L325" ca="1">H$330   *   ((H325/$Q258)/SUM(H$296:H$328/$Q$229:$Q$261))</f>
        <v>49938.564531065953</v>
      </c>
      <c r="M325" s="263" cm="1">
        <f t="array" aca="1" ref="M325" ca="1">I$330   *   ((I325/$Q258)/SUM(I$296:I$328/$Q$229:$Q$261))</f>
        <v>22574.307670500995</v>
      </c>
      <c r="N325" s="263"/>
      <c r="O325" s="11">
        <f t="shared" si="16"/>
        <v>0.98877224497353056</v>
      </c>
      <c r="P325" s="11">
        <f t="shared" si="17"/>
        <v>1.1227755026469444E-2</v>
      </c>
      <c r="Q325" s="263"/>
      <c r="R325" s="11">
        <f t="shared" si="18"/>
        <v>0.96523941619064924</v>
      </c>
      <c r="S325" s="11">
        <f t="shared" si="19"/>
        <v>3.4760583809350765E-2</v>
      </c>
      <c r="T325" s="263"/>
      <c r="U325" s="268">
        <f t="shared" ca="1" si="10"/>
        <v>4325.5945516202864</v>
      </c>
      <c r="V325" s="268">
        <f t="shared" ca="1" si="20"/>
        <v>42.307726178656594</v>
      </c>
      <c r="W325" s="263"/>
      <c r="X325" s="263">
        <f t="shared" ca="1" si="11"/>
        <v>48441.029606627199</v>
      </c>
      <c r="Y325" s="263">
        <f t="shared" ca="1" si="21"/>
        <v>1497.5349244387544</v>
      </c>
      <c r="Z325" s="263"/>
      <c r="AA325" s="262">
        <f t="shared" ca="1" si="22"/>
        <v>392.06383868580497</v>
      </c>
      <c r="AB325" s="270">
        <f t="shared" ca="1" si="23"/>
        <v>4325.5945516202864</v>
      </c>
      <c r="AC325" s="270">
        <f t="shared" ca="1" si="24"/>
        <v>42.307726178656594</v>
      </c>
      <c r="AD325" s="262">
        <f t="shared" ca="1" si="25"/>
        <v>1766.0338835152525</v>
      </c>
      <c r="AE325" s="263"/>
      <c r="AF325" s="263">
        <f t="shared" ca="1" si="26"/>
        <v>1852.9476546455385</v>
      </c>
      <c r="AG325" s="263">
        <f t="shared" ca="1" si="27"/>
        <v>48441.029606627199</v>
      </c>
      <c r="AH325" s="263">
        <f t="shared" ca="1" si="28"/>
        <v>1497.5349244387544</v>
      </c>
      <c r="AI325" s="263">
        <f t="shared" ca="1" si="29"/>
        <v>22574.307670500995</v>
      </c>
      <c r="AJ325" s="90"/>
      <c r="AL325" s="230"/>
      <c r="AM325" s="230"/>
      <c r="AN325" s="269">
        <f t="shared" ca="1" si="12"/>
        <v>0.21158926843014636</v>
      </c>
      <c r="AO325" s="269">
        <f t="shared" ca="1" si="13"/>
        <v>8.929609025132082E-2</v>
      </c>
      <c r="AP325" s="269">
        <f t="shared" ca="1" si="14"/>
        <v>2.8251578970362023E-2</v>
      </c>
      <c r="AQ325" s="269">
        <f t="shared" ca="1" si="15"/>
        <v>7.8232028609365484E-2</v>
      </c>
      <c r="AR325" s="261"/>
      <c r="AT325" s="262"/>
    </row>
    <row r="326" spans="3:46">
      <c r="C326" t="s">
        <v>104</v>
      </c>
      <c r="G326" s="257">
        <f ca="1"/>
        <v>380.6193652543476</v>
      </c>
      <c r="H326" s="257">
        <f ca="1"/>
        <v>3465.8557121026402</v>
      </c>
      <c r="I326" s="257">
        <f ca="1"/>
        <v>1401.3176654749991</v>
      </c>
      <c r="K326" s="263" cm="1">
        <f t="array" aca="1" ref="K326" ca="1">G$330   *   ((G326/$Q259)/SUM(G$296:G$328/$Q$229:$Q$261))</f>
        <v>1871.831374019918</v>
      </c>
      <c r="L326" s="263" cm="1">
        <f t="array" aca="1" ref="L326" ca="1">H$330   *   ((H326/$Q259)/SUM(H$296:H$328/$Q$229:$Q$261))</f>
        <v>41232.825706385673</v>
      </c>
      <c r="M326" s="263" cm="1">
        <f t="array" aca="1" ref="M326" ca="1">I$330   *   ((I326/$Q259)/SUM(I$296:I$328/$Q$229:$Q$261))</f>
        <v>18638.95172719784</v>
      </c>
      <c r="N326" s="263"/>
      <c r="O326" s="11">
        <f t="shared" si="16"/>
        <v>0.95484215875118839</v>
      </c>
      <c r="P326" s="11">
        <f t="shared" si="17"/>
        <v>4.5157841248811614E-2</v>
      </c>
      <c r="Q326" s="263"/>
      <c r="R326" s="11">
        <f t="shared" si="18"/>
        <v>0.86958483361249228</v>
      </c>
      <c r="S326" s="11">
        <f t="shared" si="19"/>
        <v>0.13041516638750772</v>
      </c>
      <c r="T326" s="263"/>
      <c r="U326" s="268">
        <f t="shared" ca="1" si="10"/>
        <v>3330.8359016111908</v>
      </c>
      <c r="V326" s="268">
        <f t="shared" ca="1" si="20"/>
        <v>135.01981049144933</v>
      </c>
      <c r="W326" s="263"/>
      <c r="X326" s="263">
        <f t="shared" ca="1" si="11"/>
        <v>36593.818564684807</v>
      </c>
      <c r="Y326" s="263">
        <f t="shared" ca="1" si="21"/>
        <v>4639.0071417008658</v>
      </c>
      <c r="Z326" s="263"/>
      <c r="AA326" s="262">
        <f t="shared" ca="1" si="22"/>
        <v>380.6193652543476</v>
      </c>
      <c r="AB326" s="270">
        <f t="shared" ca="1" si="23"/>
        <v>3330.8359016111908</v>
      </c>
      <c r="AC326" s="270">
        <f t="shared" ca="1" si="24"/>
        <v>135.01981049144933</v>
      </c>
      <c r="AD326" s="262">
        <f t="shared" ca="1" si="25"/>
        <v>1401.3176654749991</v>
      </c>
      <c r="AE326" s="263"/>
      <c r="AF326" s="263">
        <f t="shared" ca="1" si="26"/>
        <v>1871.831374019918</v>
      </c>
      <c r="AG326" s="263">
        <f t="shared" ca="1" si="27"/>
        <v>36593.818564684807</v>
      </c>
      <c r="AH326" s="263">
        <f t="shared" ca="1" si="28"/>
        <v>4639.0071417008658</v>
      </c>
      <c r="AI326" s="263">
        <f t="shared" ca="1" si="29"/>
        <v>18638.95172719784</v>
      </c>
      <c r="AJ326" s="90"/>
      <c r="AL326" s="230"/>
      <c r="AM326" s="230"/>
      <c r="AN326" s="269">
        <f t="shared" ca="1" si="12"/>
        <v>0.20334062701221581</v>
      </c>
      <c r="AO326" s="269">
        <f t="shared" ca="1" si="13"/>
        <v>9.1021818226580051E-2</v>
      </c>
      <c r="AP326" s="269">
        <f t="shared" ca="1" si="14"/>
        <v>2.9105324990283392E-2</v>
      </c>
      <c r="AQ326" s="269">
        <f t="shared" ca="1" si="15"/>
        <v>7.5182214428411512E-2</v>
      </c>
      <c r="AR326" s="261"/>
      <c r="AT326" s="262"/>
    </row>
    <row r="327" spans="3:46">
      <c r="C327" t="s">
        <v>105</v>
      </c>
      <c r="G327" s="257">
        <f ca="1"/>
        <v>66.802582473212055</v>
      </c>
      <c r="H327" s="257">
        <f ca="1"/>
        <v>1850.1451791691188</v>
      </c>
      <c r="I327" s="257">
        <f ca="1"/>
        <v>748.05223835766924</v>
      </c>
      <c r="K327" s="263" cm="1">
        <f t="array" aca="1" ref="K327" ca="1">G$330   *   ((G327/$Q260)/SUM(G$296:G$328/$Q$229:$Q$261))</f>
        <v>785.0505993680938</v>
      </c>
      <c r="L327" s="263" cm="1">
        <f t="array" aca="1" ref="L327" ca="1">H$330   *   ((H327/$Q260)/SUM(H$296:H$328/$Q$229:$Q$261))</f>
        <v>52597.727913428607</v>
      </c>
      <c r="M327" s="263" cm="1">
        <f t="array" aca="1" ref="M327" ca="1">I$330   *   ((I327/$Q260)/SUM(I$296:I$328/$Q$229:$Q$261))</f>
        <v>23776.360090374652</v>
      </c>
      <c r="N327" s="263"/>
      <c r="O327" s="11">
        <f t="shared" si="16"/>
        <v>0.96175664718741527</v>
      </c>
      <c r="P327" s="11">
        <f t="shared" si="17"/>
        <v>3.824335281258473E-2</v>
      </c>
      <c r="Q327" s="263"/>
      <c r="R327" s="11">
        <f t="shared" si="18"/>
        <v>0.93443098596417062</v>
      </c>
      <c r="S327" s="11">
        <f t="shared" si="19"/>
        <v>6.5569014035829376E-2</v>
      </c>
      <c r="T327" s="263"/>
      <c r="U327" s="268">
        <f t="shared" ca="1" si="10"/>
        <v>1789.1050264442863</v>
      </c>
      <c r="V327" s="268">
        <f t="shared" ca="1" si="20"/>
        <v>61.040152724832524</v>
      </c>
      <c r="W327" s="263"/>
      <c r="X327" s="263">
        <f t="shared" ca="1" si="11"/>
        <v>49622.505202839267</v>
      </c>
      <c r="Y327" s="263">
        <f t="shared" ca="1" si="21"/>
        <v>2975.2227105893398</v>
      </c>
      <c r="Z327" s="263"/>
      <c r="AA327" s="262">
        <f t="shared" ca="1" si="22"/>
        <v>66.802582473212055</v>
      </c>
      <c r="AB327" s="270">
        <f t="shared" ca="1" si="23"/>
        <v>1789.1050264442863</v>
      </c>
      <c r="AC327" s="270">
        <f t="shared" ca="1" si="24"/>
        <v>61.040152724832524</v>
      </c>
      <c r="AD327" s="262">
        <f t="shared" ca="1" si="25"/>
        <v>748.05223835766924</v>
      </c>
      <c r="AE327" s="263"/>
      <c r="AF327" s="263">
        <f t="shared" ca="1" si="26"/>
        <v>785.0505993680938</v>
      </c>
      <c r="AG327" s="263">
        <f t="shared" ca="1" si="27"/>
        <v>49622.505202839267</v>
      </c>
      <c r="AH327" s="263">
        <f t="shared" ca="1" si="28"/>
        <v>2975.2227105893398</v>
      </c>
      <c r="AI327" s="263">
        <f t="shared" ca="1" si="29"/>
        <v>23776.360090374652</v>
      </c>
      <c r="AJ327" s="90"/>
      <c r="AL327" s="230"/>
      <c r="AM327" s="230"/>
      <c r="AN327" s="269">
        <f t="shared" ca="1" si="12"/>
        <v>8.5093346246704435E-2</v>
      </c>
      <c r="AO327" s="269">
        <f t="shared" ca="1" si="13"/>
        <v>3.6054306793481247E-2</v>
      </c>
      <c r="AP327" s="269">
        <f t="shared" ca="1" si="14"/>
        <v>2.051616254056542E-2</v>
      </c>
      <c r="AQ327" s="269">
        <f t="shared" ca="1" si="15"/>
        <v>3.146201670542928E-2</v>
      </c>
      <c r="AR327" s="261"/>
      <c r="AT327" s="262"/>
    </row>
    <row r="328" spans="3:46">
      <c r="C328" t="s">
        <v>106</v>
      </c>
      <c r="G328" s="257">
        <f ca="1"/>
        <v>147.79424060352491</v>
      </c>
      <c r="H328" s="257">
        <f ca="1"/>
        <v>1279.7686385538414</v>
      </c>
      <c r="I328" s="257">
        <f ca="1"/>
        <v>517.43712084263393</v>
      </c>
      <c r="K328" s="263" cm="1">
        <f t="array" aca="1" ref="K328" ca="1">G$330   *   ((G328/$Q261)/SUM(G$296:G$328/$Q$229:$Q$261))</f>
        <v>585.22455859127365</v>
      </c>
      <c r="L328" s="263" cm="1">
        <f t="array" aca="1" ref="L328" ca="1">H$330   *   ((H328/$Q261)/SUM(H$296:H$328/$Q$229:$Q$261))</f>
        <v>12258.95000297383</v>
      </c>
      <c r="M328" s="263" cm="1">
        <f t="array" aca="1" ref="M328" ca="1">I$330   *   ((I328/$Q261)/SUM(I$296:I$328/$Q$229:$Q$261))</f>
        <v>5541.5551424644282</v>
      </c>
      <c r="N328" s="263"/>
      <c r="O328" s="11">
        <f t="shared" si="16"/>
        <v>0.99634780060721095</v>
      </c>
      <c r="P328" s="11">
        <f t="shared" si="17"/>
        <v>3.6521993927890462E-3</v>
      </c>
      <c r="Q328" s="263"/>
      <c r="R328" s="11">
        <f t="shared" si="18"/>
        <v>0.9846616037478515</v>
      </c>
      <c r="S328" s="11">
        <f t="shared" si="19"/>
        <v>1.5338396252148501E-2</v>
      </c>
      <c r="T328" s="263"/>
      <c r="U328" s="268">
        <f t="shared" ca="1" si="10"/>
        <v>1275.7364597126548</v>
      </c>
      <c r="V328" s="268">
        <f t="shared" ca="1" si="20"/>
        <v>4.0321788411865782</v>
      </c>
      <c r="W328" s="263"/>
      <c r="X328" s="263">
        <f t="shared" ca="1" si="11"/>
        <v>12096.736474930578</v>
      </c>
      <c r="Y328" s="263">
        <f t="shared" ca="1" si="21"/>
        <v>162.21352804325215</v>
      </c>
      <c r="Z328" s="263"/>
      <c r="AA328" s="262">
        <f t="shared" ca="1" si="22"/>
        <v>147.79424060352491</v>
      </c>
      <c r="AB328" s="270">
        <f t="shared" ca="1" si="23"/>
        <v>1275.7364597126548</v>
      </c>
      <c r="AC328" s="270">
        <f t="shared" ca="1" si="24"/>
        <v>4.0321788411865782</v>
      </c>
      <c r="AD328" s="262">
        <f t="shared" ca="1" si="25"/>
        <v>517.43712084263393</v>
      </c>
      <c r="AE328" s="263"/>
      <c r="AF328" s="263">
        <f t="shared" ca="1" si="26"/>
        <v>585.22455859127365</v>
      </c>
      <c r="AG328" s="263">
        <f t="shared" ca="1" si="27"/>
        <v>12096.736474930578</v>
      </c>
      <c r="AH328" s="263">
        <f t="shared" ca="1" si="28"/>
        <v>162.21352804325215</v>
      </c>
      <c r="AI328" s="263">
        <f t="shared" ca="1" si="29"/>
        <v>5541.5551424644282</v>
      </c>
      <c r="AJ328" s="90"/>
      <c r="AL328" s="230"/>
      <c r="AM328" s="230"/>
      <c r="AN328" s="269">
        <f t="shared" ca="1" si="12"/>
        <v>0.25254278624138499</v>
      </c>
      <c r="AO328" s="269">
        <f t="shared" ca="1" si="13"/>
        <v>0.10546120950526668</v>
      </c>
      <c r="AP328" s="269">
        <f t="shared" ca="1" si="14"/>
        <v>2.4857229170870691E-2</v>
      </c>
      <c r="AQ328" s="269">
        <f t="shared" ca="1" si="15"/>
        <v>9.3373991152332095E-2</v>
      </c>
      <c r="AR328" s="261"/>
      <c r="AT328" s="262"/>
    </row>
    <row r="330" spans="3:46">
      <c r="C330" t="s">
        <v>567</v>
      </c>
      <c r="G330" s="161">
        <f>'Labour force absolute size'!H17</f>
        <v>93528.718609684875</v>
      </c>
      <c r="H330" s="161">
        <f>'Labour force absolute size'!H18</f>
        <v>2411737.602335162</v>
      </c>
      <c r="I330" s="161">
        <f>'Labour force absolute size'!H21</f>
        <v>1090205.6790551529</v>
      </c>
      <c r="K330" s="2">
        <f ca="1">SUM(K296:K328)</f>
        <v>93528.718609684889</v>
      </c>
      <c r="L330" s="2">
        <f t="shared" ref="L330:M330" ca="1" si="30">SUM(L296:L328)</f>
        <v>2411737.602335162</v>
      </c>
      <c r="M330" s="2">
        <f t="shared" ca="1" si="30"/>
        <v>1090205.6790551525</v>
      </c>
      <c r="N330" s="2"/>
      <c r="O330" s="2"/>
      <c r="P330" s="2"/>
      <c r="Q330" s="2"/>
      <c r="R330" s="2"/>
      <c r="S330" s="2"/>
      <c r="T330" s="2"/>
      <c r="U330" s="2"/>
      <c r="V330" s="2"/>
      <c r="W330" s="2" t="s">
        <v>162</v>
      </c>
      <c r="X330" s="96">
        <f ca="1">SUM(X296:X328)</f>
        <v>1633617.6023351622</v>
      </c>
      <c r="Y330" s="96">
        <f ca="1">SUM(Y296:Y328)</f>
        <v>778120</v>
      </c>
      <c r="AI330" s="2"/>
      <c r="AJ330" s="2"/>
      <c r="AO330" s="269">
        <f ca="1">SUMPRODUCT(AG296:AG328,AO296:AO328)/SUM(AG296:AG328)</f>
        <v>8.2456192469144832E-2</v>
      </c>
      <c r="AP330" s="269">
        <f ca="1">SUMPRODUCT(AH296:AH328,AP296:AP328)/SUM(AH296:AH328)</f>
        <v>3.2462232395058875E-2</v>
      </c>
    </row>
    <row r="331" spans="3:46">
      <c r="W331" t="s">
        <v>145</v>
      </c>
      <c r="X331" s="96">
        <f ca="1">X330-D283</f>
        <v>0</v>
      </c>
      <c r="Y331" s="96">
        <f ca="1">Y330-D282</f>
        <v>0</v>
      </c>
      <c r="AA331" s="96">
        <f ca="1">SUM(AA296:AD328)-SUM(_xlfn.ANCHORARRAY(G296))</f>
        <v>0</v>
      </c>
      <c r="AF331" s="96">
        <f ca="1">SUM(AF296:AI328)-SUM(K296:M328)</f>
        <v>0</v>
      </c>
    </row>
    <row r="332" spans="3:46">
      <c r="C332" t="s">
        <v>577</v>
      </c>
      <c r="G332" s="262">
        <f ca="1">SUM(G296:G328)/G330</f>
        <v>0.18106487096564994</v>
      </c>
      <c r="H332" s="262">
        <f ca="1">SUM(H296:H328)/H330</f>
        <v>6.6326203794099273E-2</v>
      </c>
      <c r="I332" s="262">
        <f ca="1">SUM(I296:I328)/I330</f>
        <v>5.9324334369377153E-2</v>
      </c>
      <c r="AI332" s="101"/>
      <c r="AJ332" s="101"/>
    </row>
    <row r="339" spans="1:23">
      <c r="I339" t="s">
        <v>145</v>
      </c>
      <c r="K339" s="101">
        <f ca="1">K330-G330</f>
        <v>0</v>
      </c>
      <c r="L339" s="101">
        <f ca="1">L330-H330</f>
        <v>0</v>
      </c>
      <c r="M339" s="101">
        <f ca="1">M330-I330</f>
        <v>0</v>
      </c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</row>
    <row r="343" spans="1:23" s="97" customFormat="1" ht="17.5" thickBot="1">
      <c r="A343"/>
      <c r="B343"/>
      <c r="C343" s="97" t="s">
        <v>595</v>
      </c>
    </row>
    <row r="344" spans="1:23" ht="15" thickTop="1"/>
    <row r="345" spans="1:23">
      <c r="C345" t="s">
        <v>596</v>
      </c>
    </row>
    <row r="347" spans="1:23">
      <c r="D347" t="s">
        <v>598</v>
      </c>
      <c r="E347" t="s">
        <v>521</v>
      </c>
      <c r="F347" t="s">
        <v>599</v>
      </c>
    </row>
    <row r="348" spans="1:23">
      <c r="C348" t="s">
        <v>597</v>
      </c>
      <c r="D348" s="2">
        <v>29861.520833333332</v>
      </c>
      <c r="E348" s="2">
        <v>160688.71651952266</v>
      </c>
      <c r="F348" s="2">
        <v>249579.1579400918</v>
      </c>
    </row>
    <row r="350" spans="1:23">
      <c r="C350" t="s">
        <v>600</v>
      </c>
    </row>
    <row r="352" spans="1:23">
      <c r="D352" t="s">
        <v>598</v>
      </c>
      <c r="E352" t="s">
        <v>521</v>
      </c>
      <c r="F352" t="s">
        <v>599</v>
      </c>
    </row>
    <row r="353" spans="3:6">
      <c r="C353" t="s">
        <v>162</v>
      </c>
      <c r="D353">
        <v>24282.042541666673</v>
      </c>
      <c r="E353">
        <v>108176.62608739239</v>
      </c>
      <c r="F353">
        <v>205811.49560643733</v>
      </c>
    </row>
    <row r="355" spans="3:6">
      <c r="C355" t="s">
        <v>601</v>
      </c>
    </row>
    <row r="357" spans="3:6">
      <c r="D357" t="s">
        <v>598</v>
      </c>
      <c r="E357" t="s">
        <v>521</v>
      </c>
      <c r="F357" t="s">
        <v>599</v>
      </c>
    </row>
    <row r="358" spans="3:6">
      <c r="C358" t="s">
        <v>162</v>
      </c>
      <c r="D358">
        <v>24282.042541666669</v>
      </c>
      <c r="E358">
        <v>23517.255094560867</v>
      </c>
      <c r="F358">
        <v>54191.090641076749</v>
      </c>
    </row>
    <row r="360" spans="3:6">
      <c r="C360" t="s">
        <v>602</v>
      </c>
      <c r="D360" s="34">
        <f>D353/D358</f>
        <v>1.0000000000000002</v>
      </c>
      <c r="E360" s="34">
        <f t="shared" ref="E360:F360" si="31">E353/E358</f>
        <v>4.5998831773701241</v>
      </c>
      <c r="F360" s="34">
        <f t="shared" si="31"/>
        <v>3.7978843601725294</v>
      </c>
    </row>
    <row r="362" spans="3:6">
      <c r="C362" t="s">
        <v>604</v>
      </c>
      <c r="D362" s="90">
        <f>F282</f>
        <v>0.98</v>
      </c>
      <c r="E362" s="90">
        <f>D362</f>
        <v>0.98</v>
      </c>
      <c r="F362" s="90">
        <f>F283</f>
        <v>0.66104910564902863</v>
      </c>
    </row>
    <row r="364" spans="3:6">
      <c r="C364" t="s">
        <v>603</v>
      </c>
    </row>
    <row r="365" spans="3:6">
      <c r="D365" t="s">
        <v>598</v>
      </c>
      <c r="E365" t="s">
        <v>521</v>
      </c>
      <c r="F365" t="s">
        <v>599</v>
      </c>
    </row>
    <row r="366" spans="3:6">
      <c r="D366" s="101">
        <f>D348/D360/D362</f>
        <v>30470.939625850333</v>
      </c>
      <c r="E366" s="101">
        <f t="shared" ref="E366:F366" si="32">E348/E360/E362</f>
        <v>35646.139642809467</v>
      </c>
      <c r="F366" s="101">
        <f t="shared" si="32"/>
        <v>99410.636874787568</v>
      </c>
    </row>
    <row r="368" spans="3:6">
      <c r="C368" t="s">
        <v>605</v>
      </c>
    </row>
    <row r="369" spans="3:6">
      <c r="C369" t="s">
        <v>606</v>
      </c>
    </row>
    <row r="371" spans="3:6">
      <c r="E371" t="s">
        <v>521</v>
      </c>
      <c r="F371" t="s">
        <v>599</v>
      </c>
    </row>
    <row r="372" spans="3:6">
      <c r="E372" s="101">
        <f>AVERAGE(D366:E366)</f>
        <v>33058.5396343299</v>
      </c>
      <c r="F372" s="101">
        <f>F366</f>
        <v>99410.636874787568</v>
      </c>
    </row>
    <row r="375" spans="3:6">
      <c r="C375" t="s">
        <v>607</v>
      </c>
      <c r="F375">
        <f>F372/E372</f>
        <v>3.0071091456064747</v>
      </c>
    </row>
    <row r="376" spans="3:6">
      <c r="C376" t="s">
        <v>608</v>
      </c>
      <c r="F376">
        <f ca="1">AO330/AP330</f>
        <v>2.5400653739912111</v>
      </c>
    </row>
    <row r="378" spans="3:6">
      <c r="C378" t="s">
        <v>609</v>
      </c>
    </row>
    <row r="379" spans="3:6">
      <c r="C379" t="s">
        <v>610</v>
      </c>
    </row>
  </sheetData>
  <mergeCells count="7">
    <mergeCell ref="U288:V288"/>
    <mergeCell ref="X288:Y288"/>
    <mergeCell ref="K288:M288"/>
    <mergeCell ref="G288:I288"/>
    <mergeCell ref="O290:P290"/>
    <mergeCell ref="R290:S290"/>
    <mergeCell ref="O288:S288"/>
  </mergeCells>
  <conditionalFormatting sqref="AN296:AQ328 AO330:AP3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9C58-CE17-477C-A4EE-6C5972681D0B}">
  <dimension ref="A1:L40"/>
  <sheetViews>
    <sheetView workbookViewId="0">
      <selection activeCell="H13" sqref="H13"/>
    </sheetView>
  </sheetViews>
  <sheetFormatPr defaultColWidth="8.81640625" defaultRowHeight="14.5"/>
  <cols>
    <col min="1" max="4" width="14.1796875" customWidth="1"/>
    <col min="5" max="5" width="60.36328125" bestFit="1" customWidth="1"/>
    <col min="6" max="13" width="14.1796875" customWidth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F2" t="s">
        <v>167</v>
      </c>
      <c r="G2">
        <v>2009</v>
      </c>
      <c r="H2">
        <v>3017.2579999999998</v>
      </c>
      <c r="K2" t="s">
        <v>165</v>
      </c>
      <c r="L2" t="s">
        <v>166</v>
      </c>
    </row>
    <row r="3" spans="1:12">
      <c r="A3" t="s">
        <v>159</v>
      </c>
      <c r="B3" t="s">
        <v>160</v>
      </c>
      <c r="C3" t="s">
        <v>161</v>
      </c>
      <c r="D3" t="s">
        <v>162</v>
      </c>
      <c r="E3" t="s">
        <v>169</v>
      </c>
      <c r="F3" t="s">
        <v>167</v>
      </c>
      <c r="G3">
        <v>2009</v>
      </c>
      <c r="H3">
        <v>727.76599999999996</v>
      </c>
      <c r="K3" t="s">
        <v>165</v>
      </c>
      <c r="L3" t="s">
        <v>166</v>
      </c>
    </row>
    <row r="4" spans="1:12">
      <c r="A4" t="s">
        <v>159</v>
      </c>
      <c r="B4" t="s">
        <v>160</v>
      </c>
      <c r="C4" t="s">
        <v>161</v>
      </c>
      <c r="D4" t="s">
        <v>162</v>
      </c>
      <c r="E4" t="s">
        <v>170</v>
      </c>
      <c r="F4" t="s">
        <v>167</v>
      </c>
      <c r="G4">
        <v>2009</v>
      </c>
      <c r="H4">
        <v>3017.2579999999998</v>
      </c>
      <c r="K4" t="s">
        <v>165</v>
      </c>
      <c r="L4" t="s">
        <v>166</v>
      </c>
    </row>
    <row r="5" spans="1:12">
      <c r="A5" t="s">
        <v>159</v>
      </c>
      <c r="B5" t="s">
        <v>160</v>
      </c>
      <c r="C5" t="s">
        <v>161</v>
      </c>
      <c r="D5" t="s">
        <v>162</v>
      </c>
      <c r="E5" t="s">
        <v>171</v>
      </c>
      <c r="F5" t="s">
        <v>167</v>
      </c>
      <c r="G5">
        <v>2009</v>
      </c>
      <c r="H5">
        <v>8924.9650000000001</v>
      </c>
      <c r="K5" t="s">
        <v>165</v>
      </c>
      <c r="L5" t="s">
        <v>166</v>
      </c>
    </row>
    <row r="6" spans="1:12">
      <c r="A6" t="s">
        <v>159</v>
      </c>
      <c r="B6" t="s">
        <v>160</v>
      </c>
      <c r="C6" t="s">
        <v>161</v>
      </c>
      <c r="D6" t="s">
        <v>162</v>
      </c>
      <c r="E6" t="s">
        <v>172</v>
      </c>
      <c r="F6" t="s">
        <v>167</v>
      </c>
      <c r="G6">
        <v>2009</v>
      </c>
      <c r="H6">
        <v>5543.4989999999998</v>
      </c>
      <c r="K6" t="s">
        <v>165</v>
      </c>
      <c r="L6" t="s">
        <v>166</v>
      </c>
    </row>
    <row r="7" spans="1:12">
      <c r="A7" t="s">
        <v>159</v>
      </c>
      <c r="B7" t="s">
        <v>160</v>
      </c>
      <c r="C7" t="s">
        <v>161</v>
      </c>
      <c r="D7" t="s">
        <v>162</v>
      </c>
      <c r="E7" t="s">
        <v>173</v>
      </c>
      <c r="F7" t="s">
        <v>167</v>
      </c>
      <c r="G7">
        <v>2009</v>
      </c>
      <c r="H7">
        <v>4139.3469999999998</v>
      </c>
      <c r="K7" t="s">
        <v>165</v>
      </c>
      <c r="L7" t="s">
        <v>166</v>
      </c>
    </row>
    <row r="8" spans="1:12">
      <c r="A8" t="s">
        <v>159</v>
      </c>
      <c r="B8" t="s">
        <v>160</v>
      </c>
      <c r="C8" t="s">
        <v>161</v>
      </c>
      <c r="D8" t="s">
        <v>162</v>
      </c>
      <c r="E8" t="s">
        <v>174</v>
      </c>
      <c r="F8" t="s">
        <v>167</v>
      </c>
      <c r="G8">
        <v>2009</v>
      </c>
      <c r="H8">
        <v>2893.3510000000001</v>
      </c>
      <c r="K8" t="s">
        <v>165</v>
      </c>
      <c r="L8" t="s">
        <v>166</v>
      </c>
    </row>
    <row r="9" spans="1:12">
      <c r="A9" t="s">
        <v>159</v>
      </c>
      <c r="B9" t="s">
        <v>160</v>
      </c>
      <c r="C9" t="s">
        <v>161</v>
      </c>
      <c r="D9" t="s">
        <v>162</v>
      </c>
      <c r="E9" t="s">
        <v>175</v>
      </c>
      <c r="F9" t="s">
        <v>167</v>
      </c>
      <c r="G9">
        <v>2009</v>
      </c>
      <c r="H9">
        <v>1490.2950000000001</v>
      </c>
      <c r="K9" t="s">
        <v>165</v>
      </c>
      <c r="L9" t="s">
        <v>166</v>
      </c>
    </row>
    <row r="10" spans="1:12">
      <c r="A10" t="s">
        <v>159</v>
      </c>
      <c r="B10" t="s">
        <v>160</v>
      </c>
      <c r="C10" t="s">
        <v>161</v>
      </c>
      <c r="D10" t="s">
        <v>162</v>
      </c>
      <c r="E10" t="s">
        <v>176</v>
      </c>
      <c r="F10" t="s">
        <v>167</v>
      </c>
      <c r="G10">
        <v>2009</v>
      </c>
      <c r="H10">
        <v>510.27499999999998</v>
      </c>
      <c r="K10" t="s">
        <v>165</v>
      </c>
      <c r="L10" t="s">
        <v>166</v>
      </c>
    </row>
    <row r="11" spans="1:12">
      <c r="A11" t="s">
        <v>159</v>
      </c>
      <c r="B11" t="s">
        <v>160</v>
      </c>
      <c r="C11" t="s">
        <v>161</v>
      </c>
      <c r="D11" t="s">
        <v>162</v>
      </c>
      <c r="E11" t="s">
        <v>177</v>
      </c>
      <c r="F11" t="s">
        <v>167</v>
      </c>
      <c r="G11">
        <v>2009</v>
      </c>
      <c r="H11">
        <v>968.904</v>
      </c>
      <c r="K11" t="s">
        <v>165</v>
      </c>
      <c r="L11" t="s">
        <v>166</v>
      </c>
    </row>
    <row r="12" spans="1:12">
      <c r="A12" t="s">
        <v>159</v>
      </c>
      <c r="B12" t="s">
        <v>160</v>
      </c>
      <c r="C12" t="s">
        <v>161</v>
      </c>
      <c r="D12" t="s">
        <v>162</v>
      </c>
      <c r="E12" t="s">
        <v>178</v>
      </c>
      <c r="F12" t="s">
        <v>167</v>
      </c>
      <c r="G12">
        <v>2009</v>
      </c>
      <c r="H12">
        <v>1295.3900000000001</v>
      </c>
      <c r="K12" t="s">
        <v>165</v>
      </c>
      <c r="L12" t="s">
        <v>166</v>
      </c>
    </row>
    <row r="13" spans="1:12">
      <c r="A13" t="s">
        <v>159</v>
      </c>
      <c r="B13" t="s">
        <v>160</v>
      </c>
      <c r="C13" t="s">
        <v>161</v>
      </c>
      <c r="D13" t="s">
        <v>162</v>
      </c>
      <c r="E13" t="s">
        <v>179</v>
      </c>
      <c r="F13" t="s">
        <v>167</v>
      </c>
      <c r="G13">
        <v>2009</v>
      </c>
      <c r="H13">
        <v>727.76599999999996</v>
      </c>
      <c r="K13" t="s">
        <v>165</v>
      </c>
      <c r="L13" t="s">
        <v>166</v>
      </c>
    </row>
    <row r="14" spans="1:12">
      <c r="A14" t="s">
        <v>159</v>
      </c>
      <c r="B14" t="s">
        <v>160</v>
      </c>
      <c r="C14" t="s">
        <v>161</v>
      </c>
      <c r="D14" t="s">
        <v>162</v>
      </c>
      <c r="E14" t="s">
        <v>180</v>
      </c>
      <c r="F14" t="s">
        <v>167</v>
      </c>
      <c r="G14">
        <v>2009</v>
      </c>
      <c r="H14">
        <v>8487.7579999999998</v>
      </c>
      <c r="K14" t="s">
        <v>165</v>
      </c>
      <c r="L14" t="s">
        <v>166</v>
      </c>
    </row>
    <row r="15" spans="1:12">
      <c r="A15" t="s">
        <v>159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>
        <v>2009</v>
      </c>
      <c r="H15">
        <v>7450.5860000000002</v>
      </c>
      <c r="K15" t="s">
        <v>165</v>
      </c>
      <c r="L15" t="s">
        <v>166</v>
      </c>
    </row>
    <row r="16" spans="1:12">
      <c r="A16" t="s">
        <v>159</v>
      </c>
      <c r="B16" t="s">
        <v>160</v>
      </c>
      <c r="C16" t="s">
        <v>161</v>
      </c>
      <c r="D16" t="s">
        <v>162</v>
      </c>
      <c r="E16" t="s">
        <v>169</v>
      </c>
      <c r="F16" t="s">
        <v>164</v>
      </c>
      <c r="G16">
        <v>2009</v>
      </c>
      <c r="H16">
        <v>1797.0909999999999</v>
      </c>
      <c r="K16" t="s">
        <v>165</v>
      </c>
      <c r="L16" t="s">
        <v>166</v>
      </c>
    </row>
    <row r="17" spans="1:12">
      <c r="A17" t="s">
        <v>159</v>
      </c>
      <c r="B17" t="s">
        <v>160</v>
      </c>
      <c r="C17" t="s">
        <v>161</v>
      </c>
      <c r="D17" t="s">
        <v>162</v>
      </c>
      <c r="E17" t="s">
        <v>170</v>
      </c>
      <c r="F17" t="s">
        <v>164</v>
      </c>
      <c r="G17">
        <v>2009</v>
      </c>
      <c r="H17">
        <v>7450.5860000000002</v>
      </c>
      <c r="K17" t="s">
        <v>165</v>
      </c>
      <c r="L17" t="s">
        <v>166</v>
      </c>
    </row>
    <row r="18" spans="1:12">
      <c r="A18" t="s">
        <v>159</v>
      </c>
      <c r="B18" t="s">
        <v>160</v>
      </c>
      <c r="C18" t="s">
        <v>161</v>
      </c>
      <c r="D18" t="s">
        <v>162</v>
      </c>
      <c r="E18" t="s">
        <v>171</v>
      </c>
      <c r="F18" t="s">
        <v>164</v>
      </c>
      <c r="G18">
        <v>2009</v>
      </c>
      <c r="H18">
        <v>22038.627</v>
      </c>
      <c r="K18" t="s">
        <v>165</v>
      </c>
      <c r="L18" t="s">
        <v>166</v>
      </c>
    </row>
    <row r="19" spans="1:12">
      <c r="A19" t="s">
        <v>159</v>
      </c>
      <c r="B19" t="s">
        <v>160</v>
      </c>
      <c r="C19" t="s">
        <v>161</v>
      </c>
      <c r="D19" t="s">
        <v>162</v>
      </c>
      <c r="E19" t="s">
        <v>172</v>
      </c>
      <c r="F19" t="s">
        <v>164</v>
      </c>
      <c r="G19">
        <v>2009</v>
      </c>
      <c r="H19">
        <v>13688.694</v>
      </c>
      <c r="K19" t="s">
        <v>165</v>
      </c>
      <c r="L19" t="s">
        <v>166</v>
      </c>
    </row>
    <row r="20" spans="1:12">
      <c r="A20" t="s">
        <v>159</v>
      </c>
      <c r="B20" t="s">
        <v>160</v>
      </c>
      <c r="C20" t="s">
        <v>161</v>
      </c>
      <c r="D20" t="s">
        <v>162</v>
      </c>
      <c r="E20" t="s">
        <v>173</v>
      </c>
      <c r="F20" t="s">
        <v>164</v>
      </c>
      <c r="G20">
        <v>2009</v>
      </c>
      <c r="H20">
        <v>10221.388000000001</v>
      </c>
      <c r="K20" t="s">
        <v>165</v>
      </c>
      <c r="L20" t="s">
        <v>166</v>
      </c>
    </row>
    <row r="21" spans="1:12">
      <c r="A21" t="s">
        <v>159</v>
      </c>
      <c r="B21" t="s">
        <v>160</v>
      </c>
      <c r="C21" t="s">
        <v>161</v>
      </c>
      <c r="D21" t="s">
        <v>162</v>
      </c>
      <c r="E21" t="s">
        <v>174</v>
      </c>
      <c r="F21" t="s">
        <v>164</v>
      </c>
      <c r="G21">
        <v>2009</v>
      </c>
      <c r="H21">
        <v>7144.6189999999997</v>
      </c>
      <c r="K21" t="s">
        <v>165</v>
      </c>
      <c r="L21" t="s">
        <v>166</v>
      </c>
    </row>
    <row r="22" spans="1:12">
      <c r="A22" t="s">
        <v>159</v>
      </c>
      <c r="B22" t="s">
        <v>160</v>
      </c>
      <c r="C22" t="s">
        <v>161</v>
      </c>
      <c r="D22" t="s">
        <v>162</v>
      </c>
      <c r="E22" t="s">
        <v>175</v>
      </c>
      <c r="F22" t="s">
        <v>164</v>
      </c>
      <c r="G22">
        <v>2009</v>
      </c>
      <c r="H22">
        <v>3680.0210000000002</v>
      </c>
      <c r="K22" t="s">
        <v>165</v>
      </c>
      <c r="L22" t="s">
        <v>166</v>
      </c>
    </row>
    <row r="23" spans="1:12">
      <c r="A23" t="s">
        <v>159</v>
      </c>
      <c r="B23" t="s">
        <v>160</v>
      </c>
      <c r="C23" t="s">
        <v>161</v>
      </c>
      <c r="D23" t="s">
        <v>162</v>
      </c>
      <c r="E23" t="s">
        <v>176</v>
      </c>
      <c r="F23" t="s">
        <v>164</v>
      </c>
      <c r="G23">
        <v>2009</v>
      </c>
      <c r="H23">
        <v>1260.0340000000001</v>
      </c>
      <c r="K23" t="s">
        <v>165</v>
      </c>
      <c r="L23" t="s">
        <v>166</v>
      </c>
    </row>
    <row r="24" spans="1:12">
      <c r="A24" t="s">
        <v>159</v>
      </c>
      <c r="B24" t="s">
        <v>160</v>
      </c>
      <c r="C24" t="s">
        <v>161</v>
      </c>
      <c r="D24" t="s">
        <v>162</v>
      </c>
      <c r="E24" t="s">
        <v>177</v>
      </c>
      <c r="F24" t="s">
        <v>164</v>
      </c>
      <c r="G24">
        <v>2009</v>
      </c>
      <c r="H24">
        <v>2392.5369999999998</v>
      </c>
      <c r="K24" t="s">
        <v>165</v>
      </c>
      <c r="L24" t="s">
        <v>166</v>
      </c>
    </row>
    <row r="25" spans="1:12">
      <c r="A25" t="s">
        <v>159</v>
      </c>
      <c r="B25" t="s">
        <v>160</v>
      </c>
      <c r="C25" t="s">
        <v>161</v>
      </c>
      <c r="D25" t="s">
        <v>162</v>
      </c>
      <c r="E25" t="s">
        <v>178</v>
      </c>
      <c r="F25" t="s">
        <v>164</v>
      </c>
      <c r="G25">
        <v>2009</v>
      </c>
      <c r="H25">
        <v>3198.739</v>
      </c>
      <c r="K25" t="s">
        <v>165</v>
      </c>
      <c r="L25" t="s">
        <v>166</v>
      </c>
    </row>
    <row r="26" spans="1:12">
      <c r="A26" t="s">
        <v>159</v>
      </c>
      <c r="B26" t="s">
        <v>160</v>
      </c>
      <c r="C26" t="s">
        <v>161</v>
      </c>
      <c r="D26" t="s">
        <v>162</v>
      </c>
      <c r="E26" t="s">
        <v>179</v>
      </c>
      <c r="F26" t="s">
        <v>164</v>
      </c>
      <c r="G26">
        <v>2009</v>
      </c>
      <c r="H26">
        <v>1797.0909999999999</v>
      </c>
      <c r="K26" t="s">
        <v>165</v>
      </c>
      <c r="L26" t="s">
        <v>166</v>
      </c>
    </row>
    <row r="27" spans="1:12">
      <c r="A27" t="s">
        <v>159</v>
      </c>
      <c r="B27" t="s">
        <v>160</v>
      </c>
      <c r="C27" t="s">
        <v>161</v>
      </c>
      <c r="D27" t="s">
        <v>162</v>
      </c>
      <c r="E27" t="s">
        <v>180</v>
      </c>
      <c r="F27" t="s">
        <v>164</v>
      </c>
      <c r="G27">
        <v>2009</v>
      </c>
      <c r="H27">
        <v>20959.023000000001</v>
      </c>
      <c r="K27" t="s">
        <v>165</v>
      </c>
      <c r="L27" t="s">
        <v>166</v>
      </c>
    </row>
    <row r="28" spans="1:12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168</v>
      </c>
      <c r="G28">
        <v>2009</v>
      </c>
      <c r="H28">
        <v>2028.751</v>
      </c>
      <c r="K28" t="s">
        <v>165</v>
      </c>
      <c r="L28" t="s">
        <v>166</v>
      </c>
    </row>
    <row r="29" spans="1:12">
      <c r="A29" t="s">
        <v>159</v>
      </c>
      <c r="B29" t="s">
        <v>160</v>
      </c>
      <c r="C29" t="s">
        <v>161</v>
      </c>
      <c r="D29" t="s">
        <v>162</v>
      </c>
      <c r="E29" t="s">
        <v>169</v>
      </c>
      <c r="F29" t="s">
        <v>168</v>
      </c>
      <c r="G29">
        <v>2009</v>
      </c>
      <c r="H29">
        <v>489.33699999999999</v>
      </c>
      <c r="K29" t="s">
        <v>165</v>
      </c>
      <c r="L29" t="s">
        <v>166</v>
      </c>
    </row>
    <row r="30" spans="1:12">
      <c r="A30" t="s">
        <v>159</v>
      </c>
      <c r="B30" t="s">
        <v>160</v>
      </c>
      <c r="C30" t="s">
        <v>161</v>
      </c>
      <c r="D30" t="s">
        <v>162</v>
      </c>
      <c r="E30" t="s">
        <v>170</v>
      </c>
      <c r="F30" t="s">
        <v>168</v>
      </c>
      <c r="G30">
        <v>2009</v>
      </c>
      <c r="H30">
        <v>2028.751</v>
      </c>
      <c r="K30" t="s">
        <v>165</v>
      </c>
      <c r="L30" t="s">
        <v>166</v>
      </c>
    </row>
    <row r="31" spans="1:12">
      <c r="A31" t="s">
        <v>159</v>
      </c>
      <c r="B31" t="s">
        <v>160</v>
      </c>
      <c r="C31" t="s">
        <v>161</v>
      </c>
      <c r="D31" t="s">
        <v>162</v>
      </c>
      <c r="E31" t="s">
        <v>171</v>
      </c>
      <c r="F31" t="s">
        <v>168</v>
      </c>
      <c r="G31">
        <v>2009</v>
      </c>
      <c r="H31">
        <v>6000.9880000000003</v>
      </c>
      <c r="K31" t="s">
        <v>165</v>
      </c>
      <c r="L31" t="s">
        <v>166</v>
      </c>
    </row>
    <row r="32" spans="1:12">
      <c r="A32" t="s">
        <v>159</v>
      </c>
      <c r="B32" t="s">
        <v>160</v>
      </c>
      <c r="C32" t="s">
        <v>161</v>
      </c>
      <c r="D32" t="s">
        <v>162</v>
      </c>
      <c r="E32" t="s">
        <v>172</v>
      </c>
      <c r="F32" t="s">
        <v>168</v>
      </c>
      <c r="G32">
        <v>2009</v>
      </c>
      <c r="H32">
        <v>3727.35</v>
      </c>
      <c r="K32" t="s">
        <v>165</v>
      </c>
      <c r="L32" t="s">
        <v>166</v>
      </c>
    </row>
    <row r="33" spans="1:12">
      <c r="A33" t="s">
        <v>159</v>
      </c>
      <c r="B33" t="s">
        <v>160</v>
      </c>
      <c r="C33" t="s">
        <v>161</v>
      </c>
      <c r="D33" t="s">
        <v>162</v>
      </c>
      <c r="E33" t="s">
        <v>173</v>
      </c>
      <c r="F33" t="s">
        <v>168</v>
      </c>
      <c r="G33">
        <v>2009</v>
      </c>
      <c r="H33">
        <v>2783.223</v>
      </c>
      <c r="K33" t="s">
        <v>165</v>
      </c>
      <c r="L33" t="s">
        <v>166</v>
      </c>
    </row>
    <row r="34" spans="1:12">
      <c r="A34" t="s">
        <v>159</v>
      </c>
      <c r="B34" t="s">
        <v>160</v>
      </c>
      <c r="C34" t="s">
        <v>161</v>
      </c>
      <c r="D34" t="s">
        <v>162</v>
      </c>
      <c r="E34" t="s">
        <v>174</v>
      </c>
      <c r="F34" t="s">
        <v>168</v>
      </c>
      <c r="G34">
        <v>2009</v>
      </c>
      <c r="H34">
        <v>1945.4380000000001</v>
      </c>
      <c r="K34" t="s">
        <v>165</v>
      </c>
      <c r="L34" t="s">
        <v>166</v>
      </c>
    </row>
    <row r="35" spans="1:12">
      <c r="A35" t="s">
        <v>159</v>
      </c>
      <c r="B35" t="s">
        <v>160</v>
      </c>
      <c r="C35" t="s">
        <v>161</v>
      </c>
      <c r="D35" t="s">
        <v>162</v>
      </c>
      <c r="E35" t="s">
        <v>175</v>
      </c>
      <c r="F35" t="s">
        <v>168</v>
      </c>
      <c r="G35">
        <v>2009</v>
      </c>
      <c r="H35">
        <v>1002.048</v>
      </c>
      <c r="K35" t="s">
        <v>165</v>
      </c>
      <c r="L35" t="s">
        <v>166</v>
      </c>
    </row>
    <row r="36" spans="1:12">
      <c r="A36" t="s">
        <v>159</v>
      </c>
      <c r="B36" t="s">
        <v>160</v>
      </c>
      <c r="C36" t="s">
        <v>161</v>
      </c>
      <c r="D36" t="s">
        <v>162</v>
      </c>
      <c r="E36" t="s">
        <v>176</v>
      </c>
      <c r="F36" t="s">
        <v>168</v>
      </c>
      <c r="G36">
        <v>2009</v>
      </c>
      <c r="H36">
        <v>343.1</v>
      </c>
      <c r="K36" t="s">
        <v>165</v>
      </c>
      <c r="L36" t="s">
        <v>166</v>
      </c>
    </row>
    <row r="37" spans="1:12">
      <c r="A37" t="s">
        <v>159</v>
      </c>
      <c r="B37" t="s">
        <v>160</v>
      </c>
      <c r="C37" t="s">
        <v>161</v>
      </c>
      <c r="D37" t="s">
        <v>162</v>
      </c>
      <c r="E37" t="s">
        <v>177</v>
      </c>
      <c r="F37" t="s">
        <v>168</v>
      </c>
      <c r="G37">
        <v>2009</v>
      </c>
      <c r="H37">
        <v>651.47400000000005</v>
      </c>
      <c r="K37" t="s">
        <v>165</v>
      </c>
      <c r="L37" t="s">
        <v>166</v>
      </c>
    </row>
    <row r="38" spans="1:12">
      <c r="A38" t="s">
        <v>159</v>
      </c>
      <c r="B38" t="s">
        <v>160</v>
      </c>
      <c r="C38" t="s">
        <v>161</v>
      </c>
      <c r="D38" t="s">
        <v>162</v>
      </c>
      <c r="E38" t="s">
        <v>178</v>
      </c>
      <c r="F38" t="s">
        <v>168</v>
      </c>
      <c r="G38">
        <v>2009</v>
      </c>
      <c r="H38">
        <v>870.99800000000005</v>
      </c>
      <c r="K38" t="s">
        <v>165</v>
      </c>
      <c r="L38" t="s">
        <v>166</v>
      </c>
    </row>
    <row r="39" spans="1:12">
      <c r="A39" t="s">
        <v>159</v>
      </c>
      <c r="B39" t="s">
        <v>160</v>
      </c>
      <c r="C39" t="s">
        <v>161</v>
      </c>
      <c r="D39" t="s">
        <v>162</v>
      </c>
      <c r="E39" t="s">
        <v>179</v>
      </c>
      <c r="F39" t="s">
        <v>168</v>
      </c>
      <c r="G39">
        <v>2009</v>
      </c>
      <c r="H39">
        <v>489.33699999999999</v>
      </c>
      <c r="K39" t="s">
        <v>165</v>
      </c>
      <c r="L39" t="s">
        <v>166</v>
      </c>
    </row>
    <row r="40" spans="1:12">
      <c r="A40" t="s">
        <v>159</v>
      </c>
      <c r="B40" t="s">
        <v>160</v>
      </c>
      <c r="C40" t="s">
        <v>161</v>
      </c>
      <c r="D40" t="s">
        <v>162</v>
      </c>
      <c r="E40" t="s">
        <v>180</v>
      </c>
      <c r="F40" t="s">
        <v>168</v>
      </c>
      <c r="G40">
        <v>2009</v>
      </c>
      <c r="H40">
        <v>5707.018</v>
      </c>
      <c r="K40" t="s">
        <v>165</v>
      </c>
      <c r="L40" t="s">
        <v>166</v>
      </c>
    </row>
  </sheetData>
  <sortState xmlns:xlrd2="http://schemas.microsoft.com/office/spreadsheetml/2017/richdata2" ref="A2:L40">
    <sortCondition ref="F2:F4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7E57-7411-4E87-B8C7-B736A3E5C2E9}">
  <dimension ref="A1:H61"/>
  <sheetViews>
    <sheetView workbookViewId="0"/>
  </sheetViews>
  <sheetFormatPr defaultColWidth="14.36328125" defaultRowHeight="14.5"/>
  <cols>
    <col min="1" max="10" width="35.6328125" customWidth="1"/>
  </cols>
  <sheetData>
    <row r="1" spans="1:8">
      <c r="A1" t="s">
        <v>208</v>
      </c>
      <c r="B1" t="s">
        <v>207</v>
      </c>
      <c r="C1" t="s">
        <v>206</v>
      </c>
      <c r="D1" t="s">
        <v>205</v>
      </c>
      <c r="E1" t="s">
        <v>204</v>
      </c>
      <c r="F1" t="s">
        <v>203</v>
      </c>
      <c r="G1" t="s">
        <v>202</v>
      </c>
      <c r="H1" t="s">
        <v>201</v>
      </c>
    </row>
    <row r="2" spans="1:8">
      <c r="A2">
        <v>1</v>
      </c>
      <c r="B2">
        <v>2014</v>
      </c>
      <c r="C2" t="s">
        <v>200</v>
      </c>
      <c r="D2" t="s">
        <v>185</v>
      </c>
      <c r="E2">
        <v>509275</v>
      </c>
      <c r="F2">
        <v>76838</v>
      </c>
      <c r="G2">
        <v>42440</v>
      </c>
      <c r="H2">
        <v>6403</v>
      </c>
    </row>
    <row r="3" spans="1:8">
      <c r="A3">
        <v>2</v>
      </c>
      <c r="B3">
        <v>2014</v>
      </c>
      <c r="C3" t="s">
        <v>200</v>
      </c>
      <c r="D3" t="s">
        <v>184</v>
      </c>
      <c r="E3">
        <v>267385</v>
      </c>
      <c r="F3">
        <v>75064</v>
      </c>
      <c r="G3">
        <v>22282</v>
      </c>
      <c r="H3">
        <v>6255</v>
      </c>
    </row>
    <row r="4" spans="1:8">
      <c r="A4">
        <v>3</v>
      </c>
      <c r="B4">
        <v>2014</v>
      </c>
      <c r="C4" t="s">
        <v>200</v>
      </c>
      <c r="D4" t="s">
        <v>183</v>
      </c>
      <c r="E4">
        <v>192815</v>
      </c>
      <c r="F4">
        <v>48265</v>
      </c>
      <c r="G4">
        <v>16068</v>
      </c>
      <c r="H4">
        <v>4022</v>
      </c>
    </row>
    <row r="5" spans="1:8">
      <c r="A5">
        <v>4</v>
      </c>
      <c r="B5">
        <v>2014</v>
      </c>
      <c r="C5" t="s">
        <v>200</v>
      </c>
      <c r="D5" t="s">
        <v>181</v>
      </c>
      <c r="E5">
        <v>29215</v>
      </c>
      <c r="F5">
        <v>29215</v>
      </c>
      <c r="G5">
        <v>2435</v>
      </c>
      <c r="H5">
        <v>2435</v>
      </c>
    </row>
    <row r="6" spans="1:8">
      <c r="A6">
        <v>5</v>
      </c>
      <c r="B6">
        <v>2014</v>
      </c>
      <c r="C6" t="s">
        <v>199</v>
      </c>
      <c r="D6" t="s">
        <v>185</v>
      </c>
      <c r="E6">
        <v>66600</v>
      </c>
      <c r="F6">
        <v>10048</v>
      </c>
      <c r="G6">
        <v>5550</v>
      </c>
      <c r="H6">
        <v>837</v>
      </c>
    </row>
    <row r="7" spans="1:8">
      <c r="A7">
        <v>6</v>
      </c>
      <c r="B7">
        <v>2014</v>
      </c>
      <c r="C7" t="s">
        <v>199</v>
      </c>
      <c r="D7" t="s">
        <v>184</v>
      </c>
      <c r="E7">
        <v>61218</v>
      </c>
      <c r="F7">
        <v>17186</v>
      </c>
      <c r="G7">
        <v>5101</v>
      </c>
      <c r="H7">
        <v>1432</v>
      </c>
    </row>
    <row r="8" spans="1:8">
      <c r="A8">
        <v>7</v>
      </c>
      <c r="B8">
        <v>2014</v>
      </c>
      <c r="C8" t="s">
        <v>199</v>
      </c>
      <c r="D8" t="s">
        <v>183</v>
      </c>
      <c r="E8">
        <v>6670</v>
      </c>
      <c r="F8">
        <v>1670</v>
      </c>
      <c r="G8">
        <v>556</v>
      </c>
      <c r="H8">
        <v>139</v>
      </c>
    </row>
    <row r="9" spans="1:8">
      <c r="A9">
        <v>8</v>
      </c>
      <c r="B9">
        <v>2014</v>
      </c>
      <c r="C9" t="s">
        <v>199</v>
      </c>
      <c r="D9" t="s">
        <v>181</v>
      </c>
      <c r="E9" t="s">
        <v>186</v>
      </c>
      <c r="F9" t="s">
        <v>186</v>
      </c>
      <c r="G9" t="s">
        <v>186</v>
      </c>
      <c r="H9" t="s">
        <v>186</v>
      </c>
    </row>
    <row r="10" spans="1:8">
      <c r="A10">
        <v>9</v>
      </c>
      <c r="B10">
        <v>2014</v>
      </c>
      <c r="C10" t="s">
        <v>198</v>
      </c>
      <c r="D10" t="s">
        <v>185</v>
      </c>
      <c r="E10">
        <v>65108</v>
      </c>
      <c r="F10">
        <v>9823</v>
      </c>
      <c r="G10">
        <v>5426</v>
      </c>
      <c r="H10">
        <v>819</v>
      </c>
    </row>
    <row r="11" spans="1:8">
      <c r="A11">
        <v>10</v>
      </c>
      <c r="B11">
        <v>2014</v>
      </c>
      <c r="C11" t="s">
        <v>198</v>
      </c>
      <c r="D11" t="s">
        <v>184</v>
      </c>
      <c r="E11">
        <v>2230</v>
      </c>
      <c r="F11">
        <v>626</v>
      </c>
      <c r="G11">
        <v>186</v>
      </c>
      <c r="H11">
        <v>52</v>
      </c>
    </row>
    <row r="12" spans="1:8">
      <c r="A12">
        <v>11</v>
      </c>
      <c r="B12">
        <v>2014</v>
      </c>
      <c r="C12" t="s">
        <v>198</v>
      </c>
      <c r="D12" t="s">
        <v>183</v>
      </c>
      <c r="E12" t="s">
        <v>186</v>
      </c>
      <c r="F12" t="s">
        <v>186</v>
      </c>
      <c r="G12" t="s">
        <v>186</v>
      </c>
      <c r="H12" t="s">
        <v>186</v>
      </c>
    </row>
    <row r="13" spans="1:8">
      <c r="A13">
        <v>12</v>
      </c>
      <c r="B13">
        <v>2014</v>
      </c>
      <c r="C13" t="s">
        <v>198</v>
      </c>
      <c r="D13" t="s">
        <v>181</v>
      </c>
      <c r="E13" t="s">
        <v>186</v>
      </c>
      <c r="F13" t="s">
        <v>186</v>
      </c>
      <c r="G13" t="s">
        <v>186</v>
      </c>
      <c r="H13" t="s">
        <v>186</v>
      </c>
    </row>
    <row r="14" spans="1:8">
      <c r="A14">
        <v>13</v>
      </c>
      <c r="B14">
        <v>2014</v>
      </c>
      <c r="C14" t="s">
        <v>197</v>
      </c>
      <c r="D14" t="s">
        <v>185</v>
      </c>
      <c r="E14">
        <v>86569</v>
      </c>
      <c r="F14">
        <v>13061</v>
      </c>
      <c r="G14">
        <v>7214</v>
      </c>
      <c r="H14">
        <v>1088</v>
      </c>
    </row>
    <row r="15" spans="1:8">
      <c r="A15">
        <v>14</v>
      </c>
      <c r="B15">
        <v>2014</v>
      </c>
      <c r="C15" t="s">
        <v>197</v>
      </c>
      <c r="D15" t="s">
        <v>184</v>
      </c>
      <c r="E15">
        <v>1428</v>
      </c>
      <c r="F15">
        <v>401</v>
      </c>
      <c r="G15">
        <v>119</v>
      </c>
      <c r="H15">
        <v>33</v>
      </c>
    </row>
    <row r="16" spans="1:8">
      <c r="A16">
        <v>15</v>
      </c>
      <c r="B16">
        <v>2014</v>
      </c>
      <c r="C16" t="s">
        <v>197</v>
      </c>
      <c r="D16" t="s">
        <v>183</v>
      </c>
      <c r="E16">
        <v>16</v>
      </c>
      <c r="F16">
        <v>4</v>
      </c>
      <c r="G16">
        <v>1</v>
      </c>
      <c r="H16" t="s">
        <v>186</v>
      </c>
    </row>
    <row r="17" spans="1:8">
      <c r="A17">
        <v>16</v>
      </c>
      <c r="B17">
        <v>2014</v>
      </c>
      <c r="C17" t="s">
        <v>197</v>
      </c>
      <c r="D17" t="s">
        <v>181</v>
      </c>
      <c r="E17" t="s">
        <v>186</v>
      </c>
      <c r="F17" t="s">
        <v>186</v>
      </c>
      <c r="G17" t="s">
        <v>186</v>
      </c>
      <c r="H17" t="s">
        <v>186</v>
      </c>
    </row>
    <row r="18" spans="1:8">
      <c r="A18">
        <v>17</v>
      </c>
      <c r="B18">
        <v>2014</v>
      </c>
      <c r="C18" t="s">
        <v>196</v>
      </c>
      <c r="D18" t="s">
        <v>185</v>
      </c>
      <c r="E18">
        <v>65231</v>
      </c>
      <c r="F18">
        <v>9842</v>
      </c>
      <c r="G18">
        <v>5436</v>
      </c>
      <c r="H18">
        <v>820</v>
      </c>
    </row>
    <row r="19" spans="1:8">
      <c r="A19">
        <v>18</v>
      </c>
      <c r="B19">
        <v>2014</v>
      </c>
      <c r="D19" t="s">
        <v>184</v>
      </c>
      <c r="E19" t="s">
        <v>186</v>
      </c>
      <c r="F19" t="s">
        <v>186</v>
      </c>
      <c r="G19" t="s">
        <v>186</v>
      </c>
      <c r="H19" t="s">
        <v>186</v>
      </c>
    </row>
    <row r="20" spans="1:8">
      <c r="A20">
        <v>19</v>
      </c>
      <c r="B20">
        <v>2014</v>
      </c>
      <c r="D20" t="s">
        <v>183</v>
      </c>
      <c r="E20" t="s">
        <v>186</v>
      </c>
      <c r="F20" t="s">
        <v>186</v>
      </c>
      <c r="G20" t="s">
        <v>186</v>
      </c>
      <c r="H20" t="s">
        <v>186</v>
      </c>
    </row>
    <row r="21" spans="1:8">
      <c r="A21">
        <v>20</v>
      </c>
      <c r="B21">
        <v>2014</v>
      </c>
      <c r="D21" t="s">
        <v>181</v>
      </c>
      <c r="E21" t="s">
        <v>186</v>
      </c>
      <c r="F21" t="s">
        <v>186</v>
      </c>
      <c r="G21" t="s">
        <v>186</v>
      </c>
      <c r="H21" t="s">
        <v>186</v>
      </c>
    </row>
    <row r="22" spans="1:8">
      <c r="A22">
        <v>21</v>
      </c>
      <c r="B22">
        <v>2014</v>
      </c>
      <c r="C22" t="s">
        <v>195</v>
      </c>
      <c r="D22" t="s">
        <v>185</v>
      </c>
      <c r="E22">
        <v>350</v>
      </c>
      <c r="F22">
        <v>53</v>
      </c>
      <c r="G22">
        <v>29</v>
      </c>
      <c r="H22">
        <v>4</v>
      </c>
    </row>
    <row r="23" spans="1:8">
      <c r="A23">
        <v>22</v>
      </c>
      <c r="B23">
        <v>2014</v>
      </c>
      <c r="C23" t="s">
        <v>195</v>
      </c>
      <c r="D23" t="s">
        <v>184</v>
      </c>
      <c r="E23">
        <v>13</v>
      </c>
      <c r="F23">
        <v>4</v>
      </c>
      <c r="G23">
        <v>1</v>
      </c>
      <c r="H23" t="s">
        <v>186</v>
      </c>
    </row>
    <row r="24" spans="1:8">
      <c r="A24">
        <v>23</v>
      </c>
      <c r="B24">
        <v>2014</v>
      </c>
      <c r="C24" t="s">
        <v>195</v>
      </c>
      <c r="D24" t="s">
        <v>183</v>
      </c>
      <c r="E24">
        <v>16</v>
      </c>
      <c r="F24">
        <v>4</v>
      </c>
      <c r="G24">
        <v>1</v>
      </c>
      <c r="H24" t="s">
        <v>186</v>
      </c>
    </row>
    <row r="25" spans="1:8">
      <c r="A25">
        <v>24</v>
      </c>
      <c r="B25">
        <v>2014</v>
      </c>
      <c r="C25" t="s">
        <v>195</v>
      </c>
      <c r="D25" t="s">
        <v>181</v>
      </c>
      <c r="E25" t="s">
        <v>186</v>
      </c>
      <c r="F25" t="s">
        <v>186</v>
      </c>
      <c r="G25" t="s">
        <v>186</v>
      </c>
      <c r="H25" t="s">
        <v>186</v>
      </c>
    </row>
    <row r="26" spans="1:8">
      <c r="A26">
        <v>25</v>
      </c>
      <c r="B26">
        <v>2014</v>
      </c>
      <c r="C26" t="s">
        <v>194</v>
      </c>
      <c r="D26" t="s">
        <v>185</v>
      </c>
      <c r="E26">
        <v>13495</v>
      </c>
      <c r="F26">
        <v>2036</v>
      </c>
      <c r="G26">
        <v>1125</v>
      </c>
      <c r="H26">
        <v>170</v>
      </c>
    </row>
    <row r="27" spans="1:8">
      <c r="A27">
        <v>26</v>
      </c>
      <c r="B27">
        <v>2014</v>
      </c>
      <c r="C27" t="s">
        <v>194</v>
      </c>
      <c r="D27" t="s">
        <v>184</v>
      </c>
      <c r="E27">
        <v>90</v>
      </c>
      <c r="F27">
        <v>25</v>
      </c>
      <c r="G27">
        <v>8</v>
      </c>
      <c r="H27">
        <v>2</v>
      </c>
    </row>
    <row r="28" spans="1:8">
      <c r="A28">
        <v>27</v>
      </c>
      <c r="B28">
        <v>2014</v>
      </c>
      <c r="C28" t="s">
        <v>194</v>
      </c>
      <c r="D28" t="s">
        <v>183</v>
      </c>
      <c r="E28" t="s">
        <v>186</v>
      </c>
      <c r="F28" t="s">
        <v>186</v>
      </c>
      <c r="G28" t="s">
        <v>186</v>
      </c>
      <c r="H28" t="s">
        <v>186</v>
      </c>
    </row>
    <row r="29" spans="1:8">
      <c r="A29">
        <v>28</v>
      </c>
      <c r="B29">
        <v>2014</v>
      </c>
      <c r="C29" t="s">
        <v>194</v>
      </c>
      <c r="D29" t="s">
        <v>181</v>
      </c>
      <c r="E29" t="s">
        <v>186</v>
      </c>
      <c r="F29" t="s">
        <v>186</v>
      </c>
      <c r="G29" t="s">
        <v>186</v>
      </c>
      <c r="H29" t="s">
        <v>186</v>
      </c>
    </row>
    <row r="30" spans="1:8">
      <c r="A30">
        <v>29</v>
      </c>
      <c r="B30">
        <v>2014</v>
      </c>
      <c r="C30" t="s">
        <v>193</v>
      </c>
      <c r="D30" t="s">
        <v>185</v>
      </c>
      <c r="E30">
        <v>2835</v>
      </c>
      <c r="F30">
        <v>428</v>
      </c>
      <c r="G30">
        <v>236</v>
      </c>
      <c r="H30">
        <v>36</v>
      </c>
    </row>
    <row r="31" spans="1:8">
      <c r="A31">
        <v>30</v>
      </c>
      <c r="B31">
        <v>2014</v>
      </c>
      <c r="C31" t="s">
        <v>193</v>
      </c>
      <c r="D31" t="s">
        <v>184</v>
      </c>
      <c r="E31">
        <v>1058</v>
      </c>
      <c r="F31">
        <v>297</v>
      </c>
      <c r="G31">
        <v>88</v>
      </c>
      <c r="H31">
        <v>25</v>
      </c>
    </row>
    <row r="32" spans="1:8">
      <c r="A32">
        <v>31</v>
      </c>
      <c r="B32">
        <v>2014</v>
      </c>
      <c r="C32" t="s">
        <v>193</v>
      </c>
      <c r="D32" t="s">
        <v>183</v>
      </c>
      <c r="E32" t="s">
        <v>186</v>
      </c>
      <c r="F32" t="s">
        <v>186</v>
      </c>
      <c r="G32" t="s">
        <v>186</v>
      </c>
      <c r="H32" t="s">
        <v>186</v>
      </c>
    </row>
    <row r="33" spans="1:8">
      <c r="A33">
        <v>32</v>
      </c>
      <c r="B33">
        <v>2014</v>
      </c>
      <c r="C33" t="s">
        <v>193</v>
      </c>
      <c r="D33" t="s">
        <v>181</v>
      </c>
      <c r="E33" t="s">
        <v>186</v>
      </c>
      <c r="F33" t="s">
        <v>186</v>
      </c>
      <c r="G33" t="s">
        <v>186</v>
      </c>
      <c r="H33" t="s">
        <v>186</v>
      </c>
    </row>
    <row r="34" spans="1:8">
      <c r="A34">
        <v>33</v>
      </c>
      <c r="B34">
        <v>2014</v>
      </c>
      <c r="C34" t="s">
        <v>192</v>
      </c>
      <c r="D34" t="s">
        <v>185</v>
      </c>
      <c r="E34">
        <v>4371</v>
      </c>
      <c r="F34">
        <v>659</v>
      </c>
      <c r="G34">
        <v>364</v>
      </c>
      <c r="H34">
        <v>55</v>
      </c>
    </row>
    <row r="35" spans="1:8">
      <c r="A35">
        <v>34</v>
      </c>
      <c r="B35">
        <v>2014</v>
      </c>
      <c r="C35" t="s">
        <v>192</v>
      </c>
      <c r="D35" t="s">
        <v>184</v>
      </c>
      <c r="E35" t="s">
        <v>186</v>
      </c>
      <c r="F35" t="s">
        <v>186</v>
      </c>
      <c r="G35" t="s">
        <v>186</v>
      </c>
      <c r="H35" t="s">
        <v>186</v>
      </c>
    </row>
    <row r="36" spans="1:8">
      <c r="A36">
        <v>35</v>
      </c>
      <c r="B36">
        <v>2014</v>
      </c>
      <c r="C36" t="s">
        <v>192</v>
      </c>
      <c r="D36" t="s">
        <v>183</v>
      </c>
      <c r="E36" t="s">
        <v>186</v>
      </c>
      <c r="F36" t="s">
        <v>186</v>
      </c>
      <c r="G36" t="s">
        <v>186</v>
      </c>
      <c r="H36" t="s">
        <v>186</v>
      </c>
    </row>
    <row r="37" spans="1:8">
      <c r="A37">
        <v>36</v>
      </c>
      <c r="B37">
        <v>2014</v>
      </c>
      <c r="C37" t="s">
        <v>192</v>
      </c>
      <c r="D37" t="s">
        <v>181</v>
      </c>
      <c r="E37" t="s">
        <v>186</v>
      </c>
      <c r="F37" t="s">
        <v>186</v>
      </c>
      <c r="G37" t="s">
        <v>186</v>
      </c>
      <c r="H37" t="s">
        <v>186</v>
      </c>
    </row>
    <row r="38" spans="1:8">
      <c r="A38">
        <v>37</v>
      </c>
      <c r="B38">
        <v>2014</v>
      </c>
      <c r="C38" t="s">
        <v>191</v>
      </c>
      <c r="D38" t="s">
        <v>185</v>
      </c>
      <c r="E38">
        <v>169</v>
      </c>
      <c r="F38">
        <v>25</v>
      </c>
      <c r="G38">
        <v>14</v>
      </c>
      <c r="H38">
        <v>2</v>
      </c>
    </row>
    <row r="39" spans="1:8">
      <c r="A39">
        <v>38</v>
      </c>
      <c r="B39">
        <v>2014</v>
      </c>
      <c r="C39" t="s">
        <v>191</v>
      </c>
      <c r="D39" t="s">
        <v>184</v>
      </c>
      <c r="E39">
        <v>266</v>
      </c>
      <c r="F39">
        <v>75</v>
      </c>
      <c r="G39">
        <v>22</v>
      </c>
      <c r="H39">
        <v>6</v>
      </c>
    </row>
    <row r="40" spans="1:8">
      <c r="A40">
        <v>39</v>
      </c>
      <c r="B40">
        <v>2014</v>
      </c>
      <c r="C40" t="s">
        <v>191</v>
      </c>
      <c r="D40" t="s">
        <v>183</v>
      </c>
      <c r="E40" t="s">
        <v>186</v>
      </c>
      <c r="F40" t="s">
        <v>186</v>
      </c>
      <c r="G40" t="s">
        <v>186</v>
      </c>
      <c r="H40" t="s">
        <v>186</v>
      </c>
    </row>
    <row r="41" spans="1:8">
      <c r="A41">
        <v>40</v>
      </c>
      <c r="B41">
        <v>2014</v>
      </c>
      <c r="C41" t="s">
        <v>191</v>
      </c>
      <c r="D41" t="s">
        <v>181</v>
      </c>
      <c r="E41" t="s">
        <v>186</v>
      </c>
      <c r="F41" t="s">
        <v>186</v>
      </c>
      <c r="G41" t="s">
        <v>186</v>
      </c>
      <c r="H41" t="s">
        <v>186</v>
      </c>
    </row>
    <row r="42" spans="1:8">
      <c r="A42">
        <v>41</v>
      </c>
      <c r="B42">
        <v>2014</v>
      </c>
      <c r="C42" t="s">
        <v>190</v>
      </c>
      <c r="D42" t="s">
        <v>185</v>
      </c>
      <c r="E42">
        <v>119</v>
      </c>
      <c r="F42">
        <v>18</v>
      </c>
      <c r="G42">
        <v>10</v>
      </c>
      <c r="H42">
        <v>1</v>
      </c>
    </row>
    <row r="43" spans="1:8">
      <c r="A43">
        <v>42</v>
      </c>
      <c r="B43">
        <v>2014</v>
      </c>
      <c r="C43" t="s">
        <v>190</v>
      </c>
      <c r="D43" t="s">
        <v>184</v>
      </c>
      <c r="E43" t="s">
        <v>186</v>
      </c>
      <c r="F43" t="s">
        <v>186</v>
      </c>
      <c r="G43" t="s">
        <v>186</v>
      </c>
      <c r="H43" t="s">
        <v>186</v>
      </c>
    </row>
    <row r="44" spans="1:8">
      <c r="A44">
        <v>43</v>
      </c>
      <c r="B44">
        <v>2014</v>
      </c>
      <c r="C44" t="s">
        <v>190</v>
      </c>
      <c r="D44" t="s">
        <v>183</v>
      </c>
      <c r="E44" t="s">
        <v>186</v>
      </c>
      <c r="F44" t="s">
        <v>186</v>
      </c>
      <c r="G44" t="s">
        <v>186</v>
      </c>
      <c r="H44" t="s">
        <v>186</v>
      </c>
    </row>
    <row r="45" spans="1:8">
      <c r="A45">
        <v>44</v>
      </c>
      <c r="B45">
        <v>2014</v>
      </c>
      <c r="C45" t="s">
        <v>190</v>
      </c>
      <c r="D45" t="s">
        <v>181</v>
      </c>
      <c r="E45" t="s">
        <v>186</v>
      </c>
      <c r="F45" t="s">
        <v>186</v>
      </c>
      <c r="G45" t="s">
        <v>186</v>
      </c>
      <c r="H45" t="s">
        <v>186</v>
      </c>
    </row>
    <row r="46" spans="1:8">
      <c r="A46">
        <v>45</v>
      </c>
      <c r="B46">
        <v>2014</v>
      </c>
      <c r="C46" t="s">
        <v>189</v>
      </c>
      <c r="D46" t="s">
        <v>185</v>
      </c>
      <c r="E46">
        <v>139338</v>
      </c>
      <c r="F46">
        <v>21023</v>
      </c>
      <c r="G46">
        <v>11611</v>
      </c>
      <c r="H46">
        <v>1752</v>
      </c>
    </row>
    <row r="47" spans="1:8">
      <c r="A47">
        <v>46</v>
      </c>
      <c r="B47">
        <v>2014</v>
      </c>
      <c r="C47" t="s">
        <v>189</v>
      </c>
      <c r="D47" t="s">
        <v>184</v>
      </c>
      <c r="E47">
        <v>5132</v>
      </c>
      <c r="F47">
        <v>1441</v>
      </c>
      <c r="G47">
        <v>428</v>
      </c>
      <c r="H47">
        <v>120</v>
      </c>
    </row>
    <row r="48" spans="1:8">
      <c r="A48">
        <v>47</v>
      </c>
      <c r="B48">
        <v>2014</v>
      </c>
      <c r="C48" t="s">
        <v>189</v>
      </c>
      <c r="D48" t="s">
        <v>183</v>
      </c>
      <c r="E48" t="s">
        <v>186</v>
      </c>
      <c r="F48" t="s">
        <v>186</v>
      </c>
      <c r="G48" t="s">
        <v>186</v>
      </c>
      <c r="H48" t="s">
        <v>186</v>
      </c>
    </row>
    <row r="49" spans="1:8">
      <c r="A49">
        <v>48</v>
      </c>
      <c r="B49">
        <v>2014</v>
      </c>
      <c r="C49" t="s">
        <v>189</v>
      </c>
      <c r="D49" t="s">
        <v>181</v>
      </c>
      <c r="E49" t="s">
        <v>186</v>
      </c>
      <c r="F49" t="s">
        <v>186</v>
      </c>
      <c r="G49" t="s">
        <v>186</v>
      </c>
      <c r="H49" t="s">
        <v>186</v>
      </c>
    </row>
    <row r="50" spans="1:8">
      <c r="A50">
        <v>49</v>
      </c>
      <c r="B50">
        <v>2014</v>
      </c>
      <c r="C50" t="s">
        <v>188</v>
      </c>
      <c r="D50" t="s">
        <v>185</v>
      </c>
      <c r="E50">
        <v>630</v>
      </c>
      <c r="F50">
        <v>95</v>
      </c>
      <c r="G50">
        <v>53</v>
      </c>
      <c r="H50">
        <v>8</v>
      </c>
    </row>
    <row r="51" spans="1:8">
      <c r="A51">
        <v>50</v>
      </c>
      <c r="B51">
        <v>2014</v>
      </c>
      <c r="C51" t="s">
        <v>188</v>
      </c>
      <c r="D51" t="s">
        <v>184</v>
      </c>
      <c r="E51">
        <v>32</v>
      </c>
      <c r="F51">
        <v>9</v>
      </c>
      <c r="G51">
        <v>3</v>
      </c>
      <c r="H51">
        <v>1</v>
      </c>
    </row>
    <row r="52" spans="1:8">
      <c r="A52">
        <v>51</v>
      </c>
      <c r="B52">
        <v>2014</v>
      </c>
      <c r="C52" t="s">
        <v>188</v>
      </c>
      <c r="D52" t="s">
        <v>183</v>
      </c>
      <c r="E52" t="s">
        <v>186</v>
      </c>
      <c r="F52" t="s">
        <v>186</v>
      </c>
      <c r="G52" t="s">
        <v>186</v>
      </c>
      <c r="H52" t="s">
        <v>186</v>
      </c>
    </row>
    <row r="53" spans="1:8">
      <c r="A53">
        <v>52</v>
      </c>
      <c r="B53">
        <v>2014</v>
      </c>
      <c r="C53" t="s">
        <v>188</v>
      </c>
      <c r="D53" t="s">
        <v>181</v>
      </c>
      <c r="E53" t="s">
        <v>186</v>
      </c>
      <c r="F53" t="s">
        <v>186</v>
      </c>
      <c r="G53" t="s">
        <v>186</v>
      </c>
      <c r="H53" t="s">
        <v>186</v>
      </c>
    </row>
    <row r="54" spans="1:8">
      <c r="A54">
        <v>53</v>
      </c>
      <c r="B54">
        <v>2014</v>
      </c>
      <c r="C54" t="s">
        <v>187</v>
      </c>
      <c r="D54" t="s">
        <v>185</v>
      </c>
      <c r="E54">
        <v>138708</v>
      </c>
      <c r="F54">
        <v>20928</v>
      </c>
      <c r="G54">
        <v>11559</v>
      </c>
      <c r="H54">
        <v>1744</v>
      </c>
    </row>
    <row r="55" spans="1:8">
      <c r="A55">
        <v>54</v>
      </c>
      <c r="B55">
        <v>2014</v>
      </c>
      <c r="C55" t="s">
        <v>187</v>
      </c>
      <c r="D55" t="s">
        <v>184</v>
      </c>
      <c r="E55">
        <v>5100</v>
      </c>
      <c r="F55">
        <v>1432</v>
      </c>
      <c r="G55">
        <v>425</v>
      </c>
      <c r="H55">
        <v>119</v>
      </c>
    </row>
    <row r="56" spans="1:8">
      <c r="A56">
        <v>55</v>
      </c>
      <c r="B56">
        <v>2014</v>
      </c>
      <c r="C56" t="s">
        <v>187</v>
      </c>
      <c r="D56" t="s">
        <v>183</v>
      </c>
      <c r="E56" t="s">
        <v>186</v>
      </c>
      <c r="F56" t="s">
        <v>186</v>
      </c>
      <c r="G56" t="s">
        <v>186</v>
      </c>
      <c r="H56" t="s">
        <v>186</v>
      </c>
    </row>
    <row r="57" spans="1:8">
      <c r="A57">
        <v>56</v>
      </c>
      <c r="B57">
        <v>2014</v>
      </c>
      <c r="C57" t="s">
        <v>187</v>
      </c>
      <c r="D57" t="s">
        <v>181</v>
      </c>
      <c r="E57" t="s">
        <v>186</v>
      </c>
      <c r="F57" t="s">
        <v>186</v>
      </c>
      <c r="G57" t="s">
        <v>186</v>
      </c>
      <c r="H57" t="s">
        <v>186</v>
      </c>
    </row>
    <row r="58" spans="1:8">
      <c r="A58">
        <v>57</v>
      </c>
      <c r="B58">
        <v>2014</v>
      </c>
      <c r="C58" t="s">
        <v>182</v>
      </c>
      <c r="D58" t="s">
        <v>185</v>
      </c>
      <c r="E58">
        <v>866890</v>
      </c>
      <c r="F58">
        <v>130794</v>
      </c>
      <c r="G58">
        <v>72241</v>
      </c>
      <c r="H58">
        <v>10900</v>
      </c>
    </row>
    <row r="59" spans="1:8">
      <c r="A59">
        <v>58</v>
      </c>
      <c r="B59">
        <v>2014</v>
      </c>
      <c r="C59" t="s">
        <v>182</v>
      </c>
      <c r="D59" t="s">
        <v>184</v>
      </c>
      <c r="E59">
        <v>337392</v>
      </c>
      <c r="F59">
        <v>94717</v>
      </c>
      <c r="G59">
        <v>28116</v>
      </c>
      <c r="H59">
        <v>7893</v>
      </c>
    </row>
    <row r="60" spans="1:8">
      <c r="A60">
        <v>59</v>
      </c>
      <c r="B60">
        <v>2014</v>
      </c>
      <c r="C60" t="s">
        <v>182</v>
      </c>
      <c r="D60" t="s">
        <v>183</v>
      </c>
      <c r="E60">
        <v>199501</v>
      </c>
      <c r="F60">
        <v>49939</v>
      </c>
      <c r="G60">
        <v>16625</v>
      </c>
      <c r="H60">
        <v>4161</v>
      </c>
    </row>
    <row r="61" spans="1:8">
      <c r="A61">
        <v>60</v>
      </c>
      <c r="B61">
        <v>2014</v>
      </c>
      <c r="C61" t="s">
        <v>182</v>
      </c>
      <c r="D61" t="s">
        <v>181</v>
      </c>
      <c r="E61">
        <v>29215</v>
      </c>
      <c r="F61">
        <v>29215</v>
      </c>
      <c r="G61">
        <v>2435</v>
      </c>
      <c r="H61">
        <v>2435</v>
      </c>
    </row>
  </sheetData>
  <autoFilter ref="A1:J61" xr:uid="{C3E4103B-7719-4E37-BE41-C6B2741A26BC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C699-907D-4802-9E7C-2568549CE80A}">
  <dimension ref="A1:T793"/>
  <sheetViews>
    <sheetView workbookViewId="0"/>
  </sheetViews>
  <sheetFormatPr defaultColWidth="8.81640625" defaultRowHeight="14.5"/>
  <cols>
    <col min="7" max="8" width="16.1796875" customWidth="1"/>
    <col min="9" max="13" width="15.36328125" customWidth="1"/>
  </cols>
  <sheetData>
    <row r="1" spans="1:20">
      <c r="A1" s="92" t="s">
        <v>209</v>
      </c>
      <c r="B1" s="92" t="s">
        <v>210</v>
      </c>
      <c r="C1" s="92" t="s">
        <v>211</v>
      </c>
      <c r="D1" s="92" t="s">
        <v>212</v>
      </c>
      <c r="G1" s="93" t="s">
        <v>255</v>
      </c>
      <c r="I1" t="s">
        <v>252</v>
      </c>
      <c r="J1" t="s">
        <v>254</v>
      </c>
      <c r="K1" t="s">
        <v>251</v>
      </c>
      <c r="L1" t="s">
        <v>253</v>
      </c>
      <c r="M1" t="s">
        <v>250</v>
      </c>
    </row>
    <row r="2" spans="1:20">
      <c r="A2" t="s">
        <v>72</v>
      </c>
      <c r="B2" t="s">
        <v>213</v>
      </c>
      <c r="C2" t="s">
        <v>214</v>
      </c>
      <c r="D2">
        <v>4152.404296875</v>
      </c>
      <c r="G2" t="s">
        <v>74</v>
      </c>
      <c r="H2" t="s">
        <v>217</v>
      </c>
      <c r="I2" s="34">
        <f>SUMIFS($D:$D,$C:$C,"ARE",$B:$B,$H2,$A:$A,I$1)</f>
        <v>6.9459184904117137</v>
      </c>
      <c r="J2" s="34">
        <f t="shared" ref="J2:M2" si="0">SUMIFS($D:$D,$C:$C,"ARE",$B:$B,$H2,$A:$A,J$1)</f>
        <v>3.2105283668497582</v>
      </c>
      <c r="K2" s="34">
        <f t="shared" si="0"/>
        <v>4.0504074601922184</v>
      </c>
      <c r="L2" s="34">
        <f t="shared" si="0"/>
        <v>7.3500931388116442</v>
      </c>
      <c r="M2" s="34">
        <f t="shared" si="0"/>
        <v>1235.057722568512</v>
      </c>
      <c r="P2" s="11">
        <f>I2/SUM($I2:$M2)</f>
        <v>5.5274848019041169E-3</v>
      </c>
      <c r="Q2" s="11">
        <f t="shared" ref="Q2:T17" si="1">J2/SUM($I2:$M2)</f>
        <v>2.5549028221884874E-3</v>
      </c>
      <c r="R2" s="11">
        <f t="shared" si="1"/>
        <v>3.2232692780137244E-3</v>
      </c>
      <c r="S2" s="11">
        <f t="shared" si="1"/>
        <v>5.8491224988378651E-3</v>
      </c>
      <c r="T2" s="11">
        <f t="shared" si="1"/>
        <v>0.98284522059905577</v>
      </c>
    </row>
    <row r="3" spans="1:20">
      <c r="A3" t="s">
        <v>72</v>
      </c>
      <c r="B3" t="s">
        <v>213</v>
      </c>
      <c r="C3" t="s">
        <v>215</v>
      </c>
      <c r="D3">
        <v>5324.35107421875</v>
      </c>
      <c r="G3" t="s">
        <v>75</v>
      </c>
      <c r="H3" t="s">
        <v>232</v>
      </c>
      <c r="I3" s="34">
        <f t="shared" ref="I3:M34" si="2">SUMIFS($D:$D,$C:$C,"ARE",$B:$B,$H3,$A:$A,I$1)</f>
        <v>1459.966811202466</v>
      </c>
      <c r="J3" s="34">
        <f t="shared" si="2"/>
        <v>644.02931750938296</v>
      </c>
      <c r="K3" s="34">
        <f t="shared" si="2"/>
        <v>355.99378378875548</v>
      </c>
      <c r="L3" s="34">
        <f t="shared" si="2"/>
        <v>409.85393471550202</v>
      </c>
      <c r="M3" s="34">
        <f t="shared" si="2"/>
        <v>891.51367264799774</v>
      </c>
      <c r="P3" s="11">
        <f t="shared" ref="P3:P34" si="3">I3/SUM($I3:$M3)</f>
        <v>0.38814890727409868</v>
      </c>
      <c r="Q3" s="11">
        <f t="shared" si="1"/>
        <v>0.17122257432541307</v>
      </c>
      <c r="R3" s="11">
        <f t="shared" si="1"/>
        <v>9.4645026937406715E-2</v>
      </c>
      <c r="S3" s="11">
        <f t="shared" si="1"/>
        <v>0.10896436527265024</v>
      </c>
      <c r="T3" s="11">
        <f t="shared" si="1"/>
        <v>0.23701912619043128</v>
      </c>
    </row>
    <row r="4" spans="1:20">
      <c r="A4" t="s">
        <v>72</v>
      </c>
      <c r="B4" t="s">
        <v>213</v>
      </c>
      <c r="C4" t="s">
        <v>216</v>
      </c>
      <c r="D4">
        <v>809190.63768672943</v>
      </c>
      <c r="G4" t="s">
        <v>76</v>
      </c>
      <c r="H4" t="s">
        <v>226</v>
      </c>
      <c r="I4" s="34">
        <f t="shared" si="2"/>
        <v>319.6035590171814</v>
      </c>
      <c r="J4" s="34">
        <f t="shared" si="2"/>
        <v>345.50165557861328</v>
      </c>
      <c r="K4" s="34">
        <f t="shared" si="2"/>
        <v>192.58413362503049</v>
      </c>
      <c r="L4" s="34">
        <f t="shared" si="2"/>
        <v>174.62677454948431</v>
      </c>
      <c r="M4" s="34">
        <f t="shared" si="2"/>
        <v>1692.856004714966</v>
      </c>
      <c r="P4" s="11">
        <f t="shared" si="3"/>
        <v>0.11727830172404707</v>
      </c>
      <c r="Q4" s="11">
        <f t="shared" si="1"/>
        <v>0.12678159008525972</v>
      </c>
      <c r="R4" s="11">
        <f t="shared" si="1"/>
        <v>7.0668612702546096E-2</v>
      </c>
      <c r="S4" s="11">
        <f t="shared" si="1"/>
        <v>6.4079172389975153E-2</v>
      </c>
      <c r="T4" s="11">
        <f t="shared" si="1"/>
        <v>0.62119232309817207</v>
      </c>
    </row>
    <row r="5" spans="1:20">
      <c r="A5" t="s">
        <v>72</v>
      </c>
      <c r="B5" t="s">
        <v>217</v>
      </c>
      <c r="C5" t="s">
        <v>214</v>
      </c>
      <c r="D5">
        <v>753.90029639750719</v>
      </c>
      <c r="G5" t="s">
        <v>77</v>
      </c>
      <c r="H5" t="s">
        <v>243</v>
      </c>
      <c r="I5" s="34">
        <f t="shared" si="2"/>
        <v>236.3339920043945</v>
      </c>
      <c r="J5" s="34">
        <f t="shared" si="2"/>
        <v>255.48457336425781</v>
      </c>
      <c r="K5" s="34">
        <f t="shared" si="2"/>
        <v>142.40824127197271</v>
      </c>
      <c r="L5" s="34">
        <f t="shared" si="2"/>
        <v>129.12947845458979</v>
      </c>
      <c r="M5" s="34">
        <f t="shared" si="2"/>
        <v>1251.798950195312</v>
      </c>
      <c r="P5" s="11">
        <f t="shared" si="3"/>
        <v>0.11727830584243898</v>
      </c>
      <c r="Q5" s="11">
        <f t="shared" si="1"/>
        <v>0.12678158431175371</v>
      </c>
      <c r="R5" s="11">
        <f t="shared" si="1"/>
        <v>7.0668620847684507E-2</v>
      </c>
      <c r="S5" s="11">
        <f t="shared" si="1"/>
        <v>6.4079171764637316E-2</v>
      </c>
      <c r="T5" s="11">
        <f t="shared" si="1"/>
        <v>0.62119231723348545</v>
      </c>
    </row>
    <row r="6" spans="1:20">
      <c r="A6" t="s">
        <v>72</v>
      </c>
      <c r="B6" t="s">
        <v>217</v>
      </c>
      <c r="C6" t="s">
        <v>215</v>
      </c>
      <c r="D6">
        <v>7304.6676425933838</v>
      </c>
      <c r="G6" t="s">
        <v>78</v>
      </c>
      <c r="H6" t="s">
        <v>228</v>
      </c>
      <c r="I6" s="34">
        <f t="shared" si="2"/>
        <v>104.45550537109381</v>
      </c>
      <c r="J6" s="34">
        <f t="shared" si="2"/>
        <v>112.9197235107422</v>
      </c>
      <c r="K6" s="34">
        <f t="shared" si="2"/>
        <v>62.941947937011719</v>
      </c>
      <c r="L6" s="34">
        <f t="shared" si="2"/>
        <v>57.072975158691413</v>
      </c>
      <c r="M6" s="34">
        <f t="shared" si="2"/>
        <v>553.273193359375</v>
      </c>
      <c r="P6" s="11">
        <f t="shared" si="3"/>
        <v>0.11727832510226531</v>
      </c>
      <c r="Q6" s="11">
        <f t="shared" si="1"/>
        <v>0.12678159946958151</v>
      </c>
      <c r="R6" s="11">
        <f t="shared" si="1"/>
        <v>7.0668618245654277E-2</v>
      </c>
      <c r="S6" s="11">
        <f t="shared" si="1"/>
        <v>6.4079178128861061E-2</v>
      </c>
      <c r="T6" s="11">
        <f t="shared" si="1"/>
        <v>0.62119227905363794</v>
      </c>
    </row>
    <row r="7" spans="1:20">
      <c r="A7" t="s">
        <v>72</v>
      </c>
      <c r="B7" t="s">
        <v>217</v>
      </c>
      <c r="C7" t="s">
        <v>216</v>
      </c>
      <c r="D7">
        <v>909619.73943540314</v>
      </c>
      <c r="G7" t="s">
        <v>79</v>
      </c>
      <c r="H7" t="s">
        <v>246</v>
      </c>
      <c r="I7" s="34">
        <f t="shared" si="2"/>
        <v>84.6639404296875</v>
      </c>
      <c r="J7" s="34">
        <f t="shared" si="2"/>
        <v>91.5244140625</v>
      </c>
      <c r="K7" s="34">
        <f t="shared" si="2"/>
        <v>51.016105651855469</v>
      </c>
      <c r="L7" s="34">
        <f t="shared" si="2"/>
        <v>46.259147644042969</v>
      </c>
      <c r="M7" s="34">
        <f t="shared" si="2"/>
        <v>448.44259643554688</v>
      </c>
      <c r="P7" s="11">
        <f t="shared" si="3"/>
        <v>0.11727831113563919</v>
      </c>
      <c r="Q7" s="11">
        <f t="shared" si="1"/>
        <v>0.12678158675880763</v>
      </c>
      <c r="R7" s="11">
        <f t="shared" si="1"/>
        <v>7.0668606743337595E-2</v>
      </c>
      <c r="S7" s="11">
        <f t="shared" si="1"/>
        <v>6.4079166203858756E-2</v>
      </c>
      <c r="T7" s="11">
        <f t="shared" si="1"/>
        <v>0.62119232915835687</v>
      </c>
    </row>
    <row r="8" spans="1:20">
      <c r="A8" t="s">
        <v>72</v>
      </c>
      <c r="B8" t="s">
        <v>218</v>
      </c>
      <c r="C8" t="s">
        <v>214</v>
      </c>
      <c r="D8">
        <v>981.5841064453125</v>
      </c>
      <c r="G8" t="s">
        <v>80</v>
      </c>
      <c r="H8" t="s">
        <v>239</v>
      </c>
      <c r="I8" s="34">
        <f t="shared" si="2"/>
        <v>60.069015502929688</v>
      </c>
      <c r="J8" s="34">
        <f t="shared" si="2"/>
        <v>64.936515808105469</v>
      </c>
      <c r="K8" s="34">
        <f t="shared" si="2"/>
        <v>36.195899963378913</v>
      </c>
      <c r="L8" s="34">
        <f t="shared" si="2"/>
        <v>32.820838928222663</v>
      </c>
      <c r="M8" s="34">
        <f t="shared" si="2"/>
        <v>318.16976928710938</v>
      </c>
      <c r="P8" s="11">
        <f t="shared" si="3"/>
        <v>0.11727830749336011</v>
      </c>
      <c r="Q8" s="11">
        <f t="shared" si="1"/>
        <v>0.12678157956690672</v>
      </c>
      <c r="R8" s="11">
        <f t="shared" si="1"/>
        <v>7.0668610936315698E-2</v>
      </c>
      <c r="S8" s="11">
        <f t="shared" si="1"/>
        <v>6.4079166401959917E-2</v>
      </c>
      <c r="T8" s="11">
        <f t="shared" si="1"/>
        <v>0.62119233560145759</v>
      </c>
    </row>
    <row r="9" spans="1:20">
      <c r="A9" t="s">
        <v>72</v>
      </c>
      <c r="B9" t="s">
        <v>218</v>
      </c>
      <c r="C9" t="s">
        <v>215</v>
      </c>
      <c r="D9">
        <v>1627.267578125</v>
      </c>
      <c r="G9" t="s">
        <v>81</v>
      </c>
      <c r="H9" t="s">
        <v>234</v>
      </c>
      <c r="I9" s="34">
        <f t="shared" si="2"/>
        <v>78.420654296875</v>
      </c>
      <c r="J9" s="34">
        <f t="shared" si="2"/>
        <v>84.775215148925781</v>
      </c>
      <c r="K9" s="34">
        <f t="shared" si="2"/>
        <v>47.254074096679688</v>
      </c>
      <c r="L9" s="34">
        <f t="shared" si="2"/>
        <v>42.847900390625</v>
      </c>
      <c r="M9" s="34">
        <f t="shared" si="2"/>
        <v>415.37350463867188</v>
      </c>
      <c r="P9" s="11">
        <f t="shared" si="3"/>
        <v>0.11727832284780043</v>
      </c>
      <c r="Q9" s="11">
        <f t="shared" si="1"/>
        <v>0.12678158759156963</v>
      </c>
      <c r="R9" s="11">
        <f t="shared" si="1"/>
        <v>7.0668609022369808E-2</v>
      </c>
      <c r="S9" s="11">
        <f t="shared" si="1"/>
        <v>6.4079163077862267E-2</v>
      </c>
      <c r="T9" s="11">
        <f t="shared" si="1"/>
        <v>0.62119231746039782</v>
      </c>
    </row>
    <row r="10" spans="1:20">
      <c r="A10" t="s">
        <v>72</v>
      </c>
      <c r="B10" t="s">
        <v>218</v>
      </c>
      <c r="C10" t="s">
        <v>216</v>
      </c>
      <c r="D10">
        <v>137332.99761516621</v>
      </c>
      <c r="G10" t="s">
        <v>82</v>
      </c>
      <c r="H10" t="s">
        <v>219</v>
      </c>
      <c r="I10" s="34">
        <f t="shared" si="2"/>
        <v>212.55818176269531</v>
      </c>
      <c r="J10" s="34">
        <f t="shared" si="2"/>
        <v>229.78214263916021</v>
      </c>
      <c r="K10" s="34">
        <f t="shared" si="2"/>
        <v>128.08158683776861</v>
      </c>
      <c r="L10" s="34">
        <f t="shared" si="2"/>
        <v>116.138708114624</v>
      </c>
      <c r="M10" s="34">
        <f t="shared" si="2"/>
        <v>1125.8647308349609</v>
      </c>
      <c r="P10" s="11">
        <f t="shared" si="3"/>
        <v>0.11727830982970151</v>
      </c>
      <c r="Q10" s="11">
        <f t="shared" si="1"/>
        <v>0.12678157619852978</v>
      </c>
      <c r="R10" s="11">
        <f t="shared" si="1"/>
        <v>7.0668613647672421E-2</v>
      </c>
      <c r="S10" s="11">
        <f t="shared" si="1"/>
        <v>6.4079167786137869E-2</v>
      </c>
      <c r="T10" s="11">
        <f t="shared" si="1"/>
        <v>0.62119233253795847</v>
      </c>
    </row>
    <row r="11" spans="1:20">
      <c r="A11" t="s">
        <v>72</v>
      </c>
      <c r="B11" t="s">
        <v>219</v>
      </c>
      <c r="C11" t="s">
        <v>214</v>
      </c>
      <c r="D11">
        <v>16850.134033203121</v>
      </c>
      <c r="G11" t="s">
        <v>83</v>
      </c>
      <c r="H11" t="s">
        <v>242</v>
      </c>
      <c r="I11" s="34">
        <f t="shared" si="2"/>
        <v>182.3725891113281</v>
      </c>
      <c r="J11" s="34">
        <f t="shared" si="2"/>
        <v>197.15057373046881</v>
      </c>
      <c r="K11" s="34">
        <f t="shared" si="2"/>
        <v>109.8926086425781</v>
      </c>
      <c r="L11" s="34">
        <f t="shared" si="2"/>
        <v>99.645736694335938</v>
      </c>
      <c r="M11" s="34">
        <f t="shared" si="2"/>
        <v>965.979736328125</v>
      </c>
      <c r="P11" s="11">
        <f t="shared" si="3"/>
        <v>0.11727829712270142</v>
      </c>
      <c r="Q11" s="11">
        <f t="shared" si="1"/>
        <v>0.12678157214601271</v>
      </c>
      <c r="R11" s="11">
        <f t="shared" si="1"/>
        <v>7.0668613472968891E-2</v>
      </c>
      <c r="S11" s="11">
        <f t="shared" si="1"/>
        <v>6.4079159987770917E-2</v>
      </c>
      <c r="T11" s="11">
        <f t="shared" si="1"/>
        <v>0.62119235727054611</v>
      </c>
    </row>
    <row r="12" spans="1:20">
      <c r="A12" t="s">
        <v>72</v>
      </c>
      <c r="B12" t="s">
        <v>219</v>
      </c>
      <c r="C12" t="s">
        <v>215</v>
      </c>
      <c r="D12">
        <v>3423.009887695312</v>
      </c>
      <c r="G12" t="s">
        <v>84</v>
      </c>
      <c r="H12" t="s">
        <v>236</v>
      </c>
      <c r="I12" s="34">
        <f t="shared" si="2"/>
        <v>204.49217224121091</v>
      </c>
      <c r="J12" s="34">
        <f t="shared" si="2"/>
        <v>221.06254577636719</v>
      </c>
      <c r="K12" s="34">
        <f t="shared" si="2"/>
        <v>123.22125244140619</v>
      </c>
      <c r="L12" s="34">
        <f t="shared" si="2"/>
        <v>111.731559753418</v>
      </c>
      <c r="M12" s="34">
        <f t="shared" si="2"/>
        <v>1083.141235351562</v>
      </c>
      <c r="P12" s="11">
        <f t="shared" si="3"/>
        <v>0.11727830528705713</v>
      </c>
      <c r="Q12" s="11">
        <f t="shared" si="1"/>
        <v>0.12678158017957641</v>
      </c>
      <c r="R12" s="11">
        <f t="shared" si="1"/>
        <v>7.0668620237603647E-2</v>
      </c>
      <c r="S12" s="11">
        <f t="shared" si="1"/>
        <v>6.4079166607432902E-2</v>
      </c>
      <c r="T12" s="11">
        <f t="shared" si="1"/>
        <v>0.62119232768832988</v>
      </c>
    </row>
    <row r="13" spans="1:20">
      <c r="A13" t="s">
        <v>72</v>
      </c>
      <c r="B13" t="s">
        <v>219</v>
      </c>
      <c r="C13" t="s">
        <v>216</v>
      </c>
      <c r="D13">
        <v>976643.6904292308</v>
      </c>
      <c r="G13" t="s">
        <v>85</v>
      </c>
      <c r="H13" t="s">
        <v>231</v>
      </c>
      <c r="I13" s="34">
        <f t="shared" si="2"/>
        <v>919.61830902099609</v>
      </c>
      <c r="J13" s="34">
        <f t="shared" si="2"/>
        <v>994.13662719726563</v>
      </c>
      <c r="K13" s="34">
        <f t="shared" si="2"/>
        <v>554.13611221313477</v>
      </c>
      <c r="L13" s="34">
        <f t="shared" si="2"/>
        <v>502.46614837646479</v>
      </c>
      <c r="M13" s="34">
        <f t="shared" si="2"/>
        <v>4870.9757690429688</v>
      </c>
      <c r="P13" s="11">
        <f t="shared" si="3"/>
        <v>0.11727831390733606</v>
      </c>
      <c r="Q13" s="11">
        <f t="shared" si="1"/>
        <v>0.12678158567258291</v>
      </c>
      <c r="R13" s="11">
        <f t="shared" si="1"/>
        <v>7.0668611398904901E-2</v>
      </c>
      <c r="S13" s="11">
        <f t="shared" si="1"/>
        <v>6.4079175130646204E-2</v>
      </c>
      <c r="T13" s="11">
        <f t="shared" si="1"/>
        <v>0.62119231389052987</v>
      </c>
    </row>
    <row r="14" spans="1:20">
      <c r="A14" t="s">
        <v>72</v>
      </c>
      <c r="B14" t="s">
        <v>220</v>
      </c>
      <c r="C14" t="s">
        <v>214</v>
      </c>
      <c r="D14">
        <v>10211.271484375</v>
      </c>
      <c r="G14" t="s">
        <v>86</v>
      </c>
      <c r="H14" t="s">
        <v>230</v>
      </c>
      <c r="I14" s="34">
        <f t="shared" si="2"/>
        <v>226.88230895996091</v>
      </c>
      <c r="J14" s="34">
        <f t="shared" si="2"/>
        <v>245.26698303222659</v>
      </c>
      <c r="K14" s="34">
        <f t="shared" si="2"/>
        <v>136.7129211425781</v>
      </c>
      <c r="L14" s="34">
        <f t="shared" si="2"/>
        <v>123.9652099609375</v>
      </c>
      <c r="M14" s="34">
        <f t="shared" si="2"/>
        <v>1201.73583984375</v>
      </c>
      <c r="P14" s="11">
        <f t="shared" si="3"/>
        <v>0.11727830942846854</v>
      </c>
      <c r="Q14" s="11">
        <f t="shared" si="1"/>
        <v>0.12678157790485386</v>
      </c>
      <c r="R14" s="11">
        <f t="shared" si="1"/>
        <v>7.066862260934853E-2</v>
      </c>
      <c r="S14" s="11">
        <f t="shared" si="1"/>
        <v>6.4079170909396771E-2</v>
      </c>
      <c r="T14" s="11">
        <f t="shared" si="1"/>
        <v>0.62119231914793227</v>
      </c>
    </row>
    <row r="15" spans="1:20">
      <c r="A15" t="s">
        <v>72</v>
      </c>
      <c r="B15" t="s">
        <v>220</v>
      </c>
      <c r="C15" t="s">
        <v>215</v>
      </c>
      <c r="D15">
        <v>69679.03125</v>
      </c>
      <c r="G15" t="s">
        <v>87</v>
      </c>
      <c r="H15" t="s">
        <v>224</v>
      </c>
      <c r="I15" s="34">
        <f t="shared" si="2"/>
        <v>308.08090209960938</v>
      </c>
      <c r="J15" s="34">
        <f t="shared" si="2"/>
        <v>333.04529190063482</v>
      </c>
      <c r="K15" s="34">
        <f t="shared" si="2"/>
        <v>185.64090728759771</v>
      </c>
      <c r="L15" s="34">
        <f t="shared" si="2"/>
        <v>168.3309516906738</v>
      </c>
      <c r="M15" s="34">
        <f t="shared" si="2"/>
        <v>1631.823364257812</v>
      </c>
      <c r="P15" s="11">
        <f t="shared" si="3"/>
        <v>0.11727830915617118</v>
      </c>
      <c r="Q15" s="11">
        <f t="shared" si="1"/>
        <v>0.12678159678298165</v>
      </c>
      <c r="R15" s="11">
        <f t="shared" si="1"/>
        <v>7.0668618432789904E-2</v>
      </c>
      <c r="S15" s="11">
        <f t="shared" si="1"/>
        <v>6.4079172900332756E-2</v>
      </c>
      <c r="T15" s="11">
        <f t="shared" si="1"/>
        <v>0.62119230272772452</v>
      </c>
    </row>
    <row r="16" spans="1:20">
      <c r="A16" t="s">
        <v>72</v>
      </c>
      <c r="B16" t="s">
        <v>220</v>
      </c>
      <c r="C16" t="s">
        <v>216</v>
      </c>
      <c r="D16">
        <v>1691683.8237020969</v>
      </c>
      <c r="G16" t="s">
        <v>88</v>
      </c>
      <c r="H16" t="s">
        <v>245</v>
      </c>
      <c r="I16" s="34">
        <f t="shared" si="2"/>
        <v>363.06585693359381</v>
      </c>
      <c r="J16" s="34">
        <f t="shared" si="2"/>
        <v>392.48573303222662</v>
      </c>
      <c r="K16" s="34">
        <f t="shared" si="2"/>
        <v>218.7733154296875</v>
      </c>
      <c r="L16" s="34">
        <f t="shared" si="2"/>
        <v>198.37393951416021</v>
      </c>
      <c r="M16" s="34">
        <f t="shared" si="2"/>
        <v>1923.064453125</v>
      </c>
      <c r="P16" s="11">
        <f t="shared" si="3"/>
        <v>0.11727830004447841</v>
      </c>
      <c r="Q16" s="11">
        <f t="shared" si="1"/>
        <v>0.12678157056820025</v>
      </c>
      <c r="R16" s="11">
        <f t="shared" si="1"/>
        <v>7.0668618485326323E-2</v>
      </c>
      <c r="S16" s="11">
        <f t="shared" si="1"/>
        <v>6.4079168985593002E-2</v>
      </c>
      <c r="T16" s="11">
        <f t="shared" si="1"/>
        <v>0.62119234191640205</v>
      </c>
    </row>
    <row r="17" spans="1:20">
      <c r="A17" t="s">
        <v>72</v>
      </c>
      <c r="B17" t="s">
        <v>221</v>
      </c>
      <c r="C17" t="s">
        <v>214</v>
      </c>
      <c r="D17">
        <v>10336.666015625</v>
      </c>
      <c r="G17" t="s">
        <v>89</v>
      </c>
      <c r="H17" t="s">
        <v>229</v>
      </c>
      <c r="I17" s="34">
        <f t="shared" si="2"/>
        <v>514.7325439453125</v>
      </c>
      <c r="J17" s="34">
        <f t="shared" si="2"/>
        <v>556.4422607421875</v>
      </c>
      <c r="K17" s="34">
        <f t="shared" si="2"/>
        <v>310.16336059570313</v>
      </c>
      <c r="L17" s="34">
        <f t="shared" si="2"/>
        <v>281.242431640625</v>
      </c>
      <c r="M17" s="34">
        <f t="shared" si="2"/>
        <v>2726.40283203125</v>
      </c>
      <c r="P17" s="11">
        <f t="shared" si="3"/>
        <v>0.11727830653210262</v>
      </c>
      <c r="Q17" s="11">
        <f t="shared" si="1"/>
        <v>0.1267815816006998</v>
      </c>
      <c r="R17" s="11">
        <f t="shared" si="1"/>
        <v>7.0668610537348575E-2</v>
      </c>
      <c r="S17" s="11">
        <f t="shared" si="1"/>
        <v>6.4079173729663125E-2</v>
      </c>
      <c r="T17" s="11">
        <f t="shared" si="1"/>
        <v>0.62119232760018583</v>
      </c>
    </row>
    <row r="18" spans="1:20">
      <c r="A18" t="s">
        <v>72</v>
      </c>
      <c r="B18" t="s">
        <v>221</v>
      </c>
      <c r="C18" t="s">
        <v>215</v>
      </c>
      <c r="D18">
        <v>32847.6328125</v>
      </c>
      <c r="G18" t="s">
        <v>90</v>
      </c>
      <c r="H18" t="s">
        <v>225</v>
      </c>
      <c r="I18" s="34">
        <f t="shared" si="2"/>
        <v>870.67996215820313</v>
      </c>
      <c r="J18" s="34">
        <f t="shared" si="2"/>
        <v>971.78760528564453</v>
      </c>
      <c r="K18" s="34">
        <f t="shared" si="2"/>
        <v>889.28226470947266</v>
      </c>
      <c r="L18" s="34">
        <f t="shared" si="2"/>
        <v>414.3192024230957</v>
      </c>
      <c r="M18" s="34">
        <f t="shared" si="2"/>
        <v>1270.7752456665039</v>
      </c>
      <c r="P18" s="11">
        <f t="shared" si="3"/>
        <v>0.19712715842232886</v>
      </c>
      <c r="Q18" s="11">
        <f t="shared" ref="Q18:Q34" si="4">J18/SUM($I18:$M18)</f>
        <v>0.2200185344166577</v>
      </c>
      <c r="R18" s="11">
        <f t="shared" ref="R18:R34" si="5">K18/SUM($I18:$M18)</f>
        <v>0.20133883113954007</v>
      </c>
      <c r="S18" s="11">
        <f t="shared" ref="S18:S34" si="6">L18/SUM($I18:$M18)</f>
        <v>9.3804349018233618E-2</v>
      </c>
      <c r="T18" s="11">
        <f t="shared" ref="T18:T34" si="7">M18/SUM($I18:$M18)</f>
        <v>0.28771112700323975</v>
      </c>
    </row>
    <row r="19" spans="1:20">
      <c r="A19" t="s">
        <v>72</v>
      </c>
      <c r="B19" t="s">
        <v>221</v>
      </c>
      <c r="C19" t="s">
        <v>216</v>
      </c>
      <c r="D19">
        <v>1617936.1211348181</v>
      </c>
      <c r="G19" t="s">
        <v>91</v>
      </c>
      <c r="H19" t="s">
        <v>221</v>
      </c>
      <c r="I19" s="34">
        <f t="shared" si="2"/>
        <v>2042.827758789062</v>
      </c>
      <c r="J19" s="34">
        <f t="shared" si="2"/>
        <v>888.70941162109375</v>
      </c>
      <c r="K19" s="34">
        <f t="shared" si="2"/>
        <v>780.6396484375</v>
      </c>
      <c r="L19" s="34">
        <f t="shared" si="2"/>
        <v>342.03585815429688</v>
      </c>
      <c r="M19" s="34">
        <f t="shared" si="2"/>
        <v>8939.3896484375</v>
      </c>
      <c r="P19" s="11">
        <f t="shared" si="3"/>
        <v>0.15721796832195817</v>
      </c>
      <c r="Q19" s="11">
        <f t="shared" si="4"/>
        <v>6.8395922036273107E-2</v>
      </c>
      <c r="R19" s="11">
        <f t="shared" si="5"/>
        <v>6.007877021979724E-2</v>
      </c>
      <c r="S19" s="11">
        <f t="shared" si="6"/>
        <v>2.6323405133358888E-2</v>
      </c>
      <c r="T19" s="11">
        <f t="shared" si="7"/>
        <v>0.6879839342886126</v>
      </c>
    </row>
    <row r="20" spans="1:20">
      <c r="A20" t="s">
        <v>72</v>
      </c>
      <c r="B20" t="s">
        <v>222</v>
      </c>
      <c r="C20" t="s">
        <v>214</v>
      </c>
      <c r="D20">
        <v>9833.95703125</v>
      </c>
      <c r="G20" s="94" t="s">
        <v>256</v>
      </c>
      <c r="H20" t="s">
        <v>244</v>
      </c>
      <c r="I20" s="34">
        <f t="shared" si="2"/>
        <v>1024.890502929688</v>
      </c>
      <c r="J20" s="34">
        <f t="shared" si="2"/>
        <v>1456.985473632812</v>
      </c>
      <c r="K20" s="34">
        <f t="shared" si="2"/>
        <v>1334.710327148438</v>
      </c>
      <c r="L20" s="34">
        <f t="shared" si="2"/>
        <v>4450.47119140625</v>
      </c>
      <c r="M20" s="34">
        <f t="shared" si="2"/>
        <v>1310.787475585938</v>
      </c>
      <c r="P20" s="11">
        <f t="shared" si="3"/>
        <v>0.10700637837265485</v>
      </c>
      <c r="Q20" s="11">
        <f t="shared" si="4"/>
        <v>0.15212038596254837</v>
      </c>
      <c r="R20" s="11">
        <f t="shared" si="5"/>
        <v>0.13935392890896361</v>
      </c>
      <c r="S20" s="11">
        <f t="shared" si="6"/>
        <v>0.46466310584681908</v>
      </c>
      <c r="T20" s="11">
        <f t="shared" si="7"/>
        <v>0.13685620090901418</v>
      </c>
    </row>
    <row r="21" spans="1:20">
      <c r="A21" t="s">
        <v>72</v>
      </c>
      <c r="B21" t="s">
        <v>222</v>
      </c>
      <c r="C21" t="s">
        <v>215</v>
      </c>
      <c r="D21">
        <v>93403.5078125</v>
      </c>
      <c r="G21" t="s">
        <v>93</v>
      </c>
      <c r="H21" t="s">
        <v>213</v>
      </c>
      <c r="I21" s="34">
        <f t="shared" si="2"/>
        <v>789.77117919921875</v>
      </c>
      <c r="J21" s="34">
        <f t="shared" si="2"/>
        <v>233.87535095214841</v>
      </c>
      <c r="K21" s="34">
        <f t="shared" si="2"/>
        <v>479.86105346679688</v>
      </c>
      <c r="L21" s="34">
        <f t="shared" si="2"/>
        <v>3751.85107421875</v>
      </c>
      <c r="M21" s="34">
        <f t="shared" si="2"/>
        <v>165.72003173828119</v>
      </c>
      <c r="P21" s="11">
        <f t="shared" si="3"/>
        <v>0.14568524539552599</v>
      </c>
      <c r="Q21" s="11">
        <f t="shared" si="4"/>
        <v>4.3141847655134347E-2</v>
      </c>
      <c r="R21" s="11">
        <f t="shared" si="5"/>
        <v>8.8517632918624828E-2</v>
      </c>
      <c r="S21" s="11">
        <f t="shared" si="6"/>
        <v>0.69208570638046785</v>
      </c>
      <c r="T21" s="11">
        <f t="shared" si="7"/>
        <v>3.0569567650246984E-2</v>
      </c>
    </row>
    <row r="22" spans="1:20">
      <c r="A22" t="s">
        <v>72</v>
      </c>
      <c r="B22" t="s">
        <v>222</v>
      </c>
      <c r="C22" t="s">
        <v>216</v>
      </c>
      <c r="D22">
        <v>3830278.6714400952</v>
      </c>
      <c r="G22" t="s">
        <v>94</v>
      </c>
      <c r="H22" t="s">
        <v>238</v>
      </c>
      <c r="I22" s="34">
        <f t="shared" si="2"/>
        <v>727.13848876953125</v>
      </c>
      <c r="J22" s="34">
        <f t="shared" si="2"/>
        <v>707.8558349609375</v>
      </c>
      <c r="K22" s="34">
        <f t="shared" si="2"/>
        <v>637.67254638671875</v>
      </c>
      <c r="L22" s="34">
        <f t="shared" si="2"/>
        <v>587.70513916015625</v>
      </c>
      <c r="M22" s="34">
        <f t="shared" si="2"/>
        <v>461.58206176757813</v>
      </c>
      <c r="P22" s="11">
        <f t="shared" si="3"/>
        <v>0.23291133444706863</v>
      </c>
      <c r="Q22" s="11">
        <f t="shared" si="4"/>
        <v>0.2267348650404768</v>
      </c>
      <c r="R22" s="11">
        <f t="shared" si="5"/>
        <v>0.20425430095238042</v>
      </c>
      <c r="S22" s="11">
        <f t="shared" si="6"/>
        <v>0.18824913044395</v>
      </c>
      <c r="T22" s="11">
        <f t="shared" si="7"/>
        <v>0.14785036911612412</v>
      </c>
    </row>
    <row r="23" spans="1:20">
      <c r="A23" t="s">
        <v>72</v>
      </c>
      <c r="B23" t="s">
        <v>223</v>
      </c>
      <c r="C23" t="s">
        <v>214</v>
      </c>
      <c r="D23">
        <v>4375.38818359375</v>
      </c>
      <c r="G23" t="s">
        <v>95</v>
      </c>
      <c r="H23" t="s">
        <v>247</v>
      </c>
      <c r="I23" s="34">
        <f t="shared" si="2"/>
        <v>93.719711303710938</v>
      </c>
      <c r="J23" s="34">
        <f t="shared" si="2"/>
        <v>91.234413146972656</v>
      </c>
      <c r="K23" s="34">
        <f t="shared" si="2"/>
        <v>82.188583374023438</v>
      </c>
      <c r="L23" s="34">
        <f t="shared" si="2"/>
        <v>75.748374938964844</v>
      </c>
      <c r="M23" s="34">
        <f t="shared" si="2"/>
        <v>59.492568969726563</v>
      </c>
      <c r="P23" s="11">
        <f t="shared" si="3"/>
        <v>0.23291132952341081</v>
      </c>
      <c r="Q23" s="11">
        <f t="shared" si="4"/>
        <v>0.22673489033152999</v>
      </c>
      <c r="R23" s="11">
        <f t="shared" si="5"/>
        <v>0.20425428075909494</v>
      </c>
      <c r="S23" s="11">
        <f t="shared" si="6"/>
        <v>0.18824913639670521</v>
      </c>
      <c r="T23" s="11">
        <f t="shared" si="7"/>
        <v>0.14785036298925908</v>
      </c>
    </row>
    <row r="24" spans="1:20">
      <c r="A24" t="s">
        <v>72</v>
      </c>
      <c r="B24" t="s">
        <v>223</v>
      </c>
      <c r="C24" t="s">
        <v>215</v>
      </c>
      <c r="D24">
        <v>5525.00439453125</v>
      </c>
      <c r="G24" t="s">
        <v>96</v>
      </c>
      <c r="H24" t="s">
        <v>218</v>
      </c>
      <c r="I24" s="34">
        <f t="shared" si="2"/>
        <v>101.8675231933594</v>
      </c>
      <c r="J24" s="34">
        <f t="shared" si="2"/>
        <v>99.166175842285156</v>
      </c>
      <c r="K24" s="34">
        <f t="shared" si="2"/>
        <v>89.333908081054673</v>
      </c>
      <c r="L24" s="34">
        <f t="shared" si="2"/>
        <v>82.333778381347656</v>
      </c>
      <c r="M24" s="34">
        <f t="shared" si="2"/>
        <v>64.664741516113281</v>
      </c>
      <c r="P24" s="11">
        <f t="shared" si="3"/>
        <v>0.23291132280589563</v>
      </c>
      <c r="Q24" s="11">
        <f t="shared" si="4"/>
        <v>0.22673492462546044</v>
      </c>
      <c r="R24" s="11">
        <f t="shared" si="5"/>
        <v>0.20425429077218502</v>
      </c>
      <c r="S24" s="11">
        <f t="shared" si="6"/>
        <v>0.18824909680004098</v>
      </c>
      <c r="T24" s="11">
        <f t="shared" si="7"/>
        <v>0.14785036499641796</v>
      </c>
    </row>
    <row r="25" spans="1:20">
      <c r="A25" t="s">
        <v>72</v>
      </c>
      <c r="B25" t="s">
        <v>223</v>
      </c>
      <c r="C25" t="s">
        <v>216</v>
      </c>
      <c r="D25">
        <v>532797.31932175159</v>
      </c>
      <c r="G25" t="s">
        <v>97</v>
      </c>
      <c r="H25" t="s">
        <v>257</v>
      </c>
      <c r="I25" s="34">
        <f t="shared" si="2"/>
        <v>173.11376953125</v>
      </c>
      <c r="J25" s="34">
        <f t="shared" si="2"/>
        <v>168.5230407714844</v>
      </c>
      <c r="K25" s="34">
        <f t="shared" si="2"/>
        <v>151.8141174316406</v>
      </c>
      <c r="L25" s="34">
        <f t="shared" si="2"/>
        <v>139.9181213378906</v>
      </c>
      <c r="M25" s="34">
        <f t="shared" si="2"/>
        <v>109.8913192749023</v>
      </c>
      <c r="P25" s="11">
        <f t="shared" si="3"/>
        <v>0.23291134157497637</v>
      </c>
      <c r="Q25" s="11">
        <f t="shared" si="4"/>
        <v>0.22673486701065343</v>
      </c>
      <c r="R25" s="11">
        <f t="shared" si="5"/>
        <v>0.2042542881295267</v>
      </c>
      <c r="S25" s="11">
        <f t="shared" si="6"/>
        <v>0.18824913488800002</v>
      </c>
      <c r="T25" s="11">
        <f t="shared" si="7"/>
        <v>0.1478503683968434</v>
      </c>
    </row>
    <row r="26" spans="1:20">
      <c r="A26" t="s">
        <v>72</v>
      </c>
      <c r="B26" t="s">
        <v>224</v>
      </c>
      <c r="C26" t="s">
        <v>214</v>
      </c>
      <c r="D26">
        <v>7470.4368896484384</v>
      </c>
      <c r="G26" t="s">
        <v>98</v>
      </c>
      <c r="H26" t="s">
        <v>220</v>
      </c>
      <c r="I26" s="34">
        <f t="shared" si="2"/>
        <v>895.68414306640625</v>
      </c>
      <c r="J26" s="34">
        <f t="shared" si="2"/>
        <v>871.9320068359375</v>
      </c>
      <c r="K26" s="34">
        <f t="shared" si="2"/>
        <v>785.48065185546875</v>
      </c>
      <c r="L26" s="34">
        <f t="shared" si="2"/>
        <v>723.9310302734375</v>
      </c>
      <c r="M26" s="34">
        <f t="shared" si="2"/>
        <v>568.5736083984375</v>
      </c>
      <c r="P26" s="11">
        <f t="shared" si="3"/>
        <v>0.2329113292006483</v>
      </c>
      <c r="Q26" s="11">
        <f t="shared" si="4"/>
        <v>0.22673488668615444</v>
      </c>
      <c r="R26" s="11">
        <f t="shared" si="5"/>
        <v>0.20425430560679819</v>
      </c>
      <c r="S26" s="11">
        <f t="shared" si="6"/>
        <v>0.18824910524075247</v>
      </c>
      <c r="T26" s="11">
        <f t="shared" si="7"/>
        <v>0.1478503732656466</v>
      </c>
    </row>
    <row r="27" spans="1:20">
      <c r="A27" t="s">
        <v>72</v>
      </c>
      <c r="B27" t="s">
        <v>224</v>
      </c>
      <c r="C27" t="s">
        <v>215</v>
      </c>
      <c r="D27">
        <v>1697.544311523438</v>
      </c>
      <c r="G27" t="s">
        <v>99</v>
      </c>
      <c r="H27" t="s">
        <v>235</v>
      </c>
      <c r="I27" s="34">
        <f t="shared" si="2"/>
        <v>307.67634773254389</v>
      </c>
      <c r="J27" s="34">
        <f t="shared" si="2"/>
        <v>292.86926651000982</v>
      </c>
      <c r="K27" s="34">
        <f t="shared" si="2"/>
        <v>607.26981353759766</v>
      </c>
      <c r="L27" s="34">
        <f t="shared" si="2"/>
        <v>13.604443848133091</v>
      </c>
      <c r="M27" s="34">
        <f t="shared" si="2"/>
        <v>14.18807989358902</v>
      </c>
      <c r="P27" s="11">
        <f t="shared" si="3"/>
        <v>0.24900806712483933</v>
      </c>
      <c r="Q27" s="11">
        <f t="shared" si="4"/>
        <v>0.23702442684128783</v>
      </c>
      <c r="R27" s="11">
        <f t="shared" si="5"/>
        <v>0.49147451081844823</v>
      </c>
      <c r="S27" s="11">
        <f t="shared" si="6"/>
        <v>1.1010323971593718E-2</v>
      </c>
      <c r="T27" s="11">
        <f t="shared" si="7"/>
        <v>1.1482671243830898E-2</v>
      </c>
    </row>
    <row r="28" spans="1:20">
      <c r="A28" t="s">
        <v>72</v>
      </c>
      <c r="B28" t="s">
        <v>224</v>
      </c>
      <c r="C28" t="s">
        <v>216</v>
      </c>
      <c r="D28">
        <v>852228.55878380174</v>
      </c>
      <c r="G28" t="s">
        <v>100</v>
      </c>
      <c r="H28" t="s">
        <v>240</v>
      </c>
      <c r="I28" s="34">
        <f t="shared" si="2"/>
        <v>113.3425674438477</v>
      </c>
      <c r="J28" s="34">
        <f t="shared" si="2"/>
        <v>79.707588195800781</v>
      </c>
      <c r="K28" s="34">
        <f t="shared" si="2"/>
        <v>46.157157897949219</v>
      </c>
      <c r="L28" s="34">
        <f t="shared" si="2"/>
        <v>25.399309158325199</v>
      </c>
      <c r="M28" s="34">
        <f t="shared" si="2"/>
        <v>6.4886007308959961</v>
      </c>
      <c r="P28" s="11">
        <f t="shared" si="3"/>
        <v>0.41809134816587457</v>
      </c>
      <c r="Q28" s="11">
        <f t="shared" si="4"/>
        <v>0.2940206293133657</v>
      </c>
      <c r="R28" s="11">
        <f t="shared" si="5"/>
        <v>0.17026178961950306</v>
      </c>
      <c r="S28" s="11">
        <f t="shared" si="6"/>
        <v>9.3691466921701938E-2</v>
      </c>
      <c r="T28" s="11">
        <f t="shared" si="7"/>
        <v>2.3934765979554667E-2</v>
      </c>
    </row>
    <row r="29" spans="1:20">
      <c r="A29" t="s">
        <v>72</v>
      </c>
      <c r="B29" t="s">
        <v>225</v>
      </c>
      <c r="C29" t="s">
        <v>214</v>
      </c>
      <c r="D29">
        <v>10874.500122070311</v>
      </c>
      <c r="G29" t="s">
        <v>101</v>
      </c>
      <c r="H29" t="s">
        <v>233</v>
      </c>
      <c r="I29" s="34">
        <f t="shared" si="2"/>
        <v>1165.935546875</v>
      </c>
      <c r="J29" s="34">
        <f t="shared" si="2"/>
        <v>819.93817138671875</v>
      </c>
      <c r="K29" s="34">
        <f t="shared" si="2"/>
        <v>474.81072998046881</v>
      </c>
      <c r="L29" s="34">
        <f t="shared" si="2"/>
        <v>261.27838134765619</v>
      </c>
      <c r="M29" s="34">
        <f t="shared" si="2"/>
        <v>66.74713134765625</v>
      </c>
      <c r="P29" s="11">
        <f t="shared" si="3"/>
        <v>0.41809136238859324</v>
      </c>
      <c r="Q29" s="11">
        <f t="shared" si="4"/>
        <v>0.29402059836695044</v>
      </c>
      <c r="R29" s="11">
        <f t="shared" si="5"/>
        <v>0.17026178291443703</v>
      </c>
      <c r="S29" s="11">
        <f t="shared" si="6"/>
        <v>9.3691486388860754E-2</v>
      </c>
      <c r="T29" s="11">
        <f t="shared" si="7"/>
        <v>2.3934769941158528E-2</v>
      </c>
    </row>
    <row r="30" spans="1:20">
      <c r="A30" t="s">
        <v>72</v>
      </c>
      <c r="B30" t="s">
        <v>225</v>
      </c>
      <c r="C30" t="s">
        <v>215</v>
      </c>
      <c r="D30">
        <v>15849.104370117189</v>
      </c>
      <c r="G30" s="94" t="s">
        <v>135</v>
      </c>
      <c r="H30" t="s">
        <v>237</v>
      </c>
      <c r="I30" s="34">
        <f t="shared" si="2"/>
        <v>1166.951782226562</v>
      </c>
      <c r="J30" s="34">
        <f t="shared" si="2"/>
        <v>995.53717041015625</v>
      </c>
      <c r="K30" s="34">
        <f t="shared" si="2"/>
        <v>1105.462158203125</v>
      </c>
      <c r="L30" s="34">
        <f t="shared" si="2"/>
        <v>1455.040649414062</v>
      </c>
      <c r="M30" s="34">
        <f t="shared" si="2"/>
        <v>225.49725341796881</v>
      </c>
      <c r="P30" s="11">
        <f t="shared" si="3"/>
        <v>0.23581981873708585</v>
      </c>
      <c r="Q30" s="11">
        <f t="shared" si="4"/>
        <v>0.20118003044154453</v>
      </c>
      <c r="R30" s="11">
        <f t="shared" si="5"/>
        <v>0.22339387945470063</v>
      </c>
      <c r="S30" s="11">
        <f t="shared" si="6"/>
        <v>0.29403736077700088</v>
      </c>
      <c r="T30" s="11">
        <f t="shared" si="7"/>
        <v>4.5568910589668159E-2</v>
      </c>
    </row>
    <row r="31" spans="1:20">
      <c r="A31" t="s">
        <v>72</v>
      </c>
      <c r="B31" t="s">
        <v>225</v>
      </c>
      <c r="C31" t="s">
        <v>216</v>
      </c>
      <c r="D31">
        <v>1049481.92812774</v>
      </c>
      <c r="G31" t="s">
        <v>103</v>
      </c>
      <c r="H31" t="s">
        <v>223</v>
      </c>
      <c r="I31" s="34">
        <f t="shared" si="2"/>
        <v>2042.032836914062</v>
      </c>
      <c r="J31" s="34">
        <f t="shared" si="2"/>
        <v>1651.438232421875</v>
      </c>
      <c r="K31" s="34">
        <f t="shared" si="2"/>
        <v>741.1993408203125</v>
      </c>
      <c r="L31" s="34">
        <f t="shared" si="2"/>
        <v>2121.676513671875</v>
      </c>
      <c r="M31" s="34">
        <f t="shared" si="2"/>
        <v>74.448951721191406</v>
      </c>
      <c r="P31" s="11">
        <f t="shared" si="3"/>
        <v>0.30796195136151638</v>
      </c>
      <c r="Q31" s="11">
        <f t="shared" si="4"/>
        <v>0.24905580919953513</v>
      </c>
      <c r="R31" s="11">
        <f t="shared" si="5"/>
        <v>0.11178135396286938</v>
      </c>
      <c r="S31" s="11">
        <f t="shared" si="6"/>
        <v>0.31997313044960962</v>
      </c>
      <c r="T31" s="11">
        <f t="shared" si="7"/>
        <v>1.12277550264694E-2</v>
      </c>
    </row>
    <row r="32" spans="1:20">
      <c r="A32" t="s">
        <v>72</v>
      </c>
      <c r="B32" t="s">
        <v>226</v>
      </c>
      <c r="C32" t="s">
        <v>214</v>
      </c>
      <c r="D32">
        <v>2581.2900772094731</v>
      </c>
      <c r="G32" t="s">
        <v>104</v>
      </c>
      <c r="H32" t="s">
        <v>227</v>
      </c>
      <c r="I32" s="34">
        <f t="shared" si="2"/>
        <v>2714.447021484375</v>
      </c>
      <c r="J32" s="34">
        <f t="shared" si="2"/>
        <v>2491.727783203125</v>
      </c>
      <c r="K32" s="34">
        <f t="shared" si="2"/>
        <v>1126.371826171875</v>
      </c>
      <c r="L32" s="34">
        <f t="shared" si="2"/>
        <v>2940.95361328125</v>
      </c>
      <c r="M32" s="34">
        <f t="shared" si="2"/>
        <v>438.576416015625</v>
      </c>
      <c r="P32" s="11">
        <f t="shared" si="3"/>
        <v>0.27949192705823478</v>
      </c>
      <c r="Q32" s="11">
        <f t="shared" si="4"/>
        <v>0.2565597318053951</v>
      </c>
      <c r="R32" s="11">
        <f t="shared" si="5"/>
        <v>0.11597641427119396</v>
      </c>
      <c r="S32" s="11">
        <f t="shared" si="6"/>
        <v>0.30281408561636447</v>
      </c>
      <c r="T32" s="11">
        <f t="shared" si="7"/>
        <v>4.515784124881167E-2</v>
      </c>
    </row>
    <row r="33" spans="1:20">
      <c r="A33" t="s">
        <v>72</v>
      </c>
      <c r="B33" t="s">
        <v>226</v>
      </c>
      <c r="C33" t="s">
        <v>215</v>
      </c>
      <c r="D33">
        <v>7671.3724632263184</v>
      </c>
      <c r="G33" t="s">
        <v>105</v>
      </c>
      <c r="H33" t="s">
        <v>241</v>
      </c>
      <c r="I33" s="34">
        <f t="shared" si="2"/>
        <v>60.852405548095703</v>
      </c>
      <c r="J33" s="34">
        <f t="shared" si="2"/>
        <v>91.472602844238281</v>
      </c>
      <c r="K33" s="34">
        <f t="shared" si="2"/>
        <v>60.301860809326172</v>
      </c>
      <c r="L33" s="34">
        <f t="shared" si="2"/>
        <v>3623.914794921875</v>
      </c>
      <c r="M33" s="34">
        <f t="shared" si="2"/>
        <v>152.5564880371094</v>
      </c>
      <c r="P33" s="11">
        <f t="shared" si="3"/>
        <v>1.5254677430069192E-2</v>
      </c>
      <c r="Q33" s="11">
        <f t="shared" si="4"/>
        <v>2.2930647318039368E-2</v>
      </c>
      <c r="R33" s="11">
        <f t="shared" si="5"/>
        <v>1.5116665098015809E-2</v>
      </c>
      <c r="S33" s="11">
        <f t="shared" si="6"/>
        <v>0.90845465734129094</v>
      </c>
      <c r="T33" s="11">
        <f t="shared" si="7"/>
        <v>3.8243352812584751E-2</v>
      </c>
    </row>
    <row r="34" spans="1:20">
      <c r="A34" t="s">
        <v>72</v>
      </c>
      <c r="B34" t="s">
        <v>226</v>
      </c>
      <c r="C34" t="s">
        <v>216</v>
      </c>
      <c r="D34">
        <v>1088755.164506712</v>
      </c>
      <c r="G34" t="s">
        <v>106</v>
      </c>
      <c r="H34" t="s">
        <v>222</v>
      </c>
      <c r="I34" s="34">
        <f t="shared" si="2"/>
        <v>1.886375904083252</v>
      </c>
      <c r="J34" s="34">
        <f t="shared" si="2"/>
        <v>2.038241863250732</v>
      </c>
      <c r="K34" s="34">
        <f t="shared" si="2"/>
        <v>0.32426086068153381</v>
      </c>
      <c r="L34" s="34">
        <f t="shared" si="2"/>
        <v>0.68777984380722046</v>
      </c>
      <c r="M34" s="34">
        <f t="shared" si="2"/>
        <v>1.8095750361680981E-2</v>
      </c>
      <c r="P34" s="11">
        <f t="shared" si="3"/>
        <v>0.38072037875000769</v>
      </c>
      <c r="Q34" s="11">
        <f t="shared" si="4"/>
        <v>0.41137093220985749</v>
      </c>
      <c r="R34" s="11">
        <f t="shared" si="5"/>
        <v>6.544438858938513E-2</v>
      </c>
      <c r="S34" s="11">
        <f t="shared" si="6"/>
        <v>0.13881210105796057</v>
      </c>
      <c r="T34" s="11">
        <f t="shared" si="7"/>
        <v>3.6521993927890626E-3</v>
      </c>
    </row>
    <row r="35" spans="1:20">
      <c r="A35" t="s">
        <v>72</v>
      </c>
      <c r="B35" t="s">
        <v>227</v>
      </c>
      <c r="C35" t="s">
        <v>214</v>
      </c>
      <c r="D35">
        <v>6972.61962890625</v>
      </c>
    </row>
    <row r="36" spans="1:20">
      <c r="A36" t="s">
        <v>72</v>
      </c>
      <c r="B36" t="s">
        <v>227</v>
      </c>
      <c r="C36" t="s">
        <v>215</v>
      </c>
      <c r="D36">
        <v>7426.9462890625</v>
      </c>
    </row>
    <row r="37" spans="1:20">
      <c r="A37" t="s">
        <v>72</v>
      </c>
      <c r="B37" t="s">
        <v>227</v>
      </c>
      <c r="C37" t="s">
        <v>216</v>
      </c>
      <c r="D37">
        <v>784565.34120023251</v>
      </c>
    </row>
    <row r="38" spans="1:20">
      <c r="A38" t="s">
        <v>72</v>
      </c>
      <c r="B38" t="s">
        <v>228</v>
      </c>
      <c r="C38" t="s">
        <v>214</v>
      </c>
      <c r="D38">
        <v>246.6889953613281</v>
      </c>
    </row>
    <row r="39" spans="1:20">
      <c r="A39" t="s">
        <v>72</v>
      </c>
      <c r="B39" t="s">
        <v>228</v>
      </c>
      <c r="C39" t="s">
        <v>215</v>
      </c>
      <c r="D39">
        <v>64.708030700683594</v>
      </c>
      <c r="I39" t="s">
        <v>252</v>
      </c>
      <c r="J39" t="s">
        <v>254</v>
      </c>
      <c r="K39" t="s">
        <v>251</v>
      </c>
      <c r="L39" t="s">
        <v>253</v>
      </c>
      <c r="M39" t="s">
        <v>250</v>
      </c>
    </row>
    <row r="40" spans="1:20">
      <c r="A40" t="s">
        <v>72</v>
      </c>
      <c r="B40" t="s">
        <v>228</v>
      </c>
      <c r="C40" t="s">
        <v>216</v>
      </c>
      <c r="D40">
        <v>46906.588512134738</v>
      </c>
    </row>
    <row r="41" spans="1:20">
      <c r="A41" t="s">
        <v>72</v>
      </c>
      <c r="B41" t="s">
        <v>229</v>
      </c>
      <c r="C41" t="s">
        <v>214</v>
      </c>
      <c r="D41">
        <v>5457.52734375</v>
      </c>
    </row>
    <row r="42" spans="1:20">
      <c r="A42" t="s">
        <v>72</v>
      </c>
      <c r="B42" t="s">
        <v>229</v>
      </c>
      <c r="C42" t="s">
        <v>215</v>
      </c>
      <c r="D42">
        <v>681.59368896484375</v>
      </c>
    </row>
    <row r="43" spans="1:20">
      <c r="A43" t="s">
        <v>72</v>
      </c>
      <c r="B43" t="s">
        <v>229</v>
      </c>
      <c r="C43" t="s">
        <v>216</v>
      </c>
      <c r="D43">
        <v>360029.01530401409</v>
      </c>
    </row>
    <row r="44" spans="1:20">
      <c r="A44" t="s">
        <v>72</v>
      </c>
      <c r="B44" t="s">
        <v>230</v>
      </c>
      <c r="C44" t="s">
        <v>214</v>
      </c>
      <c r="D44">
        <v>6356.2724609375</v>
      </c>
    </row>
    <row r="45" spans="1:20">
      <c r="A45" t="s">
        <v>72</v>
      </c>
      <c r="B45" t="s">
        <v>230</v>
      </c>
      <c r="C45" t="s">
        <v>215</v>
      </c>
      <c r="D45">
        <v>727.36700439453125</v>
      </c>
    </row>
    <row r="46" spans="1:20">
      <c r="A46" t="s">
        <v>72</v>
      </c>
      <c r="B46" t="s">
        <v>230</v>
      </c>
      <c r="C46" t="s">
        <v>216</v>
      </c>
      <c r="D46">
        <v>438127.44250688743</v>
      </c>
    </row>
    <row r="47" spans="1:20">
      <c r="A47" t="s">
        <v>72</v>
      </c>
      <c r="B47" t="s">
        <v>231</v>
      </c>
      <c r="C47" t="s">
        <v>214</v>
      </c>
      <c r="D47">
        <v>28777.58984375</v>
      </c>
    </row>
    <row r="48" spans="1:20">
      <c r="A48" t="s">
        <v>72</v>
      </c>
      <c r="B48" t="s">
        <v>231</v>
      </c>
      <c r="C48" t="s">
        <v>215</v>
      </c>
      <c r="D48">
        <v>4159.8125</v>
      </c>
    </row>
    <row r="49" spans="1:4">
      <c r="A49" t="s">
        <v>72</v>
      </c>
      <c r="B49" t="s">
        <v>231</v>
      </c>
      <c r="C49" t="s">
        <v>216</v>
      </c>
      <c r="D49">
        <v>831171.36957978283</v>
      </c>
    </row>
    <row r="50" spans="1:4">
      <c r="A50" t="s">
        <v>72</v>
      </c>
      <c r="B50" t="s">
        <v>232</v>
      </c>
      <c r="C50" t="s">
        <v>214</v>
      </c>
      <c r="D50">
        <v>37083.188951432698</v>
      </c>
    </row>
    <row r="51" spans="1:4">
      <c r="A51" t="s">
        <v>72</v>
      </c>
      <c r="B51" t="s">
        <v>232</v>
      </c>
      <c r="C51" t="s">
        <v>215</v>
      </c>
      <c r="D51">
        <v>69513.084716796875</v>
      </c>
    </row>
    <row r="52" spans="1:4">
      <c r="A52" t="s">
        <v>72</v>
      </c>
      <c r="B52" t="s">
        <v>232</v>
      </c>
      <c r="C52" t="s">
        <v>216</v>
      </c>
      <c r="D52">
        <v>1103538.661532064</v>
      </c>
    </row>
    <row r="53" spans="1:4">
      <c r="A53" t="s">
        <v>72</v>
      </c>
      <c r="B53" t="s">
        <v>233</v>
      </c>
      <c r="C53" t="s">
        <v>214</v>
      </c>
      <c r="D53">
        <v>9974.0390625</v>
      </c>
    </row>
    <row r="54" spans="1:4">
      <c r="A54" t="s">
        <v>72</v>
      </c>
      <c r="B54" t="s">
        <v>233</v>
      </c>
      <c r="C54" t="s">
        <v>215</v>
      </c>
      <c r="D54">
        <v>27300.228515625</v>
      </c>
    </row>
    <row r="55" spans="1:4">
      <c r="A55" t="s">
        <v>72</v>
      </c>
      <c r="B55" t="s">
        <v>233</v>
      </c>
      <c r="C55" t="s">
        <v>216</v>
      </c>
      <c r="D55">
        <v>2621666.1710407729</v>
      </c>
    </row>
    <row r="56" spans="1:4">
      <c r="A56" t="s">
        <v>72</v>
      </c>
      <c r="B56" t="s">
        <v>234</v>
      </c>
      <c r="C56" t="s">
        <v>214</v>
      </c>
      <c r="D56">
        <v>4413.478515625</v>
      </c>
    </row>
    <row r="57" spans="1:4">
      <c r="A57" t="s">
        <v>72</v>
      </c>
      <c r="B57" t="s">
        <v>234</v>
      </c>
      <c r="C57" t="s">
        <v>215</v>
      </c>
      <c r="D57">
        <v>826.56396484375</v>
      </c>
    </row>
    <row r="58" spans="1:4">
      <c r="A58" t="s">
        <v>72</v>
      </c>
      <c r="B58" t="s">
        <v>234</v>
      </c>
      <c r="C58" t="s">
        <v>216</v>
      </c>
      <c r="D58">
        <v>172165.5483831107</v>
      </c>
    </row>
    <row r="59" spans="1:4">
      <c r="A59" t="s">
        <v>72</v>
      </c>
      <c r="B59" t="s">
        <v>235</v>
      </c>
      <c r="C59" t="s">
        <v>214</v>
      </c>
      <c r="D59">
        <v>21183.024536132809</v>
      </c>
    </row>
    <row r="60" spans="1:4">
      <c r="A60" t="s">
        <v>72</v>
      </c>
      <c r="B60" t="s">
        <v>235</v>
      </c>
      <c r="C60" t="s">
        <v>215</v>
      </c>
      <c r="D60">
        <v>14638.7236328125</v>
      </c>
    </row>
    <row r="61" spans="1:4">
      <c r="A61" t="s">
        <v>72</v>
      </c>
      <c r="B61" t="s">
        <v>235</v>
      </c>
      <c r="C61" t="s">
        <v>216</v>
      </c>
      <c r="D61">
        <v>2124569.0269769728</v>
      </c>
    </row>
    <row r="62" spans="1:4">
      <c r="A62" t="s">
        <v>72</v>
      </c>
      <c r="B62" t="s">
        <v>236</v>
      </c>
      <c r="C62" t="s">
        <v>214</v>
      </c>
      <c r="D62">
        <v>5317.21728515625</v>
      </c>
    </row>
    <row r="63" spans="1:4">
      <c r="A63" t="s">
        <v>72</v>
      </c>
      <c r="B63" t="s">
        <v>236</v>
      </c>
      <c r="C63" t="s">
        <v>215</v>
      </c>
      <c r="D63">
        <v>1836.216674804688</v>
      </c>
    </row>
    <row r="64" spans="1:4">
      <c r="A64" t="s">
        <v>72</v>
      </c>
      <c r="B64" t="s">
        <v>236</v>
      </c>
      <c r="C64" t="s">
        <v>216</v>
      </c>
      <c r="D64">
        <v>331530.70114479831</v>
      </c>
    </row>
    <row r="65" spans="1:4">
      <c r="A65" t="s">
        <v>72</v>
      </c>
      <c r="B65" t="s">
        <v>237</v>
      </c>
      <c r="C65" t="s">
        <v>214</v>
      </c>
      <c r="D65">
        <v>8595.2138671875</v>
      </c>
    </row>
    <row r="66" spans="1:4">
      <c r="A66" t="s">
        <v>72</v>
      </c>
      <c r="B66" t="s">
        <v>237</v>
      </c>
      <c r="C66" t="s">
        <v>215</v>
      </c>
      <c r="D66">
        <v>10585.5693359375</v>
      </c>
    </row>
    <row r="67" spans="1:4">
      <c r="A67" t="s">
        <v>72</v>
      </c>
      <c r="B67" t="s">
        <v>237</v>
      </c>
      <c r="C67" t="s">
        <v>216</v>
      </c>
      <c r="D67">
        <v>1319989.128066659</v>
      </c>
    </row>
    <row r="68" spans="1:4">
      <c r="A68" t="s">
        <v>72</v>
      </c>
      <c r="B68" t="s">
        <v>238</v>
      </c>
      <c r="C68" t="s">
        <v>214</v>
      </c>
      <c r="D68">
        <v>4549.44873046875</v>
      </c>
    </row>
    <row r="69" spans="1:4">
      <c r="A69" t="s">
        <v>72</v>
      </c>
      <c r="B69" t="s">
        <v>238</v>
      </c>
      <c r="C69" t="s">
        <v>215</v>
      </c>
      <c r="D69">
        <v>15927.908203125</v>
      </c>
    </row>
    <row r="70" spans="1:4">
      <c r="A70" t="s">
        <v>72</v>
      </c>
      <c r="B70" t="s">
        <v>238</v>
      </c>
      <c r="C70" t="s">
        <v>216</v>
      </c>
      <c r="D70">
        <v>979811.20397251844</v>
      </c>
    </row>
    <row r="71" spans="1:4">
      <c r="A71" t="s">
        <v>72</v>
      </c>
      <c r="B71" t="s">
        <v>239</v>
      </c>
      <c r="C71" t="s">
        <v>214</v>
      </c>
      <c r="D71">
        <v>942.35479736328125</v>
      </c>
    </row>
    <row r="72" spans="1:4">
      <c r="A72" t="s">
        <v>72</v>
      </c>
      <c r="B72" t="s">
        <v>239</v>
      </c>
      <c r="C72" t="s">
        <v>215</v>
      </c>
      <c r="D72">
        <v>782.83477783203125</v>
      </c>
    </row>
    <row r="73" spans="1:4">
      <c r="A73" t="s">
        <v>72</v>
      </c>
      <c r="B73" t="s">
        <v>239</v>
      </c>
      <c r="C73" t="s">
        <v>216</v>
      </c>
      <c r="D73">
        <v>241237.40525467129</v>
      </c>
    </row>
    <row r="74" spans="1:4">
      <c r="A74" t="s">
        <v>72</v>
      </c>
      <c r="B74" t="s">
        <v>240</v>
      </c>
      <c r="C74" t="s">
        <v>214</v>
      </c>
      <c r="D74">
        <v>4407.41943359375</v>
      </c>
    </row>
    <row r="75" spans="1:4">
      <c r="A75" t="s">
        <v>72</v>
      </c>
      <c r="B75" t="s">
        <v>240</v>
      </c>
      <c r="C75" t="s">
        <v>215</v>
      </c>
      <c r="D75">
        <v>23703.279296875</v>
      </c>
    </row>
    <row r="76" spans="1:4">
      <c r="A76" t="s">
        <v>72</v>
      </c>
      <c r="B76" t="s">
        <v>240</v>
      </c>
      <c r="C76" t="s">
        <v>216</v>
      </c>
      <c r="D76">
        <v>2123675.529138505</v>
      </c>
    </row>
    <row r="77" spans="1:4">
      <c r="A77" t="s">
        <v>72</v>
      </c>
      <c r="B77" t="s">
        <v>241</v>
      </c>
      <c r="C77" t="s">
        <v>214</v>
      </c>
      <c r="D77">
        <v>2766.489013671875</v>
      </c>
    </row>
    <row r="78" spans="1:4">
      <c r="A78" t="s">
        <v>72</v>
      </c>
      <c r="B78" t="s">
        <v>241</v>
      </c>
      <c r="C78" t="s">
        <v>215</v>
      </c>
      <c r="D78">
        <v>3333.366943359375</v>
      </c>
    </row>
    <row r="79" spans="1:4">
      <c r="A79" t="s">
        <v>72</v>
      </c>
      <c r="B79" t="s">
        <v>241</v>
      </c>
      <c r="C79" t="s">
        <v>216</v>
      </c>
      <c r="D79">
        <v>786431.29499006271</v>
      </c>
    </row>
    <row r="80" spans="1:4">
      <c r="A80" t="s">
        <v>72</v>
      </c>
      <c r="B80" t="s">
        <v>242</v>
      </c>
      <c r="C80" t="s">
        <v>214</v>
      </c>
      <c r="D80">
        <v>4835.74267578125</v>
      </c>
    </row>
    <row r="81" spans="1:4">
      <c r="A81" t="s">
        <v>72</v>
      </c>
      <c r="B81" t="s">
        <v>242</v>
      </c>
      <c r="C81" t="s">
        <v>215</v>
      </c>
      <c r="D81">
        <v>1064.93310546875</v>
      </c>
    </row>
    <row r="82" spans="1:4">
      <c r="A82" t="s">
        <v>72</v>
      </c>
      <c r="B82" t="s">
        <v>242</v>
      </c>
      <c r="C82" t="s">
        <v>216</v>
      </c>
      <c r="D82">
        <v>223947.7757955885</v>
      </c>
    </row>
    <row r="83" spans="1:4">
      <c r="A83" t="s">
        <v>72</v>
      </c>
      <c r="B83" t="s">
        <v>243</v>
      </c>
      <c r="C83" t="s">
        <v>214</v>
      </c>
      <c r="D83">
        <v>2122.5707397460942</v>
      </c>
    </row>
    <row r="84" spans="1:4">
      <c r="A84" t="s">
        <v>72</v>
      </c>
      <c r="B84" t="s">
        <v>243</v>
      </c>
      <c r="C84" t="s">
        <v>215</v>
      </c>
      <c r="D84">
        <v>425.10218811035162</v>
      </c>
    </row>
    <row r="85" spans="1:4">
      <c r="A85" t="s">
        <v>72</v>
      </c>
      <c r="B85" t="s">
        <v>243</v>
      </c>
      <c r="C85" t="s">
        <v>216</v>
      </c>
      <c r="D85">
        <v>279445.83745137142</v>
      </c>
    </row>
    <row r="86" spans="1:4">
      <c r="A86" t="s">
        <v>72</v>
      </c>
      <c r="B86" t="s">
        <v>244</v>
      </c>
      <c r="C86" t="s">
        <v>214</v>
      </c>
      <c r="D86">
        <v>11763.5537109375</v>
      </c>
    </row>
    <row r="87" spans="1:4">
      <c r="A87" t="s">
        <v>72</v>
      </c>
      <c r="B87" t="s">
        <v>244</v>
      </c>
      <c r="C87" t="s">
        <v>215</v>
      </c>
      <c r="D87">
        <v>24517.990234375</v>
      </c>
    </row>
    <row r="88" spans="1:4">
      <c r="A88" t="s">
        <v>72</v>
      </c>
      <c r="B88" t="s">
        <v>244</v>
      </c>
      <c r="C88" t="s">
        <v>216</v>
      </c>
      <c r="D88">
        <v>3626547.257455111</v>
      </c>
    </row>
    <row r="89" spans="1:4">
      <c r="A89" t="s">
        <v>72</v>
      </c>
      <c r="B89" t="s">
        <v>245</v>
      </c>
      <c r="C89" t="s">
        <v>214</v>
      </c>
      <c r="D89">
        <v>5731.4056396484384</v>
      </c>
    </row>
    <row r="90" spans="1:4">
      <c r="A90" t="s">
        <v>72</v>
      </c>
      <c r="B90" t="s">
        <v>245</v>
      </c>
      <c r="C90" t="s">
        <v>215</v>
      </c>
      <c r="D90">
        <v>805.12420654296875</v>
      </c>
    </row>
    <row r="91" spans="1:4">
      <c r="A91" t="s">
        <v>72</v>
      </c>
      <c r="B91" t="s">
        <v>245</v>
      </c>
      <c r="C91" t="s">
        <v>216</v>
      </c>
      <c r="D91">
        <v>523646.66041175509</v>
      </c>
    </row>
    <row r="92" spans="1:4">
      <c r="A92" t="s">
        <v>72</v>
      </c>
      <c r="B92" t="s">
        <v>257</v>
      </c>
      <c r="C92" t="s">
        <v>214</v>
      </c>
      <c r="D92">
        <v>2265.693603515625</v>
      </c>
    </row>
    <row r="93" spans="1:4">
      <c r="A93" t="s">
        <v>72</v>
      </c>
      <c r="B93" t="s">
        <v>257</v>
      </c>
      <c r="C93" t="s">
        <v>215</v>
      </c>
      <c r="D93">
        <v>1934.7763671875</v>
      </c>
    </row>
    <row r="94" spans="1:4">
      <c r="A94" t="s">
        <v>72</v>
      </c>
      <c r="B94" t="s">
        <v>257</v>
      </c>
      <c r="C94" t="s">
        <v>216</v>
      </c>
      <c r="D94">
        <v>281072.20933227241</v>
      </c>
    </row>
    <row r="95" spans="1:4">
      <c r="A95" t="s">
        <v>72</v>
      </c>
      <c r="B95" t="s">
        <v>246</v>
      </c>
      <c r="C95" t="s">
        <v>214</v>
      </c>
      <c r="D95">
        <v>919.20013427734375</v>
      </c>
    </row>
    <row r="96" spans="1:4">
      <c r="A96" t="s">
        <v>72</v>
      </c>
      <c r="B96" t="s">
        <v>246</v>
      </c>
      <c r="C96" t="s">
        <v>215</v>
      </c>
      <c r="D96">
        <v>1106.278076171875</v>
      </c>
    </row>
    <row r="97" spans="1:4">
      <c r="A97" t="s">
        <v>72</v>
      </c>
      <c r="B97" t="s">
        <v>246</v>
      </c>
      <c r="C97" t="s">
        <v>216</v>
      </c>
      <c r="D97">
        <v>95393.687135891741</v>
      </c>
    </row>
    <row r="98" spans="1:4">
      <c r="A98" t="s">
        <v>72</v>
      </c>
      <c r="B98" t="s">
        <v>247</v>
      </c>
      <c r="C98" t="s">
        <v>214</v>
      </c>
      <c r="D98">
        <v>940.7261962890625</v>
      </c>
    </row>
    <row r="99" spans="1:4">
      <c r="A99" t="s">
        <v>72</v>
      </c>
      <c r="B99" t="s">
        <v>247</v>
      </c>
      <c r="C99" t="s">
        <v>215</v>
      </c>
      <c r="D99">
        <v>1628.743041992188</v>
      </c>
    </row>
    <row r="100" spans="1:4">
      <c r="A100" t="s">
        <v>72</v>
      </c>
      <c r="B100" t="s">
        <v>247</v>
      </c>
      <c r="C100" t="s">
        <v>216</v>
      </c>
      <c r="D100">
        <v>139181.71580909239</v>
      </c>
    </row>
    <row r="101" spans="1:4">
      <c r="A101" t="s">
        <v>248</v>
      </c>
      <c r="B101" t="s">
        <v>213</v>
      </c>
      <c r="C101" t="s">
        <v>214</v>
      </c>
      <c r="D101">
        <v>0</v>
      </c>
    </row>
    <row r="102" spans="1:4">
      <c r="A102" t="s">
        <v>248</v>
      </c>
      <c r="B102" t="s">
        <v>213</v>
      </c>
      <c r="C102" t="s">
        <v>215</v>
      </c>
      <c r="D102">
        <v>0</v>
      </c>
    </row>
    <row r="103" spans="1:4">
      <c r="A103" t="s">
        <v>248</v>
      </c>
      <c r="B103" t="s">
        <v>213</v>
      </c>
      <c r="C103" t="s">
        <v>216</v>
      </c>
      <c r="D103">
        <v>0</v>
      </c>
    </row>
    <row r="104" spans="1:4">
      <c r="A104" t="s">
        <v>248</v>
      </c>
      <c r="B104" t="s">
        <v>217</v>
      </c>
      <c r="C104" t="s">
        <v>214</v>
      </c>
      <c r="D104">
        <v>244.3335921745747</v>
      </c>
    </row>
    <row r="105" spans="1:4">
      <c r="A105" t="s">
        <v>248</v>
      </c>
      <c r="B105" t="s">
        <v>217</v>
      </c>
      <c r="C105" t="s">
        <v>215</v>
      </c>
      <c r="D105">
        <v>4226.3054370880127</v>
      </c>
    </row>
    <row r="106" spans="1:4">
      <c r="A106" t="s">
        <v>248</v>
      </c>
      <c r="B106" t="s">
        <v>217</v>
      </c>
      <c r="C106" t="s">
        <v>216</v>
      </c>
      <c r="D106">
        <v>774150.12731947203</v>
      </c>
    </row>
    <row r="107" spans="1:4">
      <c r="A107" t="s">
        <v>248</v>
      </c>
      <c r="B107" t="s">
        <v>218</v>
      </c>
      <c r="C107" t="s">
        <v>214</v>
      </c>
      <c r="D107">
        <v>0</v>
      </c>
    </row>
    <row r="108" spans="1:4">
      <c r="A108" t="s">
        <v>248</v>
      </c>
      <c r="B108" t="s">
        <v>218</v>
      </c>
      <c r="C108" t="s">
        <v>215</v>
      </c>
      <c r="D108">
        <v>0</v>
      </c>
    </row>
    <row r="109" spans="1:4">
      <c r="A109" t="s">
        <v>248</v>
      </c>
      <c r="B109" t="s">
        <v>218</v>
      </c>
      <c r="C109" t="s">
        <v>216</v>
      </c>
      <c r="D109">
        <v>0</v>
      </c>
    </row>
    <row r="110" spans="1:4">
      <c r="A110" t="s">
        <v>248</v>
      </c>
      <c r="B110" t="s">
        <v>219</v>
      </c>
      <c r="C110" t="s">
        <v>214</v>
      </c>
      <c r="D110">
        <v>0</v>
      </c>
    </row>
    <row r="111" spans="1:4">
      <c r="A111" t="s">
        <v>248</v>
      </c>
      <c r="B111" t="s">
        <v>219</v>
      </c>
      <c r="C111" t="s">
        <v>215</v>
      </c>
      <c r="D111">
        <v>0</v>
      </c>
    </row>
    <row r="112" spans="1:4">
      <c r="A112" t="s">
        <v>248</v>
      </c>
      <c r="B112" t="s">
        <v>219</v>
      </c>
      <c r="C112" t="s">
        <v>216</v>
      </c>
      <c r="D112">
        <v>0</v>
      </c>
    </row>
    <row r="113" spans="1:4">
      <c r="A113" t="s">
        <v>248</v>
      </c>
      <c r="B113" t="s">
        <v>220</v>
      </c>
      <c r="C113" t="s">
        <v>214</v>
      </c>
      <c r="D113">
        <v>0</v>
      </c>
    </row>
    <row r="114" spans="1:4">
      <c r="A114" t="s">
        <v>248</v>
      </c>
      <c r="B114" t="s">
        <v>220</v>
      </c>
      <c r="C114" t="s">
        <v>215</v>
      </c>
      <c r="D114">
        <v>0</v>
      </c>
    </row>
    <row r="115" spans="1:4">
      <c r="A115" t="s">
        <v>248</v>
      </c>
      <c r="B115" t="s">
        <v>220</v>
      </c>
      <c r="C115" t="s">
        <v>216</v>
      </c>
      <c r="D115">
        <v>0</v>
      </c>
    </row>
    <row r="116" spans="1:4">
      <c r="A116" t="s">
        <v>248</v>
      </c>
      <c r="B116" t="s">
        <v>221</v>
      </c>
      <c r="C116" t="s">
        <v>214</v>
      </c>
      <c r="D116">
        <v>0</v>
      </c>
    </row>
    <row r="117" spans="1:4">
      <c r="A117" t="s">
        <v>248</v>
      </c>
      <c r="B117" t="s">
        <v>221</v>
      </c>
      <c r="C117" t="s">
        <v>215</v>
      </c>
      <c r="D117">
        <v>0</v>
      </c>
    </row>
    <row r="118" spans="1:4">
      <c r="A118" t="s">
        <v>248</v>
      </c>
      <c r="B118" t="s">
        <v>221</v>
      </c>
      <c r="C118" t="s">
        <v>216</v>
      </c>
      <c r="D118">
        <v>0</v>
      </c>
    </row>
    <row r="119" spans="1:4">
      <c r="A119" t="s">
        <v>248</v>
      </c>
      <c r="B119" t="s">
        <v>222</v>
      </c>
      <c r="C119" t="s">
        <v>214</v>
      </c>
      <c r="D119">
        <v>0</v>
      </c>
    </row>
    <row r="120" spans="1:4">
      <c r="A120" t="s">
        <v>248</v>
      </c>
      <c r="B120" t="s">
        <v>222</v>
      </c>
      <c r="C120" t="s">
        <v>215</v>
      </c>
      <c r="D120">
        <v>0</v>
      </c>
    </row>
    <row r="121" spans="1:4">
      <c r="A121" t="s">
        <v>248</v>
      </c>
      <c r="B121" t="s">
        <v>222</v>
      </c>
      <c r="C121" t="s">
        <v>216</v>
      </c>
      <c r="D121">
        <v>0</v>
      </c>
    </row>
    <row r="122" spans="1:4">
      <c r="A122" t="s">
        <v>248</v>
      </c>
      <c r="B122" t="s">
        <v>223</v>
      </c>
      <c r="C122" t="s">
        <v>214</v>
      </c>
      <c r="D122">
        <v>0</v>
      </c>
    </row>
    <row r="123" spans="1:4">
      <c r="A123" t="s">
        <v>248</v>
      </c>
      <c r="B123" t="s">
        <v>223</v>
      </c>
      <c r="C123" t="s">
        <v>215</v>
      </c>
      <c r="D123">
        <v>0</v>
      </c>
    </row>
    <row r="124" spans="1:4">
      <c r="A124" t="s">
        <v>248</v>
      </c>
      <c r="B124" t="s">
        <v>223</v>
      </c>
      <c r="C124" t="s">
        <v>216</v>
      </c>
      <c r="D124">
        <v>0</v>
      </c>
    </row>
    <row r="125" spans="1:4">
      <c r="A125" t="s">
        <v>248</v>
      </c>
      <c r="B125" t="s">
        <v>224</v>
      </c>
      <c r="C125" t="s">
        <v>214</v>
      </c>
      <c r="D125">
        <v>0</v>
      </c>
    </row>
    <row r="126" spans="1:4">
      <c r="A126" t="s">
        <v>248</v>
      </c>
      <c r="B126" t="s">
        <v>224</v>
      </c>
      <c r="C126" t="s">
        <v>215</v>
      </c>
      <c r="D126">
        <v>0</v>
      </c>
    </row>
    <row r="127" spans="1:4">
      <c r="A127" t="s">
        <v>248</v>
      </c>
      <c r="B127" t="s">
        <v>224</v>
      </c>
      <c r="C127" t="s">
        <v>216</v>
      </c>
      <c r="D127">
        <v>0</v>
      </c>
    </row>
    <row r="128" spans="1:4">
      <c r="A128" t="s">
        <v>248</v>
      </c>
      <c r="B128" t="s">
        <v>225</v>
      </c>
      <c r="C128" t="s">
        <v>214</v>
      </c>
      <c r="D128">
        <v>0</v>
      </c>
    </row>
    <row r="129" spans="1:4">
      <c r="A129" t="s">
        <v>248</v>
      </c>
      <c r="B129" t="s">
        <v>225</v>
      </c>
      <c r="C129" t="s">
        <v>215</v>
      </c>
      <c r="D129">
        <v>0</v>
      </c>
    </row>
    <row r="130" spans="1:4">
      <c r="A130" t="s">
        <v>248</v>
      </c>
      <c r="B130" t="s">
        <v>225</v>
      </c>
      <c r="C130" t="s">
        <v>216</v>
      </c>
      <c r="D130">
        <v>0</v>
      </c>
    </row>
    <row r="131" spans="1:4">
      <c r="A131" t="s">
        <v>248</v>
      </c>
      <c r="B131" t="s">
        <v>226</v>
      </c>
      <c r="C131" t="s">
        <v>214</v>
      </c>
      <c r="D131">
        <v>0</v>
      </c>
    </row>
    <row r="132" spans="1:4">
      <c r="A132" t="s">
        <v>248</v>
      </c>
      <c r="B132" t="s">
        <v>226</v>
      </c>
      <c r="C132" t="s">
        <v>215</v>
      </c>
      <c r="D132">
        <v>0</v>
      </c>
    </row>
    <row r="133" spans="1:4">
      <c r="A133" t="s">
        <v>248</v>
      </c>
      <c r="B133" t="s">
        <v>226</v>
      </c>
      <c r="C133" t="s">
        <v>216</v>
      </c>
      <c r="D133">
        <v>0</v>
      </c>
    </row>
    <row r="134" spans="1:4">
      <c r="A134" t="s">
        <v>248</v>
      </c>
      <c r="B134" t="s">
        <v>227</v>
      </c>
      <c r="C134" t="s">
        <v>214</v>
      </c>
      <c r="D134">
        <v>0</v>
      </c>
    </row>
    <row r="135" spans="1:4">
      <c r="A135" t="s">
        <v>248</v>
      </c>
      <c r="B135" t="s">
        <v>227</v>
      </c>
      <c r="C135" t="s">
        <v>215</v>
      </c>
      <c r="D135">
        <v>0</v>
      </c>
    </row>
    <row r="136" spans="1:4">
      <c r="A136" t="s">
        <v>248</v>
      </c>
      <c r="B136" t="s">
        <v>227</v>
      </c>
      <c r="C136" t="s">
        <v>216</v>
      </c>
      <c r="D136">
        <v>0</v>
      </c>
    </row>
    <row r="137" spans="1:4">
      <c r="A137" t="s">
        <v>248</v>
      </c>
      <c r="B137" t="s">
        <v>228</v>
      </c>
      <c r="C137" t="s">
        <v>214</v>
      </c>
      <c r="D137">
        <v>0</v>
      </c>
    </row>
    <row r="138" spans="1:4">
      <c r="A138" t="s">
        <v>248</v>
      </c>
      <c r="B138" t="s">
        <v>228</v>
      </c>
      <c r="C138" t="s">
        <v>215</v>
      </c>
      <c r="D138">
        <v>0</v>
      </c>
    </row>
    <row r="139" spans="1:4">
      <c r="A139" t="s">
        <v>248</v>
      </c>
      <c r="B139" t="s">
        <v>228</v>
      </c>
      <c r="C139" t="s">
        <v>216</v>
      </c>
      <c r="D139">
        <v>0</v>
      </c>
    </row>
    <row r="140" spans="1:4">
      <c r="A140" t="s">
        <v>248</v>
      </c>
      <c r="B140" t="s">
        <v>229</v>
      </c>
      <c r="C140" t="s">
        <v>214</v>
      </c>
      <c r="D140">
        <v>0</v>
      </c>
    </row>
    <row r="141" spans="1:4">
      <c r="A141" t="s">
        <v>248</v>
      </c>
      <c r="B141" t="s">
        <v>229</v>
      </c>
      <c r="C141" t="s">
        <v>215</v>
      </c>
      <c r="D141">
        <v>0</v>
      </c>
    </row>
    <row r="142" spans="1:4">
      <c r="A142" t="s">
        <v>248</v>
      </c>
      <c r="B142" t="s">
        <v>229</v>
      </c>
      <c r="C142" t="s">
        <v>216</v>
      </c>
      <c r="D142">
        <v>0</v>
      </c>
    </row>
    <row r="143" spans="1:4">
      <c r="A143" t="s">
        <v>248</v>
      </c>
      <c r="B143" t="s">
        <v>230</v>
      </c>
      <c r="C143" t="s">
        <v>214</v>
      </c>
      <c r="D143">
        <v>0</v>
      </c>
    </row>
    <row r="144" spans="1:4">
      <c r="A144" t="s">
        <v>248</v>
      </c>
      <c r="B144" t="s">
        <v>230</v>
      </c>
      <c r="C144" t="s">
        <v>215</v>
      </c>
      <c r="D144">
        <v>0</v>
      </c>
    </row>
    <row r="145" spans="1:4">
      <c r="A145" t="s">
        <v>248</v>
      </c>
      <c r="B145" t="s">
        <v>230</v>
      </c>
      <c r="C145" t="s">
        <v>216</v>
      </c>
      <c r="D145">
        <v>0</v>
      </c>
    </row>
    <row r="146" spans="1:4">
      <c r="A146" t="s">
        <v>248</v>
      </c>
      <c r="B146" t="s">
        <v>231</v>
      </c>
      <c r="C146" t="s">
        <v>214</v>
      </c>
      <c r="D146">
        <v>0</v>
      </c>
    </row>
    <row r="147" spans="1:4">
      <c r="A147" t="s">
        <v>248</v>
      </c>
      <c r="B147" t="s">
        <v>231</v>
      </c>
      <c r="C147" t="s">
        <v>215</v>
      </c>
      <c r="D147">
        <v>0</v>
      </c>
    </row>
    <row r="148" spans="1:4">
      <c r="A148" t="s">
        <v>248</v>
      </c>
      <c r="B148" t="s">
        <v>231</v>
      </c>
      <c r="C148" t="s">
        <v>216</v>
      </c>
      <c r="D148">
        <v>0</v>
      </c>
    </row>
    <row r="149" spans="1:4">
      <c r="A149" t="s">
        <v>248</v>
      </c>
      <c r="B149" t="s">
        <v>232</v>
      </c>
      <c r="C149" t="s">
        <v>214</v>
      </c>
      <c r="D149">
        <v>0</v>
      </c>
    </row>
    <row r="150" spans="1:4">
      <c r="A150" t="s">
        <v>248</v>
      </c>
      <c r="B150" t="s">
        <v>232</v>
      </c>
      <c r="C150" t="s">
        <v>215</v>
      </c>
      <c r="D150">
        <v>0</v>
      </c>
    </row>
    <row r="151" spans="1:4">
      <c r="A151" t="s">
        <v>248</v>
      </c>
      <c r="B151" t="s">
        <v>232</v>
      </c>
      <c r="C151" t="s">
        <v>216</v>
      </c>
      <c r="D151">
        <v>0</v>
      </c>
    </row>
    <row r="152" spans="1:4">
      <c r="A152" t="s">
        <v>248</v>
      </c>
      <c r="B152" t="s">
        <v>233</v>
      </c>
      <c r="C152" t="s">
        <v>214</v>
      </c>
      <c r="D152">
        <v>0</v>
      </c>
    </row>
    <row r="153" spans="1:4">
      <c r="A153" t="s">
        <v>248</v>
      </c>
      <c r="B153" t="s">
        <v>233</v>
      </c>
      <c r="C153" t="s">
        <v>215</v>
      </c>
      <c r="D153">
        <v>0</v>
      </c>
    </row>
    <row r="154" spans="1:4">
      <c r="A154" t="s">
        <v>248</v>
      </c>
      <c r="B154" t="s">
        <v>233</v>
      </c>
      <c r="C154" t="s">
        <v>216</v>
      </c>
      <c r="D154">
        <v>0</v>
      </c>
    </row>
    <row r="155" spans="1:4">
      <c r="A155" t="s">
        <v>248</v>
      </c>
      <c r="B155" t="s">
        <v>234</v>
      </c>
      <c r="C155" t="s">
        <v>214</v>
      </c>
      <c r="D155">
        <v>0</v>
      </c>
    </row>
    <row r="156" spans="1:4">
      <c r="A156" t="s">
        <v>248</v>
      </c>
      <c r="B156" t="s">
        <v>234</v>
      </c>
      <c r="C156" t="s">
        <v>215</v>
      </c>
      <c r="D156">
        <v>0</v>
      </c>
    </row>
    <row r="157" spans="1:4">
      <c r="A157" t="s">
        <v>248</v>
      </c>
      <c r="B157" t="s">
        <v>234</v>
      </c>
      <c r="C157" t="s">
        <v>216</v>
      </c>
      <c r="D157">
        <v>0</v>
      </c>
    </row>
    <row r="158" spans="1:4">
      <c r="A158" t="s">
        <v>248</v>
      </c>
      <c r="B158" t="s">
        <v>235</v>
      </c>
      <c r="C158" t="s">
        <v>214</v>
      </c>
      <c r="D158">
        <v>0</v>
      </c>
    </row>
    <row r="159" spans="1:4">
      <c r="A159" t="s">
        <v>248</v>
      </c>
      <c r="B159" t="s">
        <v>235</v>
      </c>
      <c r="C159" t="s">
        <v>215</v>
      </c>
      <c r="D159">
        <v>0</v>
      </c>
    </row>
    <row r="160" spans="1:4">
      <c r="A160" t="s">
        <v>248</v>
      </c>
      <c r="B160" t="s">
        <v>235</v>
      </c>
      <c r="C160" t="s">
        <v>216</v>
      </c>
      <c r="D160">
        <v>0</v>
      </c>
    </row>
    <row r="161" spans="1:4">
      <c r="A161" t="s">
        <v>248</v>
      </c>
      <c r="B161" t="s">
        <v>236</v>
      </c>
      <c r="C161" t="s">
        <v>214</v>
      </c>
      <c r="D161">
        <v>0</v>
      </c>
    </row>
    <row r="162" spans="1:4">
      <c r="A162" t="s">
        <v>248</v>
      </c>
      <c r="B162" t="s">
        <v>236</v>
      </c>
      <c r="C162" t="s">
        <v>215</v>
      </c>
      <c r="D162">
        <v>0</v>
      </c>
    </row>
    <row r="163" spans="1:4">
      <c r="A163" t="s">
        <v>248</v>
      </c>
      <c r="B163" t="s">
        <v>236</v>
      </c>
      <c r="C163" t="s">
        <v>216</v>
      </c>
      <c r="D163">
        <v>0</v>
      </c>
    </row>
    <row r="164" spans="1:4">
      <c r="A164" t="s">
        <v>248</v>
      </c>
      <c r="B164" t="s">
        <v>237</v>
      </c>
      <c r="C164" t="s">
        <v>214</v>
      </c>
      <c r="D164">
        <v>0</v>
      </c>
    </row>
    <row r="165" spans="1:4">
      <c r="A165" t="s">
        <v>248</v>
      </c>
      <c r="B165" t="s">
        <v>237</v>
      </c>
      <c r="C165" t="s">
        <v>215</v>
      </c>
      <c r="D165">
        <v>0</v>
      </c>
    </row>
    <row r="166" spans="1:4">
      <c r="A166" t="s">
        <v>248</v>
      </c>
      <c r="B166" t="s">
        <v>237</v>
      </c>
      <c r="C166" t="s">
        <v>216</v>
      </c>
      <c r="D166">
        <v>0</v>
      </c>
    </row>
    <row r="167" spans="1:4">
      <c r="A167" t="s">
        <v>248</v>
      </c>
      <c r="B167" t="s">
        <v>238</v>
      </c>
      <c r="C167" t="s">
        <v>214</v>
      </c>
      <c r="D167">
        <v>0</v>
      </c>
    </row>
    <row r="168" spans="1:4">
      <c r="A168" t="s">
        <v>248</v>
      </c>
      <c r="B168" t="s">
        <v>238</v>
      </c>
      <c r="C168" t="s">
        <v>215</v>
      </c>
      <c r="D168">
        <v>0</v>
      </c>
    </row>
    <row r="169" spans="1:4">
      <c r="A169" t="s">
        <v>248</v>
      </c>
      <c r="B169" t="s">
        <v>238</v>
      </c>
      <c r="C169" t="s">
        <v>216</v>
      </c>
      <c r="D169">
        <v>0</v>
      </c>
    </row>
    <row r="170" spans="1:4">
      <c r="A170" t="s">
        <v>248</v>
      </c>
      <c r="B170" t="s">
        <v>239</v>
      </c>
      <c r="C170" t="s">
        <v>214</v>
      </c>
      <c r="D170">
        <v>0</v>
      </c>
    </row>
    <row r="171" spans="1:4">
      <c r="A171" t="s">
        <v>248</v>
      </c>
      <c r="B171" t="s">
        <v>239</v>
      </c>
      <c r="C171" t="s">
        <v>215</v>
      </c>
      <c r="D171">
        <v>0</v>
      </c>
    </row>
    <row r="172" spans="1:4">
      <c r="A172" t="s">
        <v>248</v>
      </c>
      <c r="B172" t="s">
        <v>239</v>
      </c>
      <c r="C172" t="s">
        <v>216</v>
      </c>
      <c r="D172">
        <v>0</v>
      </c>
    </row>
    <row r="173" spans="1:4">
      <c r="A173" t="s">
        <v>248</v>
      </c>
      <c r="B173" t="s">
        <v>240</v>
      </c>
      <c r="C173" t="s">
        <v>214</v>
      </c>
      <c r="D173">
        <v>0</v>
      </c>
    </row>
    <row r="174" spans="1:4">
      <c r="A174" t="s">
        <v>248</v>
      </c>
      <c r="B174" t="s">
        <v>240</v>
      </c>
      <c r="C174" t="s">
        <v>215</v>
      </c>
      <c r="D174">
        <v>0</v>
      </c>
    </row>
    <row r="175" spans="1:4">
      <c r="A175" t="s">
        <v>248</v>
      </c>
      <c r="B175" t="s">
        <v>240</v>
      </c>
      <c r="C175" t="s">
        <v>216</v>
      </c>
      <c r="D175">
        <v>0</v>
      </c>
    </row>
    <row r="176" spans="1:4">
      <c r="A176" t="s">
        <v>248</v>
      </c>
      <c r="B176" t="s">
        <v>241</v>
      </c>
      <c r="C176" t="s">
        <v>214</v>
      </c>
      <c r="D176">
        <v>0</v>
      </c>
    </row>
    <row r="177" spans="1:4">
      <c r="A177" t="s">
        <v>248</v>
      </c>
      <c r="B177" t="s">
        <v>241</v>
      </c>
      <c r="C177" t="s">
        <v>215</v>
      </c>
      <c r="D177">
        <v>0</v>
      </c>
    </row>
    <row r="178" spans="1:4">
      <c r="A178" t="s">
        <v>248</v>
      </c>
      <c r="B178" t="s">
        <v>241</v>
      </c>
      <c r="C178" t="s">
        <v>216</v>
      </c>
      <c r="D178">
        <v>0</v>
      </c>
    </row>
    <row r="179" spans="1:4">
      <c r="A179" t="s">
        <v>248</v>
      </c>
      <c r="B179" t="s">
        <v>242</v>
      </c>
      <c r="C179" t="s">
        <v>214</v>
      </c>
      <c r="D179">
        <v>0</v>
      </c>
    </row>
    <row r="180" spans="1:4">
      <c r="A180" t="s">
        <v>248</v>
      </c>
      <c r="B180" t="s">
        <v>242</v>
      </c>
      <c r="C180" t="s">
        <v>215</v>
      </c>
      <c r="D180">
        <v>0</v>
      </c>
    </row>
    <row r="181" spans="1:4">
      <c r="A181" t="s">
        <v>248</v>
      </c>
      <c r="B181" t="s">
        <v>242</v>
      </c>
      <c r="C181" t="s">
        <v>216</v>
      </c>
      <c r="D181">
        <v>0</v>
      </c>
    </row>
    <row r="182" spans="1:4">
      <c r="A182" t="s">
        <v>248</v>
      </c>
      <c r="B182" t="s">
        <v>243</v>
      </c>
      <c r="C182" t="s">
        <v>214</v>
      </c>
      <c r="D182">
        <v>0</v>
      </c>
    </row>
    <row r="183" spans="1:4">
      <c r="A183" t="s">
        <v>248</v>
      </c>
      <c r="B183" t="s">
        <v>243</v>
      </c>
      <c r="C183" t="s">
        <v>215</v>
      </c>
      <c r="D183">
        <v>0</v>
      </c>
    </row>
    <row r="184" spans="1:4">
      <c r="A184" t="s">
        <v>248</v>
      </c>
      <c r="B184" t="s">
        <v>243</v>
      </c>
      <c r="C184" t="s">
        <v>216</v>
      </c>
      <c r="D184">
        <v>0</v>
      </c>
    </row>
    <row r="185" spans="1:4">
      <c r="A185" t="s">
        <v>248</v>
      </c>
      <c r="B185" t="s">
        <v>244</v>
      </c>
      <c r="C185" t="s">
        <v>214</v>
      </c>
      <c r="D185">
        <v>0</v>
      </c>
    </row>
    <row r="186" spans="1:4">
      <c r="A186" t="s">
        <v>248</v>
      </c>
      <c r="B186" t="s">
        <v>244</v>
      </c>
      <c r="C186" t="s">
        <v>215</v>
      </c>
      <c r="D186">
        <v>0</v>
      </c>
    </row>
    <row r="187" spans="1:4">
      <c r="A187" t="s">
        <v>248</v>
      </c>
      <c r="B187" t="s">
        <v>244</v>
      </c>
      <c r="C187" t="s">
        <v>216</v>
      </c>
      <c r="D187">
        <v>0</v>
      </c>
    </row>
    <row r="188" spans="1:4">
      <c r="A188" t="s">
        <v>248</v>
      </c>
      <c r="B188" t="s">
        <v>245</v>
      </c>
      <c r="C188" t="s">
        <v>214</v>
      </c>
      <c r="D188">
        <v>0</v>
      </c>
    </row>
    <row r="189" spans="1:4">
      <c r="A189" t="s">
        <v>248</v>
      </c>
      <c r="B189" t="s">
        <v>245</v>
      </c>
      <c r="C189" t="s">
        <v>215</v>
      </c>
      <c r="D189">
        <v>0</v>
      </c>
    </row>
    <row r="190" spans="1:4">
      <c r="A190" t="s">
        <v>248</v>
      </c>
      <c r="B190" t="s">
        <v>245</v>
      </c>
      <c r="C190" t="s">
        <v>216</v>
      </c>
      <c r="D190">
        <v>0</v>
      </c>
    </row>
    <row r="191" spans="1:4">
      <c r="A191" t="s">
        <v>248</v>
      </c>
      <c r="B191" t="s">
        <v>257</v>
      </c>
      <c r="C191" t="s">
        <v>214</v>
      </c>
      <c r="D191">
        <v>0</v>
      </c>
    </row>
    <row r="192" spans="1:4">
      <c r="A192" t="s">
        <v>248</v>
      </c>
      <c r="B192" t="s">
        <v>257</v>
      </c>
      <c r="C192" t="s">
        <v>215</v>
      </c>
      <c r="D192">
        <v>0</v>
      </c>
    </row>
    <row r="193" spans="1:4">
      <c r="A193" t="s">
        <v>248</v>
      </c>
      <c r="B193" t="s">
        <v>257</v>
      </c>
      <c r="C193" t="s">
        <v>216</v>
      </c>
      <c r="D193">
        <v>0</v>
      </c>
    </row>
    <row r="194" spans="1:4">
      <c r="A194" t="s">
        <v>248</v>
      </c>
      <c r="B194" t="s">
        <v>246</v>
      </c>
      <c r="C194" t="s">
        <v>214</v>
      </c>
      <c r="D194">
        <v>0</v>
      </c>
    </row>
    <row r="195" spans="1:4">
      <c r="A195" t="s">
        <v>248</v>
      </c>
      <c r="B195" t="s">
        <v>246</v>
      </c>
      <c r="C195" t="s">
        <v>215</v>
      </c>
      <c r="D195">
        <v>0</v>
      </c>
    </row>
    <row r="196" spans="1:4">
      <c r="A196" t="s">
        <v>248</v>
      </c>
      <c r="B196" t="s">
        <v>246</v>
      </c>
      <c r="C196" t="s">
        <v>216</v>
      </c>
      <c r="D196">
        <v>0</v>
      </c>
    </row>
    <row r="197" spans="1:4">
      <c r="A197" t="s">
        <v>248</v>
      </c>
      <c r="B197" t="s">
        <v>247</v>
      </c>
      <c r="C197" t="s">
        <v>214</v>
      </c>
      <c r="D197">
        <v>0</v>
      </c>
    </row>
    <row r="198" spans="1:4">
      <c r="A198" t="s">
        <v>248</v>
      </c>
      <c r="B198" t="s">
        <v>247</v>
      </c>
      <c r="C198" t="s">
        <v>215</v>
      </c>
      <c r="D198">
        <v>0</v>
      </c>
    </row>
    <row r="199" spans="1:4">
      <c r="A199" t="s">
        <v>248</v>
      </c>
      <c r="B199" t="s">
        <v>247</v>
      </c>
      <c r="C199" t="s">
        <v>216</v>
      </c>
      <c r="D199">
        <v>0</v>
      </c>
    </row>
    <row r="200" spans="1:4">
      <c r="A200" t="s">
        <v>249</v>
      </c>
      <c r="B200" t="s">
        <v>213</v>
      </c>
      <c r="C200" t="s">
        <v>214</v>
      </c>
      <c r="D200">
        <v>0</v>
      </c>
    </row>
    <row r="201" spans="1:4">
      <c r="A201" t="s">
        <v>249</v>
      </c>
      <c r="B201" t="s">
        <v>213</v>
      </c>
      <c r="C201" t="s">
        <v>215</v>
      </c>
      <c r="D201">
        <v>0</v>
      </c>
    </row>
    <row r="202" spans="1:4">
      <c r="A202" t="s">
        <v>249</v>
      </c>
      <c r="B202" t="s">
        <v>213</v>
      </c>
      <c r="C202" t="s">
        <v>216</v>
      </c>
      <c r="D202">
        <v>0</v>
      </c>
    </row>
    <row r="203" spans="1:4">
      <c r="A203" t="s">
        <v>249</v>
      </c>
      <c r="B203" t="s">
        <v>217</v>
      </c>
      <c r="C203" t="s">
        <v>214</v>
      </c>
      <c r="D203">
        <v>48.577085018157959</v>
      </c>
    </row>
    <row r="204" spans="1:4">
      <c r="A204" t="s">
        <v>249</v>
      </c>
      <c r="B204" t="s">
        <v>217</v>
      </c>
      <c r="C204" t="s">
        <v>215</v>
      </c>
      <c r="D204">
        <v>946.05836486816406</v>
      </c>
    </row>
    <row r="205" spans="1:4">
      <c r="A205" t="s">
        <v>249</v>
      </c>
      <c r="B205" t="s">
        <v>217</v>
      </c>
      <c r="C205" t="s">
        <v>216</v>
      </c>
      <c r="D205">
        <v>124841.638980451</v>
      </c>
    </row>
    <row r="206" spans="1:4">
      <c r="A206" t="s">
        <v>249</v>
      </c>
      <c r="B206" t="s">
        <v>218</v>
      </c>
      <c r="C206" t="s">
        <v>214</v>
      </c>
      <c r="D206">
        <v>0</v>
      </c>
    </row>
    <row r="207" spans="1:4">
      <c r="A207" t="s">
        <v>249</v>
      </c>
      <c r="B207" t="s">
        <v>218</v>
      </c>
      <c r="C207" t="s">
        <v>215</v>
      </c>
      <c r="D207">
        <v>0</v>
      </c>
    </row>
    <row r="208" spans="1:4">
      <c r="A208" t="s">
        <v>249</v>
      </c>
      <c r="B208" t="s">
        <v>218</v>
      </c>
      <c r="C208" t="s">
        <v>216</v>
      </c>
      <c r="D208">
        <v>0</v>
      </c>
    </row>
    <row r="209" spans="1:4">
      <c r="A209" t="s">
        <v>249</v>
      </c>
      <c r="B209" t="s">
        <v>219</v>
      </c>
      <c r="C209" t="s">
        <v>214</v>
      </c>
      <c r="D209">
        <v>0</v>
      </c>
    </row>
    <row r="210" spans="1:4">
      <c r="A210" t="s">
        <v>249</v>
      </c>
      <c r="B210" t="s">
        <v>219</v>
      </c>
      <c r="C210" t="s">
        <v>215</v>
      </c>
      <c r="D210">
        <v>0</v>
      </c>
    </row>
    <row r="211" spans="1:4">
      <c r="A211" t="s">
        <v>249</v>
      </c>
      <c r="B211" t="s">
        <v>219</v>
      </c>
      <c r="C211" t="s">
        <v>216</v>
      </c>
      <c r="D211">
        <v>0</v>
      </c>
    </row>
    <row r="212" spans="1:4">
      <c r="A212" t="s">
        <v>249</v>
      </c>
      <c r="B212" t="s">
        <v>220</v>
      </c>
      <c r="C212" t="s">
        <v>214</v>
      </c>
      <c r="D212">
        <v>0</v>
      </c>
    </row>
    <row r="213" spans="1:4">
      <c r="A213" t="s">
        <v>249</v>
      </c>
      <c r="B213" t="s">
        <v>220</v>
      </c>
      <c r="C213" t="s">
        <v>215</v>
      </c>
      <c r="D213">
        <v>0</v>
      </c>
    </row>
    <row r="214" spans="1:4">
      <c r="A214" t="s">
        <v>249</v>
      </c>
      <c r="B214" t="s">
        <v>220</v>
      </c>
      <c r="C214" t="s">
        <v>216</v>
      </c>
      <c r="D214">
        <v>0</v>
      </c>
    </row>
    <row r="215" spans="1:4">
      <c r="A215" t="s">
        <v>249</v>
      </c>
      <c r="B215" t="s">
        <v>221</v>
      </c>
      <c r="C215" t="s">
        <v>214</v>
      </c>
      <c r="D215">
        <v>0</v>
      </c>
    </row>
    <row r="216" spans="1:4">
      <c r="A216" t="s">
        <v>249</v>
      </c>
      <c r="B216" t="s">
        <v>221</v>
      </c>
      <c r="C216" t="s">
        <v>215</v>
      </c>
      <c r="D216">
        <v>0</v>
      </c>
    </row>
    <row r="217" spans="1:4">
      <c r="A217" t="s">
        <v>249</v>
      </c>
      <c r="B217" t="s">
        <v>221</v>
      </c>
      <c r="C217" t="s">
        <v>216</v>
      </c>
      <c r="D217">
        <v>0</v>
      </c>
    </row>
    <row r="218" spans="1:4">
      <c r="A218" t="s">
        <v>249</v>
      </c>
      <c r="B218" t="s">
        <v>222</v>
      </c>
      <c r="C218" t="s">
        <v>214</v>
      </c>
      <c r="D218">
        <v>0</v>
      </c>
    </row>
    <row r="219" spans="1:4">
      <c r="A219" t="s">
        <v>249</v>
      </c>
      <c r="B219" t="s">
        <v>222</v>
      </c>
      <c r="C219" t="s">
        <v>215</v>
      </c>
      <c r="D219">
        <v>0</v>
      </c>
    </row>
    <row r="220" spans="1:4">
      <c r="A220" t="s">
        <v>249</v>
      </c>
      <c r="B220" t="s">
        <v>222</v>
      </c>
      <c r="C220" t="s">
        <v>216</v>
      </c>
      <c r="D220">
        <v>0</v>
      </c>
    </row>
    <row r="221" spans="1:4">
      <c r="A221" t="s">
        <v>249</v>
      </c>
      <c r="B221" t="s">
        <v>223</v>
      </c>
      <c r="C221" t="s">
        <v>214</v>
      </c>
      <c r="D221">
        <v>0</v>
      </c>
    </row>
    <row r="222" spans="1:4">
      <c r="A222" t="s">
        <v>249</v>
      </c>
      <c r="B222" t="s">
        <v>223</v>
      </c>
      <c r="C222" t="s">
        <v>215</v>
      </c>
      <c r="D222">
        <v>0</v>
      </c>
    </row>
    <row r="223" spans="1:4">
      <c r="A223" t="s">
        <v>249</v>
      </c>
      <c r="B223" t="s">
        <v>223</v>
      </c>
      <c r="C223" t="s">
        <v>216</v>
      </c>
      <c r="D223">
        <v>0</v>
      </c>
    </row>
    <row r="224" spans="1:4">
      <c r="A224" t="s">
        <v>249</v>
      </c>
      <c r="B224" t="s">
        <v>224</v>
      </c>
      <c r="C224" t="s">
        <v>214</v>
      </c>
      <c r="D224">
        <v>0</v>
      </c>
    </row>
    <row r="225" spans="1:4">
      <c r="A225" t="s">
        <v>249</v>
      </c>
      <c r="B225" t="s">
        <v>224</v>
      </c>
      <c r="C225" t="s">
        <v>215</v>
      </c>
      <c r="D225">
        <v>0</v>
      </c>
    </row>
    <row r="226" spans="1:4">
      <c r="A226" t="s">
        <v>249</v>
      </c>
      <c r="B226" t="s">
        <v>224</v>
      </c>
      <c r="C226" t="s">
        <v>216</v>
      </c>
      <c r="D226">
        <v>0</v>
      </c>
    </row>
    <row r="227" spans="1:4">
      <c r="A227" t="s">
        <v>249</v>
      </c>
      <c r="B227" t="s">
        <v>225</v>
      </c>
      <c r="C227" t="s">
        <v>214</v>
      </c>
      <c r="D227">
        <v>0</v>
      </c>
    </row>
    <row r="228" spans="1:4">
      <c r="A228" t="s">
        <v>249</v>
      </c>
      <c r="B228" t="s">
        <v>225</v>
      </c>
      <c r="C228" t="s">
        <v>215</v>
      </c>
      <c r="D228">
        <v>0</v>
      </c>
    </row>
    <row r="229" spans="1:4">
      <c r="A229" t="s">
        <v>249</v>
      </c>
      <c r="B229" t="s">
        <v>225</v>
      </c>
      <c r="C229" t="s">
        <v>216</v>
      </c>
      <c r="D229">
        <v>0</v>
      </c>
    </row>
    <row r="230" spans="1:4">
      <c r="A230" t="s">
        <v>249</v>
      </c>
      <c r="B230" t="s">
        <v>226</v>
      </c>
      <c r="C230" t="s">
        <v>214</v>
      </c>
      <c r="D230">
        <v>0</v>
      </c>
    </row>
    <row r="231" spans="1:4">
      <c r="A231" t="s">
        <v>249</v>
      </c>
      <c r="B231" t="s">
        <v>226</v>
      </c>
      <c r="C231" t="s">
        <v>215</v>
      </c>
      <c r="D231">
        <v>0</v>
      </c>
    </row>
    <row r="232" spans="1:4">
      <c r="A232" t="s">
        <v>249</v>
      </c>
      <c r="B232" t="s">
        <v>226</v>
      </c>
      <c r="C232" t="s">
        <v>216</v>
      </c>
      <c r="D232">
        <v>0</v>
      </c>
    </row>
    <row r="233" spans="1:4">
      <c r="A233" t="s">
        <v>249</v>
      </c>
      <c r="B233" t="s">
        <v>227</v>
      </c>
      <c r="C233" t="s">
        <v>214</v>
      </c>
      <c r="D233">
        <v>0</v>
      </c>
    </row>
    <row r="234" spans="1:4">
      <c r="A234" t="s">
        <v>249</v>
      </c>
      <c r="B234" t="s">
        <v>227</v>
      </c>
      <c r="C234" t="s">
        <v>215</v>
      </c>
      <c r="D234">
        <v>0</v>
      </c>
    </row>
    <row r="235" spans="1:4">
      <c r="A235" t="s">
        <v>249</v>
      </c>
      <c r="B235" t="s">
        <v>227</v>
      </c>
      <c r="C235" t="s">
        <v>216</v>
      </c>
      <c r="D235">
        <v>0</v>
      </c>
    </row>
    <row r="236" spans="1:4">
      <c r="A236" t="s">
        <v>249</v>
      </c>
      <c r="B236" t="s">
        <v>228</v>
      </c>
      <c r="C236" t="s">
        <v>214</v>
      </c>
      <c r="D236">
        <v>0</v>
      </c>
    </row>
    <row r="237" spans="1:4">
      <c r="A237" t="s">
        <v>249</v>
      </c>
      <c r="B237" t="s">
        <v>228</v>
      </c>
      <c r="C237" t="s">
        <v>215</v>
      </c>
      <c r="D237">
        <v>0</v>
      </c>
    </row>
    <row r="238" spans="1:4">
      <c r="A238" t="s">
        <v>249</v>
      </c>
      <c r="B238" t="s">
        <v>228</v>
      </c>
      <c r="C238" t="s">
        <v>216</v>
      </c>
      <c r="D238">
        <v>0</v>
      </c>
    </row>
    <row r="239" spans="1:4">
      <c r="A239" t="s">
        <v>249</v>
      </c>
      <c r="B239" t="s">
        <v>229</v>
      </c>
      <c r="C239" t="s">
        <v>214</v>
      </c>
      <c r="D239">
        <v>0</v>
      </c>
    </row>
    <row r="240" spans="1:4">
      <c r="A240" t="s">
        <v>249</v>
      </c>
      <c r="B240" t="s">
        <v>229</v>
      </c>
      <c r="C240" t="s">
        <v>215</v>
      </c>
      <c r="D240">
        <v>0</v>
      </c>
    </row>
    <row r="241" spans="1:4">
      <c r="A241" t="s">
        <v>249</v>
      </c>
      <c r="B241" t="s">
        <v>229</v>
      </c>
      <c r="C241" t="s">
        <v>216</v>
      </c>
      <c r="D241">
        <v>0</v>
      </c>
    </row>
    <row r="242" spans="1:4">
      <c r="A242" t="s">
        <v>249</v>
      </c>
      <c r="B242" t="s">
        <v>230</v>
      </c>
      <c r="C242" t="s">
        <v>214</v>
      </c>
      <c r="D242">
        <v>0</v>
      </c>
    </row>
    <row r="243" spans="1:4">
      <c r="A243" t="s">
        <v>249</v>
      </c>
      <c r="B243" t="s">
        <v>230</v>
      </c>
      <c r="C243" t="s">
        <v>215</v>
      </c>
      <c r="D243">
        <v>0</v>
      </c>
    </row>
    <row r="244" spans="1:4">
      <c r="A244" t="s">
        <v>249</v>
      </c>
      <c r="B244" t="s">
        <v>230</v>
      </c>
      <c r="C244" t="s">
        <v>216</v>
      </c>
      <c r="D244">
        <v>0</v>
      </c>
    </row>
    <row r="245" spans="1:4">
      <c r="A245" t="s">
        <v>249</v>
      </c>
      <c r="B245" t="s">
        <v>231</v>
      </c>
      <c r="C245" t="s">
        <v>214</v>
      </c>
      <c r="D245">
        <v>0</v>
      </c>
    </row>
    <row r="246" spans="1:4">
      <c r="A246" t="s">
        <v>249</v>
      </c>
      <c r="B246" t="s">
        <v>231</v>
      </c>
      <c r="C246" t="s">
        <v>215</v>
      </c>
      <c r="D246">
        <v>0</v>
      </c>
    </row>
    <row r="247" spans="1:4">
      <c r="A247" t="s">
        <v>249</v>
      </c>
      <c r="B247" t="s">
        <v>231</v>
      </c>
      <c r="C247" t="s">
        <v>216</v>
      </c>
      <c r="D247">
        <v>0</v>
      </c>
    </row>
    <row r="248" spans="1:4">
      <c r="A248" t="s">
        <v>249</v>
      </c>
      <c r="B248" t="s">
        <v>232</v>
      </c>
      <c r="C248" t="s">
        <v>214</v>
      </c>
      <c r="D248">
        <v>18963.611039072279</v>
      </c>
    </row>
    <row r="249" spans="1:4">
      <c r="A249" t="s">
        <v>249</v>
      </c>
      <c r="B249" t="s">
        <v>232</v>
      </c>
      <c r="C249" t="s">
        <v>215</v>
      </c>
      <c r="D249">
        <v>30594.427612304691</v>
      </c>
    </row>
    <row r="250" spans="1:4">
      <c r="A250" t="s">
        <v>249</v>
      </c>
      <c r="B250" t="s">
        <v>232</v>
      </c>
      <c r="C250" t="s">
        <v>216</v>
      </c>
      <c r="D250">
        <v>616361.98816323897</v>
      </c>
    </row>
    <row r="251" spans="1:4">
      <c r="A251" t="s">
        <v>249</v>
      </c>
      <c r="B251" t="s">
        <v>233</v>
      </c>
      <c r="C251" t="s">
        <v>214</v>
      </c>
      <c r="D251">
        <v>0</v>
      </c>
    </row>
    <row r="252" spans="1:4">
      <c r="A252" t="s">
        <v>249</v>
      </c>
      <c r="B252" t="s">
        <v>233</v>
      </c>
      <c r="C252" t="s">
        <v>215</v>
      </c>
      <c r="D252">
        <v>0</v>
      </c>
    </row>
    <row r="253" spans="1:4">
      <c r="A253" t="s">
        <v>249</v>
      </c>
      <c r="B253" t="s">
        <v>233</v>
      </c>
      <c r="C253" t="s">
        <v>216</v>
      </c>
      <c r="D253">
        <v>0</v>
      </c>
    </row>
    <row r="254" spans="1:4">
      <c r="A254" t="s">
        <v>249</v>
      </c>
      <c r="B254" t="s">
        <v>234</v>
      </c>
      <c r="C254" t="s">
        <v>214</v>
      </c>
      <c r="D254">
        <v>0</v>
      </c>
    </row>
    <row r="255" spans="1:4">
      <c r="A255" t="s">
        <v>249</v>
      </c>
      <c r="B255" t="s">
        <v>234</v>
      </c>
      <c r="C255" t="s">
        <v>215</v>
      </c>
      <c r="D255">
        <v>0</v>
      </c>
    </row>
    <row r="256" spans="1:4">
      <c r="A256" t="s">
        <v>249</v>
      </c>
      <c r="B256" t="s">
        <v>234</v>
      </c>
      <c r="C256" t="s">
        <v>216</v>
      </c>
      <c r="D256">
        <v>0</v>
      </c>
    </row>
    <row r="257" spans="1:4">
      <c r="A257" t="s">
        <v>249</v>
      </c>
      <c r="B257" t="s">
        <v>235</v>
      </c>
      <c r="C257" t="s">
        <v>214</v>
      </c>
      <c r="D257">
        <v>0</v>
      </c>
    </row>
    <row r="258" spans="1:4">
      <c r="A258" t="s">
        <v>249</v>
      </c>
      <c r="B258" t="s">
        <v>235</v>
      </c>
      <c r="C258" t="s">
        <v>215</v>
      </c>
      <c r="D258">
        <v>0</v>
      </c>
    </row>
    <row r="259" spans="1:4">
      <c r="A259" t="s">
        <v>249</v>
      </c>
      <c r="B259" t="s">
        <v>235</v>
      </c>
      <c r="C259" t="s">
        <v>216</v>
      </c>
      <c r="D259">
        <v>0</v>
      </c>
    </row>
    <row r="260" spans="1:4">
      <c r="A260" t="s">
        <v>249</v>
      </c>
      <c r="B260" t="s">
        <v>236</v>
      </c>
      <c r="C260" t="s">
        <v>214</v>
      </c>
      <c r="D260">
        <v>0</v>
      </c>
    </row>
    <row r="261" spans="1:4">
      <c r="A261" t="s">
        <v>249</v>
      </c>
      <c r="B261" t="s">
        <v>236</v>
      </c>
      <c r="C261" t="s">
        <v>215</v>
      </c>
      <c r="D261">
        <v>0</v>
      </c>
    </row>
    <row r="262" spans="1:4">
      <c r="A262" t="s">
        <v>249</v>
      </c>
      <c r="B262" t="s">
        <v>236</v>
      </c>
      <c r="C262" t="s">
        <v>216</v>
      </c>
      <c r="D262">
        <v>0</v>
      </c>
    </row>
    <row r="263" spans="1:4">
      <c r="A263" t="s">
        <v>249</v>
      </c>
      <c r="B263" t="s">
        <v>237</v>
      </c>
      <c r="C263" t="s">
        <v>214</v>
      </c>
      <c r="D263">
        <v>0</v>
      </c>
    </row>
    <row r="264" spans="1:4">
      <c r="A264" t="s">
        <v>249</v>
      </c>
      <c r="B264" t="s">
        <v>237</v>
      </c>
      <c r="C264" t="s">
        <v>215</v>
      </c>
      <c r="D264">
        <v>0</v>
      </c>
    </row>
    <row r="265" spans="1:4">
      <c r="A265" t="s">
        <v>249</v>
      </c>
      <c r="B265" t="s">
        <v>237</v>
      </c>
      <c r="C265" t="s">
        <v>216</v>
      </c>
      <c r="D265">
        <v>0</v>
      </c>
    </row>
    <row r="266" spans="1:4">
      <c r="A266" t="s">
        <v>249</v>
      </c>
      <c r="B266" t="s">
        <v>238</v>
      </c>
      <c r="C266" t="s">
        <v>214</v>
      </c>
      <c r="D266">
        <v>0</v>
      </c>
    </row>
    <row r="267" spans="1:4">
      <c r="A267" t="s">
        <v>249</v>
      </c>
      <c r="B267" t="s">
        <v>238</v>
      </c>
      <c r="C267" t="s">
        <v>215</v>
      </c>
      <c r="D267">
        <v>0</v>
      </c>
    </row>
    <row r="268" spans="1:4">
      <c r="A268" t="s">
        <v>249</v>
      </c>
      <c r="B268" t="s">
        <v>238</v>
      </c>
      <c r="C268" t="s">
        <v>216</v>
      </c>
      <c r="D268">
        <v>0</v>
      </c>
    </row>
    <row r="269" spans="1:4">
      <c r="A269" t="s">
        <v>249</v>
      </c>
      <c r="B269" t="s">
        <v>239</v>
      </c>
      <c r="C269" t="s">
        <v>214</v>
      </c>
      <c r="D269">
        <v>0</v>
      </c>
    </row>
    <row r="270" spans="1:4">
      <c r="A270" t="s">
        <v>249</v>
      </c>
      <c r="B270" t="s">
        <v>239</v>
      </c>
      <c r="C270" t="s">
        <v>215</v>
      </c>
      <c r="D270">
        <v>0</v>
      </c>
    </row>
    <row r="271" spans="1:4">
      <c r="A271" t="s">
        <v>249</v>
      </c>
      <c r="B271" t="s">
        <v>239</v>
      </c>
      <c r="C271" t="s">
        <v>216</v>
      </c>
      <c r="D271">
        <v>0</v>
      </c>
    </row>
    <row r="272" spans="1:4">
      <c r="A272" t="s">
        <v>249</v>
      </c>
      <c r="B272" t="s">
        <v>240</v>
      </c>
      <c r="C272" t="s">
        <v>214</v>
      </c>
      <c r="D272">
        <v>0</v>
      </c>
    </row>
    <row r="273" spans="1:4">
      <c r="A273" t="s">
        <v>249</v>
      </c>
      <c r="B273" t="s">
        <v>240</v>
      </c>
      <c r="C273" t="s">
        <v>215</v>
      </c>
      <c r="D273">
        <v>0</v>
      </c>
    </row>
    <row r="274" spans="1:4">
      <c r="A274" t="s">
        <v>249</v>
      </c>
      <c r="B274" t="s">
        <v>240</v>
      </c>
      <c r="C274" t="s">
        <v>216</v>
      </c>
      <c r="D274">
        <v>0</v>
      </c>
    </row>
    <row r="275" spans="1:4">
      <c r="A275" t="s">
        <v>249</v>
      </c>
      <c r="B275" t="s">
        <v>241</v>
      </c>
      <c r="C275" t="s">
        <v>214</v>
      </c>
      <c r="D275">
        <v>0</v>
      </c>
    </row>
    <row r="276" spans="1:4">
      <c r="A276" t="s">
        <v>249</v>
      </c>
      <c r="B276" t="s">
        <v>241</v>
      </c>
      <c r="C276" t="s">
        <v>215</v>
      </c>
      <c r="D276">
        <v>0</v>
      </c>
    </row>
    <row r="277" spans="1:4">
      <c r="A277" t="s">
        <v>249</v>
      </c>
      <c r="B277" t="s">
        <v>241</v>
      </c>
      <c r="C277" t="s">
        <v>216</v>
      </c>
      <c r="D277">
        <v>0</v>
      </c>
    </row>
    <row r="278" spans="1:4">
      <c r="A278" t="s">
        <v>249</v>
      </c>
      <c r="B278" t="s">
        <v>242</v>
      </c>
      <c r="C278" t="s">
        <v>214</v>
      </c>
      <c r="D278">
        <v>0</v>
      </c>
    </row>
    <row r="279" spans="1:4">
      <c r="A279" t="s">
        <v>249</v>
      </c>
      <c r="B279" t="s">
        <v>242</v>
      </c>
      <c r="C279" t="s">
        <v>215</v>
      </c>
      <c r="D279">
        <v>0</v>
      </c>
    </row>
    <row r="280" spans="1:4">
      <c r="A280" t="s">
        <v>249</v>
      </c>
      <c r="B280" t="s">
        <v>242</v>
      </c>
      <c r="C280" t="s">
        <v>216</v>
      </c>
      <c r="D280">
        <v>0</v>
      </c>
    </row>
    <row r="281" spans="1:4">
      <c r="A281" t="s">
        <v>249</v>
      </c>
      <c r="B281" t="s">
        <v>243</v>
      </c>
      <c r="C281" t="s">
        <v>214</v>
      </c>
      <c r="D281">
        <v>0</v>
      </c>
    </row>
    <row r="282" spans="1:4">
      <c r="A282" t="s">
        <v>249</v>
      </c>
      <c r="B282" t="s">
        <v>243</v>
      </c>
      <c r="C282" t="s">
        <v>215</v>
      </c>
      <c r="D282">
        <v>0</v>
      </c>
    </row>
    <row r="283" spans="1:4">
      <c r="A283" t="s">
        <v>249</v>
      </c>
      <c r="B283" t="s">
        <v>243</v>
      </c>
      <c r="C283" t="s">
        <v>216</v>
      </c>
      <c r="D283">
        <v>0</v>
      </c>
    </row>
    <row r="284" spans="1:4">
      <c r="A284" t="s">
        <v>249</v>
      </c>
      <c r="B284" t="s">
        <v>244</v>
      </c>
      <c r="C284" t="s">
        <v>214</v>
      </c>
      <c r="D284">
        <v>0</v>
      </c>
    </row>
    <row r="285" spans="1:4">
      <c r="A285" t="s">
        <v>249</v>
      </c>
      <c r="B285" t="s">
        <v>244</v>
      </c>
      <c r="C285" t="s">
        <v>215</v>
      </c>
      <c r="D285">
        <v>0</v>
      </c>
    </row>
    <row r="286" spans="1:4">
      <c r="A286" t="s">
        <v>249</v>
      </c>
      <c r="B286" t="s">
        <v>244</v>
      </c>
      <c r="C286" t="s">
        <v>216</v>
      </c>
      <c r="D286">
        <v>0</v>
      </c>
    </row>
    <row r="287" spans="1:4">
      <c r="A287" t="s">
        <v>249</v>
      </c>
      <c r="B287" t="s">
        <v>245</v>
      </c>
      <c r="C287" t="s">
        <v>214</v>
      </c>
      <c r="D287">
        <v>0</v>
      </c>
    </row>
    <row r="288" spans="1:4">
      <c r="A288" t="s">
        <v>249</v>
      </c>
      <c r="B288" t="s">
        <v>245</v>
      </c>
      <c r="C288" t="s">
        <v>215</v>
      </c>
      <c r="D288">
        <v>0</v>
      </c>
    </row>
    <row r="289" spans="1:4">
      <c r="A289" t="s">
        <v>249</v>
      </c>
      <c r="B289" t="s">
        <v>245</v>
      </c>
      <c r="C289" t="s">
        <v>216</v>
      </c>
      <c r="D289">
        <v>0</v>
      </c>
    </row>
    <row r="290" spans="1:4">
      <c r="A290" t="s">
        <v>249</v>
      </c>
      <c r="B290" t="s">
        <v>257</v>
      </c>
      <c r="C290" t="s">
        <v>214</v>
      </c>
      <c r="D290">
        <v>0</v>
      </c>
    </row>
    <row r="291" spans="1:4">
      <c r="A291" t="s">
        <v>249</v>
      </c>
      <c r="B291" t="s">
        <v>257</v>
      </c>
      <c r="C291" t="s">
        <v>215</v>
      </c>
      <c r="D291">
        <v>0</v>
      </c>
    </row>
    <row r="292" spans="1:4">
      <c r="A292" t="s">
        <v>249</v>
      </c>
      <c r="B292" t="s">
        <v>257</v>
      </c>
      <c r="C292" t="s">
        <v>216</v>
      </c>
      <c r="D292">
        <v>0</v>
      </c>
    </row>
    <row r="293" spans="1:4">
      <c r="A293" t="s">
        <v>249</v>
      </c>
      <c r="B293" t="s">
        <v>246</v>
      </c>
      <c r="C293" t="s">
        <v>214</v>
      </c>
      <c r="D293">
        <v>0</v>
      </c>
    </row>
    <row r="294" spans="1:4">
      <c r="A294" t="s">
        <v>249</v>
      </c>
      <c r="B294" t="s">
        <v>246</v>
      </c>
      <c r="C294" t="s">
        <v>215</v>
      </c>
      <c r="D294">
        <v>0</v>
      </c>
    </row>
    <row r="295" spans="1:4">
      <c r="A295" t="s">
        <v>249</v>
      </c>
      <c r="B295" t="s">
        <v>246</v>
      </c>
      <c r="C295" t="s">
        <v>216</v>
      </c>
      <c r="D295">
        <v>0</v>
      </c>
    </row>
    <row r="296" spans="1:4">
      <c r="A296" t="s">
        <v>249</v>
      </c>
      <c r="B296" t="s">
        <v>247</v>
      </c>
      <c r="C296" t="s">
        <v>214</v>
      </c>
      <c r="D296">
        <v>0</v>
      </c>
    </row>
    <row r="297" spans="1:4">
      <c r="A297" t="s">
        <v>249</v>
      </c>
      <c r="B297" t="s">
        <v>247</v>
      </c>
      <c r="C297" t="s">
        <v>215</v>
      </c>
      <c r="D297">
        <v>0</v>
      </c>
    </row>
    <row r="298" spans="1:4">
      <c r="A298" t="s">
        <v>249</v>
      </c>
      <c r="B298" t="s">
        <v>247</v>
      </c>
      <c r="C298" t="s">
        <v>216</v>
      </c>
      <c r="D298">
        <v>0</v>
      </c>
    </row>
    <row r="299" spans="1:4">
      <c r="A299" t="s">
        <v>250</v>
      </c>
      <c r="B299" t="s">
        <v>213</v>
      </c>
      <c r="C299" t="s">
        <v>214</v>
      </c>
      <c r="D299">
        <v>165.72003173828119</v>
      </c>
    </row>
    <row r="300" spans="1:4">
      <c r="A300" t="s">
        <v>250</v>
      </c>
      <c r="B300" t="s">
        <v>213</v>
      </c>
      <c r="C300" t="s">
        <v>215</v>
      </c>
      <c r="D300">
        <v>211.16748046875</v>
      </c>
    </row>
    <row r="301" spans="1:4">
      <c r="A301" t="s">
        <v>250</v>
      </c>
      <c r="B301" t="s">
        <v>213</v>
      </c>
      <c r="C301" t="s">
        <v>216</v>
      </c>
      <c r="D301">
        <v>91232.723546199501</v>
      </c>
    </row>
    <row r="302" spans="1:4">
      <c r="A302" t="s">
        <v>250</v>
      </c>
      <c r="B302" t="s">
        <v>217</v>
      </c>
      <c r="C302" t="s">
        <v>214</v>
      </c>
      <c r="D302">
        <v>1235.057722568512</v>
      </c>
    </row>
    <row r="303" spans="1:4">
      <c r="A303" t="s">
        <v>250</v>
      </c>
      <c r="B303" t="s">
        <v>217</v>
      </c>
      <c r="C303" t="s">
        <v>215</v>
      </c>
      <c r="D303">
        <v>4167.3071727752686</v>
      </c>
    </row>
    <row r="304" spans="1:4">
      <c r="A304" t="s">
        <v>250</v>
      </c>
      <c r="B304" t="s">
        <v>217</v>
      </c>
      <c r="C304" t="s">
        <v>216</v>
      </c>
      <c r="D304">
        <v>1117634.670059965</v>
      </c>
    </row>
    <row r="305" spans="1:4">
      <c r="A305" t="s">
        <v>250</v>
      </c>
      <c r="B305" t="s">
        <v>218</v>
      </c>
      <c r="C305" t="s">
        <v>214</v>
      </c>
      <c r="D305">
        <v>64.664741516113281</v>
      </c>
    </row>
    <row r="306" spans="1:4">
      <c r="A306" t="s">
        <v>250</v>
      </c>
      <c r="B306" t="s">
        <v>218</v>
      </c>
      <c r="C306" t="s">
        <v>215</v>
      </c>
      <c r="D306">
        <v>406.29071044921881</v>
      </c>
    </row>
    <row r="307" spans="1:4">
      <c r="A307" t="s">
        <v>250</v>
      </c>
      <c r="B307" t="s">
        <v>218</v>
      </c>
      <c r="C307" t="s">
        <v>216</v>
      </c>
      <c r="D307">
        <v>39680.796174166753</v>
      </c>
    </row>
    <row r="308" spans="1:4">
      <c r="A308" t="s">
        <v>250</v>
      </c>
      <c r="B308" t="s">
        <v>219</v>
      </c>
      <c r="C308" t="s">
        <v>214</v>
      </c>
      <c r="D308">
        <v>1125.8647308349609</v>
      </c>
    </row>
    <row r="309" spans="1:4">
      <c r="A309" t="s">
        <v>250</v>
      </c>
      <c r="B309" t="s">
        <v>219</v>
      </c>
      <c r="C309" t="s">
        <v>215</v>
      </c>
      <c r="D309">
        <v>1383.158508300781</v>
      </c>
    </row>
    <row r="310" spans="1:4">
      <c r="A310" t="s">
        <v>250</v>
      </c>
      <c r="B310" t="s">
        <v>219</v>
      </c>
      <c r="C310" t="s">
        <v>216</v>
      </c>
      <c r="D310">
        <v>199076.72506636471</v>
      </c>
    </row>
    <row r="311" spans="1:4">
      <c r="A311" t="s">
        <v>250</v>
      </c>
      <c r="B311" t="s">
        <v>220</v>
      </c>
      <c r="C311" t="s">
        <v>214</v>
      </c>
      <c r="D311">
        <v>568.5736083984375</v>
      </c>
    </row>
    <row r="312" spans="1:4">
      <c r="A312" t="s">
        <v>250</v>
      </c>
      <c r="B312" t="s">
        <v>220</v>
      </c>
      <c r="C312" t="s">
        <v>215</v>
      </c>
      <c r="D312">
        <v>2818.3525390625</v>
      </c>
    </row>
    <row r="313" spans="1:4">
      <c r="A313" t="s">
        <v>250</v>
      </c>
      <c r="B313" t="s">
        <v>220</v>
      </c>
      <c r="C313" t="s">
        <v>216</v>
      </c>
      <c r="D313">
        <v>293139.24595415959</v>
      </c>
    </row>
    <row r="314" spans="1:4">
      <c r="A314" t="s">
        <v>250</v>
      </c>
      <c r="B314" t="s">
        <v>221</v>
      </c>
      <c r="C314" t="s">
        <v>214</v>
      </c>
      <c r="D314">
        <v>8939.3896484375</v>
      </c>
    </row>
    <row r="315" spans="1:4">
      <c r="A315" t="s">
        <v>250</v>
      </c>
      <c r="B315" t="s">
        <v>221</v>
      </c>
      <c r="C315" t="s">
        <v>215</v>
      </c>
      <c r="D315">
        <v>37869.84375</v>
      </c>
    </row>
    <row r="316" spans="1:4">
      <c r="A316" t="s">
        <v>250</v>
      </c>
      <c r="B316" t="s">
        <v>221</v>
      </c>
      <c r="C316" t="s">
        <v>216</v>
      </c>
      <c r="D316">
        <v>1605788.858229294</v>
      </c>
    </row>
    <row r="317" spans="1:4">
      <c r="A317" t="s">
        <v>250</v>
      </c>
      <c r="B317" t="s">
        <v>222</v>
      </c>
      <c r="C317" t="s">
        <v>214</v>
      </c>
      <c r="D317">
        <v>1.8095750361680981E-2</v>
      </c>
    </row>
    <row r="318" spans="1:4">
      <c r="A318" t="s">
        <v>250</v>
      </c>
      <c r="B318" t="s">
        <v>222</v>
      </c>
      <c r="C318" t="s">
        <v>215</v>
      </c>
      <c r="D318">
        <v>0.2270655632019043</v>
      </c>
    </row>
    <row r="319" spans="1:4">
      <c r="A319" t="s">
        <v>250</v>
      </c>
      <c r="B319" t="s">
        <v>222</v>
      </c>
      <c r="C319" t="s">
        <v>216</v>
      </c>
      <c r="D319">
        <v>4325.9545154799962</v>
      </c>
    </row>
    <row r="320" spans="1:4">
      <c r="A320" t="s">
        <v>250</v>
      </c>
      <c r="B320" t="s">
        <v>223</v>
      </c>
      <c r="C320" t="s">
        <v>214</v>
      </c>
      <c r="D320">
        <v>74.448951721191406</v>
      </c>
    </row>
    <row r="321" spans="1:4">
      <c r="A321" t="s">
        <v>250</v>
      </c>
      <c r="B321" t="s">
        <v>223</v>
      </c>
      <c r="C321" t="s">
        <v>215</v>
      </c>
      <c r="D321">
        <v>746.48040771484375</v>
      </c>
    </row>
    <row r="322" spans="1:4">
      <c r="A322" t="s">
        <v>250</v>
      </c>
      <c r="B322" t="s">
        <v>223</v>
      </c>
      <c r="C322" t="s">
        <v>216</v>
      </c>
      <c r="D322">
        <v>69663.886158160865</v>
      </c>
    </row>
    <row r="323" spans="1:4">
      <c r="A323" t="s">
        <v>250</v>
      </c>
      <c r="B323" t="s">
        <v>224</v>
      </c>
      <c r="C323" t="s">
        <v>214</v>
      </c>
      <c r="D323">
        <v>1631.823364257812</v>
      </c>
    </row>
    <row r="324" spans="1:4">
      <c r="A324" t="s">
        <v>250</v>
      </c>
      <c r="B324" t="s">
        <v>224</v>
      </c>
      <c r="C324" t="s">
        <v>215</v>
      </c>
      <c r="D324">
        <v>916.62094116210938</v>
      </c>
    </row>
    <row r="325" spans="1:4">
      <c r="A325" t="s">
        <v>250</v>
      </c>
      <c r="B325" t="s">
        <v>224</v>
      </c>
      <c r="C325" t="s">
        <v>216</v>
      </c>
      <c r="D325">
        <v>390470.92076745408</v>
      </c>
    </row>
    <row r="326" spans="1:4">
      <c r="A326" t="s">
        <v>250</v>
      </c>
      <c r="B326" t="s">
        <v>225</v>
      </c>
      <c r="C326" t="s">
        <v>214</v>
      </c>
      <c r="D326">
        <v>1270.7752456665039</v>
      </c>
    </row>
    <row r="327" spans="1:4">
      <c r="A327" t="s">
        <v>250</v>
      </c>
      <c r="B327" t="s">
        <v>225</v>
      </c>
      <c r="C327" t="s">
        <v>215</v>
      </c>
      <c r="D327">
        <v>2084.974739074707</v>
      </c>
    </row>
    <row r="328" spans="1:4">
      <c r="A328" t="s">
        <v>250</v>
      </c>
      <c r="B328" t="s">
        <v>225</v>
      </c>
      <c r="C328" t="s">
        <v>216</v>
      </c>
      <c r="D328">
        <v>228778.6777166565</v>
      </c>
    </row>
    <row r="329" spans="1:4">
      <c r="A329" t="s">
        <v>250</v>
      </c>
      <c r="B329" t="s">
        <v>226</v>
      </c>
      <c r="C329" t="s">
        <v>214</v>
      </c>
      <c r="D329">
        <v>1692.856004714966</v>
      </c>
    </row>
    <row r="330" spans="1:4">
      <c r="A330" t="s">
        <v>250</v>
      </c>
      <c r="B330" t="s">
        <v>226</v>
      </c>
      <c r="C330" t="s">
        <v>215</v>
      </c>
      <c r="D330">
        <v>5111.4946994781494</v>
      </c>
    </row>
    <row r="331" spans="1:4">
      <c r="A331" t="s">
        <v>250</v>
      </c>
      <c r="B331" t="s">
        <v>226</v>
      </c>
      <c r="C331" t="s">
        <v>216</v>
      </c>
      <c r="D331">
        <v>410002.23536676238</v>
      </c>
    </row>
    <row r="332" spans="1:4">
      <c r="A332" t="s">
        <v>250</v>
      </c>
      <c r="B332" t="s">
        <v>227</v>
      </c>
      <c r="C332" t="s">
        <v>214</v>
      </c>
      <c r="D332">
        <v>438.576416015625</v>
      </c>
    </row>
    <row r="333" spans="1:4">
      <c r="A333" t="s">
        <v>250</v>
      </c>
      <c r="B333" t="s">
        <v>227</v>
      </c>
      <c r="C333" t="s">
        <v>215</v>
      </c>
      <c r="D333">
        <v>4752.2333984375</v>
      </c>
    </row>
    <row r="334" spans="1:4">
      <c r="A334" t="s">
        <v>250</v>
      </c>
      <c r="B334" t="s">
        <v>227</v>
      </c>
      <c r="C334" t="s">
        <v>216</v>
      </c>
      <c r="D334">
        <v>162411.56561467049</v>
      </c>
    </row>
    <row r="335" spans="1:4">
      <c r="A335" t="s">
        <v>250</v>
      </c>
      <c r="B335" t="s">
        <v>228</v>
      </c>
      <c r="C335" t="s">
        <v>214</v>
      </c>
      <c r="D335">
        <v>553.273193359375</v>
      </c>
    </row>
    <row r="336" spans="1:4">
      <c r="A336" t="s">
        <v>250</v>
      </c>
      <c r="B336" t="s">
        <v>228</v>
      </c>
      <c r="C336" t="s">
        <v>215</v>
      </c>
      <c r="D336">
        <v>20.597166061401371</v>
      </c>
    </row>
    <row r="337" spans="1:4">
      <c r="A337" t="s">
        <v>250</v>
      </c>
      <c r="B337" t="s">
        <v>228</v>
      </c>
      <c r="C337" t="s">
        <v>216</v>
      </c>
      <c r="D337">
        <v>35391.183044731093</v>
      </c>
    </row>
    <row r="338" spans="1:4">
      <c r="A338" t="s">
        <v>250</v>
      </c>
      <c r="B338" t="s">
        <v>229</v>
      </c>
      <c r="C338" t="s">
        <v>214</v>
      </c>
      <c r="D338">
        <v>2726.40283203125</v>
      </c>
    </row>
    <row r="339" spans="1:4">
      <c r="A339" t="s">
        <v>250</v>
      </c>
      <c r="B339" t="s">
        <v>229</v>
      </c>
      <c r="C339" t="s">
        <v>215</v>
      </c>
      <c r="D339">
        <v>776.33984375</v>
      </c>
    </row>
    <row r="340" spans="1:4">
      <c r="A340" t="s">
        <v>250</v>
      </c>
      <c r="B340" t="s">
        <v>229</v>
      </c>
      <c r="C340" t="s">
        <v>216</v>
      </c>
      <c r="D340">
        <v>230922.10986918581</v>
      </c>
    </row>
    <row r="341" spans="1:4">
      <c r="A341" t="s">
        <v>250</v>
      </c>
      <c r="B341" t="s">
        <v>230</v>
      </c>
      <c r="C341" t="s">
        <v>214</v>
      </c>
      <c r="D341">
        <v>1201.73583984375</v>
      </c>
    </row>
    <row r="342" spans="1:4">
      <c r="A342" t="s">
        <v>250</v>
      </c>
      <c r="B342" t="s">
        <v>230</v>
      </c>
      <c r="C342" t="s">
        <v>215</v>
      </c>
      <c r="D342">
        <v>945.8546142578125</v>
      </c>
    </row>
    <row r="343" spans="1:4">
      <c r="A343" t="s">
        <v>250</v>
      </c>
      <c r="B343" t="s">
        <v>230</v>
      </c>
      <c r="C343" t="s">
        <v>216</v>
      </c>
      <c r="D343">
        <v>239293.67527695361</v>
      </c>
    </row>
    <row r="344" spans="1:4">
      <c r="A344" t="s">
        <v>250</v>
      </c>
      <c r="B344" t="s">
        <v>231</v>
      </c>
      <c r="C344" t="s">
        <v>214</v>
      </c>
      <c r="D344">
        <v>4870.9757690429688</v>
      </c>
    </row>
    <row r="345" spans="1:4">
      <c r="A345" t="s">
        <v>250</v>
      </c>
      <c r="B345" t="s">
        <v>231</v>
      </c>
      <c r="C345" t="s">
        <v>215</v>
      </c>
      <c r="D345">
        <v>3410.0497436523442</v>
      </c>
    </row>
    <row r="346" spans="1:4">
      <c r="A346" t="s">
        <v>250</v>
      </c>
      <c r="B346" t="s">
        <v>231</v>
      </c>
      <c r="C346" t="s">
        <v>216</v>
      </c>
      <c r="D346">
        <v>337565.19911154133</v>
      </c>
    </row>
    <row r="347" spans="1:4">
      <c r="A347" t="s">
        <v>250</v>
      </c>
      <c r="B347" t="s">
        <v>232</v>
      </c>
      <c r="C347" t="s">
        <v>214</v>
      </c>
      <c r="D347">
        <v>891.51367264799774</v>
      </c>
    </row>
    <row r="348" spans="1:4">
      <c r="A348" t="s">
        <v>250</v>
      </c>
      <c r="B348" t="s">
        <v>232</v>
      </c>
      <c r="C348" t="s">
        <v>215</v>
      </c>
      <c r="D348">
        <v>6781.2613372802734</v>
      </c>
    </row>
    <row r="349" spans="1:4">
      <c r="A349" t="s">
        <v>250</v>
      </c>
      <c r="B349" t="s">
        <v>232</v>
      </c>
      <c r="C349" t="s">
        <v>216</v>
      </c>
      <c r="D349">
        <v>172460.07883953649</v>
      </c>
    </row>
    <row r="350" spans="1:4">
      <c r="A350" t="s">
        <v>250</v>
      </c>
      <c r="B350" t="s">
        <v>233</v>
      </c>
      <c r="C350" t="s">
        <v>214</v>
      </c>
      <c r="D350">
        <v>66.74713134765625</v>
      </c>
    </row>
    <row r="351" spans="1:4">
      <c r="A351" t="s">
        <v>250</v>
      </c>
      <c r="B351" t="s">
        <v>233</v>
      </c>
      <c r="C351" t="s">
        <v>215</v>
      </c>
      <c r="D351">
        <v>5821.546875</v>
      </c>
    </row>
    <row r="352" spans="1:4">
      <c r="A352" t="s">
        <v>250</v>
      </c>
      <c r="B352" t="s">
        <v>233</v>
      </c>
      <c r="C352" t="s">
        <v>216</v>
      </c>
      <c r="D352">
        <v>424129.85629140033</v>
      </c>
    </row>
    <row r="353" spans="1:4">
      <c r="A353" t="s">
        <v>250</v>
      </c>
      <c r="B353" t="s">
        <v>234</v>
      </c>
      <c r="C353" t="s">
        <v>214</v>
      </c>
      <c r="D353">
        <v>415.37350463867188</v>
      </c>
    </row>
    <row r="354" spans="1:4">
      <c r="A354" t="s">
        <v>250</v>
      </c>
      <c r="B354" t="s">
        <v>234</v>
      </c>
      <c r="C354" t="s">
        <v>215</v>
      </c>
      <c r="D354">
        <v>64.615806579589844</v>
      </c>
    </row>
    <row r="355" spans="1:4">
      <c r="A355" t="s">
        <v>250</v>
      </c>
      <c r="B355" t="s">
        <v>234</v>
      </c>
      <c r="C355" t="s">
        <v>216</v>
      </c>
      <c r="D355">
        <v>19987.72286116704</v>
      </c>
    </row>
    <row r="356" spans="1:4">
      <c r="A356" t="s">
        <v>250</v>
      </c>
      <c r="B356" t="s">
        <v>235</v>
      </c>
      <c r="C356" t="s">
        <v>214</v>
      </c>
      <c r="D356">
        <v>14.18807989358902</v>
      </c>
    </row>
    <row r="357" spans="1:4">
      <c r="A357" t="s">
        <v>250</v>
      </c>
      <c r="B357" t="s">
        <v>235</v>
      </c>
      <c r="C357" t="s">
        <v>215</v>
      </c>
      <c r="D357">
        <v>46.188822746276863</v>
      </c>
    </row>
    <row r="358" spans="1:4">
      <c r="A358" t="s">
        <v>250</v>
      </c>
      <c r="B358" t="s">
        <v>235</v>
      </c>
      <c r="C358" t="s">
        <v>216</v>
      </c>
      <c r="D358">
        <v>39162.636166698067</v>
      </c>
    </row>
    <row r="359" spans="1:4">
      <c r="A359" t="s">
        <v>250</v>
      </c>
      <c r="B359" t="s">
        <v>236</v>
      </c>
      <c r="C359" t="s">
        <v>214</v>
      </c>
      <c r="D359">
        <v>1083.141235351562</v>
      </c>
    </row>
    <row r="360" spans="1:4">
      <c r="A360" t="s">
        <v>250</v>
      </c>
      <c r="B360" t="s">
        <v>236</v>
      </c>
      <c r="C360" t="s">
        <v>215</v>
      </c>
      <c r="D360">
        <v>871.5408935546875</v>
      </c>
    </row>
    <row r="361" spans="1:4">
      <c r="A361" t="s">
        <v>250</v>
      </c>
      <c r="B361" t="s">
        <v>236</v>
      </c>
      <c r="C361" t="s">
        <v>216</v>
      </c>
      <c r="D361">
        <v>134560.56113218149</v>
      </c>
    </row>
    <row r="362" spans="1:4">
      <c r="A362" t="s">
        <v>250</v>
      </c>
      <c r="B362" t="s">
        <v>237</v>
      </c>
      <c r="C362" t="s">
        <v>214</v>
      </c>
      <c r="D362">
        <v>225.49725341796881</v>
      </c>
    </row>
    <row r="363" spans="1:4">
      <c r="A363" t="s">
        <v>250</v>
      </c>
      <c r="B363" t="s">
        <v>237</v>
      </c>
      <c r="C363" t="s">
        <v>215</v>
      </c>
      <c r="D363">
        <v>2307.005859375</v>
      </c>
    </row>
    <row r="364" spans="1:4">
      <c r="A364" t="s">
        <v>250</v>
      </c>
      <c r="B364" t="s">
        <v>237</v>
      </c>
      <c r="C364" t="s">
        <v>216</v>
      </c>
      <c r="D364">
        <v>112522.6403180957</v>
      </c>
    </row>
    <row r="365" spans="1:4">
      <c r="A365" t="s">
        <v>250</v>
      </c>
      <c r="B365" t="s">
        <v>238</v>
      </c>
      <c r="C365" t="s">
        <v>214</v>
      </c>
      <c r="D365">
        <v>461.58206176757813</v>
      </c>
    </row>
    <row r="366" spans="1:4">
      <c r="A366" t="s">
        <v>250</v>
      </c>
      <c r="B366" t="s">
        <v>238</v>
      </c>
      <c r="C366" t="s">
        <v>215</v>
      </c>
      <c r="D366">
        <v>1969.56982421875</v>
      </c>
    </row>
    <row r="367" spans="1:4">
      <c r="A367" t="s">
        <v>250</v>
      </c>
      <c r="B367" t="s">
        <v>238</v>
      </c>
      <c r="C367" t="s">
        <v>216</v>
      </c>
      <c r="D367">
        <v>311633.76467109472</v>
      </c>
    </row>
    <row r="368" spans="1:4">
      <c r="A368" t="s">
        <v>250</v>
      </c>
      <c r="B368" t="s">
        <v>239</v>
      </c>
      <c r="C368" t="s">
        <v>214</v>
      </c>
      <c r="D368">
        <v>318.16976928710938</v>
      </c>
    </row>
    <row r="369" spans="1:4">
      <c r="A369" t="s">
        <v>250</v>
      </c>
      <c r="B369" t="s">
        <v>239</v>
      </c>
      <c r="C369" t="s">
        <v>215</v>
      </c>
      <c r="D369">
        <v>639.59747314453125</v>
      </c>
    </row>
    <row r="370" spans="1:4">
      <c r="A370" t="s">
        <v>250</v>
      </c>
      <c r="B370" t="s">
        <v>239</v>
      </c>
      <c r="C370" t="s">
        <v>216</v>
      </c>
      <c r="D370">
        <v>112865.11955247261</v>
      </c>
    </row>
    <row r="371" spans="1:4">
      <c r="A371" t="s">
        <v>250</v>
      </c>
      <c r="B371" t="s">
        <v>240</v>
      </c>
      <c r="C371" t="s">
        <v>214</v>
      </c>
      <c r="D371">
        <v>6.4886007308959961</v>
      </c>
    </row>
    <row r="372" spans="1:4">
      <c r="A372" t="s">
        <v>250</v>
      </c>
      <c r="B372" t="s">
        <v>240</v>
      </c>
      <c r="C372" t="s">
        <v>215</v>
      </c>
      <c r="D372">
        <v>846.89288330078125</v>
      </c>
    </row>
    <row r="373" spans="1:4">
      <c r="A373" t="s">
        <v>250</v>
      </c>
      <c r="B373" t="s">
        <v>240</v>
      </c>
      <c r="C373" t="s">
        <v>216</v>
      </c>
      <c r="D373">
        <v>34021.297683129669</v>
      </c>
    </row>
    <row r="374" spans="1:4">
      <c r="A374" t="s">
        <v>250</v>
      </c>
      <c r="B374" t="s">
        <v>241</v>
      </c>
      <c r="C374" t="s">
        <v>214</v>
      </c>
      <c r="D374">
        <v>152.5564880371094</v>
      </c>
    </row>
    <row r="375" spans="1:4">
      <c r="A375" t="s">
        <v>250</v>
      </c>
      <c r="B375" t="s">
        <v>241</v>
      </c>
      <c r="C375" t="s">
        <v>215</v>
      </c>
      <c r="D375">
        <v>532.55792236328125</v>
      </c>
    </row>
    <row r="376" spans="1:4">
      <c r="A376" t="s">
        <v>250</v>
      </c>
      <c r="B376" t="s">
        <v>241</v>
      </c>
      <c r="C376" t="s">
        <v>216</v>
      </c>
      <c r="D376">
        <v>108279.5983994268</v>
      </c>
    </row>
    <row r="377" spans="1:4">
      <c r="A377" t="s">
        <v>250</v>
      </c>
      <c r="B377" t="s">
        <v>242</v>
      </c>
      <c r="C377" t="s">
        <v>214</v>
      </c>
      <c r="D377">
        <v>965.979736328125</v>
      </c>
    </row>
    <row r="378" spans="1:4">
      <c r="A378" t="s">
        <v>250</v>
      </c>
      <c r="B378" t="s">
        <v>242</v>
      </c>
      <c r="C378" t="s">
        <v>215</v>
      </c>
      <c r="D378">
        <v>719.12646484375</v>
      </c>
    </row>
    <row r="379" spans="1:4">
      <c r="A379" t="s">
        <v>250</v>
      </c>
      <c r="B379" t="s">
        <v>242</v>
      </c>
      <c r="C379" t="s">
        <v>216</v>
      </c>
      <c r="D379">
        <v>118381.5391176937</v>
      </c>
    </row>
    <row r="380" spans="1:4">
      <c r="A380" t="s">
        <v>250</v>
      </c>
      <c r="B380" t="s">
        <v>243</v>
      </c>
      <c r="C380" t="s">
        <v>214</v>
      </c>
      <c r="D380">
        <v>1251.798950195312</v>
      </c>
    </row>
    <row r="381" spans="1:4">
      <c r="A381" t="s">
        <v>250</v>
      </c>
      <c r="B381" t="s">
        <v>243</v>
      </c>
      <c r="C381" t="s">
        <v>215</v>
      </c>
      <c r="D381">
        <v>316.18204879760742</v>
      </c>
    </row>
    <row r="382" spans="1:4">
      <c r="A382" t="s">
        <v>250</v>
      </c>
      <c r="B382" t="s">
        <v>243</v>
      </c>
      <c r="C382" t="s">
        <v>216</v>
      </c>
      <c r="D382">
        <v>190732.98913815251</v>
      </c>
    </row>
    <row r="383" spans="1:4">
      <c r="A383" t="s">
        <v>250</v>
      </c>
      <c r="B383" t="s">
        <v>244</v>
      </c>
      <c r="C383" t="s">
        <v>214</v>
      </c>
      <c r="D383">
        <v>1310.787475585938</v>
      </c>
    </row>
    <row r="384" spans="1:4">
      <c r="A384" t="s">
        <v>250</v>
      </c>
      <c r="B384" t="s">
        <v>244</v>
      </c>
      <c r="C384" t="s">
        <v>215</v>
      </c>
      <c r="D384">
        <v>6667.79345703125</v>
      </c>
    </row>
    <row r="385" spans="1:4">
      <c r="A385" t="s">
        <v>250</v>
      </c>
      <c r="B385" t="s">
        <v>244</v>
      </c>
      <c r="C385" t="s">
        <v>216</v>
      </c>
      <c r="D385">
        <v>410343.91755625611</v>
      </c>
    </row>
    <row r="386" spans="1:4">
      <c r="A386" t="s">
        <v>250</v>
      </c>
      <c r="B386" t="s">
        <v>245</v>
      </c>
      <c r="C386" t="s">
        <v>214</v>
      </c>
      <c r="D386">
        <v>1923.064453125</v>
      </c>
    </row>
    <row r="387" spans="1:4">
      <c r="A387" t="s">
        <v>250</v>
      </c>
      <c r="B387" t="s">
        <v>245</v>
      </c>
      <c r="C387" t="s">
        <v>215</v>
      </c>
      <c r="D387">
        <v>1558.168579101562</v>
      </c>
    </row>
    <row r="388" spans="1:4">
      <c r="A388" t="s">
        <v>250</v>
      </c>
      <c r="B388" t="s">
        <v>245</v>
      </c>
      <c r="C388" t="s">
        <v>216</v>
      </c>
      <c r="D388">
        <v>234195.86744198721</v>
      </c>
    </row>
    <row r="389" spans="1:4">
      <c r="A389" t="s">
        <v>250</v>
      </c>
      <c r="B389" t="s">
        <v>257</v>
      </c>
      <c r="C389" t="s">
        <v>214</v>
      </c>
      <c r="D389">
        <v>109.8913192749023</v>
      </c>
    </row>
    <row r="390" spans="1:4">
      <c r="A390" t="s">
        <v>250</v>
      </c>
      <c r="B390" t="s">
        <v>257</v>
      </c>
      <c r="C390" t="s">
        <v>215</v>
      </c>
      <c r="D390">
        <v>457.480224609375</v>
      </c>
    </row>
    <row r="391" spans="1:4">
      <c r="A391" t="s">
        <v>250</v>
      </c>
      <c r="B391" t="s">
        <v>257</v>
      </c>
      <c r="C391" t="s">
        <v>216</v>
      </c>
      <c r="D391">
        <v>54166.667498311028</v>
      </c>
    </row>
    <row r="392" spans="1:4">
      <c r="A392" t="s">
        <v>250</v>
      </c>
      <c r="B392" t="s">
        <v>246</v>
      </c>
      <c r="C392" t="s">
        <v>214</v>
      </c>
      <c r="D392">
        <v>448.44259643554688</v>
      </c>
    </row>
    <row r="393" spans="1:4">
      <c r="A393" t="s">
        <v>250</v>
      </c>
      <c r="B393" t="s">
        <v>246</v>
      </c>
      <c r="C393" t="s">
        <v>215</v>
      </c>
      <c r="D393">
        <v>961.0751953125</v>
      </c>
    </row>
    <row r="394" spans="1:4">
      <c r="A394" t="s">
        <v>250</v>
      </c>
      <c r="B394" t="s">
        <v>246</v>
      </c>
      <c r="C394" t="s">
        <v>216</v>
      </c>
      <c r="D394">
        <v>47603.481796332533</v>
      </c>
    </row>
    <row r="395" spans="1:4">
      <c r="A395" t="s">
        <v>250</v>
      </c>
      <c r="B395" t="s">
        <v>247</v>
      </c>
      <c r="C395" t="s">
        <v>214</v>
      </c>
      <c r="D395">
        <v>59.492568969726563</v>
      </c>
    </row>
    <row r="396" spans="1:4">
      <c r="A396" t="s">
        <v>250</v>
      </c>
      <c r="B396" t="s">
        <v>247</v>
      </c>
      <c r="C396" t="s">
        <v>215</v>
      </c>
      <c r="D396">
        <v>125.5603408813477</v>
      </c>
    </row>
    <row r="397" spans="1:4">
      <c r="A397" t="s">
        <v>250</v>
      </c>
      <c r="B397" t="s">
        <v>247</v>
      </c>
      <c r="C397" t="s">
        <v>216</v>
      </c>
      <c r="D397">
        <v>21222.357351200899</v>
      </c>
    </row>
    <row r="398" spans="1:4">
      <c r="A398" t="s">
        <v>251</v>
      </c>
      <c r="B398" t="s">
        <v>213</v>
      </c>
      <c r="C398" t="s">
        <v>214</v>
      </c>
      <c r="D398">
        <v>479.86105346679688</v>
      </c>
    </row>
    <row r="399" spans="1:4">
      <c r="A399" t="s">
        <v>251</v>
      </c>
      <c r="B399" t="s">
        <v>213</v>
      </c>
      <c r="C399" t="s">
        <v>215</v>
      </c>
      <c r="D399">
        <v>1110.994750976562</v>
      </c>
    </row>
    <row r="400" spans="1:4">
      <c r="A400" t="s">
        <v>251</v>
      </c>
      <c r="B400" t="s">
        <v>213</v>
      </c>
      <c r="C400" t="s">
        <v>216</v>
      </c>
      <c r="D400">
        <v>105031.797392711</v>
      </c>
    </row>
    <row r="401" spans="1:4">
      <c r="A401" t="s">
        <v>251</v>
      </c>
      <c r="B401" t="s">
        <v>217</v>
      </c>
      <c r="C401" t="s">
        <v>214</v>
      </c>
      <c r="D401">
        <v>4.0504074601922184</v>
      </c>
    </row>
    <row r="402" spans="1:4">
      <c r="A402" t="s">
        <v>251</v>
      </c>
      <c r="B402" t="s">
        <v>217</v>
      </c>
      <c r="C402" t="s">
        <v>215</v>
      </c>
      <c r="D402">
        <v>377.53859663009638</v>
      </c>
    </row>
    <row r="403" spans="1:4">
      <c r="A403" t="s">
        <v>251</v>
      </c>
      <c r="B403" t="s">
        <v>217</v>
      </c>
      <c r="C403" t="s">
        <v>216</v>
      </c>
      <c r="D403">
        <v>25953.422221852528</v>
      </c>
    </row>
    <row r="404" spans="1:4">
      <c r="A404" t="s">
        <v>251</v>
      </c>
      <c r="B404" t="s">
        <v>218</v>
      </c>
      <c r="C404" t="s">
        <v>214</v>
      </c>
      <c r="D404">
        <v>89.333908081054673</v>
      </c>
    </row>
    <row r="405" spans="1:4">
      <c r="A405" t="s">
        <v>251</v>
      </c>
      <c r="B405" t="s">
        <v>218</v>
      </c>
      <c r="C405" t="s">
        <v>215</v>
      </c>
      <c r="D405">
        <v>875.6668701171875</v>
      </c>
    </row>
    <row r="406" spans="1:4">
      <c r="A406" t="s">
        <v>251</v>
      </c>
      <c r="B406" t="s">
        <v>218</v>
      </c>
      <c r="C406" t="s">
        <v>216</v>
      </c>
      <c r="D406">
        <v>20729.59470950138</v>
      </c>
    </row>
    <row r="407" spans="1:4">
      <c r="A407" t="s">
        <v>251</v>
      </c>
      <c r="B407" t="s">
        <v>219</v>
      </c>
      <c r="C407" t="s">
        <v>214</v>
      </c>
      <c r="D407">
        <v>128.08158683776861</v>
      </c>
    </row>
    <row r="408" spans="1:4">
      <c r="A408" t="s">
        <v>251</v>
      </c>
      <c r="B408" t="s">
        <v>219</v>
      </c>
      <c r="C408" t="s">
        <v>215</v>
      </c>
      <c r="D408">
        <v>455.37461853027338</v>
      </c>
    </row>
    <row r="409" spans="1:4">
      <c r="A409" t="s">
        <v>251</v>
      </c>
      <c r="B409" t="s">
        <v>219</v>
      </c>
      <c r="C409" t="s">
        <v>216</v>
      </c>
      <c r="D409">
        <v>34950.752601694003</v>
      </c>
    </row>
    <row r="410" spans="1:4">
      <c r="A410" t="s">
        <v>251</v>
      </c>
      <c r="B410" t="s">
        <v>220</v>
      </c>
      <c r="C410" t="s">
        <v>214</v>
      </c>
      <c r="D410">
        <v>785.48065185546875</v>
      </c>
    </row>
    <row r="411" spans="1:4">
      <c r="A411" t="s">
        <v>251</v>
      </c>
      <c r="B411" t="s">
        <v>220</v>
      </c>
      <c r="C411" t="s">
        <v>215</v>
      </c>
      <c r="D411">
        <v>6074.31787109375</v>
      </c>
    </row>
    <row r="412" spans="1:4">
      <c r="A412" t="s">
        <v>251</v>
      </c>
      <c r="B412" t="s">
        <v>220</v>
      </c>
      <c r="C412" t="s">
        <v>216</v>
      </c>
      <c r="D412">
        <v>188398.77093149719</v>
      </c>
    </row>
    <row r="413" spans="1:4">
      <c r="A413" t="s">
        <v>251</v>
      </c>
      <c r="B413" t="s">
        <v>221</v>
      </c>
      <c r="C413" t="s">
        <v>214</v>
      </c>
      <c r="D413">
        <v>780.6396484375</v>
      </c>
    </row>
    <row r="414" spans="1:4">
      <c r="A414" t="s">
        <v>251</v>
      </c>
      <c r="B414" t="s">
        <v>221</v>
      </c>
      <c r="C414" t="s">
        <v>215</v>
      </c>
      <c r="D414">
        <v>2292.114501953125</v>
      </c>
    </row>
    <row r="415" spans="1:4">
      <c r="A415" t="s">
        <v>251</v>
      </c>
      <c r="B415" t="s">
        <v>221</v>
      </c>
      <c r="C415" t="s">
        <v>216</v>
      </c>
      <c r="D415">
        <v>116343.4450663701</v>
      </c>
    </row>
    <row r="416" spans="1:4">
      <c r="A416" t="s">
        <v>251</v>
      </c>
      <c r="B416" t="s">
        <v>222</v>
      </c>
      <c r="C416" t="s">
        <v>214</v>
      </c>
      <c r="D416">
        <v>0.32426086068153381</v>
      </c>
    </row>
    <row r="417" spans="1:4">
      <c r="A417" t="s">
        <v>251</v>
      </c>
      <c r="B417" t="s">
        <v>222</v>
      </c>
      <c r="C417" t="s">
        <v>215</v>
      </c>
      <c r="D417">
        <v>0.69112306833267212</v>
      </c>
    </row>
    <row r="418" spans="1:4">
      <c r="A418" t="s">
        <v>251</v>
      </c>
      <c r="B418" t="s">
        <v>222</v>
      </c>
      <c r="C418" t="s">
        <v>216</v>
      </c>
      <c r="D418">
        <v>7866.9694424604922</v>
      </c>
    </row>
    <row r="419" spans="1:4">
      <c r="A419" t="s">
        <v>251</v>
      </c>
      <c r="B419" t="s">
        <v>223</v>
      </c>
      <c r="C419" t="s">
        <v>214</v>
      </c>
      <c r="D419">
        <v>741.1993408203125</v>
      </c>
    </row>
    <row r="420" spans="1:4">
      <c r="A420" t="s">
        <v>251</v>
      </c>
      <c r="B420" t="s">
        <v>223</v>
      </c>
      <c r="C420" t="s">
        <v>215</v>
      </c>
      <c r="D420">
        <v>4627.11669921875</v>
      </c>
    </row>
    <row r="421" spans="1:4">
      <c r="A421" t="s">
        <v>251</v>
      </c>
      <c r="B421" t="s">
        <v>223</v>
      </c>
      <c r="C421" t="s">
        <v>216</v>
      </c>
      <c r="D421">
        <v>188665.6214957833</v>
      </c>
    </row>
    <row r="422" spans="1:4">
      <c r="A422" t="s">
        <v>251</v>
      </c>
      <c r="B422" t="s">
        <v>224</v>
      </c>
      <c r="C422" t="s">
        <v>214</v>
      </c>
      <c r="D422">
        <v>185.64090728759771</v>
      </c>
    </row>
    <row r="423" spans="1:4">
      <c r="A423" t="s">
        <v>251</v>
      </c>
      <c r="B423" t="s">
        <v>224</v>
      </c>
      <c r="C423" t="s">
        <v>215</v>
      </c>
      <c r="D423">
        <v>301.77737426757813</v>
      </c>
    </row>
    <row r="424" spans="1:4">
      <c r="A424" t="s">
        <v>251</v>
      </c>
      <c r="B424" t="s">
        <v>224</v>
      </c>
      <c r="C424" t="s">
        <v>216</v>
      </c>
      <c r="D424">
        <v>67801.915864503884</v>
      </c>
    </row>
    <row r="425" spans="1:4">
      <c r="A425" t="s">
        <v>251</v>
      </c>
      <c r="B425" t="s">
        <v>225</v>
      </c>
      <c r="C425" t="s">
        <v>214</v>
      </c>
      <c r="D425">
        <v>889.28226470947266</v>
      </c>
    </row>
    <row r="426" spans="1:4">
      <c r="A426" t="s">
        <v>251</v>
      </c>
      <c r="B426" t="s">
        <v>225</v>
      </c>
      <c r="C426" t="s">
        <v>215</v>
      </c>
      <c r="D426">
        <v>931.08742809295654</v>
      </c>
    </row>
    <row r="427" spans="1:4">
      <c r="A427" t="s">
        <v>251</v>
      </c>
      <c r="B427" t="s">
        <v>225</v>
      </c>
      <c r="C427" t="s">
        <v>216</v>
      </c>
      <c r="D427">
        <v>78069.872054601452</v>
      </c>
    </row>
    <row r="428" spans="1:4">
      <c r="A428" t="s">
        <v>251</v>
      </c>
      <c r="B428" t="s">
        <v>226</v>
      </c>
      <c r="C428" t="s">
        <v>214</v>
      </c>
      <c r="D428">
        <v>192.58413362503049</v>
      </c>
    </row>
    <row r="429" spans="1:4">
      <c r="A429" t="s">
        <v>251</v>
      </c>
      <c r="B429" t="s">
        <v>226</v>
      </c>
      <c r="C429" t="s">
        <v>215</v>
      </c>
      <c r="D429">
        <v>1682.8474283218379</v>
      </c>
    </row>
    <row r="430" spans="1:4">
      <c r="A430" t="s">
        <v>251</v>
      </c>
      <c r="B430" t="s">
        <v>226</v>
      </c>
      <c r="C430" t="s">
        <v>216</v>
      </c>
      <c r="D430">
        <v>60411.16827329628</v>
      </c>
    </row>
    <row r="431" spans="1:4">
      <c r="A431" t="s">
        <v>251</v>
      </c>
      <c r="B431" t="s">
        <v>227</v>
      </c>
      <c r="C431" t="s">
        <v>214</v>
      </c>
      <c r="D431">
        <v>1126.371826171875</v>
      </c>
    </row>
    <row r="432" spans="1:4">
      <c r="A432" t="s">
        <v>251</v>
      </c>
      <c r="B432" t="s">
        <v>227</v>
      </c>
      <c r="C432" t="s">
        <v>215</v>
      </c>
      <c r="D432">
        <v>6553.9912109375</v>
      </c>
    </row>
    <row r="433" spans="1:4">
      <c r="A433" t="s">
        <v>251</v>
      </c>
      <c r="B433" t="s">
        <v>227</v>
      </c>
      <c r="C433" t="s">
        <v>216</v>
      </c>
      <c r="D433">
        <v>338748.78743138909</v>
      </c>
    </row>
    <row r="434" spans="1:4">
      <c r="A434" t="s">
        <v>251</v>
      </c>
      <c r="B434" t="s">
        <v>228</v>
      </c>
      <c r="C434" t="s">
        <v>214</v>
      </c>
      <c r="D434">
        <v>62.941947937011719</v>
      </c>
    </row>
    <row r="435" spans="1:4">
      <c r="A435" t="s">
        <v>251</v>
      </c>
      <c r="B435" t="s">
        <v>228</v>
      </c>
      <c r="C435" t="s">
        <v>215</v>
      </c>
      <c r="D435">
        <v>6.7811651229858398</v>
      </c>
    </row>
    <row r="436" spans="1:4">
      <c r="A436" t="s">
        <v>251</v>
      </c>
      <c r="B436" t="s">
        <v>228</v>
      </c>
      <c r="C436" t="s">
        <v>216</v>
      </c>
      <c r="D436">
        <v>4923.4880082124437</v>
      </c>
    </row>
    <row r="437" spans="1:4">
      <c r="A437" t="s">
        <v>251</v>
      </c>
      <c r="B437" t="s">
        <v>229</v>
      </c>
      <c r="C437" t="s">
        <v>214</v>
      </c>
      <c r="D437">
        <v>310.16336059570313</v>
      </c>
    </row>
    <row r="438" spans="1:4">
      <c r="A438" t="s">
        <v>251</v>
      </c>
      <c r="B438" t="s">
        <v>229</v>
      </c>
      <c r="C438" t="s">
        <v>215</v>
      </c>
      <c r="D438">
        <v>255.59284973144531</v>
      </c>
    </row>
    <row r="439" spans="1:4">
      <c r="A439" t="s">
        <v>251</v>
      </c>
      <c r="B439" t="s">
        <v>229</v>
      </c>
      <c r="C439" t="s">
        <v>216</v>
      </c>
      <c r="D439">
        <v>39824.891391747748</v>
      </c>
    </row>
    <row r="440" spans="1:4">
      <c r="A440" t="s">
        <v>251</v>
      </c>
      <c r="B440" t="s">
        <v>230</v>
      </c>
      <c r="C440" t="s">
        <v>214</v>
      </c>
      <c r="D440">
        <v>136.7129211425781</v>
      </c>
    </row>
    <row r="441" spans="1:4">
      <c r="A441" t="s">
        <v>251</v>
      </c>
      <c r="B441" t="s">
        <v>230</v>
      </c>
      <c r="C441" t="s">
        <v>215</v>
      </c>
      <c r="D441">
        <v>311.40185546875</v>
      </c>
    </row>
    <row r="442" spans="1:4">
      <c r="A442" t="s">
        <v>251</v>
      </c>
      <c r="B442" t="s">
        <v>230</v>
      </c>
      <c r="C442" t="s">
        <v>216</v>
      </c>
      <c r="D442">
        <v>45932.300764944623</v>
      </c>
    </row>
    <row r="443" spans="1:4">
      <c r="A443" t="s">
        <v>251</v>
      </c>
      <c r="B443" t="s">
        <v>231</v>
      </c>
      <c r="C443" t="s">
        <v>214</v>
      </c>
      <c r="D443">
        <v>554.13611221313477</v>
      </c>
    </row>
    <row r="444" spans="1:4">
      <c r="A444" t="s">
        <v>251</v>
      </c>
      <c r="B444" t="s">
        <v>231</v>
      </c>
      <c r="C444" t="s">
        <v>215</v>
      </c>
      <c r="D444">
        <v>1122.6839904785161</v>
      </c>
    </row>
    <row r="445" spans="1:4">
      <c r="A445" t="s">
        <v>251</v>
      </c>
      <c r="B445" t="s">
        <v>231</v>
      </c>
      <c r="C445" t="s">
        <v>216</v>
      </c>
      <c r="D445">
        <v>60895.134088067127</v>
      </c>
    </row>
    <row r="446" spans="1:4">
      <c r="A446" t="s">
        <v>251</v>
      </c>
      <c r="B446" t="s">
        <v>232</v>
      </c>
      <c r="C446" t="s">
        <v>214</v>
      </c>
      <c r="D446">
        <v>355.99378378875548</v>
      </c>
    </row>
    <row r="447" spans="1:4">
      <c r="A447" t="s">
        <v>251</v>
      </c>
      <c r="B447" t="s">
        <v>232</v>
      </c>
      <c r="C447" t="s">
        <v>215</v>
      </c>
      <c r="D447">
        <v>882.26709175109852</v>
      </c>
    </row>
    <row r="448" spans="1:4">
      <c r="A448" t="s">
        <v>251</v>
      </c>
      <c r="B448" t="s">
        <v>232</v>
      </c>
      <c r="C448" t="s">
        <v>216</v>
      </c>
      <c r="D448">
        <v>19128.87707031253</v>
      </c>
    </row>
    <row r="449" spans="1:4">
      <c r="A449" t="s">
        <v>251</v>
      </c>
      <c r="B449" t="s">
        <v>233</v>
      </c>
      <c r="C449" t="s">
        <v>214</v>
      </c>
      <c r="D449">
        <v>474.81072998046881</v>
      </c>
    </row>
    <row r="450" spans="1:4">
      <c r="A450" t="s">
        <v>251</v>
      </c>
      <c r="B450" t="s">
        <v>233</v>
      </c>
      <c r="C450" t="s">
        <v>215</v>
      </c>
      <c r="D450">
        <v>12893.224609375</v>
      </c>
    </row>
    <row r="451" spans="1:4">
      <c r="A451" t="s">
        <v>251</v>
      </c>
      <c r="B451" t="s">
        <v>233</v>
      </c>
      <c r="C451" t="s">
        <v>216</v>
      </c>
      <c r="D451">
        <v>506879.98503340781</v>
      </c>
    </row>
    <row r="452" spans="1:4">
      <c r="A452" t="s">
        <v>251</v>
      </c>
      <c r="B452" t="s">
        <v>234</v>
      </c>
      <c r="C452" t="s">
        <v>214</v>
      </c>
      <c r="D452">
        <v>47.254074096679688</v>
      </c>
    </row>
    <row r="453" spans="1:4">
      <c r="A453" t="s">
        <v>251</v>
      </c>
      <c r="B453" t="s">
        <v>234</v>
      </c>
      <c r="C453" t="s">
        <v>215</v>
      </c>
      <c r="D453">
        <v>21.273336410522461</v>
      </c>
    </row>
    <row r="454" spans="1:4">
      <c r="A454" t="s">
        <v>251</v>
      </c>
      <c r="B454" t="s">
        <v>234</v>
      </c>
      <c r="C454" t="s">
        <v>216</v>
      </c>
      <c r="D454">
        <v>2756.073418755288</v>
      </c>
    </row>
    <row r="455" spans="1:4">
      <c r="A455" t="s">
        <v>251</v>
      </c>
      <c r="B455" t="s">
        <v>235</v>
      </c>
      <c r="C455" t="s">
        <v>214</v>
      </c>
      <c r="D455">
        <v>607.26981353759766</v>
      </c>
    </row>
    <row r="456" spans="1:4">
      <c r="A456" t="s">
        <v>251</v>
      </c>
      <c r="B456" t="s">
        <v>235</v>
      </c>
      <c r="C456" t="s">
        <v>215</v>
      </c>
      <c r="D456">
        <v>5260.635498046875</v>
      </c>
    </row>
    <row r="457" spans="1:4">
      <c r="A457" t="s">
        <v>251</v>
      </c>
      <c r="B457" t="s">
        <v>235</v>
      </c>
      <c r="C457" t="s">
        <v>216</v>
      </c>
      <c r="D457">
        <v>415223.57596402988</v>
      </c>
    </row>
    <row r="458" spans="1:4">
      <c r="A458" t="s">
        <v>251</v>
      </c>
      <c r="B458" t="s">
        <v>236</v>
      </c>
      <c r="C458" t="s">
        <v>214</v>
      </c>
      <c r="D458">
        <v>123.22125244140619</v>
      </c>
    </row>
    <row r="459" spans="1:4">
      <c r="A459" t="s">
        <v>251</v>
      </c>
      <c r="B459" t="s">
        <v>236</v>
      </c>
      <c r="C459" t="s">
        <v>215</v>
      </c>
      <c r="D459">
        <v>286.9356689453125</v>
      </c>
    </row>
    <row r="460" spans="1:4">
      <c r="A460" t="s">
        <v>251</v>
      </c>
      <c r="B460" t="s">
        <v>236</v>
      </c>
      <c r="C460" t="s">
        <v>216</v>
      </c>
      <c r="D460">
        <v>20718.166067787759</v>
      </c>
    </row>
    <row r="461" spans="1:4">
      <c r="A461" t="s">
        <v>251</v>
      </c>
      <c r="B461" t="s">
        <v>237</v>
      </c>
      <c r="C461" t="s">
        <v>214</v>
      </c>
      <c r="D461">
        <v>1105.462158203125</v>
      </c>
    </row>
    <row r="462" spans="1:4">
      <c r="A462" t="s">
        <v>251</v>
      </c>
      <c r="B462" t="s">
        <v>237</v>
      </c>
      <c r="C462" t="s">
        <v>215</v>
      </c>
      <c r="D462">
        <v>8682.59765625</v>
      </c>
    </row>
    <row r="463" spans="1:4">
      <c r="A463" t="s">
        <v>251</v>
      </c>
      <c r="B463" t="s">
        <v>237</v>
      </c>
      <c r="C463" t="s">
        <v>216</v>
      </c>
      <c r="D463">
        <v>435510.62398833042</v>
      </c>
    </row>
    <row r="464" spans="1:4">
      <c r="A464" t="s">
        <v>251</v>
      </c>
      <c r="B464" t="s">
        <v>238</v>
      </c>
      <c r="C464" t="s">
        <v>214</v>
      </c>
      <c r="D464">
        <v>637.67254638671875</v>
      </c>
    </row>
    <row r="465" spans="1:4">
      <c r="A465" t="s">
        <v>251</v>
      </c>
      <c r="B465" t="s">
        <v>238</v>
      </c>
      <c r="C465" t="s">
        <v>215</v>
      </c>
      <c r="D465">
        <v>4244.95849609375</v>
      </c>
    </row>
    <row r="466" spans="1:4">
      <c r="A466" t="s">
        <v>251</v>
      </c>
      <c r="B466" t="s">
        <v>238</v>
      </c>
      <c r="C466" t="s">
        <v>216</v>
      </c>
      <c r="D466">
        <v>170467.54159891611</v>
      </c>
    </row>
    <row r="467" spans="1:4">
      <c r="A467" t="s">
        <v>251</v>
      </c>
      <c r="B467" t="s">
        <v>239</v>
      </c>
      <c r="C467" t="s">
        <v>214</v>
      </c>
      <c r="D467">
        <v>36.195899963378913</v>
      </c>
    </row>
    <row r="468" spans="1:4">
      <c r="A468" t="s">
        <v>251</v>
      </c>
      <c r="B468" t="s">
        <v>239</v>
      </c>
      <c r="C468" t="s">
        <v>215</v>
      </c>
      <c r="D468">
        <v>210.57342529296881</v>
      </c>
    </row>
    <row r="469" spans="1:4">
      <c r="A469" t="s">
        <v>251</v>
      </c>
      <c r="B469" t="s">
        <v>239</v>
      </c>
      <c r="C469" t="s">
        <v>216</v>
      </c>
      <c r="D469">
        <v>20217.45374566293</v>
      </c>
    </row>
    <row r="470" spans="1:4">
      <c r="A470" t="s">
        <v>251</v>
      </c>
      <c r="B470" t="s">
        <v>240</v>
      </c>
      <c r="C470" t="s">
        <v>214</v>
      </c>
      <c r="D470">
        <v>46.157157897949219</v>
      </c>
    </row>
    <row r="471" spans="1:4">
      <c r="A471" t="s">
        <v>251</v>
      </c>
      <c r="B471" t="s">
        <v>240</v>
      </c>
      <c r="C471" t="s">
        <v>215</v>
      </c>
      <c r="D471">
        <v>1875.649291992188</v>
      </c>
    </row>
    <row r="472" spans="1:4">
      <c r="A472" t="s">
        <v>251</v>
      </c>
      <c r="B472" t="s">
        <v>240</v>
      </c>
      <c r="C472" t="s">
        <v>216</v>
      </c>
      <c r="D472">
        <v>50177.613715326414</v>
      </c>
    </row>
    <row r="473" spans="1:4">
      <c r="A473" t="s">
        <v>251</v>
      </c>
      <c r="B473" t="s">
        <v>241</v>
      </c>
      <c r="C473" t="s">
        <v>214</v>
      </c>
      <c r="D473">
        <v>60.301860809326172</v>
      </c>
    </row>
    <row r="474" spans="1:4">
      <c r="A474" t="s">
        <v>251</v>
      </c>
      <c r="B474" t="s">
        <v>241</v>
      </c>
      <c r="C474" t="s">
        <v>215</v>
      </c>
      <c r="D474">
        <v>738.53619384765625</v>
      </c>
    </row>
    <row r="475" spans="1:4">
      <c r="A475" t="s">
        <v>251</v>
      </c>
      <c r="B475" t="s">
        <v>241</v>
      </c>
      <c r="C475" t="s">
        <v>216</v>
      </c>
      <c r="D475">
        <v>109910.84713067859</v>
      </c>
    </row>
    <row r="476" spans="1:4">
      <c r="A476" t="s">
        <v>251</v>
      </c>
      <c r="B476" t="s">
        <v>242</v>
      </c>
      <c r="C476" t="s">
        <v>214</v>
      </c>
      <c r="D476">
        <v>109.8926086425781</v>
      </c>
    </row>
    <row r="477" spans="1:4">
      <c r="A477" t="s">
        <v>251</v>
      </c>
      <c r="B477" t="s">
        <v>242</v>
      </c>
      <c r="C477" t="s">
        <v>215</v>
      </c>
      <c r="D477">
        <v>236.75657653808591</v>
      </c>
    </row>
    <row r="478" spans="1:4">
      <c r="A478" t="s">
        <v>251</v>
      </c>
      <c r="B478" t="s">
        <v>242</v>
      </c>
      <c r="C478" t="s">
        <v>216</v>
      </c>
      <c r="D478">
        <v>22268.94831701471</v>
      </c>
    </row>
    <row r="479" spans="1:4">
      <c r="A479" t="s">
        <v>251</v>
      </c>
      <c r="B479" t="s">
        <v>243</v>
      </c>
      <c r="C479" t="s">
        <v>214</v>
      </c>
      <c r="D479">
        <v>142.40824127197271</v>
      </c>
    </row>
    <row r="480" spans="1:4">
      <c r="A480" t="s">
        <v>251</v>
      </c>
      <c r="B480" t="s">
        <v>243</v>
      </c>
      <c r="C480" t="s">
        <v>215</v>
      </c>
      <c r="D480">
        <v>104.0960264205933</v>
      </c>
    </row>
    <row r="481" spans="1:4">
      <c r="A481" t="s">
        <v>251</v>
      </c>
      <c r="B481" t="s">
        <v>243</v>
      </c>
      <c r="C481" t="s">
        <v>216</v>
      </c>
      <c r="D481">
        <v>26182.987954800661</v>
      </c>
    </row>
    <row r="482" spans="1:4">
      <c r="A482" t="s">
        <v>251</v>
      </c>
      <c r="B482" t="s">
        <v>244</v>
      </c>
      <c r="C482" t="s">
        <v>214</v>
      </c>
      <c r="D482">
        <v>1334.710327148438</v>
      </c>
    </row>
    <row r="483" spans="1:4">
      <c r="A483" t="s">
        <v>251</v>
      </c>
      <c r="B483" t="s">
        <v>244</v>
      </c>
      <c r="C483" t="s">
        <v>215</v>
      </c>
      <c r="D483">
        <v>12200.5439453125</v>
      </c>
    </row>
    <row r="484" spans="1:4">
      <c r="A484" t="s">
        <v>251</v>
      </c>
      <c r="B484" t="s">
        <v>244</v>
      </c>
      <c r="C484" t="s">
        <v>216</v>
      </c>
      <c r="D484">
        <v>772589.18199964985</v>
      </c>
    </row>
    <row r="485" spans="1:4">
      <c r="A485" t="s">
        <v>251</v>
      </c>
      <c r="B485" t="s">
        <v>245</v>
      </c>
      <c r="C485" t="s">
        <v>214</v>
      </c>
      <c r="D485">
        <v>218.7733154296875</v>
      </c>
    </row>
    <row r="486" spans="1:4">
      <c r="A486" t="s">
        <v>251</v>
      </c>
      <c r="B486" t="s">
        <v>245</v>
      </c>
      <c r="C486" t="s">
        <v>215</v>
      </c>
      <c r="D486">
        <v>512.99288940429688</v>
      </c>
    </row>
    <row r="487" spans="1:4">
      <c r="A487" t="s">
        <v>251</v>
      </c>
      <c r="B487" t="s">
        <v>245</v>
      </c>
      <c r="C487" t="s">
        <v>216</v>
      </c>
      <c r="D487">
        <v>42304.62294122421</v>
      </c>
    </row>
    <row r="488" spans="1:4">
      <c r="A488" t="s">
        <v>251</v>
      </c>
      <c r="B488" t="s">
        <v>257</v>
      </c>
      <c r="C488" t="s">
        <v>214</v>
      </c>
      <c r="D488">
        <v>151.8141174316406</v>
      </c>
    </row>
    <row r="489" spans="1:4">
      <c r="A489" t="s">
        <v>251</v>
      </c>
      <c r="B489" t="s">
        <v>257</v>
      </c>
      <c r="C489" t="s">
        <v>215</v>
      </c>
      <c r="D489">
        <v>985.99432373046875</v>
      </c>
    </row>
    <row r="490" spans="1:4">
      <c r="A490" t="s">
        <v>251</v>
      </c>
      <c r="B490" t="s">
        <v>257</v>
      </c>
      <c r="C490" t="s">
        <v>216</v>
      </c>
      <c r="D490">
        <v>36978.895125615411</v>
      </c>
    </row>
    <row r="491" spans="1:4">
      <c r="A491" t="s">
        <v>251</v>
      </c>
      <c r="B491" t="s">
        <v>246</v>
      </c>
      <c r="C491" t="s">
        <v>214</v>
      </c>
      <c r="D491">
        <v>51.016105651855469</v>
      </c>
    </row>
    <row r="492" spans="1:4">
      <c r="A492" t="s">
        <v>251</v>
      </c>
      <c r="B492" t="s">
        <v>246</v>
      </c>
      <c r="C492" t="s">
        <v>215</v>
      </c>
      <c r="D492">
        <v>316.41290283203119</v>
      </c>
    </row>
    <row r="493" spans="1:4">
      <c r="A493" t="s">
        <v>251</v>
      </c>
      <c r="B493" t="s">
        <v>246</v>
      </c>
      <c r="C493" t="s">
        <v>216</v>
      </c>
      <c r="D493">
        <v>8017.1020328948416</v>
      </c>
    </row>
    <row r="494" spans="1:4">
      <c r="A494" t="s">
        <v>251</v>
      </c>
      <c r="B494" t="s">
        <v>247</v>
      </c>
      <c r="C494" t="s">
        <v>214</v>
      </c>
      <c r="D494">
        <v>82.188583374023438</v>
      </c>
    </row>
    <row r="495" spans="1:4">
      <c r="A495" t="s">
        <v>251</v>
      </c>
      <c r="B495" t="s">
        <v>247</v>
      </c>
      <c r="C495" t="s">
        <v>215</v>
      </c>
      <c r="D495">
        <v>270.61666870117188</v>
      </c>
    </row>
    <row r="496" spans="1:4">
      <c r="A496" t="s">
        <v>251</v>
      </c>
      <c r="B496" t="s">
        <v>247</v>
      </c>
      <c r="C496" t="s">
        <v>216</v>
      </c>
      <c r="D496">
        <v>12055.28606471746</v>
      </c>
    </row>
    <row r="497" spans="1:4">
      <c r="A497" t="s">
        <v>252</v>
      </c>
      <c r="B497" t="s">
        <v>213</v>
      </c>
      <c r="C497" t="s">
        <v>214</v>
      </c>
      <c r="D497">
        <v>789.77117919921875</v>
      </c>
    </row>
    <row r="498" spans="1:4">
      <c r="A498" t="s">
        <v>252</v>
      </c>
      <c r="B498" t="s">
        <v>213</v>
      </c>
      <c r="C498" t="s">
        <v>215</v>
      </c>
      <c r="D498">
        <v>6950.75634765625</v>
      </c>
    </row>
    <row r="499" spans="1:4">
      <c r="A499" t="s">
        <v>252</v>
      </c>
      <c r="B499" t="s">
        <v>213</v>
      </c>
      <c r="C499" t="s">
        <v>216</v>
      </c>
      <c r="D499">
        <v>263731.99218510842</v>
      </c>
    </row>
    <row r="500" spans="1:4">
      <c r="A500" t="s">
        <v>252</v>
      </c>
      <c r="B500" t="s">
        <v>217</v>
      </c>
      <c r="C500" t="s">
        <v>214</v>
      </c>
      <c r="D500">
        <v>6.9459184904117137</v>
      </c>
    </row>
    <row r="501" spans="1:4">
      <c r="A501" t="s">
        <v>252</v>
      </c>
      <c r="B501" t="s">
        <v>217</v>
      </c>
      <c r="C501" t="s">
        <v>215</v>
      </c>
      <c r="D501">
        <v>5093.1105899810791</v>
      </c>
    </row>
    <row r="502" spans="1:4">
      <c r="A502" t="s">
        <v>252</v>
      </c>
      <c r="B502" t="s">
        <v>217</v>
      </c>
      <c r="C502" t="s">
        <v>216</v>
      </c>
      <c r="D502">
        <v>113216.9033199308</v>
      </c>
    </row>
    <row r="503" spans="1:4">
      <c r="A503" t="s">
        <v>252</v>
      </c>
      <c r="B503" t="s">
        <v>218</v>
      </c>
      <c r="C503" t="s">
        <v>214</v>
      </c>
      <c r="D503">
        <v>101.8675231933594</v>
      </c>
    </row>
    <row r="504" spans="1:4">
      <c r="A504" t="s">
        <v>252</v>
      </c>
      <c r="B504" t="s">
        <v>218</v>
      </c>
      <c r="C504" t="s">
        <v>215</v>
      </c>
      <c r="D504">
        <v>1027.286254882812</v>
      </c>
    </row>
    <row r="505" spans="1:4">
      <c r="A505" t="s">
        <v>252</v>
      </c>
      <c r="B505" t="s">
        <v>218</v>
      </c>
      <c r="C505" t="s">
        <v>216</v>
      </c>
      <c r="D505">
        <v>17052.098541995521</v>
      </c>
    </row>
    <row r="506" spans="1:4">
      <c r="A506" t="s">
        <v>252</v>
      </c>
      <c r="B506" t="s">
        <v>219</v>
      </c>
      <c r="C506" t="s">
        <v>214</v>
      </c>
      <c r="D506">
        <v>212.55818176269531</v>
      </c>
    </row>
    <row r="507" spans="1:4">
      <c r="A507" t="s">
        <v>252</v>
      </c>
      <c r="B507" t="s">
        <v>219</v>
      </c>
      <c r="C507" t="s">
        <v>215</v>
      </c>
      <c r="D507">
        <v>1401.6003723144529</v>
      </c>
    </row>
    <row r="508" spans="1:4">
      <c r="A508" t="s">
        <v>252</v>
      </c>
      <c r="B508" t="s">
        <v>219</v>
      </c>
      <c r="C508" t="s">
        <v>216</v>
      </c>
      <c r="D508">
        <v>93572.21694708323</v>
      </c>
    </row>
    <row r="509" spans="1:4">
      <c r="A509" t="s">
        <v>252</v>
      </c>
      <c r="B509" t="s">
        <v>220</v>
      </c>
      <c r="C509" t="s">
        <v>214</v>
      </c>
      <c r="D509">
        <v>895.68414306640625</v>
      </c>
    </row>
    <row r="510" spans="1:4">
      <c r="A510" t="s">
        <v>252</v>
      </c>
      <c r="B510" t="s">
        <v>220</v>
      </c>
      <c r="C510" t="s">
        <v>215</v>
      </c>
      <c r="D510">
        <v>7126.0688476562491</v>
      </c>
    </row>
    <row r="511" spans="1:4">
      <c r="A511" t="s">
        <v>252</v>
      </c>
      <c r="B511" t="s">
        <v>220</v>
      </c>
      <c r="C511" t="s">
        <v>216</v>
      </c>
      <c r="D511">
        <v>172997.0508754738</v>
      </c>
    </row>
    <row r="512" spans="1:4">
      <c r="A512" t="s">
        <v>252</v>
      </c>
      <c r="B512" t="s">
        <v>221</v>
      </c>
      <c r="C512" t="s">
        <v>214</v>
      </c>
      <c r="D512">
        <v>2042.827758789062</v>
      </c>
    </row>
    <row r="513" spans="1:4">
      <c r="A513" t="s">
        <v>252</v>
      </c>
      <c r="B513" t="s">
        <v>221</v>
      </c>
      <c r="C513" t="s">
        <v>215</v>
      </c>
      <c r="D513">
        <v>10146.09765625</v>
      </c>
    </row>
    <row r="514" spans="1:4">
      <c r="A514" t="s">
        <v>252</v>
      </c>
      <c r="B514" t="s">
        <v>221</v>
      </c>
      <c r="C514" t="s">
        <v>216</v>
      </c>
      <c r="D514">
        <v>400513.91220486909</v>
      </c>
    </row>
    <row r="515" spans="1:4">
      <c r="A515" t="s">
        <v>252</v>
      </c>
      <c r="B515" t="s">
        <v>222</v>
      </c>
      <c r="C515" t="s">
        <v>214</v>
      </c>
      <c r="D515">
        <v>1.886375904083252</v>
      </c>
    </row>
    <row r="516" spans="1:4">
      <c r="A516" t="s">
        <v>252</v>
      </c>
      <c r="B516" t="s">
        <v>222</v>
      </c>
      <c r="C516" t="s">
        <v>215</v>
      </c>
      <c r="D516">
        <v>11.61488056182861</v>
      </c>
    </row>
    <row r="517" spans="1:4">
      <c r="A517" t="s">
        <v>252</v>
      </c>
      <c r="B517" t="s">
        <v>222</v>
      </c>
      <c r="C517" t="s">
        <v>216</v>
      </c>
      <c r="D517">
        <v>152633.20302762161</v>
      </c>
    </row>
    <row r="518" spans="1:4">
      <c r="A518" t="s">
        <v>252</v>
      </c>
      <c r="B518" t="s">
        <v>223</v>
      </c>
      <c r="C518" t="s">
        <v>214</v>
      </c>
      <c r="D518">
        <v>2042.032836914062</v>
      </c>
    </row>
    <row r="519" spans="1:4">
      <c r="A519" t="s">
        <v>252</v>
      </c>
      <c r="B519" t="s">
        <v>223</v>
      </c>
      <c r="C519" t="s">
        <v>215</v>
      </c>
      <c r="D519">
        <v>31806.009765625</v>
      </c>
    </row>
    <row r="520" spans="1:4">
      <c r="A520" t="s">
        <v>252</v>
      </c>
      <c r="B520" t="s">
        <v>223</v>
      </c>
      <c r="C520" t="s">
        <v>216</v>
      </c>
      <c r="D520">
        <v>1147331.949627995</v>
      </c>
    </row>
    <row r="521" spans="1:4">
      <c r="A521" t="s">
        <v>252</v>
      </c>
      <c r="B521" t="s">
        <v>224</v>
      </c>
      <c r="C521" t="s">
        <v>214</v>
      </c>
      <c r="D521">
        <v>308.08090209960938</v>
      </c>
    </row>
    <row r="522" spans="1:4">
      <c r="A522" t="s">
        <v>252</v>
      </c>
      <c r="B522" t="s">
        <v>224</v>
      </c>
      <c r="C522" t="s">
        <v>215</v>
      </c>
      <c r="D522">
        <v>928.842529296875</v>
      </c>
    </row>
    <row r="523" spans="1:4">
      <c r="A523" t="s">
        <v>252</v>
      </c>
      <c r="B523" t="s">
        <v>224</v>
      </c>
      <c r="C523" t="s">
        <v>216</v>
      </c>
      <c r="D523">
        <v>172328.62828406671</v>
      </c>
    </row>
    <row r="524" spans="1:4">
      <c r="A524" t="s">
        <v>252</v>
      </c>
      <c r="B524" t="s">
        <v>225</v>
      </c>
      <c r="C524" t="s">
        <v>214</v>
      </c>
      <c r="D524">
        <v>870.67996215820313</v>
      </c>
    </row>
    <row r="525" spans="1:4">
      <c r="A525" t="s">
        <v>252</v>
      </c>
      <c r="B525" t="s">
        <v>225</v>
      </c>
      <c r="C525" t="s">
        <v>215</v>
      </c>
      <c r="D525">
        <v>3978.2831497192378</v>
      </c>
    </row>
    <row r="526" spans="1:4">
      <c r="A526" t="s">
        <v>252</v>
      </c>
      <c r="B526" t="s">
        <v>225</v>
      </c>
      <c r="C526" t="s">
        <v>216</v>
      </c>
      <c r="D526">
        <v>177890.8888850951</v>
      </c>
    </row>
    <row r="527" spans="1:4">
      <c r="A527" t="s">
        <v>252</v>
      </c>
      <c r="B527" t="s">
        <v>226</v>
      </c>
      <c r="C527" t="s">
        <v>214</v>
      </c>
      <c r="D527">
        <v>319.6035590171814</v>
      </c>
    </row>
    <row r="528" spans="1:4">
      <c r="A528" t="s">
        <v>252</v>
      </c>
      <c r="B528" t="s">
        <v>226</v>
      </c>
      <c r="C528" t="s">
        <v>215</v>
      </c>
      <c r="D528">
        <v>5179.6481304168701</v>
      </c>
    </row>
    <row r="529" spans="1:4">
      <c r="A529" t="s">
        <v>252</v>
      </c>
      <c r="B529" t="s">
        <v>226</v>
      </c>
      <c r="C529" t="s">
        <v>216</v>
      </c>
      <c r="D529">
        <v>182318.51977103701</v>
      </c>
    </row>
    <row r="530" spans="1:4">
      <c r="A530" t="s">
        <v>252</v>
      </c>
      <c r="B530" t="s">
        <v>227</v>
      </c>
      <c r="C530" t="s">
        <v>214</v>
      </c>
      <c r="D530">
        <v>2714.447021484375</v>
      </c>
    </row>
    <row r="531" spans="1:4">
      <c r="A531" t="s">
        <v>252</v>
      </c>
      <c r="B531" t="s">
        <v>227</v>
      </c>
      <c r="C531" t="s">
        <v>215</v>
      </c>
      <c r="D531">
        <v>32391.765625</v>
      </c>
    </row>
    <row r="532" spans="1:4">
      <c r="A532" t="s">
        <v>252</v>
      </c>
      <c r="B532" t="s">
        <v>227</v>
      </c>
      <c r="C532" t="s">
        <v>216</v>
      </c>
      <c r="D532">
        <v>1281658.0026853089</v>
      </c>
    </row>
    <row r="533" spans="1:4">
      <c r="A533" t="s">
        <v>252</v>
      </c>
      <c r="B533" t="s">
        <v>228</v>
      </c>
      <c r="C533" t="s">
        <v>214</v>
      </c>
      <c r="D533">
        <v>104.45550537109381</v>
      </c>
    </row>
    <row r="534" spans="1:4">
      <c r="A534" t="s">
        <v>252</v>
      </c>
      <c r="B534" t="s">
        <v>228</v>
      </c>
      <c r="C534" t="s">
        <v>215</v>
      </c>
      <c r="D534">
        <v>20.87178993225098</v>
      </c>
    </row>
    <row r="535" spans="1:4">
      <c r="A535" t="s">
        <v>252</v>
      </c>
      <c r="B535" t="s">
        <v>228</v>
      </c>
      <c r="C535" t="s">
        <v>216</v>
      </c>
      <c r="D535">
        <v>13809.078591392259</v>
      </c>
    </row>
    <row r="536" spans="1:4">
      <c r="A536" t="s">
        <v>252</v>
      </c>
      <c r="B536" t="s">
        <v>229</v>
      </c>
      <c r="C536" t="s">
        <v>214</v>
      </c>
      <c r="D536">
        <v>514.7325439453125</v>
      </c>
    </row>
    <row r="537" spans="1:4">
      <c r="A537" t="s">
        <v>252</v>
      </c>
      <c r="B537" t="s">
        <v>229</v>
      </c>
      <c r="C537" t="s">
        <v>215</v>
      </c>
      <c r="D537">
        <v>786.69104003906261</v>
      </c>
    </row>
    <row r="538" spans="1:4">
      <c r="A538" t="s">
        <v>252</v>
      </c>
      <c r="B538" t="s">
        <v>229</v>
      </c>
      <c r="C538" t="s">
        <v>216</v>
      </c>
      <c r="D538">
        <v>139790.58775081759</v>
      </c>
    </row>
    <row r="539" spans="1:4">
      <c r="A539" t="s">
        <v>252</v>
      </c>
      <c r="B539" t="s">
        <v>230</v>
      </c>
      <c r="C539" t="s">
        <v>214</v>
      </c>
      <c r="D539">
        <v>226.88230895996091</v>
      </c>
    </row>
    <row r="540" spans="1:4">
      <c r="A540" t="s">
        <v>252</v>
      </c>
      <c r="B540" t="s">
        <v>230</v>
      </c>
      <c r="C540" t="s">
        <v>215</v>
      </c>
      <c r="D540">
        <v>958.46600341796875</v>
      </c>
    </row>
    <row r="541" spans="1:4">
      <c r="A541" t="s">
        <v>252</v>
      </c>
      <c r="B541" t="s">
        <v>230</v>
      </c>
      <c r="C541" t="s">
        <v>216</v>
      </c>
      <c r="D541">
        <v>112134.5494269184</v>
      </c>
    </row>
    <row r="542" spans="1:4">
      <c r="A542" t="s">
        <v>252</v>
      </c>
      <c r="B542" t="s">
        <v>231</v>
      </c>
      <c r="C542" t="s">
        <v>214</v>
      </c>
      <c r="D542">
        <v>919.61830902099609</v>
      </c>
    </row>
    <row r="543" spans="1:4">
      <c r="A543" t="s">
        <v>252</v>
      </c>
      <c r="B543" t="s">
        <v>231</v>
      </c>
      <c r="C543" t="s">
        <v>215</v>
      </c>
      <c r="D543">
        <v>3455.5169067382808</v>
      </c>
    </row>
    <row r="544" spans="1:4">
      <c r="A544" t="s">
        <v>252</v>
      </c>
      <c r="B544" t="s">
        <v>231</v>
      </c>
      <c r="C544" t="s">
        <v>216</v>
      </c>
      <c r="D544">
        <v>159390.0513921901</v>
      </c>
    </row>
    <row r="545" spans="1:4">
      <c r="A545" t="s">
        <v>252</v>
      </c>
      <c r="B545" t="s">
        <v>232</v>
      </c>
      <c r="C545" t="s">
        <v>214</v>
      </c>
      <c r="D545">
        <v>1459.966811202466</v>
      </c>
    </row>
    <row r="546" spans="1:4">
      <c r="A546" t="s">
        <v>252</v>
      </c>
      <c r="B546" t="s">
        <v>232</v>
      </c>
      <c r="C546" t="s">
        <v>215</v>
      </c>
      <c r="D546">
        <v>7003.641471862793</v>
      </c>
    </row>
    <row r="547" spans="1:4">
      <c r="A547" t="s">
        <v>252</v>
      </c>
      <c r="B547" t="s">
        <v>232</v>
      </c>
      <c r="C547" t="s">
        <v>216</v>
      </c>
      <c r="D547">
        <v>85784.569770341273</v>
      </c>
    </row>
    <row r="548" spans="1:4">
      <c r="A548" t="s">
        <v>252</v>
      </c>
      <c r="B548" t="s">
        <v>233</v>
      </c>
      <c r="C548" t="s">
        <v>214</v>
      </c>
      <c r="D548">
        <v>1165.935546875</v>
      </c>
    </row>
    <row r="549" spans="1:4">
      <c r="A549" t="s">
        <v>252</v>
      </c>
      <c r="B549" t="s">
        <v>233</v>
      </c>
      <c r="C549" t="s">
        <v>215</v>
      </c>
      <c r="D549">
        <v>73705.5546875</v>
      </c>
    </row>
    <row r="550" spans="1:4">
      <c r="A550" t="s">
        <v>252</v>
      </c>
      <c r="B550" t="s">
        <v>233</v>
      </c>
      <c r="C550" t="s">
        <v>216</v>
      </c>
      <c r="D550">
        <v>1741337.7087168689</v>
      </c>
    </row>
    <row r="551" spans="1:4">
      <c r="A551" t="s">
        <v>252</v>
      </c>
      <c r="B551" t="s">
        <v>234</v>
      </c>
      <c r="C551" t="s">
        <v>214</v>
      </c>
      <c r="D551">
        <v>78.420654296875</v>
      </c>
    </row>
    <row r="552" spans="1:4">
      <c r="A552" t="s">
        <v>252</v>
      </c>
      <c r="B552" t="s">
        <v>234</v>
      </c>
      <c r="C552" t="s">
        <v>215</v>
      </c>
      <c r="D552">
        <v>65.47735595703125</v>
      </c>
    </row>
    <row r="553" spans="1:4">
      <c r="A553" t="s">
        <v>252</v>
      </c>
      <c r="B553" t="s">
        <v>234</v>
      </c>
      <c r="C553" t="s">
        <v>216</v>
      </c>
      <c r="D553">
        <v>7327.9495130401629</v>
      </c>
    </row>
    <row r="554" spans="1:4">
      <c r="A554" t="s">
        <v>252</v>
      </c>
      <c r="B554" t="s">
        <v>235</v>
      </c>
      <c r="C554" t="s">
        <v>214</v>
      </c>
      <c r="D554">
        <v>307.67634773254389</v>
      </c>
    </row>
    <row r="555" spans="1:4">
      <c r="A555" t="s">
        <v>252</v>
      </c>
      <c r="B555" t="s">
        <v>235</v>
      </c>
      <c r="C555" t="s">
        <v>215</v>
      </c>
      <c r="D555">
        <v>8664.18603515625</v>
      </c>
    </row>
    <row r="556" spans="1:4">
      <c r="A556" t="s">
        <v>252</v>
      </c>
      <c r="B556" t="s">
        <v>235</v>
      </c>
      <c r="C556" t="s">
        <v>216</v>
      </c>
      <c r="D556">
        <v>603408.63646919653</v>
      </c>
    </row>
    <row r="557" spans="1:4">
      <c r="A557" t="s">
        <v>252</v>
      </c>
      <c r="B557" t="s">
        <v>236</v>
      </c>
      <c r="C557" t="s">
        <v>214</v>
      </c>
      <c r="D557">
        <v>204.49217224121091</v>
      </c>
    </row>
    <row r="558" spans="1:4">
      <c r="A558" t="s">
        <v>252</v>
      </c>
      <c r="B558" t="s">
        <v>236</v>
      </c>
      <c r="C558" t="s">
        <v>215</v>
      </c>
      <c r="D558">
        <v>883.16131591796875</v>
      </c>
    </row>
    <row r="559" spans="1:4">
      <c r="A559" t="s">
        <v>252</v>
      </c>
      <c r="B559" t="s">
        <v>236</v>
      </c>
      <c r="C559" t="s">
        <v>216</v>
      </c>
      <c r="D559">
        <v>49394.841679482088</v>
      </c>
    </row>
    <row r="560" spans="1:4">
      <c r="A560" t="s">
        <v>252</v>
      </c>
      <c r="B560" t="s">
        <v>237</v>
      </c>
      <c r="C560" t="s">
        <v>214</v>
      </c>
      <c r="D560">
        <v>1166.951782226562</v>
      </c>
    </row>
    <row r="561" spans="1:4">
      <c r="A561" t="s">
        <v>252</v>
      </c>
      <c r="B561" t="s">
        <v>237</v>
      </c>
      <c r="C561" t="s">
        <v>215</v>
      </c>
      <c r="D561">
        <v>23571.4453125</v>
      </c>
    </row>
    <row r="562" spans="1:4">
      <c r="A562" t="s">
        <v>252</v>
      </c>
      <c r="B562" t="s">
        <v>237</v>
      </c>
      <c r="C562" t="s">
        <v>216</v>
      </c>
      <c r="D562">
        <v>1105536.9973049159</v>
      </c>
    </row>
    <row r="563" spans="1:4">
      <c r="A563" t="s">
        <v>252</v>
      </c>
      <c r="B563" t="s">
        <v>238</v>
      </c>
      <c r="C563" t="s">
        <v>214</v>
      </c>
      <c r="D563">
        <v>727.13848876953125</v>
      </c>
    </row>
    <row r="564" spans="1:4">
      <c r="A564" t="s">
        <v>252</v>
      </c>
      <c r="B564" t="s">
        <v>238</v>
      </c>
      <c r="C564" t="s">
        <v>215</v>
      </c>
      <c r="D564">
        <v>4979.96240234375</v>
      </c>
    </row>
    <row r="565" spans="1:4">
      <c r="A565" t="s">
        <v>252</v>
      </c>
      <c r="B565" t="s">
        <v>238</v>
      </c>
      <c r="C565" t="s">
        <v>216</v>
      </c>
      <c r="D565">
        <v>123006.9717611261</v>
      </c>
    </row>
    <row r="566" spans="1:4">
      <c r="A566" t="s">
        <v>252</v>
      </c>
      <c r="B566" t="s">
        <v>239</v>
      </c>
      <c r="C566" t="s">
        <v>214</v>
      </c>
      <c r="D566">
        <v>60.069015502929688</v>
      </c>
    </row>
    <row r="567" spans="1:4">
      <c r="A567" t="s">
        <v>252</v>
      </c>
      <c r="B567" t="s">
        <v>239</v>
      </c>
      <c r="C567" t="s">
        <v>215</v>
      </c>
      <c r="D567">
        <v>648.12542724609375</v>
      </c>
    </row>
    <row r="568" spans="1:4">
      <c r="A568" t="s">
        <v>252</v>
      </c>
      <c r="B568" t="s">
        <v>239</v>
      </c>
      <c r="C568" t="s">
        <v>216</v>
      </c>
      <c r="D568">
        <v>59437.311354688143</v>
      </c>
    </row>
    <row r="569" spans="1:4">
      <c r="A569" t="s">
        <v>252</v>
      </c>
      <c r="B569" t="s">
        <v>240</v>
      </c>
      <c r="C569" t="s">
        <v>214</v>
      </c>
      <c r="D569">
        <v>113.3425674438477</v>
      </c>
    </row>
    <row r="570" spans="1:4">
      <c r="A570" t="s">
        <v>252</v>
      </c>
      <c r="B570" t="s">
        <v>240</v>
      </c>
      <c r="C570" t="s">
        <v>215</v>
      </c>
      <c r="D570">
        <v>10722.3583984375</v>
      </c>
    </row>
    <row r="571" spans="1:4">
      <c r="A571" t="s">
        <v>252</v>
      </c>
      <c r="B571" t="s">
        <v>240</v>
      </c>
      <c r="C571" t="s">
        <v>216</v>
      </c>
      <c r="D571">
        <v>173884.67059065681</v>
      </c>
    </row>
    <row r="572" spans="1:4">
      <c r="A572" t="s">
        <v>252</v>
      </c>
      <c r="B572" t="s">
        <v>241</v>
      </c>
      <c r="C572" t="s">
        <v>214</v>
      </c>
      <c r="D572">
        <v>60.852405548095703</v>
      </c>
    </row>
    <row r="573" spans="1:4">
      <c r="A573" t="s">
        <v>252</v>
      </c>
      <c r="B573" t="s">
        <v>241</v>
      </c>
      <c r="C573" t="s">
        <v>215</v>
      </c>
      <c r="D573">
        <v>3815.072509765625</v>
      </c>
    </row>
    <row r="574" spans="1:4">
      <c r="A574" t="s">
        <v>252</v>
      </c>
      <c r="B574" t="s">
        <v>241</v>
      </c>
      <c r="C574" t="s">
        <v>216</v>
      </c>
      <c r="D574">
        <v>403963.01225805283</v>
      </c>
    </row>
    <row r="575" spans="1:4">
      <c r="A575" t="s">
        <v>252</v>
      </c>
      <c r="B575" t="s">
        <v>242</v>
      </c>
      <c r="C575" t="s">
        <v>214</v>
      </c>
      <c r="D575">
        <v>182.3725891113281</v>
      </c>
    </row>
    <row r="576" spans="1:4">
      <c r="A576" t="s">
        <v>252</v>
      </c>
      <c r="B576" t="s">
        <v>242</v>
      </c>
      <c r="C576" t="s">
        <v>215</v>
      </c>
      <c r="D576">
        <v>728.71466064453125</v>
      </c>
    </row>
    <row r="577" spans="1:4">
      <c r="A577" t="s">
        <v>252</v>
      </c>
      <c r="B577" t="s">
        <v>242</v>
      </c>
      <c r="C577" t="s">
        <v>216</v>
      </c>
      <c r="D577">
        <v>60740.635679516417</v>
      </c>
    </row>
    <row r="578" spans="1:4">
      <c r="A578" t="s">
        <v>252</v>
      </c>
      <c r="B578" t="s">
        <v>243</v>
      </c>
      <c r="C578" t="s">
        <v>214</v>
      </c>
      <c r="D578">
        <v>236.3339920043945</v>
      </c>
    </row>
    <row r="579" spans="1:4">
      <c r="A579" t="s">
        <v>252</v>
      </c>
      <c r="B579" t="s">
        <v>243</v>
      </c>
      <c r="C579" t="s">
        <v>215</v>
      </c>
      <c r="D579">
        <v>320.39783096313482</v>
      </c>
    </row>
    <row r="580" spans="1:4">
      <c r="A580" t="s">
        <v>252</v>
      </c>
      <c r="B580" t="s">
        <v>243</v>
      </c>
      <c r="C580" t="s">
        <v>216</v>
      </c>
      <c r="D580">
        <v>70187.090478696511</v>
      </c>
    </row>
    <row r="581" spans="1:4">
      <c r="A581" t="s">
        <v>252</v>
      </c>
      <c r="B581" t="s">
        <v>244</v>
      </c>
      <c r="C581" t="s">
        <v>214</v>
      </c>
      <c r="D581">
        <v>1024.890502929688</v>
      </c>
    </row>
    <row r="582" spans="1:4">
      <c r="A582" t="s">
        <v>252</v>
      </c>
      <c r="B582" t="s">
        <v>244</v>
      </c>
      <c r="C582" t="s">
        <v>215</v>
      </c>
      <c r="D582">
        <v>18549.037109375</v>
      </c>
    </row>
    <row r="583" spans="1:4">
      <c r="A583" t="s">
        <v>252</v>
      </c>
      <c r="B583" t="s">
        <v>244</v>
      </c>
      <c r="C583" t="s">
        <v>216</v>
      </c>
      <c r="D583">
        <v>712024.17471042275</v>
      </c>
    </row>
    <row r="584" spans="1:4">
      <c r="A584" t="s">
        <v>252</v>
      </c>
      <c r="B584" t="s">
        <v>245</v>
      </c>
      <c r="C584" t="s">
        <v>214</v>
      </c>
      <c r="D584">
        <v>363.06585693359381</v>
      </c>
    </row>
    <row r="585" spans="1:4">
      <c r="A585" t="s">
        <v>252</v>
      </c>
      <c r="B585" t="s">
        <v>245</v>
      </c>
      <c r="C585" t="s">
        <v>215</v>
      </c>
      <c r="D585">
        <v>1578.9443359375</v>
      </c>
    </row>
    <row r="586" spans="1:4">
      <c r="A586" t="s">
        <v>252</v>
      </c>
      <c r="B586" t="s">
        <v>245</v>
      </c>
      <c r="C586" t="s">
        <v>216</v>
      </c>
      <c r="D586">
        <v>117977.42047140239</v>
      </c>
    </row>
    <row r="587" spans="1:4">
      <c r="A587" t="s">
        <v>252</v>
      </c>
      <c r="B587" t="s">
        <v>257</v>
      </c>
      <c r="C587" t="s">
        <v>214</v>
      </c>
      <c r="D587">
        <v>173.11376953125</v>
      </c>
    </row>
    <row r="588" spans="1:4">
      <c r="A588" t="s">
        <v>252</v>
      </c>
      <c r="B588" t="s">
        <v>257</v>
      </c>
      <c r="C588" t="s">
        <v>215</v>
      </c>
      <c r="D588">
        <v>1156.71630859375</v>
      </c>
    </row>
    <row r="589" spans="1:4">
      <c r="A589" t="s">
        <v>252</v>
      </c>
      <c r="B589" t="s">
        <v>257</v>
      </c>
      <c r="C589" t="s">
        <v>216</v>
      </c>
      <c r="D589">
        <v>34098.21317979414</v>
      </c>
    </row>
    <row r="590" spans="1:4">
      <c r="A590" t="s">
        <v>252</v>
      </c>
      <c r="B590" t="s">
        <v>246</v>
      </c>
      <c r="C590" t="s">
        <v>214</v>
      </c>
      <c r="D590">
        <v>84.6639404296875</v>
      </c>
    </row>
    <row r="591" spans="1:4">
      <c r="A591" t="s">
        <v>252</v>
      </c>
      <c r="B591" t="s">
        <v>246</v>
      </c>
      <c r="C591" t="s">
        <v>215</v>
      </c>
      <c r="D591">
        <v>973.88934326171875</v>
      </c>
    </row>
    <row r="592" spans="1:4">
      <c r="A592" t="s">
        <v>252</v>
      </c>
      <c r="B592" t="s">
        <v>246</v>
      </c>
      <c r="C592" t="s">
        <v>216</v>
      </c>
      <c r="D592">
        <v>23346.977635436389</v>
      </c>
    </row>
    <row r="593" spans="1:4">
      <c r="A593" t="s">
        <v>252</v>
      </c>
      <c r="B593" t="s">
        <v>247</v>
      </c>
      <c r="C593" t="s">
        <v>214</v>
      </c>
      <c r="D593">
        <v>93.719711303710938</v>
      </c>
    </row>
    <row r="594" spans="1:4">
      <c r="A594" t="s">
        <v>252</v>
      </c>
      <c r="B594" t="s">
        <v>247</v>
      </c>
      <c r="C594" t="s">
        <v>215</v>
      </c>
      <c r="D594">
        <v>317.47320556640619</v>
      </c>
    </row>
    <row r="595" spans="1:4">
      <c r="A595" t="s">
        <v>252</v>
      </c>
      <c r="B595" t="s">
        <v>247</v>
      </c>
      <c r="C595" t="s">
        <v>216</v>
      </c>
      <c r="D595">
        <v>13419.64005787671</v>
      </c>
    </row>
    <row r="596" spans="1:4">
      <c r="A596" t="s">
        <v>253</v>
      </c>
      <c r="B596" t="s">
        <v>213</v>
      </c>
      <c r="C596" t="s">
        <v>214</v>
      </c>
      <c r="D596">
        <v>3751.85107421875</v>
      </c>
    </row>
    <row r="597" spans="1:4">
      <c r="A597" t="s">
        <v>253</v>
      </c>
      <c r="B597" t="s">
        <v>213</v>
      </c>
      <c r="C597" t="s">
        <v>215</v>
      </c>
      <c r="D597">
        <v>10362.6982421875</v>
      </c>
    </row>
    <row r="598" spans="1:4">
      <c r="A598" t="s">
        <v>253</v>
      </c>
      <c r="B598" t="s">
        <v>213</v>
      </c>
      <c r="C598" t="s">
        <v>216</v>
      </c>
      <c r="D598">
        <v>493132.60696902132</v>
      </c>
    </row>
    <row r="599" spans="1:4">
      <c r="A599" t="s">
        <v>253</v>
      </c>
      <c r="B599" t="s">
        <v>217</v>
      </c>
      <c r="C599" t="s">
        <v>214</v>
      </c>
      <c r="D599">
        <v>7.3500931388116442</v>
      </c>
    </row>
    <row r="600" spans="1:4">
      <c r="A600" t="s">
        <v>253</v>
      </c>
      <c r="B600" t="s">
        <v>217</v>
      </c>
      <c r="C600" t="s">
        <v>215</v>
      </c>
      <c r="D600">
        <v>255.78794229030609</v>
      </c>
    </row>
    <row r="601" spans="1:4">
      <c r="A601" t="s">
        <v>253</v>
      </c>
      <c r="B601" t="s">
        <v>217</v>
      </c>
      <c r="C601" t="s">
        <v>216</v>
      </c>
      <c r="D601">
        <v>58986.975763936367</v>
      </c>
    </row>
    <row r="602" spans="1:4">
      <c r="A602" t="s">
        <v>253</v>
      </c>
      <c r="B602" t="s">
        <v>218</v>
      </c>
      <c r="C602" t="s">
        <v>214</v>
      </c>
      <c r="D602">
        <v>82.333778381347656</v>
      </c>
    </row>
    <row r="603" spans="1:4">
      <c r="A603" t="s">
        <v>253</v>
      </c>
      <c r="B603" t="s">
        <v>218</v>
      </c>
      <c r="C603" t="s">
        <v>215</v>
      </c>
      <c r="D603">
        <v>410.80084228515631</v>
      </c>
    </row>
    <row r="604" spans="1:4">
      <c r="A604" t="s">
        <v>253</v>
      </c>
      <c r="B604" t="s">
        <v>218</v>
      </c>
      <c r="C604" t="s">
        <v>216</v>
      </c>
      <c r="D604">
        <v>7502.9972314551751</v>
      </c>
    </row>
    <row r="605" spans="1:4">
      <c r="A605" t="s">
        <v>253</v>
      </c>
      <c r="B605" t="s">
        <v>219</v>
      </c>
      <c r="C605" t="s">
        <v>214</v>
      </c>
      <c r="D605">
        <v>116.138708114624</v>
      </c>
    </row>
    <row r="606" spans="1:4">
      <c r="A606" t="s">
        <v>253</v>
      </c>
      <c r="B606" t="s">
        <v>219</v>
      </c>
      <c r="C606" t="s">
        <v>215</v>
      </c>
      <c r="D606">
        <v>85.960737228393555</v>
      </c>
    </row>
    <row r="607" spans="1:4">
      <c r="A607" t="s">
        <v>253</v>
      </c>
      <c r="B607" t="s">
        <v>219</v>
      </c>
      <c r="C607" t="s">
        <v>216</v>
      </c>
      <c r="D607">
        <v>22610.482449499032</v>
      </c>
    </row>
    <row r="608" spans="1:4">
      <c r="A608" t="s">
        <v>253</v>
      </c>
      <c r="B608" t="s">
        <v>220</v>
      </c>
      <c r="C608" t="s">
        <v>214</v>
      </c>
      <c r="D608">
        <v>723.9310302734375</v>
      </c>
    </row>
    <row r="609" spans="1:4">
      <c r="A609" t="s">
        <v>253</v>
      </c>
      <c r="B609" t="s">
        <v>220</v>
      </c>
      <c r="C609" t="s">
        <v>215</v>
      </c>
      <c r="D609">
        <v>2849.638916015625</v>
      </c>
    </row>
    <row r="610" spans="1:4">
      <c r="A610" t="s">
        <v>253</v>
      </c>
      <c r="B610" t="s">
        <v>220</v>
      </c>
      <c r="C610" t="s">
        <v>216</v>
      </c>
      <c r="D610">
        <v>68008.403899975121</v>
      </c>
    </row>
    <row r="611" spans="1:4">
      <c r="A611" t="s">
        <v>253</v>
      </c>
      <c r="B611" t="s">
        <v>221</v>
      </c>
      <c r="C611" t="s">
        <v>214</v>
      </c>
      <c r="D611">
        <v>342.03585815429688</v>
      </c>
    </row>
    <row r="612" spans="1:4">
      <c r="A612" t="s">
        <v>253</v>
      </c>
      <c r="B612" t="s">
        <v>221</v>
      </c>
      <c r="C612" t="s">
        <v>215</v>
      </c>
      <c r="D612">
        <v>208.55540466308591</v>
      </c>
    </row>
    <row r="613" spans="1:4">
      <c r="A613" t="s">
        <v>253</v>
      </c>
      <c r="B613" t="s">
        <v>221</v>
      </c>
      <c r="C613" t="s">
        <v>216</v>
      </c>
      <c r="D613">
        <v>69364.65931090567</v>
      </c>
    </row>
    <row r="614" spans="1:4">
      <c r="A614" t="s">
        <v>253</v>
      </c>
      <c r="B614" t="s">
        <v>222</v>
      </c>
      <c r="C614" t="s">
        <v>214</v>
      </c>
      <c r="D614">
        <v>0.68777984380722046</v>
      </c>
    </row>
    <row r="615" spans="1:4">
      <c r="A615" t="s">
        <v>253</v>
      </c>
      <c r="B615" t="s">
        <v>222</v>
      </c>
      <c r="C615" t="s">
        <v>215</v>
      </c>
      <c r="D615">
        <v>0.32711887359619141</v>
      </c>
    </row>
    <row r="616" spans="1:4">
      <c r="A616" t="s">
        <v>253</v>
      </c>
      <c r="B616" t="s">
        <v>222</v>
      </c>
      <c r="C616" t="s">
        <v>216</v>
      </c>
      <c r="D616">
        <v>9155.4350823267141</v>
      </c>
    </row>
    <row r="617" spans="1:4">
      <c r="A617" t="s">
        <v>253</v>
      </c>
      <c r="B617" t="s">
        <v>223</v>
      </c>
      <c r="C617" t="s">
        <v>214</v>
      </c>
      <c r="D617">
        <v>2121.676513671875</v>
      </c>
    </row>
    <row r="618" spans="1:4">
      <c r="A618" t="s">
        <v>253</v>
      </c>
      <c r="B618" t="s">
        <v>223</v>
      </c>
      <c r="C618" t="s">
        <v>215</v>
      </c>
      <c r="D618">
        <v>7409.1513671875</v>
      </c>
    </row>
    <row r="619" spans="1:4">
      <c r="A619" t="s">
        <v>253</v>
      </c>
      <c r="B619" t="s">
        <v>223</v>
      </c>
      <c r="C619" t="s">
        <v>216</v>
      </c>
      <c r="D619">
        <v>291787.68613350391</v>
      </c>
    </row>
    <row r="620" spans="1:4">
      <c r="A620" t="s">
        <v>253</v>
      </c>
      <c r="B620" t="s">
        <v>224</v>
      </c>
      <c r="C620" t="s">
        <v>214</v>
      </c>
      <c r="D620">
        <v>168.3309516906738</v>
      </c>
    </row>
    <row r="621" spans="1:4">
      <c r="A621" t="s">
        <v>253</v>
      </c>
      <c r="B621" t="s">
        <v>224</v>
      </c>
      <c r="C621" t="s">
        <v>215</v>
      </c>
      <c r="D621">
        <v>56.966310501098633</v>
      </c>
    </row>
    <row r="622" spans="1:4">
      <c r="A622" t="s">
        <v>253</v>
      </c>
      <c r="B622" t="s">
        <v>224</v>
      </c>
      <c r="C622" t="s">
        <v>216</v>
      </c>
      <c r="D622">
        <v>43622.965104116112</v>
      </c>
    </row>
    <row r="623" spans="1:4">
      <c r="A623" t="s">
        <v>253</v>
      </c>
      <c r="B623" t="s">
        <v>225</v>
      </c>
      <c r="C623" t="s">
        <v>214</v>
      </c>
      <c r="D623">
        <v>414.3192024230957</v>
      </c>
    </row>
    <row r="624" spans="1:4">
      <c r="A624" t="s">
        <v>253</v>
      </c>
      <c r="B624" t="s">
        <v>225</v>
      </c>
      <c r="C624" t="s">
        <v>215</v>
      </c>
      <c r="D624">
        <v>86.444240808486938</v>
      </c>
    </row>
    <row r="625" spans="1:4">
      <c r="A625" t="s">
        <v>253</v>
      </c>
      <c r="B625" t="s">
        <v>225</v>
      </c>
      <c r="C625" t="s">
        <v>216</v>
      </c>
      <c r="D625">
        <v>35156.82152744491</v>
      </c>
    </row>
    <row r="626" spans="1:4">
      <c r="A626" t="s">
        <v>253</v>
      </c>
      <c r="B626" t="s">
        <v>226</v>
      </c>
      <c r="C626" t="s">
        <v>214</v>
      </c>
      <c r="D626">
        <v>174.62677454948431</v>
      </c>
    </row>
    <row r="627" spans="1:4">
      <c r="A627" t="s">
        <v>253</v>
      </c>
      <c r="B627" t="s">
        <v>226</v>
      </c>
      <c r="C627" t="s">
        <v>215</v>
      </c>
      <c r="D627">
        <v>317.66991209983831</v>
      </c>
    </row>
    <row r="628" spans="1:4">
      <c r="A628" t="s">
        <v>253</v>
      </c>
      <c r="B628" t="s">
        <v>226</v>
      </c>
      <c r="C628" t="s">
        <v>216</v>
      </c>
      <c r="D628">
        <v>39244.261005162763</v>
      </c>
    </row>
    <row r="629" spans="1:4">
      <c r="A629" t="s">
        <v>253</v>
      </c>
      <c r="B629" t="s">
        <v>227</v>
      </c>
      <c r="C629" t="s">
        <v>214</v>
      </c>
      <c r="D629">
        <v>2940.95361328125</v>
      </c>
    </row>
    <row r="630" spans="1:4">
      <c r="A630" t="s">
        <v>253</v>
      </c>
      <c r="B630" t="s">
        <v>227</v>
      </c>
      <c r="C630" t="s">
        <v>215</v>
      </c>
      <c r="D630">
        <v>15311.439453125</v>
      </c>
    </row>
    <row r="631" spans="1:4">
      <c r="A631" t="s">
        <v>253</v>
      </c>
      <c r="B631" t="s">
        <v>227</v>
      </c>
      <c r="C631" t="s">
        <v>216</v>
      </c>
      <c r="D631">
        <v>506359.4816955328</v>
      </c>
    </row>
    <row r="632" spans="1:4">
      <c r="A632" t="s">
        <v>253</v>
      </c>
      <c r="B632" t="s">
        <v>228</v>
      </c>
      <c r="C632" t="s">
        <v>214</v>
      </c>
      <c r="D632">
        <v>57.072975158691413</v>
      </c>
    </row>
    <row r="633" spans="1:4">
      <c r="A633" t="s">
        <v>253</v>
      </c>
      <c r="B633" t="s">
        <v>228</v>
      </c>
      <c r="C633" t="s">
        <v>215</v>
      </c>
      <c r="D633">
        <v>1.280075669288635</v>
      </c>
    </row>
    <row r="634" spans="1:4">
      <c r="A634" t="s">
        <v>253</v>
      </c>
      <c r="B634" t="s">
        <v>228</v>
      </c>
      <c r="C634" t="s">
        <v>216</v>
      </c>
      <c r="D634">
        <v>3871.633670239331</v>
      </c>
    </row>
    <row r="635" spans="1:4">
      <c r="A635" t="s">
        <v>253</v>
      </c>
      <c r="B635" t="s">
        <v>229</v>
      </c>
      <c r="C635" t="s">
        <v>214</v>
      </c>
      <c r="D635">
        <v>281.242431640625</v>
      </c>
    </row>
    <row r="636" spans="1:4">
      <c r="A636" t="s">
        <v>253</v>
      </c>
      <c r="B636" t="s">
        <v>229</v>
      </c>
      <c r="C636" t="s">
        <v>215</v>
      </c>
      <c r="D636">
        <v>48.248069763183587</v>
      </c>
    </row>
    <row r="637" spans="1:4">
      <c r="A637" t="s">
        <v>253</v>
      </c>
      <c r="B637" t="s">
        <v>229</v>
      </c>
      <c r="C637" t="s">
        <v>216</v>
      </c>
      <c r="D637">
        <v>20429.652761881938</v>
      </c>
    </row>
    <row r="638" spans="1:4">
      <c r="A638" t="s">
        <v>253</v>
      </c>
      <c r="B638" t="s">
        <v>230</v>
      </c>
      <c r="C638" t="s">
        <v>214</v>
      </c>
      <c r="D638">
        <v>123.9652099609375</v>
      </c>
    </row>
    <row r="639" spans="1:4">
      <c r="A639" t="s">
        <v>253</v>
      </c>
      <c r="B639" t="s">
        <v>230</v>
      </c>
      <c r="C639" t="s">
        <v>215</v>
      </c>
      <c r="D639">
        <v>58.783103942871087</v>
      </c>
    </row>
    <row r="640" spans="1:4">
      <c r="A640" t="s">
        <v>253</v>
      </c>
      <c r="B640" t="s">
        <v>230</v>
      </c>
      <c r="C640" t="s">
        <v>216</v>
      </c>
      <c r="D640">
        <v>25397.947693234149</v>
      </c>
    </row>
    <row r="641" spans="1:4">
      <c r="A641" t="s">
        <v>253</v>
      </c>
      <c r="B641" t="s">
        <v>231</v>
      </c>
      <c r="C641" t="s">
        <v>214</v>
      </c>
      <c r="D641">
        <v>502.46614837646479</v>
      </c>
    </row>
    <row r="642" spans="1:4">
      <c r="A642" t="s">
        <v>253</v>
      </c>
      <c r="B642" t="s">
        <v>231</v>
      </c>
      <c r="C642" t="s">
        <v>215</v>
      </c>
      <c r="D642">
        <v>211.9282417297363</v>
      </c>
    </row>
    <row r="643" spans="1:4">
      <c r="A643" t="s">
        <v>253</v>
      </c>
      <c r="B643" t="s">
        <v>231</v>
      </c>
      <c r="C643" t="s">
        <v>216</v>
      </c>
      <c r="D643">
        <v>35913.115424071242</v>
      </c>
    </row>
    <row r="644" spans="1:4">
      <c r="A644" t="s">
        <v>253</v>
      </c>
      <c r="B644" t="s">
        <v>232</v>
      </c>
      <c r="C644" t="s">
        <v>214</v>
      </c>
      <c r="D644">
        <v>409.85393471550202</v>
      </c>
    </row>
    <row r="645" spans="1:4">
      <c r="A645" t="s">
        <v>253</v>
      </c>
      <c r="B645" t="s">
        <v>232</v>
      </c>
      <c r="C645" t="s">
        <v>215</v>
      </c>
      <c r="D645">
        <v>193.26374077796939</v>
      </c>
    </row>
    <row r="646" spans="1:4">
      <c r="A646" t="s">
        <v>253</v>
      </c>
      <c r="B646" t="s">
        <v>232</v>
      </c>
      <c r="C646" t="s">
        <v>216</v>
      </c>
      <c r="D646">
        <v>16935.533758589288</v>
      </c>
    </row>
    <row r="647" spans="1:4">
      <c r="A647" t="s">
        <v>253</v>
      </c>
      <c r="B647" t="s">
        <v>233</v>
      </c>
      <c r="C647" t="s">
        <v>214</v>
      </c>
      <c r="D647">
        <v>261.27838134765619</v>
      </c>
    </row>
    <row r="648" spans="1:4">
      <c r="A648" t="s">
        <v>253</v>
      </c>
      <c r="B648" t="s">
        <v>233</v>
      </c>
      <c r="C648" t="s">
        <v>215</v>
      </c>
      <c r="D648">
        <v>4341.759765625</v>
      </c>
    </row>
    <row r="649" spans="1:4">
      <c r="A649" t="s">
        <v>253</v>
      </c>
      <c r="B649" t="s">
        <v>233</v>
      </c>
      <c r="C649" t="s">
        <v>216</v>
      </c>
      <c r="D649">
        <v>295070.66457713488</v>
      </c>
    </row>
    <row r="650" spans="1:4">
      <c r="A650" t="s">
        <v>253</v>
      </c>
      <c r="B650" t="s">
        <v>234</v>
      </c>
      <c r="C650" t="s">
        <v>214</v>
      </c>
      <c r="D650">
        <v>42.847900390625</v>
      </c>
    </row>
    <row r="651" spans="1:4">
      <c r="A651" t="s">
        <v>253</v>
      </c>
      <c r="B651" t="s">
        <v>234</v>
      </c>
      <c r="C651" t="s">
        <v>215</v>
      </c>
      <c r="D651">
        <v>4.0157532691955566</v>
      </c>
    </row>
    <row r="652" spans="1:4">
      <c r="A652" t="s">
        <v>253</v>
      </c>
      <c r="B652" t="s">
        <v>234</v>
      </c>
      <c r="C652" t="s">
        <v>216</v>
      </c>
      <c r="D652">
        <v>2092.0110974090398</v>
      </c>
    </row>
    <row r="653" spans="1:4">
      <c r="A653" t="s">
        <v>253</v>
      </c>
      <c r="B653" t="s">
        <v>235</v>
      </c>
      <c r="C653" t="s">
        <v>214</v>
      </c>
      <c r="D653">
        <v>13.604443848133091</v>
      </c>
    </row>
    <row r="654" spans="1:4">
      <c r="A654" t="s">
        <v>253</v>
      </c>
      <c r="B654" t="s">
        <v>235</v>
      </c>
      <c r="C654" t="s">
        <v>215</v>
      </c>
      <c r="D654">
        <v>40.460511207580574</v>
      </c>
    </row>
    <row r="655" spans="1:4">
      <c r="A655" t="s">
        <v>253</v>
      </c>
      <c r="B655" t="s">
        <v>235</v>
      </c>
      <c r="C655" t="s">
        <v>216</v>
      </c>
      <c r="D655">
        <v>181708.27107690071</v>
      </c>
    </row>
    <row r="656" spans="1:4">
      <c r="A656" t="s">
        <v>253</v>
      </c>
      <c r="B656" t="s">
        <v>236</v>
      </c>
      <c r="C656" t="s">
        <v>214</v>
      </c>
      <c r="D656">
        <v>111.731559753418</v>
      </c>
    </row>
    <row r="657" spans="1:4">
      <c r="A657" t="s">
        <v>253</v>
      </c>
      <c r="B657" t="s">
        <v>236</v>
      </c>
      <c r="C657" t="s">
        <v>215</v>
      </c>
      <c r="D657">
        <v>54.164646148681641</v>
      </c>
    </row>
    <row r="658" spans="1:4">
      <c r="A658" t="s">
        <v>253</v>
      </c>
      <c r="B658" t="s">
        <v>236</v>
      </c>
      <c r="C658" t="s">
        <v>216</v>
      </c>
      <c r="D658">
        <v>16995.522379058581</v>
      </c>
    </row>
    <row r="659" spans="1:4">
      <c r="A659" t="s">
        <v>253</v>
      </c>
      <c r="B659" t="s">
        <v>237</v>
      </c>
      <c r="C659" t="s">
        <v>214</v>
      </c>
      <c r="D659">
        <v>1455.040649414062</v>
      </c>
    </row>
    <row r="660" spans="1:4">
      <c r="A660" t="s">
        <v>253</v>
      </c>
      <c r="B660" t="s">
        <v>237</v>
      </c>
      <c r="C660" t="s">
        <v>215</v>
      </c>
      <c r="D660">
        <v>8312.5068359375</v>
      </c>
    </row>
    <row r="661" spans="1:4">
      <c r="A661" t="s">
        <v>253</v>
      </c>
      <c r="B661" t="s">
        <v>237</v>
      </c>
      <c r="C661" t="s">
        <v>216</v>
      </c>
      <c r="D661">
        <v>335377.94336849451</v>
      </c>
    </row>
    <row r="662" spans="1:4">
      <c r="A662" t="s">
        <v>253</v>
      </c>
      <c r="B662" t="s">
        <v>238</v>
      </c>
      <c r="C662" t="s">
        <v>214</v>
      </c>
      <c r="D662">
        <v>587.70513916015625</v>
      </c>
    </row>
    <row r="663" spans="1:4">
      <c r="A663" t="s">
        <v>253</v>
      </c>
      <c r="B663" t="s">
        <v>238</v>
      </c>
      <c r="C663" t="s">
        <v>215</v>
      </c>
      <c r="D663">
        <v>1991.433471679688</v>
      </c>
    </row>
    <row r="664" spans="1:4">
      <c r="A664" t="s">
        <v>253</v>
      </c>
      <c r="B664" t="s">
        <v>238</v>
      </c>
      <c r="C664" t="s">
        <v>216</v>
      </c>
      <c r="D664">
        <v>68366.992800179869</v>
      </c>
    </row>
    <row r="665" spans="1:4">
      <c r="A665" t="s">
        <v>253</v>
      </c>
      <c r="B665" t="s">
        <v>239</v>
      </c>
      <c r="C665" t="s">
        <v>214</v>
      </c>
      <c r="D665">
        <v>32.820838928222663</v>
      </c>
    </row>
    <row r="666" spans="1:4">
      <c r="A666" t="s">
        <v>253</v>
      </c>
      <c r="B666" t="s">
        <v>239</v>
      </c>
      <c r="C666" t="s">
        <v>215</v>
      </c>
      <c r="D666">
        <v>39.749797821044922</v>
      </c>
    </row>
    <row r="667" spans="1:4">
      <c r="A667" t="s">
        <v>253</v>
      </c>
      <c r="B667" t="s">
        <v>239</v>
      </c>
      <c r="C667" t="s">
        <v>216</v>
      </c>
      <c r="D667">
        <v>11511.23659124406</v>
      </c>
    </row>
    <row r="668" spans="1:4">
      <c r="A668" t="s">
        <v>253</v>
      </c>
      <c r="B668" t="s">
        <v>240</v>
      </c>
      <c r="C668" t="s">
        <v>214</v>
      </c>
      <c r="D668">
        <v>25.399309158325199</v>
      </c>
    </row>
    <row r="669" spans="1:4">
      <c r="A669" t="s">
        <v>253</v>
      </c>
      <c r="B669" t="s">
        <v>240</v>
      </c>
      <c r="C669" t="s">
        <v>215</v>
      </c>
      <c r="D669">
        <v>631.619873046875</v>
      </c>
    </row>
    <row r="670" spans="1:4">
      <c r="A670" t="s">
        <v>253</v>
      </c>
      <c r="B670" t="s">
        <v>240</v>
      </c>
      <c r="C670" t="s">
        <v>216</v>
      </c>
      <c r="D670">
        <v>25112.91885777254</v>
      </c>
    </row>
    <row r="671" spans="1:4">
      <c r="A671" t="s">
        <v>253</v>
      </c>
      <c r="B671" t="s">
        <v>241</v>
      </c>
      <c r="C671" t="s">
        <v>214</v>
      </c>
      <c r="D671">
        <v>3623.914794921875</v>
      </c>
    </row>
    <row r="672" spans="1:4">
      <c r="A672" t="s">
        <v>253</v>
      </c>
      <c r="B672" t="s">
        <v>241</v>
      </c>
      <c r="C672" t="s">
        <v>215</v>
      </c>
      <c r="D672">
        <v>1257.620361328125</v>
      </c>
    </row>
    <row r="673" spans="1:4">
      <c r="A673" t="s">
        <v>253</v>
      </c>
      <c r="B673" t="s">
        <v>241</v>
      </c>
      <c r="C673" t="s">
        <v>216</v>
      </c>
      <c r="D673">
        <v>315231.10787241912</v>
      </c>
    </row>
    <row r="674" spans="1:4">
      <c r="A674" t="s">
        <v>253</v>
      </c>
      <c r="B674" t="s">
        <v>242</v>
      </c>
      <c r="C674" t="s">
        <v>214</v>
      </c>
      <c r="D674">
        <v>99.645736694335938</v>
      </c>
    </row>
    <row r="675" spans="1:4">
      <c r="A675" t="s">
        <v>253</v>
      </c>
      <c r="B675" t="s">
        <v>242</v>
      </c>
      <c r="C675" t="s">
        <v>215</v>
      </c>
      <c r="D675">
        <v>44.6923828125</v>
      </c>
    </row>
    <row r="676" spans="1:4">
      <c r="A676" t="s">
        <v>253</v>
      </c>
      <c r="B676" t="s">
        <v>242</v>
      </c>
      <c r="C676" t="s">
        <v>216</v>
      </c>
      <c r="D676">
        <v>11759.699455648049</v>
      </c>
    </row>
    <row r="677" spans="1:4">
      <c r="A677" t="s">
        <v>253</v>
      </c>
      <c r="B677" t="s">
        <v>243</v>
      </c>
      <c r="C677" t="s">
        <v>214</v>
      </c>
      <c r="D677">
        <v>129.12947845458979</v>
      </c>
    </row>
    <row r="678" spans="1:4">
      <c r="A678" t="s">
        <v>253</v>
      </c>
      <c r="B678" t="s">
        <v>243</v>
      </c>
      <c r="C678" t="s">
        <v>215</v>
      </c>
      <c r="D678">
        <v>19.65012955665588</v>
      </c>
    </row>
    <row r="679" spans="1:4">
      <c r="A679" t="s">
        <v>253</v>
      </c>
      <c r="B679" t="s">
        <v>243</v>
      </c>
      <c r="C679" t="s">
        <v>216</v>
      </c>
      <c r="D679">
        <v>21868.3137831897</v>
      </c>
    </row>
    <row r="680" spans="1:4">
      <c r="A680" t="s">
        <v>253</v>
      </c>
      <c r="B680" t="s">
        <v>244</v>
      </c>
      <c r="C680" t="s">
        <v>214</v>
      </c>
      <c r="D680">
        <v>4450.47119140625</v>
      </c>
    </row>
    <row r="681" spans="1:4">
      <c r="A681" t="s">
        <v>253</v>
      </c>
      <c r="B681" t="s">
        <v>244</v>
      </c>
      <c r="C681" t="s">
        <v>215</v>
      </c>
      <c r="D681">
        <v>14635.0654296875</v>
      </c>
    </row>
    <row r="682" spans="1:4">
      <c r="A682" t="s">
        <v>253</v>
      </c>
      <c r="B682" t="s">
        <v>244</v>
      </c>
      <c r="C682" t="s">
        <v>216</v>
      </c>
      <c r="D682">
        <v>709143.73847457767</v>
      </c>
    </row>
    <row r="683" spans="1:4">
      <c r="A683" t="s">
        <v>253</v>
      </c>
      <c r="B683" t="s">
        <v>245</v>
      </c>
      <c r="C683" t="s">
        <v>214</v>
      </c>
      <c r="D683">
        <v>198.37393951416021</v>
      </c>
    </row>
    <row r="684" spans="1:4">
      <c r="A684" t="s">
        <v>253</v>
      </c>
      <c r="B684" t="s">
        <v>245</v>
      </c>
      <c r="C684" t="s">
        <v>215</v>
      </c>
      <c r="D684">
        <v>96.837303161621094</v>
      </c>
    </row>
    <row r="685" spans="1:4">
      <c r="A685" t="s">
        <v>253</v>
      </c>
      <c r="B685" t="s">
        <v>245</v>
      </c>
      <c r="C685" t="s">
        <v>216</v>
      </c>
      <c r="D685">
        <v>21351.276397520029</v>
      </c>
    </row>
    <row r="686" spans="1:4">
      <c r="A686" t="s">
        <v>253</v>
      </c>
      <c r="B686" t="s">
        <v>257</v>
      </c>
      <c r="C686" t="s">
        <v>214</v>
      </c>
      <c r="D686">
        <v>139.9181213378906</v>
      </c>
    </row>
    <row r="687" spans="1:4">
      <c r="A687" t="s">
        <v>253</v>
      </c>
      <c r="B687" t="s">
        <v>257</v>
      </c>
      <c r="C687" t="s">
        <v>215</v>
      </c>
      <c r="D687">
        <v>462.55862426757813</v>
      </c>
    </row>
    <row r="688" spans="1:4">
      <c r="A688" t="s">
        <v>253</v>
      </c>
      <c r="B688" t="s">
        <v>257</v>
      </c>
      <c r="C688" t="s">
        <v>216</v>
      </c>
      <c r="D688">
        <v>13390.97715838021</v>
      </c>
    </row>
    <row r="689" spans="1:4">
      <c r="A689" t="s">
        <v>253</v>
      </c>
      <c r="B689" t="s">
        <v>246</v>
      </c>
      <c r="C689" t="s">
        <v>214</v>
      </c>
      <c r="D689">
        <v>46.259147644042969</v>
      </c>
    </row>
    <row r="690" spans="1:4">
      <c r="A690" t="s">
        <v>253</v>
      </c>
      <c r="B690" t="s">
        <v>246</v>
      </c>
      <c r="C690" t="s">
        <v>215</v>
      </c>
      <c r="D690">
        <v>59.729042053222663</v>
      </c>
    </row>
    <row r="691" spans="1:4">
      <c r="A691" t="s">
        <v>253</v>
      </c>
      <c r="B691" t="s">
        <v>246</v>
      </c>
      <c r="C691" t="s">
        <v>216</v>
      </c>
      <c r="D691">
        <v>4998.2263669447984</v>
      </c>
    </row>
    <row r="692" spans="1:4">
      <c r="A692" t="s">
        <v>253</v>
      </c>
      <c r="B692" t="s">
        <v>247</v>
      </c>
      <c r="C692" t="s">
        <v>214</v>
      </c>
      <c r="D692">
        <v>75.748374938964844</v>
      </c>
    </row>
    <row r="693" spans="1:4">
      <c r="A693" t="s">
        <v>253</v>
      </c>
      <c r="B693" t="s">
        <v>247</v>
      </c>
      <c r="C693" t="s">
        <v>215</v>
      </c>
      <c r="D693">
        <v>126.9541549682617</v>
      </c>
    </row>
    <row r="694" spans="1:4">
      <c r="A694" t="s">
        <v>253</v>
      </c>
      <c r="B694" t="s">
        <v>247</v>
      </c>
      <c r="C694" t="s">
        <v>216</v>
      </c>
      <c r="D694">
        <v>5294.338943419747</v>
      </c>
    </row>
    <row r="695" spans="1:4">
      <c r="A695" t="s">
        <v>254</v>
      </c>
      <c r="B695" t="s">
        <v>213</v>
      </c>
      <c r="C695" t="s">
        <v>214</v>
      </c>
      <c r="D695">
        <v>233.87535095214841</v>
      </c>
    </row>
    <row r="696" spans="1:4">
      <c r="A696" t="s">
        <v>254</v>
      </c>
      <c r="B696" t="s">
        <v>213</v>
      </c>
      <c r="C696" t="s">
        <v>215</v>
      </c>
      <c r="D696">
        <v>771.10736083984375</v>
      </c>
    </row>
    <row r="697" spans="1:4">
      <c r="A697" t="s">
        <v>254</v>
      </c>
      <c r="B697" t="s">
        <v>213</v>
      </c>
      <c r="C697" t="s">
        <v>216</v>
      </c>
      <c r="D697">
        <v>109538.3914453015</v>
      </c>
    </row>
    <row r="698" spans="1:4">
      <c r="A698" t="s">
        <v>254</v>
      </c>
      <c r="B698" t="s">
        <v>217</v>
      </c>
      <c r="C698" t="s">
        <v>214</v>
      </c>
      <c r="D698">
        <v>3.2105283668497582</v>
      </c>
    </row>
    <row r="699" spans="1:4">
      <c r="A699" t="s">
        <v>254</v>
      </c>
      <c r="B699" t="s">
        <v>217</v>
      </c>
      <c r="C699" t="s">
        <v>215</v>
      </c>
      <c r="D699">
        <v>1556.405203342438</v>
      </c>
    </row>
    <row r="700" spans="1:4">
      <c r="A700" t="s">
        <v>254</v>
      </c>
      <c r="B700" t="s">
        <v>217</v>
      </c>
      <c r="C700" t="s">
        <v>216</v>
      </c>
      <c r="D700">
        <v>23810.542890712259</v>
      </c>
    </row>
    <row r="701" spans="1:4">
      <c r="A701" t="s">
        <v>254</v>
      </c>
      <c r="B701" t="s">
        <v>218</v>
      </c>
      <c r="C701" t="s">
        <v>214</v>
      </c>
      <c r="D701">
        <v>99.166175842285156</v>
      </c>
    </row>
    <row r="702" spans="1:4">
      <c r="A702" t="s">
        <v>254</v>
      </c>
      <c r="B702" t="s">
        <v>218</v>
      </c>
      <c r="C702" t="s">
        <v>215</v>
      </c>
      <c r="D702">
        <v>1135.726928710938</v>
      </c>
    </row>
    <row r="703" spans="1:4">
      <c r="A703" t="s">
        <v>254</v>
      </c>
      <c r="B703" t="s">
        <v>218</v>
      </c>
      <c r="C703" t="s">
        <v>216</v>
      </c>
      <c r="D703">
        <v>26755.89970116668</v>
      </c>
    </row>
    <row r="704" spans="1:4">
      <c r="A704" t="s">
        <v>254</v>
      </c>
      <c r="B704" t="s">
        <v>219</v>
      </c>
      <c r="C704" t="s">
        <v>214</v>
      </c>
      <c r="D704">
        <v>229.78214263916021</v>
      </c>
    </row>
    <row r="705" spans="1:4">
      <c r="A705" t="s">
        <v>254</v>
      </c>
      <c r="B705" t="s">
        <v>219</v>
      </c>
      <c r="C705" t="s">
        <v>215</v>
      </c>
      <c r="D705">
        <v>569.27885437011719</v>
      </c>
    </row>
    <row r="706" spans="1:4">
      <c r="A706" t="s">
        <v>254</v>
      </c>
      <c r="B706" t="s">
        <v>219</v>
      </c>
      <c r="C706" t="s">
        <v>216</v>
      </c>
      <c r="D706">
        <v>43194.1554023801</v>
      </c>
    </row>
    <row r="707" spans="1:4">
      <c r="A707" t="s">
        <v>254</v>
      </c>
      <c r="B707" t="s">
        <v>220</v>
      </c>
      <c r="C707" t="s">
        <v>214</v>
      </c>
      <c r="D707">
        <v>871.9320068359375</v>
      </c>
    </row>
    <row r="708" spans="1:4">
      <c r="A708" t="s">
        <v>254</v>
      </c>
      <c r="B708" t="s">
        <v>220</v>
      </c>
      <c r="C708" t="s">
        <v>215</v>
      </c>
      <c r="D708">
        <v>7878.2998046875</v>
      </c>
    </row>
    <row r="709" spans="1:4">
      <c r="A709" t="s">
        <v>254</v>
      </c>
      <c r="B709" t="s">
        <v>220</v>
      </c>
      <c r="C709" t="s">
        <v>216</v>
      </c>
      <c r="D709">
        <v>275952.88998714829</v>
      </c>
    </row>
    <row r="710" spans="1:4">
      <c r="A710" t="s">
        <v>254</v>
      </c>
      <c r="B710" t="s">
        <v>221</v>
      </c>
      <c r="C710" t="s">
        <v>214</v>
      </c>
      <c r="D710">
        <v>888.70941162109375</v>
      </c>
    </row>
    <row r="711" spans="1:4">
      <c r="A711" t="s">
        <v>254</v>
      </c>
      <c r="B711" t="s">
        <v>221</v>
      </c>
      <c r="C711" t="s">
        <v>215</v>
      </c>
      <c r="D711">
        <v>8679.4013671875</v>
      </c>
    </row>
    <row r="712" spans="1:4">
      <c r="A712" t="s">
        <v>254</v>
      </c>
      <c r="B712" t="s">
        <v>221</v>
      </c>
      <c r="C712" t="s">
        <v>216</v>
      </c>
      <c r="D712">
        <v>102061.40965167151</v>
      </c>
    </row>
    <row r="713" spans="1:4">
      <c r="A713" t="s">
        <v>254</v>
      </c>
      <c r="B713" t="s">
        <v>222</v>
      </c>
      <c r="C713" t="s">
        <v>214</v>
      </c>
      <c r="D713">
        <v>2.038241863250732</v>
      </c>
    </row>
    <row r="714" spans="1:4">
      <c r="A714" t="s">
        <v>254</v>
      </c>
      <c r="B714" t="s">
        <v>222</v>
      </c>
      <c r="C714" t="s">
        <v>215</v>
      </c>
      <c r="D714">
        <v>2.0331573486328121</v>
      </c>
    </row>
    <row r="715" spans="1:4">
      <c r="A715" t="s">
        <v>254</v>
      </c>
      <c r="B715" t="s">
        <v>222</v>
      </c>
      <c r="C715" t="s">
        <v>216</v>
      </c>
      <c r="D715">
        <v>32669.05154452665</v>
      </c>
    </row>
    <row r="716" spans="1:4">
      <c r="A716" t="s">
        <v>254</v>
      </c>
      <c r="B716" t="s">
        <v>223</v>
      </c>
      <c r="C716" t="s">
        <v>214</v>
      </c>
      <c r="D716">
        <v>1651.438232421875</v>
      </c>
    </row>
    <row r="717" spans="1:4">
      <c r="A717" t="s">
        <v>254</v>
      </c>
      <c r="B717" t="s">
        <v>223</v>
      </c>
      <c r="C717" t="s">
        <v>215</v>
      </c>
      <c r="D717">
        <v>9291.470703125</v>
      </c>
    </row>
    <row r="718" spans="1:4">
      <c r="A718" t="s">
        <v>254</v>
      </c>
      <c r="B718" t="s">
        <v>223</v>
      </c>
      <c r="C718" t="s">
        <v>216</v>
      </c>
      <c r="D718">
        <v>473488.42398864031</v>
      </c>
    </row>
    <row r="719" spans="1:4">
      <c r="A719" t="s">
        <v>254</v>
      </c>
      <c r="B719" t="s">
        <v>224</v>
      </c>
      <c r="C719" t="s">
        <v>214</v>
      </c>
      <c r="D719">
        <v>333.04529190063482</v>
      </c>
    </row>
    <row r="720" spans="1:4">
      <c r="A720" t="s">
        <v>254</v>
      </c>
      <c r="B720" t="s">
        <v>224</v>
      </c>
      <c r="C720" t="s">
        <v>215</v>
      </c>
      <c r="D720">
        <v>377.26190185546881</v>
      </c>
    </row>
    <row r="721" spans="1:4">
      <c r="A721" t="s">
        <v>254</v>
      </c>
      <c r="B721" t="s">
        <v>224</v>
      </c>
      <c r="C721" t="s">
        <v>216</v>
      </c>
      <c r="D721">
        <v>79058.532479117188</v>
      </c>
    </row>
    <row r="722" spans="1:4">
      <c r="A722" t="s">
        <v>254</v>
      </c>
      <c r="B722" t="s">
        <v>225</v>
      </c>
      <c r="C722" t="s">
        <v>214</v>
      </c>
      <c r="D722">
        <v>971.78760528564453</v>
      </c>
    </row>
    <row r="723" spans="1:4">
      <c r="A723" t="s">
        <v>254</v>
      </c>
      <c r="B723" t="s">
        <v>225</v>
      </c>
      <c r="C723" t="s">
        <v>215</v>
      </c>
      <c r="D723">
        <v>1260.1787261962891</v>
      </c>
    </row>
    <row r="724" spans="1:4">
      <c r="A724" t="s">
        <v>254</v>
      </c>
      <c r="B724" t="s">
        <v>225</v>
      </c>
      <c r="C724" t="s">
        <v>216</v>
      </c>
      <c r="D724">
        <v>97808.736948976366</v>
      </c>
    </row>
    <row r="725" spans="1:4">
      <c r="A725" t="s">
        <v>254</v>
      </c>
      <c r="B725" t="s">
        <v>226</v>
      </c>
      <c r="C725" t="s">
        <v>214</v>
      </c>
      <c r="D725">
        <v>345.50165557861328</v>
      </c>
    </row>
    <row r="726" spans="1:4">
      <c r="A726" t="s">
        <v>254</v>
      </c>
      <c r="B726" t="s">
        <v>226</v>
      </c>
      <c r="C726" t="s">
        <v>215</v>
      </c>
      <c r="D726">
        <v>2103.783411026001</v>
      </c>
    </row>
    <row r="727" spans="1:4">
      <c r="A727" t="s">
        <v>254</v>
      </c>
      <c r="B727" t="s">
        <v>226</v>
      </c>
      <c r="C727" t="s">
        <v>216</v>
      </c>
      <c r="D727">
        <v>80407.332787151608</v>
      </c>
    </row>
    <row r="728" spans="1:4">
      <c r="A728" t="s">
        <v>254</v>
      </c>
      <c r="B728" t="s">
        <v>227</v>
      </c>
      <c r="C728" t="s">
        <v>214</v>
      </c>
      <c r="D728">
        <v>2491.727783203125</v>
      </c>
    </row>
    <row r="729" spans="1:4">
      <c r="A729" t="s">
        <v>254</v>
      </c>
      <c r="B729" t="s">
        <v>227</v>
      </c>
      <c r="C729" t="s">
        <v>215</v>
      </c>
      <c r="D729">
        <v>19410.458984375</v>
      </c>
    </row>
    <row r="730" spans="1:4">
      <c r="A730" t="s">
        <v>254</v>
      </c>
      <c r="B730" t="s">
        <v>227</v>
      </c>
      <c r="C730" t="s">
        <v>216</v>
      </c>
      <c r="D730">
        <v>372648.38019412762</v>
      </c>
    </row>
    <row r="731" spans="1:4">
      <c r="A731" t="s">
        <v>254</v>
      </c>
      <c r="B731" t="s">
        <v>228</v>
      </c>
      <c r="C731" t="s">
        <v>214</v>
      </c>
      <c r="D731">
        <v>112.9197235107422</v>
      </c>
    </row>
    <row r="732" spans="1:4">
      <c r="A732" t="s">
        <v>254</v>
      </c>
      <c r="B732" t="s">
        <v>228</v>
      </c>
      <c r="C732" t="s">
        <v>215</v>
      </c>
      <c r="D732">
        <v>8.4773578643798828</v>
      </c>
    </row>
    <row r="733" spans="1:4">
      <c r="A733" t="s">
        <v>254</v>
      </c>
      <c r="B733" t="s">
        <v>228</v>
      </c>
      <c r="C733" t="s">
        <v>216</v>
      </c>
      <c r="D733">
        <v>6786.0624330975843</v>
      </c>
    </row>
    <row r="734" spans="1:4">
      <c r="A734" t="s">
        <v>254</v>
      </c>
      <c r="B734" t="s">
        <v>229</v>
      </c>
      <c r="C734" t="s">
        <v>214</v>
      </c>
      <c r="D734">
        <v>556.4422607421875</v>
      </c>
    </row>
    <row r="735" spans="1:4">
      <c r="A735" t="s">
        <v>254</v>
      </c>
      <c r="B735" t="s">
        <v>229</v>
      </c>
      <c r="C735" t="s">
        <v>215</v>
      </c>
      <c r="D735">
        <v>319.52508544921881</v>
      </c>
    </row>
    <row r="736" spans="1:4">
      <c r="A736" t="s">
        <v>254</v>
      </c>
      <c r="B736" t="s">
        <v>229</v>
      </c>
      <c r="C736" t="s">
        <v>216</v>
      </c>
      <c r="D736">
        <v>39369.446517138043</v>
      </c>
    </row>
    <row r="737" spans="1:4">
      <c r="A737" t="s">
        <v>254</v>
      </c>
      <c r="B737" t="s">
        <v>230</v>
      </c>
      <c r="C737" t="s">
        <v>214</v>
      </c>
      <c r="D737">
        <v>245.26698303222659</v>
      </c>
    </row>
    <row r="738" spans="1:4">
      <c r="A738" t="s">
        <v>254</v>
      </c>
      <c r="B738" t="s">
        <v>230</v>
      </c>
      <c r="C738" t="s">
        <v>215</v>
      </c>
      <c r="D738">
        <v>389.29376220703119</v>
      </c>
    </row>
    <row r="739" spans="1:4">
      <c r="A739" t="s">
        <v>254</v>
      </c>
      <c r="B739" t="s">
        <v>230</v>
      </c>
      <c r="C739" t="s">
        <v>216</v>
      </c>
      <c r="D739">
        <v>60460.284546805371</v>
      </c>
    </row>
    <row r="740" spans="1:4">
      <c r="A740" t="s">
        <v>254</v>
      </c>
      <c r="B740" t="s">
        <v>231</v>
      </c>
      <c r="C740" t="s">
        <v>214</v>
      </c>
      <c r="D740">
        <v>994.13662719726563</v>
      </c>
    </row>
    <row r="741" spans="1:4">
      <c r="A741" t="s">
        <v>254</v>
      </c>
      <c r="B741" t="s">
        <v>231</v>
      </c>
      <c r="C741" t="s">
        <v>215</v>
      </c>
      <c r="D741">
        <v>1403.504577636719</v>
      </c>
    </row>
    <row r="742" spans="1:4">
      <c r="A742" t="s">
        <v>254</v>
      </c>
      <c r="B742" t="s">
        <v>231</v>
      </c>
      <c r="C742" t="s">
        <v>216</v>
      </c>
      <c r="D742">
        <v>76272.345754210895</v>
      </c>
    </row>
    <row r="743" spans="1:4">
      <c r="A743" t="s">
        <v>254</v>
      </c>
      <c r="B743" t="s">
        <v>232</v>
      </c>
      <c r="C743" t="s">
        <v>214</v>
      </c>
      <c r="D743">
        <v>644.02931750938296</v>
      </c>
    </row>
    <row r="744" spans="1:4">
      <c r="A744" t="s">
        <v>254</v>
      </c>
      <c r="B744" t="s">
        <v>232</v>
      </c>
      <c r="C744" t="s">
        <v>215</v>
      </c>
      <c r="D744">
        <v>2691.6291961669922</v>
      </c>
    </row>
    <row r="745" spans="1:4">
      <c r="A745" t="s">
        <v>254</v>
      </c>
      <c r="B745" t="s">
        <v>232</v>
      </c>
      <c r="C745" t="s">
        <v>216</v>
      </c>
      <c r="D745">
        <v>30412.108947994559</v>
      </c>
    </row>
    <row r="746" spans="1:4">
      <c r="A746" t="s">
        <v>254</v>
      </c>
      <c r="B746" t="s">
        <v>233</v>
      </c>
      <c r="C746" t="s">
        <v>214</v>
      </c>
      <c r="D746">
        <v>819.93817138671875</v>
      </c>
    </row>
    <row r="747" spans="1:4">
      <c r="A747" t="s">
        <v>254</v>
      </c>
      <c r="B747" t="s">
        <v>233</v>
      </c>
      <c r="C747" t="s">
        <v>215</v>
      </c>
      <c r="D747">
        <v>42262.125</v>
      </c>
    </row>
    <row r="748" spans="1:4">
      <c r="A748" t="s">
        <v>254</v>
      </c>
      <c r="B748" t="s">
        <v>233</v>
      </c>
      <c r="C748" t="s">
        <v>216</v>
      </c>
      <c r="D748">
        <v>633072.58783121407</v>
      </c>
    </row>
    <row r="749" spans="1:4">
      <c r="A749" t="s">
        <v>254</v>
      </c>
      <c r="B749" t="s">
        <v>234</v>
      </c>
      <c r="C749" t="s">
        <v>214</v>
      </c>
      <c r="D749">
        <v>84.775215148925781</v>
      </c>
    </row>
    <row r="750" spans="1:4">
      <c r="A750" t="s">
        <v>254</v>
      </c>
      <c r="B750" t="s">
        <v>234</v>
      </c>
      <c r="C750" t="s">
        <v>215</v>
      </c>
      <c r="D750">
        <v>26.59450721740723</v>
      </c>
    </row>
    <row r="751" spans="1:4">
      <c r="A751" t="s">
        <v>254</v>
      </c>
      <c r="B751" t="s">
        <v>234</v>
      </c>
      <c r="C751" t="s">
        <v>216</v>
      </c>
      <c r="D751">
        <v>3514.6422701505289</v>
      </c>
    </row>
    <row r="752" spans="1:4">
      <c r="A752" t="s">
        <v>254</v>
      </c>
      <c r="B752" t="s">
        <v>235</v>
      </c>
      <c r="C752" t="s">
        <v>214</v>
      </c>
      <c r="D752">
        <v>292.86926651000982</v>
      </c>
    </row>
    <row r="753" spans="1:4">
      <c r="A753" t="s">
        <v>254</v>
      </c>
      <c r="B753" t="s">
        <v>235</v>
      </c>
      <c r="C753" t="s">
        <v>215</v>
      </c>
      <c r="D753">
        <v>5096.8017578125</v>
      </c>
    </row>
    <row r="754" spans="1:4">
      <c r="A754" t="s">
        <v>254</v>
      </c>
      <c r="B754" t="s">
        <v>235</v>
      </c>
      <c r="C754" t="s">
        <v>216</v>
      </c>
      <c r="D754">
        <v>499656.40997777128</v>
      </c>
    </row>
    <row r="755" spans="1:4">
      <c r="A755" t="s">
        <v>254</v>
      </c>
      <c r="B755" t="s">
        <v>236</v>
      </c>
      <c r="C755" t="s">
        <v>214</v>
      </c>
      <c r="D755">
        <v>221.06254577636719</v>
      </c>
    </row>
    <row r="756" spans="1:4">
      <c r="A756" t="s">
        <v>254</v>
      </c>
      <c r="B756" t="s">
        <v>236</v>
      </c>
      <c r="C756" t="s">
        <v>215</v>
      </c>
      <c r="D756">
        <v>358.70782470703119</v>
      </c>
    </row>
    <row r="757" spans="1:4">
      <c r="A757" t="s">
        <v>254</v>
      </c>
      <c r="B757" t="s">
        <v>236</v>
      </c>
      <c r="C757" t="s">
        <v>216</v>
      </c>
      <c r="D757">
        <v>23004.79742445338</v>
      </c>
    </row>
    <row r="758" spans="1:4">
      <c r="A758" t="s">
        <v>254</v>
      </c>
      <c r="B758" t="s">
        <v>237</v>
      </c>
      <c r="C758" t="s">
        <v>214</v>
      </c>
      <c r="D758">
        <v>995.53717041015625</v>
      </c>
    </row>
    <row r="759" spans="1:4">
      <c r="A759" t="s">
        <v>254</v>
      </c>
      <c r="B759" t="s">
        <v>237</v>
      </c>
      <c r="C759" t="s">
        <v>215</v>
      </c>
      <c r="D759">
        <v>9931.28125</v>
      </c>
    </row>
    <row r="760" spans="1:4">
      <c r="A760" t="s">
        <v>254</v>
      </c>
      <c r="B760" t="s">
        <v>237</v>
      </c>
      <c r="C760" t="s">
        <v>216</v>
      </c>
      <c r="D760">
        <v>622951.65019536018</v>
      </c>
    </row>
    <row r="761" spans="1:4">
      <c r="A761" t="s">
        <v>254</v>
      </c>
      <c r="B761" t="s">
        <v>238</v>
      </c>
      <c r="C761" t="s">
        <v>214</v>
      </c>
      <c r="D761">
        <v>707.8558349609375</v>
      </c>
    </row>
    <row r="762" spans="1:4">
      <c r="A762" t="s">
        <v>254</v>
      </c>
      <c r="B762" t="s">
        <v>238</v>
      </c>
      <c r="C762" t="s">
        <v>215</v>
      </c>
      <c r="D762">
        <v>5505.64697265625</v>
      </c>
    </row>
    <row r="763" spans="1:4">
      <c r="A763" t="s">
        <v>254</v>
      </c>
      <c r="B763" t="s">
        <v>238</v>
      </c>
      <c r="C763" t="s">
        <v>216</v>
      </c>
      <c r="D763">
        <v>235112.1024212928</v>
      </c>
    </row>
    <row r="764" spans="1:4">
      <c r="A764" t="s">
        <v>254</v>
      </c>
      <c r="B764" t="s">
        <v>239</v>
      </c>
      <c r="C764" t="s">
        <v>214</v>
      </c>
      <c r="D764">
        <v>64.936515808105469</v>
      </c>
    </row>
    <row r="765" spans="1:4">
      <c r="A765" t="s">
        <v>254</v>
      </c>
      <c r="B765" t="s">
        <v>239</v>
      </c>
      <c r="C765" t="s">
        <v>215</v>
      </c>
      <c r="D765">
        <v>263.24484252929688</v>
      </c>
    </row>
    <row r="766" spans="1:4">
      <c r="A766" t="s">
        <v>254</v>
      </c>
      <c r="B766" t="s">
        <v>239</v>
      </c>
      <c r="C766" t="s">
        <v>216</v>
      </c>
      <c r="D766">
        <v>26238.190957093309</v>
      </c>
    </row>
    <row r="767" spans="1:4">
      <c r="A767" t="s">
        <v>254</v>
      </c>
      <c r="B767" t="s">
        <v>240</v>
      </c>
      <c r="C767" t="s">
        <v>214</v>
      </c>
      <c r="D767">
        <v>79.707588195800781</v>
      </c>
    </row>
    <row r="768" spans="1:4">
      <c r="A768" t="s">
        <v>254</v>
      </c>
      <c r="B768" t="s">
        <v>240</v>
      </c>
      <c r="C768" t="s">
        <v>215</v>
      </c>
      <c r="D768">
        <v>6148.10693359375</v>
      </c>
    </row>
    <row r="769" spans="1:4">
      <c r="A769" t="s">
        <v>254</v>
      </c>
      <c r="B769" t="s">
        <v>240</v>
      </c>
      <c r="C769" t="s">
        <v>216</v>
      </c>
      <c r="D769">
        <v>82342.777939325199</v>
      </c>
    </row>
    <row r="770" spans="1:4">
      <c r="A770" t="s">
        <v>254</v>
      </c>
      <c r="B770" t="s">
        <v>241</v>
      </c>
      <c r="C770" t="s">
        <v>214</v>
      </c>
      <c r="D770">
        <v>91.472602844238281</v>
      </c>
    </row>
    <row r="771" spans="1:4">
      <c r="A771" t="s">
        <v>254</v>
      </c>
      <c r="B771" t="s">
        <v>241</v>
      </c>
      <c r="C771" t="s">
        <v>215</v>
      </c>
      <c r="D771">
        <v>246.4349670410156</v>
      </c>
    </row>
    <row r="772" spans="1:4">
      <c r="A772" t="s">
        <v>254</v>
      </c>
      <c r="B772" t="s">
        <v>241</v>
      </c>
      <c r="C772" t="s">
        <v>216</v>
      </c>
      <c r="D772">
        <v>159913.90664701539</v>
      </c>
    </row>
    <row r="773" spans="1:4">
      <c r="A773" t="s">
        <v>254</v>
      </c>
      <c r="B773" t="s">
        <v>242</v>
      </c>
      <c r="C773" t="s">
        <v>214</v>
      </c>
      <c r="D773">
        <v>197.15057373046881</v>
      </c>
    </row>
    <row r="774" spans="1:4">
      <c r="A774" t="s">
        <v>254</v>
      </c>
      <c r="B774" t="s">
        <v>242</v>
      </c>
      <c r="C774" t="s">
        <v>215</v>
      </c>
      <c r="D774">
        <v>295.977294921875</v>
      </c>
    </row>
    <row r="775" spans="1:4">
      <c r="A775" t="s">
        <v>254</v>
      </c>
      <c r="B775" t="s">
        <v>242</v>
      </c>
      <c r="C775" t="s">
        <v>216</v>
      </c>
      <c r="D775">
        <v>30497.631914961621</v>
      </c>
    </row>
    <row r="776" spans="1:4">
      <c r="A776" t="s">
        <v>254</v>
      </c>
      <c r="B776" t="s">
        <v>243</v>
      </c>
      <c r="C776" t="s">
        <v>214</v>
      </c>
      <c r="D776">
        <v>255.48457336425781</v>
      </c>
    </row>
    <row r="777" spans="1:4">
      <c r="A777" t="s">
        <v>254</v>
      </c>
      <c r="B777" t="s">
        <v>243</v>
      </c>
      <c r="C777" t="s">
        <v>215</v>
      </c>
      <c r="D777">
        <v>130.13387107849121</v>
      </c>
    </row>
    <row r="778" spans="1:4">
      <c r="A778" t="s">
        <v>254</v>
      </c>
      <c r="B778" t="s">
        <v>243</v>
      </c>
      <c r="C778" t="s">
        <v>216</v>
      </c>
      <c r="D778">
        <v>28536.95683335717</v>
      </c>
    </row>
    <row r="779" spans="1:4">
      <c r="A779" t="s">
        <v>254</v>
      </c>
      <c r="B779" t="s">
        <v>244</v>
      </c>
      <c r="C779" t="s">
        <v>214</v>
      </c>
      <c r="D779">
        <v>1456.985473632812</v>
      </c>
    </row>
    <row r="780" spans="1:4">
      <c r="A780" t="s">
        <v>254</v>
      </c>
      <c r="B780" t="s">
        <v>244</v>
      </c>
      <c r="C780" t="s">
        <v>215</v>
      </c>
      <c r="D780">
        <v>5984.634765625</v>
      </c>
    </row>
    <row r="781" spans="1:4">
      <c r="A781" t="s">
        <v>254</v>
      </c>
      <c r="B781" t="s">
        <v>244</v>
      </c>
      <c r="C781" t="s">
        <v>216</v>
      </c>
      <c r="D781">
        <v>508993.78371600428</v>
      </c>
    </row>
    <row r="782" spans="1:4">
      <c r="A782" t="s">
        <v>254</v>
      </c>
      <c r="B782" t="s">
        <v>245</v>
      </c>
      <c r="C782" t="s">
        <v>214</v>
      </c>
      <c r="D782">
        <v>392.48573303222662</v>
      </c>
    </row>
    <row r="783" spans="1:4">
      <c r="A783" t="s">
        <v>254</v>
      </c>
      <c r="B783" t="s">
        <v>245</v>
      </c>
      <c r="C783" t="s">
        <v>215</v>
      </c>
      <c r="D783">
        <v>641.3094482421875</v>
      </c>
    </row>
    <row r="784" spans="1:4">
      <c r="A784" t="s">
        <v>254</v>
      </c>
      <c r="B784" t="s">
        <v>245</v>
      </c>
      <c r="C784" t="s">
        <v>216</v>
      </c>
      <c r="D784">
        <v>54131.413305453018</v>
      </c>
    </row>
    <row r="785" spans="1:4">
      <c r="A785" t="s">
        <v>254</v>
      </c>
      <c r="B785" t="s">
        <v>257</v>
      </c>
      <c r="C785" t="s">
        <v>214</v>
      </c>
      <c r="D785">
        <v>168.5230407714844</v>
      </c>
    </row>
    <row r="786" spans="1:4">
      <c r="A786" t="s">
        <v>254</v>
      </c>
      <c r="B786" t="s">
        <v>257</v>
      </c>
      <c r="C786" t="s">
        <v>215</v>
      </c>
      <c r="D786">
        <v>1278.81982421875</v>
      </c>
    </row>
    <row r="787" spans="1:4">
      <c r="A787" t="s">
        <v>254</v>
      </c>
      <c r="B787" t="s">
        <v>257</v>
      </c>
      <c r="C787" t="s">
        <v>216</v>
      </c>
      <c r="D787">
        <v>56108.406993011013</v>
      </c>
    </row>
    <row r="788" spans="1:4">
      <c r="A788" t="s">
        <v>254</v>
      </c>
      <c r="B788" t="s">
        <v>246</v>
      </c>
      <c r="C788" t="s">
        <v>214</v>
      </c>
      <c r="D788">
        <v>91.5244140625</v>
      </c>
    </row>
    <row r="789" spans="1:4">
      <c r="A789" t="s">
        <v>254</v>
      </c>
      <c r="B789" t="s">
        <v>246</v>
      </c>
      <c r="C789" t="s">
        <v>215</v>
      </c>
      <c r="D789">
        <v>395.55828857421881</v>
      </c>
    </row>
    <row r="790" spans="1:4">
      <c r="A790" t="s">
        <v>254</v>
      </c>
      <c r="B790" t="s">
        <v>246</v>
      </c>
      <c r="C790" t="s">
        <v>216</v>
      </c>
      <c r="D790">
        <v>10762.30606408154</v>
      </c>
    </row>
    <row r="791" spans="1:4">
      <c r="A791" t="s">
        <v>254</v>
      </c>
      <c r="B791" t="s">
        <v>247</v>
      </c>
      <c r="C791" t="s">
        <v>214</v>
      </c>
      <c r="D791">
        <v>91.234413146972656</v>
      </c>
    </row>
    <row r="792" spans="1:4">
      <c r="A792" t="s">
        <v>254</v>
      </c>
      <c r="B792" t="s">
        <v>247</v>
      </c>
      <c r="C792" t="s">
        <v>215</v>
      </c>
      <c r="D792">
        <v>350.98580932617188</v>
      </c>
    </row>
    <row r="793" spans="1:4">
      <c r="A793" t="s">
        <v>254</v>
      </c>
      <c r="B793" t="s">
        <v>247</v>
      </c>
      <c r="C793" t="s">
        <v>216</v>
      </c>
      <c r="D793">
        <v>19788.839411940429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D1D0-61A2-4A61-82A9-1057119DEEC1}">
  <dimension ref="A1:T34"/>
  <sheetViews>
    <sheetView workbookViewId="0"/>
  </sheetViews>
  <sheetFormatPr defaultColWidth="8.81640625" defaultRowHeight="15" customHeight="1"/>
  <cols>
    <col min="1" max="1" width="30.6328125" style="163" customWidth="1"/>
    <col min="2" max="7" width="11.6328125" style="163" customWidth="1"/>
    <col min="8" max="8" width="43.6328125" style="163" customWidth="1"/>
    <col min="9" max="256" width="8.81640625" style="163"/>
    <col min="257" max="257" width="30.6328125" style="163" customWidth="1"/>
    <col min="258" max="263" width="11.6328125" style="163" customWidth="1"/>
    <col min="264" max="264" width="43.6328125" style="163" customWidth="1"/>
    <col min="265" max="512" width="8.81640625" style="163"/>
    <col min="513" max="513" width="30.6328125" style="163" customWidth="1"/>
    <col min="514" max="519" width="11.6328125" style="163" customWidth="1"/>
    <col min="520" max="520" width="43.6328125" style="163" customWidth="1"/>
    <col min="521" max="768" width="8.81640625" style="163"/>
    <col min="769" max="769" width="30.6328125" style="163" customWidth="1"/>
    <col min="770" max="775" width="11.6328125" style="163" customWidth="1"/>
    <col min="776" max="776" width="43.6328125" style="163" customWidth="1"/>
    <col min="777" max="1024" width="8.81640625" style="163"/>
    <col min="1025" max="1025" width="30.6328125" style="163" customWidth="1"/>
    <col min="1026" max="1031" width="11.6328125" style="163" customWidth="1"/>
    <col min="1032" max="1032" width="43.6328125" style="163" customWidth="1"/>
    <col min="1033" max="1280" width="8.81640625" style="163"/>
    <col min="1281" max="1281" width="30.6328125" style="163" customWidth="1"/>
    <col min="1282" max="1287" width="11.6328125" style="163" customWidth="1"/>
    <col min="1288" max="1288" width="43.6328125" style="163" customWidth="1"/>
    <col min="1289" max="1536" width="8.81640625" style="163"/>
    <col min="1537" max="1537" width="30.6328125" style="163" customWidth="1"/>
    <col min="1538" max="1543" width="11.6328125" style="163" customWidth="1"/>
    <col min="1544" max="1544" width="43.6328125" style="163" customWidth="1"/>
    <col min="1545" max="1792" width="8.81640625" style="163"/>
    <col min="1793" max="1793" width="30.6328125" style="163" customWidth="1"/>
    <col min="1794" max="1799" width="11.6328125" style="163" customWidth="1"/>
    <col min="1800" max="1800" width="43.6328125" style="163" customWidth="1"/>
    <col min="1801" max="2048" width="8.81640625" style="163"/>
    <col min="2049" max="2049" width="30.6328125" style="163" customWidth="1"/>
    <col min="2050" max="2055" width="11.6328125" style="163" customWidth="1"/>
    <col min="2056" max="2056" width="43.6328125" style="163" customWidth="1"/>
    <col min="2057" max="2304" width="8.81640625" style="163"/>
    <col min="2305" max="2305" width="30.6328125" style="163" customWidth="1"/>
    <col min="2306" max="2311" width="11.6328125" style="163" customWidth="1"/>
    <col min="2312" max="2312" width="43.6328125" style="163" customWidth="1"/>
    <col min="2313" max="2560" width="8.81640625" style="163"/>
    <col min="2561" max="2561" width="30.6328125" style="163" customWidth="1"/>
    <col min="2562" max="2567" width="11.6328125" style="163" customWidth="1"/>
    <col min="2568" max="2568" width="43.6328125" style="163" customWidth="1"/>
    <col min="2569" max="2816" width="8.81640625" style="163"/>
    <col min="2817" max="2817" width="30.6328125" style="163" customWidth="1"/>
    <col min="2818" max="2823" width="11.6328125" style="163" customWidth="1"/>
    <col min="2824" max="2824" width="43.6328125" style="163" customWidth="1"/>
    <col min="2825" max="3072" width="8.81640625" style="163"/>
    <col min="3073" max="3073" width="30.6328125" style="163" customWidth="1"/>
    <col min="3074" max="3079" width="11.6328125" style="163" customWidth="1"/>
    <col min="3080" max="3080" width="43.6328125" style="163" customWidth="1"/>
    <col min="3081" max="3328" width="8.81640625" style="163"/>
    <col min="3329" max="3329" width="30.6328125" style="163" customWidth="1"/>
    <col min="3330" max="3335" width="11.6328125" style="163" customWidth="1"/>
    <col min="3336" max="3336" width="43.6328125" style="163" customWidth="1"/>
    <col min="3337" max="3584" width="8.81640625" style="163"/>
    <col min="3585" max="3585" width="30.6328125" style="163" customWidth="1"/>
    <col min="3586" max="3591" width="11.6328125" style="163" customWidth="1"/>
    <col min="3592" max="3592" width="43.6328125" style="163" customWidth="1"/>
    <col min="3593" max="3840" width="8.81640625" style="163"/>
    <col min="3841" max="3841" width="30.6328125" style="163" customWidth="1"/>
    <col min="3842" max="3847" width="11.6328125" style="163" customWidth="1"/>
    <col min="3848" max="3848" width="43.6328125" style="163" customWidth="1"/>
    <col min="3849" max="4096" width="8.81640625" style="163"/>
    <col min="4097" max="4097" width="30.6328125" style="163" customWidth="1"/>
    <col min="4098" max="4103" width="11.6328125" style="163" customWidth="1"/>
    <col min="4104" max="4104" width="43.6328125" style="163" customWidth="1"/>
    <col min="4105" max="4352" width="8.81640625" style="163"/>
    <col min="4353" max="4353" width="30.6328125" style="163" customWidth="1"/>
    <col min="4354" max="4359" width="11.6328125" style="163" customWidth="1"/>
    <col min="4360" max="4360" width="43.6328125" style="163" customWidth="1"/>
    <col min="4361" max="4608" width="8.81640625" style="163"/>
    <col min="4609" max="4609" width="30.6328125" style="163" customWidth="1"/>
    <col min="4610" max="4615" width="11.6328125" style="163" customWidth="1"/>
    <col min="4616" max="4616" width="43.6328125" style="163" customWidth="1"/>
    <col min="4617" max="4864" width="8.81640625" style="163"/>
    <col min="4865" max="4865" width="30.6328125" style="163" customWidth="1"/>
    <col min="4866" max="4871" width="11.6328125" style="163" customWidth="1"/>
    <col min="4872" max="4872" width="43.6328125" style="163" customWidth="1"/>
    <col min="4873" max="5120" width="8.81640625" style="163"/>
    <col min="5121" max="5121" width="30.6328125" style="163" customWidth="1"/>
    <col min="5122" max="5127" width="11.6328125" style="163" customWidth="1"/>
    <col min="5128" max="5128" width="43.6328125" style="163" customWidth="1"/>
    <col min="5129" max="5376" width="8.81640625" style="163"/>
    <col min="5377" max="5377" width="30.6328125" style="163" customWidth="1"/>
    <col min="5378" max="5383" width="11.6328125" style="163" customWidth="1"/>
    <col min="5384" max="5384" width="43.6328125" style="163" customWidth="1"/>
    <col min="5385" max="5632" width="8.81640625" style="163"/>
    <col min="5633" max="5633" width="30.6328125" style="163" customWidth="1"/>
    <col min="5634" max="5639" width="11.6328125" style="163" customWidth="1"/>
    <col min="5640" max="5640" width="43.6328125" style="163" customWidth="1"/>
    <col min="5641" max="5888" width="8.81640625" style="163"/>
    <col min="5889" max="5889" width="30.6328125" style="163" customWidth="1"/>
    <col min="5890" max="5895" width="11.6328125" style="163" customWidth="1"/>
    <col min="5896" max="5896" width="43.6328125" style="163" customWidth="1"/>
    <col min="5897" max="6144" width="8.81640625" style="163"/>
    <col min="6145" max="6145" width="30.6328125" style="163" customWidth="1"/>
    <col min="6146" max="6151" width="11.6328125" style="163" customWidth="1"/>
    <col min="6152" max="6152" width="43.6328125" style="163" customWidth="1"/>
    <col min="6153" max="6400" width="8.81640625" style="163"/>
    <col min="6401" max="6401" width="30.6328125" style="163" customWidth="1"/>
    <col min="6402" max="6407" width="11.6328125" style="163" customWidth="1"/>
    <col min="6408" max="6408" width="43.6328125" style="163" customWidth="1"/>
    <col min="6409" max="6656" width="8.81640625" style="163"/>
    <col min="6657" max="6657" width="30.6328125" style="163" customWidth="1"/>
    <col min="6658" max="6663" width="11.6328125" style="163" customWidth="1"/>
    <col min="6664" max="6664" width="43.6328125" style="163" customWidth="1"/>
    <col min="6665" max="6912" width="8.81640625" style="163"/>
    <col min="6913" max="6913" width="30.6328125" style="163" customWidth="1"/>
    <col min="6914" max="6919" width="11.6328125" style="163" customWidth="1"/>
    <col min="6920" max="6920" width="43.6328125" style="163" customWidth="1"/>
    <col min="6921" max="7168" width="8.81640625" style="163"/>
    <col min="7169" max="7169" width="30.6328125" style="163" customWidth="1"/>
    <col min="7170" max="7175" width="11.6328125" style="163" customWidth="1"/>
    <col min="7176" max="7176" width="43.6328125" style="163" customWidth="1"/>
    <col min="7177" max="7424" width="8.81640625" style="163"/>
    <col min="7425" max="7425" width="30.6328125" style="163" customWidth="1"/>
    <col min="7426" max="7431" width="11.6328125" style="163" customWidth="1"/>
    <col min="7432" max="7432" width="43.6328125" style="163" customWidth="1"/>
    <col min="7433" max="7680" width="8.81640625" style="163"/>
    <col min="7681" max="7681" width="30.6328125" style="163" customWidth="1"/>
    <col min="7682" max="7687" width="11.6328125" style="163" customWidth="1"/>
    <col min="7688" max="7688" width="43.6328125" style="163" customWidth="1"/>
    <col min="7689" max="7936" width="8.81640625" style="163"/>
    <col min="7937" max="7937" width="30.6328125" style="163" customWidth="1"/>
    <col min="7938" max="7943" width="11.6328125" style="163" customWidth="1"/>
    <col min="7944" max="7944" width="43.6328125" style="163" customWidth="1"/>
    <col min="7945" max="8192" width="8.81640625" style="163"/>
    <col min="8193" max="8193" width="30.6328125" style="163" customWidth="1"/>
    <col min="8194" max="8199" width="11.6328125" style="163" customWidth="1"/>
    <col min="8200" max="8200" width="43.6328125" style="163" customWidth="1"/>
    <col min="8201" max="8448" width="8.81640625" style="163"/>
    <col min="8449" max="8449" width="30.6328125" style="163" customWidth="1"/>
    <col min="8450" max="8455" width="11.6328125" style="163" customWidth="1"/>
    <col min="8456" max="8456" width="43.6328125" style="163" customWidth="1"/>
    <col min="8457" max="8704" width="8.81640625" style="163"/>
    <col min="8705" max="8705" width="30.6328125" style="163" customWidth="1"/>
    <col min="8706" max="8711" width="11.6328125" style="163" customWidth="1"/>
    <col min="8712" max="8712" width="43.6328125" style="163" customWidth="1"/>
    <col min="8713" max="8960" width="8.81640625" style="163"/>
    <col min="8961" max="8961" width="30.6328125" style="163" customWidth="1"/>
    <col min="8962" max="8967" width="11.6328125" style="163" customWidth="1"/>
    <col min="8968" max="8968" width="43.6328125" style="163" customWidth="1"/>
    <col min="8969" max="9216" width="8.81640625" style="163"/>
    <col min="9217" max="9217" width="30.6328125" style="163" customWidth="1"/>
    <col min="9218" max="9223" width="11.6328125" style="163" customWidth="1"/>
    <col min="9224" max="9224" width="43.6328125" style="163" customWidth="1"/>
    <col min="9225" max="9472" width="8.81640625" style="163"/>
    <col min="9473" max="9473" width="30.6328125" style="163" customWidth="1"/>
    <col min="9474" max="9479" width="11.6328125" style="163" customWidth="1"/>
    <col min="9480" max="9480" width="43.6328125" style="163" customWidth="1"/>
    <col min="9481" max="9728" width="8.81640625" style="163"/>
    <col min="9729" max="9729" width="30.6328125" style="163" customWidth="1"/>
    <col min="9730" max="9735" width="11.6328125" style="163" customWidth="1"/>
    <col min="9736" max="9736" width="43.6328125" style="163" customWidth="1"/>
    <col min="9737" max="9984" width="8.81640625" style="163"/>
    <col min="9985" max="9985" width="30.6328125" style="163" customWidth="1"/>
    <col min="9986" max="9991" width="11.6328125" style="163" customWidth="1"/>
    <col min="9992" max="9992" width="43.6328125" style="163" customWidth="1"/>
    <col min="9993" max="10240" width="8.81640625" style="163"/>
    <col min="10241" max="10241" width="30.6328125" style="163" customWidth="1"/>
    <col min="10242" max="10247" width="11.6328125" style="163" customWidth="1"/>
    <col min="10248" max="10248" width="43.6328125" style="163" customWidth="1"/>
    <col min="10249" max="10496" width="8.81640625" style="163"/>
    <col min="10497" max="10497" width="30.6328125" style="163" customWidth="1"/>
    <col min="10498" max="10503" width="11.6328125" style="163" customWidth="1"/>
    <col min="10504" max="10504" width="43.6328125" style="163" customWidth="1"/>
    <col min="10505" max="10752" width="8.81640625" style="163"/>
    <col min="10753" max="10753" width="30.6328125" style="163" customWidth="1"/>
    <col min="10754" max="10759" width="11.6328125" style="163" customWidth="1"/>
    <col min="10760" max="10760" width="43.6328125" style="163" customWidth="1"/>
    <col min="10761" max="11008" width="8.81640625" style="163"/>
    <col min="11009" max="11009" width="30.6328125" style="163" customWidth="1"/>
    <col min="11010" max="11015" width="11.6328125" style="163" customWidth="1"/>
    <col min="11016" max="11016" width="43.6328125" style="163" customWidth="1"/>
    <col min="11017" max="11264" width="8.81640625" style="163"/>
    <col min="11265" max="11265" width="30.6328125" style="163" customWidth="1"/>
    <col min="11266" max="11271" width="11.6328125" style="163" customWidth="1"/>
    <col min="11272" max="11272" width="43.6328125" style="163" customWidth="1"/>
    <col min="11273" max="11520" width="8.81640625" style="163"/>
    <col min="11521" max="11521" width="30.6328125" style="163" customWidth="1"/>
    <col min="11522" max="11527" width="11.6328125" style="163" customWidth="1"/>
    <col min="11528" max="11528" width="43.6328125" style="163" customWidth="1"/>
    <col min="11529" max="11776" width="8.81640625" style="163"/>
    <col min="11777" max="11777" width="30.6328125" style="163" customWidth="1"/>
    <col min="11778" max="11783" width="11.6328125" style="163" customWidth="1"/>
    <col min="11784" max="11784" width="43.6328125" style="163" customWidth="1"/>
    <col min="11785" max="12032" width="8.81640625" style="163"/>
    <col min="12033" max="12033" width="30.6328125" style="163" customWidth="1"/>
    <col min="12034" max="12039" width="11.6328125" style="163" customWidth="1"/>
    <col min="12040" max="12040" width="43.6328125" style="163" customWidth="1"/>
    <col min="12041" max="12288" width="8.81640625" style="163"/>
    <col min="12289" max="12289" width="30.6328125" style="163" customWidth="1"/>
    <col min="12290" max="12295" width="11.6328125" style="163" customWidth="1"/>
    <col min="12296" max="12296" width="43.6328125" style="163" customWidth="1"/>
    <col min="12297" max="12544" width="8.81640625" style="163"/>
    <col min="12545" max="12545" width="30.6328125" style="163" customWidth="1"/>
    <col min="12546" max="12551" width="11.6328125" style="163" customWidth="1"/>
    <col min="12552" max="12552" width="43.6328125" style="163" customWidth="1"/>
    <col min="12553" max="12800" width="8.81640625" style="163"/>
    <col min="12801" max="12801" width="30.6328125" style="163" customWidth="1"/>
    <col min="12802" max="12807" width="11.6328125" style="163" customWidth="1"/>
    <col min="12808" max="12808" width="43.6328125" style="163" customWidth="1"/>
    <col min="12809" max="13056" width="8.81640625" style="163"/>
    <col min="13057" max="13057" width="30.6328125" style="163" customWidth="1"/>
    <col min="13058" max="13063" width="11.6328125" style="163" customWidth="1"/>
    <col min="13064" max="13064" width="43.6328125" style="163" customWidth="1"/>
    <col min="13065" max="13312" width="8.81640625" style="163"/>
    <col min="13313" max="13313" width="30.6328125" style="163" customWidth="1"/>
    <col min="13314" max="13319" width="11.6328125" style="163" customWidth="1"/>
    <col min="13320" max="13320" width="43.6328125" style="163" customWidth="1"/>
    <col min="13321" max="13568" width="8.81640625" style="163"/>
    <col min="13569" max="13569" width="30.6328125" style="163" customWidth="1"/>
    <col min="13570" max="13575" width="11.6328125" style="163" customWidth="1"/>
    <col min="13576" max="13576" width="43.6328125" style="163" customWidth="1"/>
    <col min="13577" max="13824" width="8.81640625" style="163"/>
    <col min="13825" max="13825" width="30.6328125" style="163" customWidth="1"/>
    <col min="13826" max="13831" width="11.6328125" style="163" customWidth="1"/>
    <col min="13832" max="13832" width="43.6328125" style="163" customWidth="1"/>
    <col min="13833" max="14080" width="8.81640625" style="163"/>
    <col min="14081" max="14081" width="30.6328125" style="163" customWidth="1"/>
    <col min="14082" max="14087" width="11.6328125" style="163" customWidth="1"/>
    <col min="14088" max="14088" width="43.6328125" style="163" customWidth="1"/>
    <col min="14089" max="14336" width="8.81640625" style="163"/>
    <col min="14337" max="14337" width="30.6328125" style="163" customWidth="1"/>
    <col min="14338" max="14343" width="11.6328125" style="163" customWidth="1"/>
    <col min="14344" max="14344" width="43.6328125" style="163" customWidth="1"/>
    <col min="14345" max="14592" width="8.81640625" style="163"/>
    <col min="14593" max="14593" width="30.6328125" style="163" customWidth="1"/>
    <col min="14594" max="14599" width="11.6328125" style="163" customWidth="1"/>
    <col min="14600" max="14600" width="43.6328125" style="163" customWidth="1"/>
    <col min="14601" max="14848" width="8.81640625" style="163"/>
    <col min="14849" max="14849" width="30.6328125" style="163" customWidth="1"/>
    <col min="14850" max="14855" width="11.6328125" style="163" customWidth="1"/>
    <col min="14856" max="14856" width="43.6328125" style="163" customWidth="1"/>
    <col min="14857" max="15104" width="8.81640625" style="163"/>
    <col min="15105" max="15105" width="30.6328125" style="163" customWidth="1"/>
    <col min="15106" max="15111" width="11.6328125" style="163" customWidth="1"/>
    <col min="15112" max="15112" width="43.6328125" style="163" customWidth="1"/>
    <col min="15113" max="15360" width="8.81640625" style="163"/>
    <col min="15361" max="15361" width="30.6328125" style="163" customWidth="1"/>
    <col min="15362" max="15367" width="11.6328125" style="163" customWidth="1"/>
    <col min="15368" max="15368" width="43.6328125" style="163" customWidth="1"/>
    <col min="15369" max="15616" width="8.81640625" style="163"/>
    <col min="15617" max="15617" width="30.6328125" style="163" customWidth="1"/>
    <col min="15618" max="15623" width="11.6328125" style="163" customWidth="1"/>
    <col min="15624" max="15624" width="43.6328125" style="163" customWidth="1"/>
    <col min="15625" max="15872" width="8.81640625" style="163"/>
    <col min="15873" max="15873" width="30.6328125" style="163" customWidth="1"/>
    <col min="15874" max="15879" width="11.6328125" style="163" customWidth="1"/>
    <col min="15880" max="15880" width="43.6328125" style="163" customWidth="1"/>
    <col min="15881" max="16128" width="8.81640625" style="163"/>
    <col min="16129" max="16129" width="30.6328125" style="163" customWidth="1"/>
    <col min="16130" max="16135" width="11.6328125" style="163" customWidth="1"/>
    <col min="16136" max="16136" width="43.6328125" style="163" customWidth="1"/>
    <col min="16137" max="16384" width="8.81640625" style="163"/>
  </cols>
  <sheetData>
    <row r="1" spans="1:20" ht="40" customHeight="1"/>
    <row r="2" spans="1:20" s="165" customFormat="1" ht="15" customHeight="1">
      <c r="A2" s="164" t="s">
        <v>308</v>
      </c>
      <c r="B2" s="164"/>
      <c r="C2" s="164"/>
      <c r="D2" s="164"/>
      <c r="E2" s="164"/>
      <c r="F2" s="164"/>
      <c r="G2" s="164"/>
      <c r="H2" s="164"/>
    </row>
    <row r="3" spans="1:20" s="165" customFormat="1" ht="15" customHeight="1">
      <c r="A3" s="166" t="s">
        <v>309</v>
      </c>
      <c r="B3" s="167"/>
      <c r="C3" s="167"/>
      <c r="D3" s="167"/>
      <c r="E3" s="167"/>
      <c r="F3" s="167"/>
      <c r="G3" s="167"/>
      <c r="H3" s="167"/>
    </row>
    <row r="4" spans="1:20" s="165" customFormat="1" ht="15" customHeight="1">
      <c r="A4" s="166">
        <v>2019</v>
      </c>
      <c r="B4" s="167"/>
      <c r="C4" s="167"/>
      <c r="D4" s="167"/>
      <c r="E4" s="167"/>
      <c r="F4" s="167"/>
      <c r="G4" s="167"/>
      <c r="H4" s="167"/>
    </row>
    <row r="5" spans="1:20" ht="15" customHeight="1">
      <c r="A5" s="168"/>
      <c r="B5" s="169"/>
      <c r="C5" s="169"/>
      <c r="D5" s="169"/>
      <c r="E5" s="169"/>
      <c r="F5" s="169"/>
      <c r="G5" s="169"/>
      <c r="H5" s="170"/>
    </row>
    <row r="6" spans="1:20" s="173" customFormat="1" ht="15" customHeight="1">
      <c r="A6" s="171" t="s">
        <v>310</v>
      </c>
      <c r="B6" s="172"/>
      <c r="C6" s="172"/>
      <c r="D6" s="172"/>
      <c r="E6" s="172"/>
      <c r="F6" s="172"/>
      <c r="G6" s="172"/>
      <c r="H6" s="170" t="s">
        <v>311</v>
      </c>
    </row>
    <row r="7" spans="1:20" ht="15" customHeight="1">
      <c r="A7" s="295" t="s">
        <v>312</v>
      </c>
      <c r="B7" s="174" t="s">
        <v>313</v>
      </c>
      <c r="C7" s="174"/>
      <c r="D7" s="174"/>
      <c r="E7" s="296" t="s">
        <v>314</v>
      </c>
      <c r="F7" s="296" t="s">
        <v>315</v>
      </c>
      <c r="G7" s="296" t="s">
        <v>316</v>
      </c>
      <c r="H7" s="298" t="s">
        <v>317</v>
      </c>
      <c r="L7" s="176"/>
    </row>
    <row r="8" spans="1:20" ht="33">
      <c r="A8" s="295"/>
      <c r="B8" s="177" t="s">
        <v>318</v>
      </c>
      <c r="C8" s="177" t="s">
        <v>319</v>
      </c>
      <c r="D8" s="175" t="s">
        <v>320</v>
      </c>
      <c r="E8" s="297"/>
      <c r="F8" s="297"/>
      <c r="G8" s="296"/>
      <c r="H8" s="298"/>
      <c r="L8" s="176"/>
    </row>
    <row r="9" spans="1:20" ht="15" customHeight="1">
      <c r="A9" s="178" t="s">
        <v>321</v>
      </c>
      <c r="B9" s="179">
        <v>58935.912712657926</v>
      </c>
      <c r="C9" s="179">
        <v>19855.355945173978</v>
      </c>
      <c r="D9" s="179">
        <v>23735.481786707678</v>
      </c>
      <c r="E9" s="179">
        <v>12799.029696972033</v>
      </c>
      <c r="F9" s="179">
        <v>2479.4410000000048</v>
      </c>
      <c r="G9" s="179">
        <v>10313.415112813575</v>
      </c>
      <c r="H9" s="180" t="s">
        <v>322</v>
      </c>
      <c r="I9" s="181" t="s">
        <v>46</v>
      </c>
      <c r="J9" s="181"/>
      <c r="K9" s="181"/>
      <c r="L9" s="182"/>
      <c r="M9" s="181"/>
      <c r="O9" s="181"/>
      <c r="P9" s="181"/>
      <c r="Q9" s="181"/>
      <c r="R9" s="181"/>
      <c r="S9" s="181"/>
      <c r="T9" s="181"/>
    </row>
    <row r="10" spans="1:20" ht="15" customHeight="1">
      <c r="A10" s="183" t="s">
        <v>323</v>
      </c>
      <c r="B10" s="179">
        <v>531.20552787084364</v>
      </c>
      <c r="C10" s="179">
        <v>607.25394630903247</v>
      </c>
      <c r="D10" s="179">
        <v>599.70345424860977</v>
      </c>
      <c r="E10" s="179">
        <v>599.98135793904487</v>
      </c>
      <c r="F10" s="179">
        <v>129.44800000000001</v>
      </c>
      <c r="G10" s="179">
        <v>326.79999843051354</v>
      </c>
      <c r="H10" s="180" t="s">
        <v>324</v>
      </c>
      <c r="I10" s="181" t="s">
        <v>47</v>
      </c>
      <c r="J10" s="181"/>
      <c r="K10" s="181"/>
      <c r="L10" s="182"/>
      <c r="M10" s="181"/>
      <c r="O10" s="181"/>
      <c r="P10" s="181"/>
      <c r="Q10" s="181"/>
      <c r="R10" s="181"/>
      <c r="S10" s="181"/>
      <c r="T10" s="181"/>
    </row>
    <row r="11" spans="1:20" ht="15" customHeight="1">
      <c r="A11" s="183" t="s">
        <v>325</v>
      </c>
      <c r="B11" s="179">
        <v>38.999629668534638</v>
      </c>
      <c r="C11" s="179" t="s">
        <v>45</v>
      </c>
      <c r="D11" s="179">
        <v>3.8720909680854558</v>
      </c>
      <c r="E11" s="179" t="s">
        <v>45</v>
      </c>
      <c r="F11" s="179" t="s">
        <v>45</v>
      </c>
      <c r="G11" s="179">
        <v>1.2405190379554656</v>
      </c>
      <c r="H11" s="180" t="s">
        <v>326</v>
      </c>
      <c r="I11" s="181" t="s">
        <v>48</v>
      </c>
      <c r="J11" s="181"/>
      <c r="K11" s="181"/>
      <c r="L11" s="184"/>
      <c r="M11" s="181"/>
      <c r="O11" s="181"/>
      <c r="P11" s="181"/>
      <c r="Q11" s="181"/>
      <c r="R11" s="181"/>
      <c r="S11" s="181"/>
      <c r="T11" s="181"/>
    </row>
    <row r="12" spans="1:20" ht="15" customHeight="1">
      <c r="A12" s="183" t="s">
        <v>327</v>
      </c>
      <c r="B12" s="185">
        <f>SUM(B9:B11)</f>
        <v>59506.117870197304</v>
      </c>
      <c r="C12" s="185">
        <f>SUM(C9:C11)</f>
        <v>20462.609891483011</v>
      </c>
      <c r="D12" s="185">
        <f t="shared" ref="D12:F12" si="0">SUM(D9:D11)</f>
        <v>24339.057331924374</v>
      </c>
      <c r="E12" s="185">
        <f t="shared" si="0"/>
        <v>13399.011054911078</v>
      </c>
      <c r="F12" s="185">
        <f t="shared" si="0"/>
        <v>2608.8890000000047</v>
      </c>
      <c r="G12" s="185">
        <f>SUM(G9:G11)</f>
        <v>10641.455630282044</v>
      </c>
      <c r="H12" s="180" t="s">
        <v>328</v>
      </c>
      <c r="I12" s="181" t="s">
        <v>373</v>
      </c>
      <c r="J12" s="181"/>
      <c r="K12" s="181"/>
      <c r="L12" s="182"/>
      <c r="M12" s="181"/>
      <c r="O12" s="181"/>
      <c r="P12" s="181"/>
      <c r="Q12" s="181"/>
      <c r="R12" s="181"/>
      <c r="S12" s="181"/>
      <c r="T12" s="181"/>
    </row>
    <row r="13" spans="1:20" ht="15" customHeight="1">
      <c r="A13" s="183" t="s">
        <v>329</v>
      </c>
      <c r="B13" s="186">
        <f>SUM(B14:B23)</f>
        <v>275008.59929372801</v>
      </c>
      <c r="C13" s="186">
        <f t="shared" ref="C13:G13" si="1">SUM(C14:C23)</f>
        <v>144003.49509928786</v>
      </c>
      <c r="D13" s="186">
        <f t="shared" si="1"/>
        <v>157010.37965269815</v>
      </c>
      <c r="E13" s="186">
        <f t="shared" si="1"/>
        <v>50402.620872378357</v>
      </c>
      <c r="F13" s="186">
        <f t="shared" si="1"/>
        <v>7938.6577083333332</v>
      </c>
      <c r="G13" s="186">
        <f t="shared" si="1"/>
        <v>59911.411801134389</v>
      </c>
      <c r="H13" s="180" t="s">
        <v>330</v>
      </c>
      <c r="I13" s="181" t="s">
        <v>50</v>
      </c>
      <c r="J13" s="181"/>
      <c r="K13" s="181"/>
      <c r="L13" s="182"/>
      <c r="M13" s="181"/>
      <c r="O13" s="181"/>
      <c r="P13" s="181"/>
      <c r="Q13" s="181"/>
      <c r="R13" s="181"/>
      <c r="S13" s="181"/>
      <c r="T13" s="181"/>
    </row>
    <row r="14" spans="1:20" ht="15" customHeight="1">
      <c r="A14" s="187" t="s">
        <v>331</v>
      </c>
      <c r="B14" s="186">
        <v>31097.252655441313</v>
      </c>
      <c r="C14" s="185">
        <v>9725.1092395580708</v>
      </c>
      <c r="D14" s="185">
        <v>11847.049478289007</v>
      </c>
      <c r="E14" s="185">
        <v>1940.6131621764785</v>
      </c>
      <c r="F14" s="185">
        <v>422.57900000000006</v>
      </c>
      <c r="G14" s="185">
        <v>4233.3321694594815</v>
      </c>
      <c r="H14" s="188" t="s">
        <v>332</v>
      </c>
      <c r="I14" s="294" t="s">
        <v>374</v>
      </c>
      <c r="J14" s="181"/>
      <c r="K14" s="181"/>
      <c r="L14" s="182"/>
      <c r="M14" s="181"/>
      <c r="O14" s="181"/>
      <c r="P14" s="181"/>
      <c r="Q14" s="181"/>
      <c r="R14" s="181"/>
      <c r="S14" s="181"/>
      <c r="T14" s="181"/>
    </row>
    <row r="15" spans="1:20" ht="15" customHeight="1">
      <c r="A15" s="187" t="s">
        <v>333</v>
      </c>
      <c r="B15" s="186">
        <v>29925.529968431107</v>
      </c>
      <c r="C15" s="185">
        <v>54001.20661638672</v>
      </c>
      <c r="D15" s="185">
        <v>51610.845197793336</v>
      </c>
      <c r="E15" s="185">
        <v>22572.640561595803</v>
      </c>
      <c r="F15" s="185">
        <v>1828.9322916666667</v>
      </c>
      <c r="G15" s="185">
        <v>19836.322072537718</v>
      </c>
      <c r="H15" s="188" t="s">
        <v>334</v>
      </c>
      <c r="I15" s="294"/>
      <c r="J15" s="181"/>
      <c r="K15" s="181"/>
      <c r="L15" s="182"/>
      <c r="M15" s="181"/>
      <c r="O15" s="181"/>
      <c r="P15" s="181"/>
      <c r="Q15" s="181"/>
      <c r="R15" s="181"/>
      <c r="S15" s="181"/>
      <c r="T15" s="181"/>
    </row>
    <row r="16" spans="1:20" ht="15" customHeight="1">
      <c r="A16" s="187" t="s">
        <v>335</v>
      </c>
      <c r="B16" s="186">
        <v>40017.127528355406</v>
      </c>
      <c r="C16" s="185">
        <v>4515.6569313959899</v>
      </c>
      <c r="D16" s="185">
        <v>8040.4320336361598</v>
      </c>
      <c r="E16" s="185">
        <v>803.44536856736477</v>
      </c>
      <c r="F16" s="185">
        <v>156.53004166666665</v>
      </c>
      <c r="G16" s="185">
        <v>2746.528576550249</v>
      </c>
      <c r="H16" s="188" t="s">
        <v>336</v>
      </c>
      <c r="I16" s="294"/>
      <c r="J16" s="181"/>
      <c r="K16" s="181"/>
      <c r="L16" s="182"/>
      <c r="M16" s="181"/>
      <c r="O16" s="181"/>
      <c r="P16" s="181"/>
      <c r="Q16" s="181"/>
      <c r="R16" s="181"/>
      <c r="S16" s="181"/>
      <c r="T16" s="181"/>
    </row>
    <row r="17" spans="1:20" ht="15" customHeight="1">
      <c r="A17" s="187" t="s">
        <v>337</v>
      </c>
      <c r="B17" s="186">
        <v>4332.502580579976</v>
      </c>
      <c r="C17" s="185">
        <v>1783.2854617234077</v>
      </c>
      <c r="D17" s="185">
        <v>2036.3853158888751</v>
      </c>
      <c r="E17" s="185">
        <v>287.65170412354399</v>
      </c>
      <c r="F17" s="185">
        <v>32.464833333333331</v>
      </c>
      <c r="G17" s="185">
        <v>699.79366304215603</v>
      </c>
      <c r="H17" s="188" t="s">
        <v>338</v>
      </c>
      <c r="I17" s="294"/>
      <c r="J17" s="181"/>
      <c r="K17" s="181"/>
      <c r="L17" s="182"/>
      <c r="M17" s="181"/>
      <c r="O17" s="181"/>
      <c r="P17" s="181"/>
      <c r="Q17" s="181"/>
      <c r="R17" s="181"/>
      <c r="S17" s="181"/>
      <c r="T17" s="181"/>
    </row>
    <row r="18" spans="1:20" ht="15" customHeight="1">
      <c r="A18" s="189" t="s">
        <v>339</v>
      </c>
      <c r="B18" s="186">
        <v>47933.11741233481</v>
      </c>
      <c r="C18" s="185">
        <v>16948.45026100384</v>
      </c>
      <c r="D18" s="185">
        <v>20024.773058053383</v>
      </c>
      <c r="E18" s="185">
        <v>6532.8426737018508</v>
      </c>
      <c r="F18" s="185">
        <v>608.47133333333329</v>
      </c>
      <c r="G18" s="185">
        <v>7416.8733152982077</v>
      </c>
      <c r="H18" s="188" t="s">
        <v>340</v>
      </c>
      <c r="I18" s="294"/>
      <c r="J18" s="181"/>
      <c r="K18" s="181"/>
      <c r="L18" s="182"/>
      <c r="M18" s="181"/>
      <c r="O18" s="181"/>
      <c r="P18" s="181"/>
      <c r="Q18" s="181"/>
      <c r="R18" s="181"/>
      <c r="S18" s="181"/>
      <c r="T18" s="181"/>
    </row>
    <row r="19" spans="1:20" ht="15" customHeight="1">
      <c r="A19" s="187" t="s">
        <v>341</v>
      </c>
      <c r="B19" s="186">
        <v>24485.052712185203</v>
      </c>
      <c r="C19" s="185">
        <v>9872.519114692328</v>
      </c>
      <c r="D19" s="185">
        <v>11323.329285060374</v>
      </c>
      <c r="E19" s="185">
        <v>5572.3896918736518</v>
      </c>
      <c r="F19" s="185">
        <v>841.81583333333333</v>
      </c>
      <c r="G19" s="185">
        <v>4669.2713963625383</v>
      </c>
      <c r="H19" s="188" t="s">
        <v>342</v>
      </c>
      <c r="I19" s="294"/>
      <c r="J19" s="181"/>
      <c r="K19" s="181"/>
      <c r="L19" s="190"/>
      <c r="M19" s="181"/>
      <c r="O19" s="181"/>
      <c r="P19" s="181"/>
      <c r="Q19" s="181"/>
      <c r="R19" s="181"/>
      <c r="S19" s="181"/>
      <c r="T19" s="181"/>
    </row>
    <row r="20" spans="1:20" ht="15" customHeight="1">
      <c r="A20" s="187" t="s">
        <v>343</v>
      </c>
      <c r="B20" s="186">
        <v>17890.075297596512</v>
      </c>
      <c r="C20" s="185">
        <v>5300.6120715940506</v>
      </c>
      <c r="D20" s="185">
        <v>6550.5610394371533</v>
      </c>
      <c r="E20" s="185">
        <v>538.2746264735174</v>
      </c>
      <c r="F20" s="185">
        <v>23.83891666666667</v>
      </c>
      <c r="G20" s="185">
        <v>2165.8848532013867</v>
      </c>
      <c r="H20" s="188" t="s">
        <v>344</v>
      </c>
      <c r="I20" s="294"/>
      <c r="J20" s="181"/>
      <c r="K20" s="181"/>
      <c r="L20" s="190"/>
      <c r="M20" s="181"/>
      <c r="O20" s="181"/>
      <c r="P20" s="181"/>
      <c r="Q20" s="181"/>
      <c r="R20" s="181"/>
      <c r="S20" s="181"/>
      <c r="T20" s="181"/>
    </row>
    <row r="21" spans="1:20" ht="15" customHeight="1">
      <c r="A21" s="187" t="s">
        <v>345</v>
      </c>
      <c r="B21" s="186">
        <v>24380.359215226006</v>
      </c>
      <c r="C21" s="185">
        <v>18758.695154010282</v>
      </c>
      <c r="D21" s="185">
        <v>19316.843906243343</v>
      </c>
      <c r="E21" s="179">
        <v>72.842695798126584</v>
      </c>
      <c r="F21" s="179" t="s">
        <v>45</v>
      </c>
      <c r="G21" s="185">
        <v>6195.8520269401715</v>
      </c>
      <c r="H21" s="188" t="s">
        <v>103</v>
      </c>
      <c r="I21" s="294"/>
      <c r="J21" s="181"/>
      <c r="K21" s="181"/>
      <c r="L21" s="190"/>
      <c r="M21" s="181"/>
      <c r="O21" s="181"/>
      <c r="P21" s="181"/>
      <c r="Q21" s="181"/>
      <c r="R21" s="181"/>
      <c r="S21" s="181"/>
      <c r="T21" s="181"/>
    </row>
    <row r="22" spans="1:20" ht="15" customHeight="1">
      <c r="A22" s="187" t="s">
        <v>346</v>
      </c>
      <c r="B22" s="186">
        <v>22212.277391626827</v>
      </c>
      <c r="C22" s="185">
        <v>11137.50666268026</v>
      </c>
      <c r="D22" s="185">
        <v>12237.068891286992</v>
      </c>
      <c r="E22" s="185">
        <v>7502.6433121890186</v>
      </c>
      <c r="F22" s="185">
        <v>3308.3195000000001</v>
      </c>
      <c r="G22" s="185">
        <v>6585.0934533950403</v>
      </c>
      <c r="H22" s="188" t="s">
        <v>347</v>
      </c>
      <c r="I22" s="294"/>
      <c r="J22" s="181"/>
      <c r="K22" s="181"/>
      <c r="L22" s="190"/>
      <c r="M22" s="181"/>
      <c r="O22" s="181"/>
      <c r="P22" s="181"/>
      <c r="Q22" s="181"/>
      <c r="R22" s="181"/>
      <c r="S22" s="181"/>
      <c r="T22" s="181"/>
    </row>
    <row r="23" spans="1:20" ht="15" customHeight="1">
      <c r="A23" s="187" t="s">
        <v>348</v>
      </c>
      <c r="B23" s="186">
        <v>32735.304531950864</v>
      </c>
      <c r="C23" s="185">
        <v>11960.453586242897</v>
      </c>
      <c r="D23" s="185">
        <v>14023.091447009536</v>
      </c>
      <c r="E23" s="185">
        <v>4579.2770758789929</v>
      </c>
      <c r="F23" s="185">
        <v>715.70595833333334</v>
      </c>
      <c r="G23" s="185">
        <v>5362.4602743474379</v>
      </c>
      <c r="H23" s="188" t="s">
        <v>349</v>
      </c>
      <c r="I23" s="294"/>
      <c r="J23" s="181"/>
      <c r="K23" s="181"/>
      <c r="L23" s="190"/>
      <c r="M23" s="181"/>
      <c r="O23" s="181"/>
      <c r="P23" s="181"/>
      <c r="Q23" s="181"/>
      <c r="R23" s="181"/>
      <c r="S23" s="181"/>
      <c r="T23" s="181"/>
    </row>
    <row r="24" spans="1:20" ht="15" customHeight="1">
      <c r="A24" s="183" t="s">
        <v>350</v>
      </c>
      <c r="B24" s="186">
        <f>B25</f>
        <v>129860.50830585102</v>
      </c>
      <c r="C24" s="186">
        <f t="shared" ref="C24:G24" si="2">C25</f>
        <v>23741.778434406049</v>
      </c>
      <c r="D24" s="186">
        <f t="shared" si="2"/>
        <v>34277.811185800158</v>
      </c>
      <c r="E24" s="186">
        <f t="shared" si="2"/>
        <v>10088.871519196911</v>
      </c>
      <c r="F24" s="186">
        <f t="shared" si="2"/>
        <v>3812.1</v>
      </c>
      <c r="G24" s="186">
        <f t="shared" si="2"/>
        <v>14195.421548386652</v>
      </c>
      <c r="H24" s="180" t="s">
        <v>351</v>
      </c>
      <c r="I24" s="181" t="s">
        <v>375</v>
      </c>
      <c r="J24" s="181"/>
      <c r="K24" s="181"/>
      <c r="L24" s="190"/>
      <c r="M24" s="181"/>
      <c r="O24" s="181"/>
      <c r="P24" s="181"/>
      <c r="Q24" s="181"/>
      <c r="R24" s="181"/>
      <c r="S24" s="181"/>
      <c r="T24" s="181"/>
    </row>
    <row r="25" spans="1:20" ht="15" customHeight="1">
      <c r="A25" s="187" t="s">
        <v>352</v>
      </c>
      <c r="B25" s="186">
        <v>129860.50830585102</v>
      </c>
      <c r="C25" s="185">
        <v>23741.778434406049</v>
      </c>
      <c r="D25" s="185">
        <v>34277.811185800158</v>
      </c>
      <c r="E25" s="185">
        <v>10088.871519196911</v>
      </c>
      <c r="F25" s="185">
        <v>3812.1</v>
      </c>
      <c r="G25" s="185">
        <v>14195.421548386652</v>
      </c>
      <c r="H25" s="188" t="s">
        <v>353</v>
      </c>
      <c r="I25" s="181"/>
      <c r="J25" s="181"/>
      <c r="K25" s="181"/>
      <c r="L25" s="190"/>
      <c r="M25" s="181"/>
      <c r="O25" s="181"/>
      <c r="P25" s="181"/>
      <c r="Q25" s="181"/>
      <c r="R25" s="181"/>
      <c r="S25" s="181"/>
      <c r="T25" s="181"/>
    </row>
    <row r="26" spans="1:20" ht="15" customHeight="1">
      <c r="A26" s="183" t="s">
        <v>354</v>
      </c>
      <c r="B26" s="185">
        <f>B13+B24</f>
        <v>404869.10759957903</v>
      </c>
      <c r="C26" s="185">
        <f t="shared" ref="C26:G26" si="3">C13+C24</f>
        <v>167745.27353369392</v>
      </c>
      <c r="D26" s="185">
        <f t="shared" si="3"/>
        <v>191288.1908384983</v>
      </c>
      <c r="E26" s="185">
        <f t="shared" si="3"/>
        <v>60491.492391575266</v>
      </c>
      <c r="F26" s="185">
        <f t="shared" si="3"/>
        <v>11750.757708333333</v>
      </c>
      <c r="G26" s="185">
        <f t="shared" si="3"/>
        <v>74106.833349521039</v>
      </c>
      <c r="H26" s="180" t="s">
        <v>355</v>
      </c>
      <c r="I26" s="181" t="s">
        <v>376</v>
      </c>
      <c r="J26" s="181"/>
      <c r="K26" s="181" t="s">
        <v>377</v>
      </c>
      <c r="L26" s="190"/>
      <c r="M26" s="181"/>
      <c r="O26" s="181"/>
      <c r="P26" s="181"/>
      <c r="Q26" s="181"/>
      <c r="R26" s="181"/>
      <c r="S26" s="181"/>
      <c r="T26" s="181"/>
    </row>
    <row r="27" spans="1:20" ht="15" customHeight="1">
      <c r="A27" s="183" t="s">
        <v>356</v>
      </c>
      <c r="B27" s="179">
        <f>B12+B26</f>
        <v>464375.22546977631</v>
      </c>
      <c r="C27" s="179">
        <f t="shared" ref="C27:G27" si="4">C12+C26</f>
        <v>188207.88342517693</v>
      </c>
      <c r="D27" s="179">
        <f t="shared" si="4"/>
        <v>215627.24817042268</v>
      </c>
      <c r="E27" s="179">
        <f t="shared" si="4"/>
        <v>73890.503446486342</v>
      </c>
      <c r="F27" s="179">
        <f t="shared" si="4"/>
        <v>14359.646708333337</v>
      </c>
      <c r="G27" s="179">
        <f t="shared" si="4"/>
        <v>84748.288979803081</v>
      </c>
      <c r="H27" s="188" t="s">
        <v>357</v>
      </c>
      <c r="I27" s="181" t="s">
        <v>378</v>
      </c>
      <c r="J27" s="181"/>
      <c r="K27" s="181"/>
      <c r="L27" s="190"/>
      <c r="M27" s="181"/>
      <c r="O27" s="181"/>
      <c r="P27" s="181"/>
      <c r="Q27" s="181"/>
      <c r="R27" s="181"/>
      <c r="S27" s="181"/>
      <c r="T27" s="181"/>
    </row>
    <row r="28" spans="1:20" ht="15" customHeight="1">
      <c r="A28" s="183" t="s">
        <v>358</v>
      </c>
      <c r="B28" s="185">
        <v>7322.0985361420253</v>
      </c>
      <c r="C28" s="185">
        <v>17603.612181260429</v>
      </c>
      <c r="D28" s="185">
        <v>16582.808741282373</v>
      </c>
      <c r="E28" s="185">
        <v>34286.122640906055</v>
      </c>
      <c r="F28" s="185">
        <v>9922.3958333333339</v>
      </c>
      <c r="G28" s="185">
        <v>14473.997086068683</v>
      </c>
      <c r="H28" s="191" t="s">
        <v>359</v>
      </c>
      <c r="I28" s="181"/>
      <c r="J28" s="181"/>
      <c r="K28" s="181"/>
      <c r="L28" s="181"/>
      <c r="M28" s="181"/>
      <c r="O28" s="181"/>
      <c r="P28" s="181"/>
      <c r="Q28" s="181"/>
      <c r="R28" s="181"/>
      <c r="S28" s="181"/>
      <c r="T28" s="181"/>
    </row>
    <row r="29" spans="1:20" ht="15" customHeight="1">
      <c r="A29" s="183" t="s">
        <v>360</v>
      </c>
      <c r="B29" s="185">
        <f>B27-B11-B24+B28</f>
        <v>341797.81607039878</v>
      </c>
      <c r="C29" s="185">
        <f>C27-C24+C28</f>
        <v>182069.71717203129</v>
      </c>
      <c r="D29" s="185">
        <f t="shared" ref="D29" si="5">D27-D11-D24+D28</f>
        <v>197928.37363493681</v>
      </c>
      <c r="E29" s="185">
        <f t="shared" ref="E29:F29" si="6">E27-E24+E28</f>
        <v>98087.754568195494</v>
      </c>
      <c r="F29" s="185">
        <f t="shared" si="6"/>
        <v>20469.942541666671</v>
      </c>
      <c r="G29" s="185">
        <f>G27-G11-G24+G28</f>
        <v>85025.623998447161</v>
      </c>
      <c r="H29" s="191" t="s">
        <v>361</v>
      </c>
      <c r="I29" s="181"/>
      <c r="J29" s="181"/>
      <c r="K29" s="181"/>
      <c r="L29" s="181"/>
      <c r="M29" s="181"/>
      <c r="O29" s="181"/>
      <c r="P29" s="181"/>
      <c r="Q29" s="181"/>
      <c r="R29" s="181"/>
      <c r="S29" s="181"/>
      <c r="T29" s="181"/>
    </row>
    <row r="30" spans="1:20" s="196" customFormat="1" ht="20" customHeight="1">
      <c r="A30" s="192" t="s">
        <v>362</v>
      </c>
      <c r="B30" s="193">
        <f>B12+B13+B24+B28</f>
        <v>471697.32400591834</v>
      </c>
      <c r="C30" s="193">
        <f t="shared" ref="C30:F30" si="7">C12+C13+C24+C28</f>
        <v>205811.49560643733</v>
      </c>
      <c r="D30" s="193">
        <f t="shared" si="7"/>
        <v>232210.05691170506</v>
      </c>
      <c r="E30" s="193">
        <f t="shared" si="7"/>
        <v>108176.62608739239</v>
      </c>
      <c r="F30" s="193">
        <f t="shared" si="7"/>
        <v>24282.042541666673</v>
      </c>
      <c r="G30" s="193">
        <f>G12+G13+G24+G28</f>
        <v>99222.286065871784</v>
      </c>
      <c r="H30" s="194" t="s">
        <v>363</v>
      </c>
      <c r="I30" s="195"/>
      <c r="J30" s="195"/>
      <c r="K30" s="195"/>
      <c r="L30" s="195"/>
      <c r="M30" s="195"/>
      <c r="O30" s="195"/>
      <c r="P30" s="195"/>
      <c r="Q30" s="195"/>
      <c r="R30" s="195"/>
      <c r="S30" s="195"/>
      <c r="T30" s="195"/>
    </row>
    <row r="31" spans="1:20" s="196" customFormat="1" ht="10" customHeight="1">
      <c r="A31" s="197"/>
      <c r="B31" s="198"/>
      <c r="C31" s="198"/>
      <c r="D31" s="198"/>
      <c r="E31" s="198"/>
      <c r="F31" s="198"/>
      <c r="G31" s="198"/>
      <c r="H31" s="199"/>
      <c r="I31" s="195"/>
      <c r="J31" s="195"/>
      <c r="K31" s="195"/>
      <c r="L31" s="195"/>
      <c r="M31" s="195"/>
      <c r="O31" s="195"/>
      <c r="P31" s="195"/>
      <c r="Q31" s="195"/>
      <c r="R31" s="195"/>
      <c r="S31" s="195"/>
      <c r="T31" s="195"/>
    </row>
    <row r="32" spans="1:20" s="196" customFormat="1" ht="13" customHeight="1">
      <c r="A32" s="178" t="s">
        <v>364</v>
      </c>
      <c r="B32" s="198"/>
      <c r="C32" s="198"/>
      <c r="D32" s="198"/>
      <c r="E32" s="198"/>
      <c r="F32" s="198"/>
      <c r="G32" s="198"/>
      <c r="H32" s="200" t="s">
        <v>365</v>
      </c>
      <c r="I32" s="195"/>
      <c r="J32" s="195"/>
      <c r="K32" s="195"/>
      <c r="L32" s="195"/>
      <c r="M32" s="195"/>
      <c r="O32" s="195"/>
      <c r="P32" s="195"/>
      <c r="Q32" s="195"/>
      <c r="R32" s="195"/>
      <c r="S32" s="195"/>
      <c r="T32" s="195"/>
    </row>
    <row r="33" spans="2:7" ht="13" customHeight="1"/>
    <row r="34" spans="2:7" ht="15" customHeight="1">
      <c r="B34" s="201">
        <f>B28/B30</f>
        <v>1.552287486805873E-2</v>
      </c>
      <c r="C34" s="201">
        <f t="shared" ref="C34:G34" si="8">C28/C30</f>
        <v>8.5532696457941815E-2</v>
      </c>
      <c r="D34" s="201">
        <f t="shared" si="8"/>
        <v>7.1412965320394275E-2</v>
      </c>
      <c r="E34" s="201">
        <f t="shared" si="8"/>
        <v>0.31694575696239047</v>
      </c>
      <c r="F34" s="201">
        <f t="shared" si="8"/>
        <v>0.40863102089978792</v>
      </c>
      <c r="G34" s="201">
        <f t="shared" si="8"/>
        <v>0.14587445683784864</v>
      </c>
    </row>
  </sheetData>
  <mergeCells count="6">
    <mergeCell ref="I14:I23"/>
    <mergeCell ref="A7:A8"/>
    <mergeCell ref="E7:E8"/>
    <mergeCell ref="F7:F8"/>
    <mergeCell ref="G7:G8"/>
    <mergeCell ref="H7:H8"/>
  </mergeCells>
  <printOptions horizontalCentered="1"/>
  <pageMargins left="0" right="0" top="0.5" bottom="0.5" header="0" footer="0"/>
  <pageSetup paperSize="9" scale="99" orientation="landscape" horizontalDpi="4294967295" verticalDpi="300" r:id="rId1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7466-B35F-4F39-BCF0-DFB79F61171A}">
  <dimension ref="A1:T105"/>
  <sheetViews>
    <sheetView workbookViewId="0"/>
  </sheetViews>
  <sheetFormatPr defaultColWidth="9.1796875" defaultRowHeight="15" customHeight="1" outlineLevelRow="1"/>
  <cols>
    <col min="1" max="1" width="30.6328125" style="163" customWidth="1"/>
    <col min="2" max="4" width="11.6328125" style="163" customWidth="1"/>
    <col min="5" max="7" width="11.36328125" style="163" customWidth="1"/>
    <col min="8" max="8" width="43.6328125" style="163" customWidth="1"/>
    <col min="9" max="16384" width="9.1796875" style="163"/>
  </cols>
  <sheetData>
    <row r="1" spans="1:20" ht="10.5"/>
    <row r="2" spans="1:20" s="209" customFormat="1" ht="20" thickBot="1">
      <c r="A2" s="163"/>
      <c r="B2" s="209" t="s">
        <v>386</v>
      </c>
    </row>
    <row r="3" spans="1:20" ht="11" thickTop="1"/>
    <row r="4" spans="1:20" s="165" customFormat="1" ht="15" customHeight="1" outlineLevel="1">
      <c r="A4" s="164" t="s">
        <v>366</v>
      </c>
      <c r="B4" s="164"/>
      <c r="C4" s="164"/>
      <c r="D4" s="164"/>
      <c r="E4" s="164"/>
      <c r="F4" s="164"/>
      <c r="G4" s="164"/>
      <c r="H4" s="164"/>
    </row>
    <row r="5" spans="1:20" s="165" customFormat="1" ht="15" customHeight="1" outlineLevel="1">
      <c r="A5" s="166" t="s">
        <v>367</v>
      </c>
      <c r="B5" s="167"/>
      <c r="C5" s="167"/>
      <c r="D5" s="167"/>
      <c r="E5" s="167"/>
      <c r="F5" s="167"/>
      <c r="G5" s="167"/>
      <c r="H5" s="167"/>
    </row>
    <row r="6" spans="1:20" s="165" customFormat="1" ht="15" customHeight="1" outlineLevel="1">
      <c r="A6" s="166">
        <v>2019</v>
      </c>
      <c r="B6" s="167"/>
      <c r="C6" s="167"/>
      <c r="D6" s="167"/>
      <c r="E6" s="167"/>
      <c r="F6" s="167"/>
      <c r="G6" s="167"/>
      <c r="H6" s="167"/>
    </row>
    <row r="7" spans="1:20" ht="7.5" customHeight="1" outlineLevel="1">
      <c r="A7" s="168"/>
      <c r="B7" s="169"/>
      <c r="C7" s="169"/>
      <c r="D7" s="169"/>
      <c r="E7" s="169"/>
      <c r="F7" s="169"/>
      <c r="G7" s="169"/>
      <c r="H7" s="170"/>
    </row>
    <row r="8" spans="1:20" s="173" customFormat="1" ht="15" customHeight="1" outlineLevel="1">
      <c r="A8" s="171" t="s">
        <v>368</v>
      </c>
      <c r="B8" s="172"/>
      <c r="C8" s="172"/>
      <c r="D8" s="172"/>
      <c r="E8" s="172"/>
      <c r="F8" s="172"/>
      <c r="G8" s="172"/>
      <c r="H8" s="170" t="s">
        <v>311</v>
      </c>
    </row>
    <row r="9" spans="1:20" ht="15" customHeight="1" outlineLevel="1">
      <c r="A9" s="295" t="s">
        <v>312</v>
      </c>
      <c r="B9" s="174" t="s">
        <v>313</v>
      </c>
      <c r="C9" s="174"/>
      <c r="D9" s="174"/>
      <c r="E9" s="296" t="s">
        <v>314</v>
      </c>
      <c r="F9" s="296" t="s">
        <v>315</v>
      </c>
      <c r="G9" s="296" t="s">
        <v>316</v>
      </c>
      <c r="H9" s="298" t="s">
        <v>317</v>
      </c>
      <c r="K9" s="202" t="s">
        <v>379</v>
      </c>
      <c r="L9" s="202"/>
      <c r="M9" s="202"/>
      <c r="N9" s="202"/>
      <c r="O9" s="202"/>
    </row>
    <row r="10" spans="1:20" ht="33" outlineLevel="1">
      <c r="A10" s="295"/>
      <c r="B10" s="177" t="s">
        <v>369</v>
      </c>
      <c r="C10" s="177" t="s">
        <v>370</v>
      </c>
      <c r="D10" s="175" t="s">
        <v>320</v>
      </c>
      <c r="E10" s="297"/>
      <c r="F10" s="297"/>
      <c r="G10" s="296"/>
      <c r="H10" s="298"/>
      <c r="K10" s="202" t="s">
        <v>382</v>
      </c>
      <c r="L10" s="202" t="s">
        <v>383</v>
      </c>
      <c r="M10" s="202"/>
      <c r="N10" s="202" t="s">
        <v>384</v>
      </c>
      <c r="O10" s="202" t="s">
        <v>181</v>
      </c>
    </row>
    <row r="11" spans="1:20" ht="15" customHeight="1" outlineLevel="1">
      <c r="A11" s="178" t="s">
        <v>321</v>
      </c>
      <c r="B11" s="179">
        <v>9366.1069061729449</v>
      </c>
      <c r="C11" s="179">
        <v>5228.0043472077814</v>
      </c>
      <c r="D11" s="179">
        <v>5867.0451695238935</v>
      </c>
      <c r="E11" s="179">
        <v>2782.4684244023897</v>
      </c>
      <c r="F11" s="179">
        <v>2479.4410000000012</v>
      </c>
      <c r="G11" s="179">
        <v>4420.7424368196571</v>
      </c>
      <c r="H11" s="180" t="s">
        <v>322</v>
      </c>
      <c r="I11" s="181"/>
      <c r="J11" s="181"/>
      <c r="K11" s="207">
        <f>IFERROR('HEIS - 2022, Table 1'!B9/'HEIS - 2022, Table 2'!B11,"")</f>
        <v>6.2924663686910165</v>
      </c>
      <c r="L11" s="207">
        <f>IFERROR('HEIS - 2022, Table 1'!C9/'HEIS - 2022, Table 2'!C11,"")</f>
        <v>3.7978843601724437</v>
      </c>
      <c r="M11" s="208"/>
      <c r="N11" s="207">
        <f>IFERROR('HEIS - 2022, Table 1'!E9/'HEIS - 2022, Table 2'!E11,"")</f>
        <v>4.5998831773700974</v>
      </c>
      <c r="O11" s="207">
        <f>IFERROR('HEIS - 2022, Table 1'!F9/'HEIS - 2022, Table 2'!F11,"")</f>
        <v>1.0000000000000016</v>
      </c>
      <c r="P11" s="181"/>
      <c r="Q11" s="181"/>
      <c r="R11" s="181"/>
      <c r="S11" s="181"/>
      <c r="T11" s="181"/>
    </row>
    <row r="12" spans="1:20" ht="15" customHeight="1" outlineLevel="1">
      <c r="A12" s="183" t="s">
        <v>323</v>
      </c>
      <c r="B12" s="179">
        <v>84.419287564875887</v>
      </c>
      <c r="C12" s="179">
        <v>159.8926899084008</v>
      </c>
      <c r="D12" s="179">
        <v>148.2374483068823</v>
      </c>
      <c r="E12" s="179">
        <v>130.43404251889476</v>
      </c>
      <c r="F12" s="179">
        <v>129.44800000000001</v>
      </c>
      <c r="G12" s="179">
        <v>140.0795571216197</v>
      </c>
      <c r="H12" s="180" t="s">
        <v>324</v>
      </c>
      <c r="I12" s="181"/>
      <c r="J12" s="181"/>
      <c r="K12" s="207">
        <f>IFERROR('HEIS - 2022, Table 1'!B10/'HEIS - 2022, Table 2'!B12,"")</f>
        <v>6.292466368691092</v>
      </c>
      <c r="L12" s="207">
        <f>IFERROR('HEIS - 2022, Table 1'!C10/'HEIS - 2022, Table 2'!C12,"")</f>
        <v>3.7978843601725361</v>
      </c>
      <c r="M12" s="208"/>
      <c r="N12" s="207">
        <f>IFERROR('HEIS - 2022, Table 1'!E10/'HEIS - 2022, Table 2'!E12,"")</f>
        <v>4.5998831773701347</v>
      </c>
      <c r="O12" s="207">
        <f>IFERROR('HEIS - 2022, Table 1'!F10/'HEIS - 2022, Table 2'!F12,"")</f>
        <v>1</v>
      </c>
      <c r="P12" s="181"/>
      <c r="Q12" s="181"/>
      <c r="R12" s="181"/>
      <c r="S12" s="181"/>
      <c r="T12" s="181"/>
    </row>
    <row r="13" spans="1:20" ht="15" customHeight="1" outlineLevel="1">
      <c r="A13" s="183" t="s">
        <v>325</v>
      </c>
      <c r="B13" s="179">
        <v>6.1978288612843313</v>
      </c>
      <c r="C13" s="179" t="s">
        <v>45</v>
      </c>
      <c r="D13" s="179">
        <v>0.95712119157339981</v>
      </c>
      <c r="E13" s="179" t="s">
        <v>45</v>
      </c>
      <c r="F13" s="179" t="s">
        <v>45</v>
      </c>
      <c r="G13" s="179">
        <v>0.53173610242439384</v>
      </c>
      <c r="H13" s="180" t="s">
        <v>326</v>
      </c>
      <c r="I13" s="181"/>
      <c r="J13" s="181"/>
      <c r="K13" s="207">
        <f>IFERROR('HEIS - 2022, Table 1'!B11/'HEIS - 2022, Table 2'!B13,"")</f>
        <v>6.2924663686910884</v>
      </c>
      <c r="L13" s="207" t="str">
        <f>IFERROR('HEIS - 2022, Table 1'!C11/'HEIS - 2022, Table 2'!C13,"")</f>
        <v/>
      </c>
      <c r="M13" s="208"/>
      <c r="N13" s="207" t="str">
        <f>IFERROR('HEIS - 2022, Table 1'!E11/'HEIS - 2022, Table 2'!E13,"")</f>
        <v/>
      </c>
      <c r="O13" s="207" t="str">
        <f>IFERROR('HEIS - 2022, Table 1'!F11/'HEIS - 2022, Table 2'!F13,"")</f>
        <v/>
      </c>
      <c r="P13" s="181"/>
      <c r="Q13" s="181"/>
      <c r="R13" s="181"/>
      <c r="S13" s="181"/>
      <c r="T13" s="181"/>
    </row>
    <row r="14" spans="1:20" ht="15" customHeight="1" outlineLevel="1">
      <c r="A14" s="183" t="s">
        <v>371</v>
      </c>
      <c r="B14" s="185">
        <f>SUM(B11:B13)</f>
        <v>9456.7240225991045</v>
      </c>
      <c r="C14" s="185">
        <f t="shared" ref="C14:G14" si="0">SUM(C11:C13)</f>
        <v>5387.8970371161822</v>
      </c>
      <c r="D14" s="185">
        <f t="shared" si="0"/>
        <v>6016.2397390223496</v>
      </c>
      <c r="E14" s="185">
        <f t="shared" si="0"/>
        <v>2912.9024669212845</v>
      </c>
      <c r="F14" s="185">
        <f t="shared" si="0"/>
        <v>2608.889000000001</v>
      </c>
      <c r="G14" s="185">
        <f t="shared" si="0"/>
        <v>4561.353730043701</v>
      </c>
      <c r="H14" s="180" t="s">
        <v>328</v>
      </c>
      <c r="I14" s="181"/>
      <c r="J14" s="181"/>
      <c r="K14" s="207">
        <f>IFERROR('HEIS - 2022, Table 1'!B12/'HEIS - 2022, Table 2'!B14,"")</f>
        <v>6.2924663686910183</v>
      </c>
      <c r="L14" s="207">
        <f>IFERROR('HEIS - 2022, Table 1'!C12/'HEIS - 2022, Table 2'!C14,"")</f>
        <v>3.7978843601724463</v>
      </c>
      <c r="M14" s="208"/>
      <c r="N14" s="207">
        <f>IFERROR('HEIS - 2022, Table 1'!E12/'HEIS - 2022, Table 2'!E14,"")</f>
        <v>4.5998831773700992</v>
      </c>
      <c r="O14" s="207">
        <f>IFERROR('HEIS - 2022, Table 1'!F12/'HEIS - 2022, Table 2'!F14,"")</f>
        <v>1.0000000000000013</v>
      </c>
      <c r="P14" s="181"/>
      <c r="Q14" s="181"/>
      <c r="R14" s="181"/>
      <c r="S14" s="181"/>
      <c r="T14" s="181"/>
    </row>
    <row r="15" spans="1:20" ht="15" customHeight="1" outlineLevel="1">
      <c r="A15" s="183" t="s">
        <v>329</v>
      </c>
      <c r="B15" s="185">
        <f>SUM(B16:B25)</f>
        <v>43704.420998110683</v>
      </c>
      <c r="C15" s="185">
        <f t="shared" ref="C15:G15" si="1">SUM(C16:C25)</f>
        <v>37916.766663413029</v>
      </c>
      <c r="D15" s="185">
        <f t="shared" si="1"/>
        <v>38810.545232847886</v>
      </c>
      <c r="E15" s="185">
        <f t="shared" si="1"/>
        <v>10957.369769811159</v>
      </c>
      <c r="F15" s="185">
        <f t="shared" si="1"/>
        <v>7938.6577083333332</v>
      </c>
      <c r="G15" s="185">
        <f t="shared" si="1"/>
        <v>25680.428616704306</v>
      </c>
      <c r="H15" s="180" t="s">
        <v>372</v>
      </c>
      <c r="I15" s="181"/>
      <c r="J15" s="181"/>
      <c r="K15" s="207">
        <f>IFERROR('HEIS - 2022, Table 1'!B13/'HEIS - 2022, Table 2'!B15,"")</f>
        <v>6.2924663686910867</v>
      </c>
      <c r="L15" s="207">
        <f>IFERROR('HEIS - 2022, Table 1'!C13/'HEIS - 2022, Table 2'!C15,"")</f>
        <v>3.7978843601725392</v>
      </c>
      <c r="M15" s="208"/>
      <c r="N15" s="207">
        <f>IFERROR('HEIS - 2022, Table 1'!E13/'HEIS - 2022, Table 2'!E15,"")</f>
        <v>4.5998831773701294</v>
      </c>
      <c r="O15" s="207">
        <f>IFERROR('HEIS - 2022, Table 1'!F13/'HEIS - 2022, Table 2'!F15,"")</f>
        <v>1</v>
      </c>
      <c r="P15" s="181"/>
      <c r="Q15" s="181"/>
      <c r="R15" s="181"/>
      <c r="S15" s="181"/>
      <c r="T15" s="181"/>
    </row>
    <row r="16" spans="1:20" ht="15" customHeight="1" outlineLevel="1">
      <c r="A16" s="187" t="s">
        <v>331</v>
      </c>
      <c r="B16" s="185">
        <v>4941.9815432259402</v>
      </c>
      <c r="C16" s="185">
        <v>2560.6649169055418</v>
      </c>
      <c r="D16" s="185">
        <v>2928.4079859558583</v>
      </c>
      <c r="E16" s="185">
        <v>421.88314079880104</v>
      </c>
      <c r="F16" s="185">
        <v>422.57900000000006</v>
      </c>
      <c r="G16" s="185">
        <v>1814.5755761766868</v>
      </c>
      <c r="H16" s="188" t="s">
        <v>332</v>
      </c>
      <c r="I16" s="181"/>
      <c r="J16" s="181"/>
      <c r="K16" s="207">
        <f>IFERROR('HEIS - 2022, Table 1'!B14/'HEIS - 2022, Table 2'!B16,"")</f>
        <v>6.2924663686910884</v>
      </c>
      <c r="L16" s="207">
        <f>IFERROR('HEIS - 2022, Table 1'!C14/'HEIS - 2022, Table 2'!C16,"")</f>
        <v>3.7978843601725387</v>
      </c>
      <c r="M16" s="208"/>
      <c r="N16" s="207">
        <f>IFERROR('HEIS - 2022, Table 1'!E14/'HEIS - 2022, Table 2'!E16,"")</f>
        <v>4.5998831773701294</v>
      </c>
      <c r="O16" s="207">
        <f>IFERROR('HEIS - 2022, Table 1'!F14/'HEIS - 2022, Table 2'!F16,"")</f>
        <v>1</v>
      </c>
      <c r="P16" s="181"/>
      <c r="Q16" s="181"/>
      <c r="R16" s="181"/>
      <c r="S16" s="181"/>
      <c r="T16" s="181"/>
    </row>
    <row r="17" spans="1:20" ht="15" customHeight="1" outlineLevel="1">
      <c r="A17" s="187" t="s">
        <v>333</v>
      </c>
      <c r="B17" s="185">
        <v>4755.7711420324995</v>
      </c>
      <c r="C17" s="185">
        <v>14218.760103041534</v>
      </c>
      <c r="D17" s="185">
        <v>12757.405252347893</v>
      </c>
      <c r="E17" s="185">
        <v>4907.2203991278666</v>
      </c>
      <c r="F17" s="185">
        <v>1828.9322916666667</v>
      </c>
      <c r="G17" s="185">
        <v>8502.64144488272</v>
      </c>
      <c r="H17" s="188" t="s">
        <v>334</v>
      </c>
      <c r="I17" s="181"/>
      <c r="J17" s="181"/>
      <c r="K17" s="207">
        <f>IFERROR('HEIS - 2022, Table 1'!B15/'HEIS - 2022, Table 2'!B17,"")</f>
        <v>6.2924663686910876</v>
      </c>
      <c r="L17" s="207">
        <f>IFERROR('HEIS - 2022, Table 1'!C15/'HEIS - 2022, Table 2'!C17,"")</f>
        <v>3.7978843601725392</v>
      </c>
      <c r="M17" s="208"/>
      <c r="N17" s="207">
        <f>IFERROR('HEIS - 2022, Table 1'!E15/'HEIS - 2022, Table 2'!E17,"")</f>
        <v>4.5998831773701285</v>
      </c>
      <c r="O17" s="207">
        <f>IFERROR('HEIS - 2022, Table 1'!F15/'HEIS - 2022, Table 2'!F17,"")</f>
        <v>1</v>
      </c>
      <c r="P17" s="181"/>
      <c r="Q17" s="181"/>
      <c r="R17" s="181"/>
      <c r="S17" s="181"/>
      <c r="T17" s="181"/>
    </row>
    <row r="18" spans="1:20" ht="15" customHeight="1" outlineLevel="1">
      <c r="A18" s="187" t="s">
        <v>335</v>
      </c>
      <c r="B18" s="185">
        <v>6359.5298224342314</v>
      </c>
      <c r="C18" s="185">
        <v>1188.9927399450471</v>
      </c>
      <c r="D18" s="185">
        <v>1987.4708399745771</v>
      </c>
      <c r="E18" s="185">
        <v>174.66647251392047</v>
      </c>
      <c r="F18" s="185">
        <v>156.53004166666665</v>
      </c>
      <c r="G18" s="185">
        <v>1177.2720577501343</v>
      </c>
      <c r="H18" s="188" t="s">
        <v>336</v>
      </c>
      <c r="I18" s="181"/>
      <c r="J18" s="181"/>
      <c r="K18" s="207">
        <f>IFERROR('HEIS - 2022, Table 1'!B16/'HEIS - 2022, Table 2'!B18,"")</f>
        <v>6.2924663686910876</v>
      </c>
      <c r="L18" s="207">
        <f>IFERROR('HEIS - 2022, Table 1'!C16/'HEIS - 2022, Table 2'!C18,"")</f>
        <v>3.7978843601725396</v>
      </c>
      <c r="M18" s="208"/>
      <c r="N18" s="207">
        <f>IFERROR('HEIS - 2022, Table 1'!E16/'HEIS - 2022, Table 2'!E18,"")</f>
        <v>4.5998831773701285</v>
      </c>
      <c r="O18" s="207">
        <f>IFERROR('HEIS - 2022, Table 1'!F16/'HEIS - 2022, Table 2'!F18,"")</f>
        <v>1</v>
      </c>
      <c r="P18" s="181"/>
      <c r="Q18" s="181"/>
      <c r="R18" s="181"/>
      <c r="S18" s="181"/>
      <c r="T18" s="181"/>
    </row>
    <row r="19" spans="1:20" ht="15" customHeight="1" outlineLevel="1">
      <c r="A19" s="187" t="s">
        <v>337</v>
      </c>
      <c r="B19" s="185">
        <v>688.52216710078199</v>
      </c>
      <c r="C19" s="185">
        <v>469.54706689447295</v>
      </c>
      <c r="D19" s="185">
        <v>503.36305528737228</v>
      </c>
      <c r="E19" s="185">
        <v>62.534567299163847</v>
      </c>
      <c r="F19" s="185">
        <v>32.464833333333331</v>
      </c>
      <c r="G19" s="185">
        <v>299.95956813416046</v>
      </c>
      <c r="H19" s="188" t="s">
        <v>338</v>
      </c>
      <c r="I19" s="181"/>
      <c r="J19" s="181"/>
      <c r="K19" s="207">
        <f>IFERROR('HEIS - 2022, Table 1'!B17/'HEIS - 2022, Table 2'!B19,"")</f>
        <v>6.2924663686910876</v>
      </c>
      <c r="L19" s="207">
        <f>IFERROR('HEIS - 2022, Table 1'!C17/'HEIS - 2022, Table 2'!C19,"")</f>
        <v>3.7978843601725387</v>
      </c>
      <c r="M19" s="208"/>
      <c r="N19" s="207">
        <f>IFERROR('HEIS - 2022, Table 1'!E17/'HEIS - 2022, Table 2'!E19,"")</f>
        <v>4.5998831773701294</v>
      </c>
      <c r="O19" s="207">
        <f>IFERROR('HEIS - 2022, Table 1'!F17/'HEIS - 2022, Table 2'!F19,"")</f>
        <v>1</v>
      </c>
      <c r="P19" s="181"/>
      <c r="Q19" s="181"/>
      <c r="R19" s="181"/>
      <c r="S19" s="181"/>
      <c r="T19" s="181"/>
    </row>
    <row r="20" spans="1:20" ht="15" customHeight="1" outlineLevel="1">
      <c r="A20" s="189" t="s">
        <v>339</v>
      </c>
      <c r="B20" s="185">
        <v>7617.5405006265455</v>
      </c>
      <c r="C20" s="185">
        <v>4462.6030320296186</v>
      </c>
      <c r="D20" s="185">
        <v>4949.8151795198155</v>
      </c>
      <c r="E20" s="185">
        <v>1420.2192581414306</v>
      </c>
      <c r="F20" s="185">
        <v>608.47133333333329</v>
      </c>
      <c r="G20" s="185">
        <v>3179.1687093751348</v>
      </c>
      <c r="H20" s="188" t="s">
        <v>340</v>
      </c>
      <c r="I20" s="181"/>
      <c r="J20" s="181"/>
      <c r="K20" s="207">
        <f>IFERROR('HEIS - 2022, Table 1'!B18/'HEIS - 2022, Table 2'!B20,"")</f>
        <v>6.2924663686910876</v>
      </c>
      <c r="L20" s="207">
        <f>IFERROR('HEIS - 2022, Table 1'!C18/'HEIS - 2022, Table 2'!C20,"")</f>
        <v>3.7978843601725387</v>
      </c>
      <c r="M20" s="208"/>
      <c r="N20" s="207">
        <f>IFERROR('HEIS - 2022, Table 1'!E18/'HEIS - 2022, Table 2'!E20,"")</f>
        <v>4.5998831773701285</v>
      </c>
      <c r="O20" s="207">
        <f>IFERROR('HEIS - 2022, Table 1'!F18/'HEIS - 2022, Table 2'!F20,"")</f>
        <v>1</v>
      </c>
      <c r="P20" s="181"/>
      <c r="Q20" s="181"/>
      <c r="R20" s="181"/>
      <c r="S20" s="181"/>
      <c r="T20" s="181"/>
    </row>
    <row r="21" spans="1:20" ht="15" customHeight="1" outlineLevel="1">
      <c r="A21" s="187" t="s">
        <v>341</v>
      </c>
      <c r="B21" s="185">
        <v>3891.1694203108473</v>
      </c>
      <c r="C21" s="185">
        <v>2599.4785987227415</v>
      </c>
      <c r="D21" s="185">
        <v>2798.9524283448527</v>
      </c>
      <c r="E21" s="185">
        <v>1211.4198289399883</v>
      </c>
      <c r="F21" s="185">
        <v>841.81583333333333</v>
      </c>
      <c r="G21" s="185">
        <v>2001.436574125883</v>
      </c>
      <c r="H21" s="188" t="s">
        <v>342</v>
      </c>
      <c r="I21" s="181"/>
      <c r="J21" s="181"/>
      <c r="K21" s="207">
        <f>IFERROR('HEIS - 2022, Table 1'!B19/'HEIS - 2022, Table 2'!B21,"")</f>
        <v>6.2924663686910876</v>
      </c>
      <c r="L21" s="207">
        <f>IFERROR('HEIS - 2022, Table 1'!C19/'HEIS - 2022, Table 2'!C21,"")</f>
        <v>3.7978843601725392</v>
      </c>
      <c r="M21" s="208"/>
      <c r="N21" s="207">
        <f>IFERROR('HEIS - 2022, Table 1'!E19/'HEIS - 2022, Table 2'!E21,"")</f>
        <v>4.5998831773701294</v>
      </c>
      <c r="O21" s="207">
        <f>IFERROR('HEIS - 2022, Table 1'!F19/'HEIS - 2022, Table 2'!F21,"")</f>
        <v>1</v>
      </c>
      <c r="P21" s="181"/>
      <c r="Q21" s="181"/>
      <c r="R21" s="181"/>
      <c r="S21" s="181"/>
      <c r="T21" s="181"/>
    </row>
    <row r="22" spans="1:20" ht="15" customHeight="1" outlineLevel="1">
      <c r="A22" s="187" t="s">
        <v>343</v>
      </c>
      <c r="B22" s="185">
        <v>2843.0943050583001</v>
      </c>
      <c r="C22" s="185">
        <v>1395.6749518706361</v>
      </c>
      <c r="D22" s="185">
        <v>1619.1976994384513</v>
      </c>
      <c r="E22" s="185">
        <v>117.01919499209167</v>
      </c>
      <c r="F22" s="185">
        <v>23.83891666666667</v>
      </c>
      <c r="G22" s="185">
        <v>928.38492187870872</v>
      </c>
      <c r="H22" s="188" t="s">
        <v>344</v>
      </c>
      <c r="I22" s="181"/>
      <c r="J22" s="181"/>
      <c r="K22" s="207">
        <f>IFERROR('HEIS - 2022, Table 1'!B20/'HEIS - 2022, Table 2'!B22,"")</f>
        <v>6.2924663686910876</v>
      </c>
      <c r="L22" s="207">
        <f>IFERROR('HEIS - 2022, Table 1'!C20/'HEIS - 2022, Table 2'!C22,"")</f>
        <v>3.7978843601725396</v>
      </c>
      <c r="M22" s="208"/>
      <c r="N22" s="207">
        <f>IFERROR('HEIS - 2022, Table 1'!E20/'HEIS - 2022, Table 2'!E22,"")</f>
        <v>4.5998831773701294</v>
      </c>
      <c r="O22" s="207">
        <f>IFERROR('HEIS - 2022, Table 1'!F20/'HEIS - 2022, Table 2'!F22,"")</f>
        <v>1</v>
      </c>
      <c r="P22" s="181"/>
      <c r="Q22" s="181"/>
      <c r="R22" s="181"/>
      <c r="S22" s="181"/>
      <c r="T22" s="181"/>
    </row>
    <row r="23" spans="1:20" ht="15" customHeight="1" outlineLevel="1">
      <c r="A23" s="187" t="s">
        <v>345</v>
      </c>
      <c r="B23" s="185">
        <v>3874.5315090650893</v>
      </c>
      <c r="C23" s="185">
        <v>4939.2486381965746</v>
      </c>
      <c r="D23" s="185">
        <v>4774.8260072832454</v>
      </c>
      <c r="E23" s="179">
        <v>15.835770820547797</v>
      </c>
      <c r="F23" s="179" t="s">
        <v>45</v>
      </c>
      <c r="G23" s="185">
        <v>2655.7901226838899</v>
      </c>
      <c r="H23" s="188" t="s">
        <v>103</v>
      </c>
      <c r="I23" s="181"/>
      <c r="J23" s="181"/>
      <c r="K23" s="207">
        <f>IFERROR('HEIS - 2022, Table 1'!B21/'HEIS - 2022, Table 2'!B23,"")</f>
        <v>6.2924663686910884</v>
      </c>
      <c r="L23" s="207">
        <f>IFERROR('HEIS - 2022, Table 1'!C21/'HEIS - 2022, Table 2'!C23,"")</f>
        <v>3.7978843601725387</v>
      </c>
      <c r="M23" s="208"/>
      <c r="N23" s="207">
        <f>IFERROR('HEIS - 2022, Table 1'!E21/'HEIS - 2022, Table 2'!E23,"")</f>
        <v>4.5998831773701294</v>
      </c>
      <c r="O23" s="207" t="str">
        <f>IFERROR('HEIS - 2022, Table 1'!F21/'HEIS - 2022, Table 2'!F23,"")</f>
        <v/>
      </c>
      <c r="P23" s="181"/>
      <c r="Q23" s="181"/>
      <c r="R23" s="181"/>
      <c r="S23" s="181"/>
      <c r="T23" s="181"/>
    </row>
    <row r="24" spans="1:20" ht="15" customHeight="1" outlineLevel="1">
      <c r="A24" s="187" t="s">
        <v>346</v>
      </c>
      <c r="B24" s="185">
        <v>3529.9795167991119</v>
      </c>
      <c r="C24" s="185">
        <v>2932.555498391815</v>
      </c>
      <c r="D24" s="185">
        <v>3024.8147719487924</v>
      </c>
      <c r="E24" s="185">
        <v>1631.0508382255205</v>
      </c>
      <c r="F24" s="185">
        <v>3308.3195000000001</v>
      </c>
      <c r="G24" s="185">
        <v>2822.6345746209945</v>
      </c>
      <c r="H24" s="188" t="s">
        <v>347</v>
      </c>
      <c r="I24" s="181"/>
      <c r="J24" s="181"/>
      <c r="K24" s="207">
        <f>IFERROR('HEIS - 2022, Table 1'!B22/'HEIS - 2022, Table 2'!B24,"")</f>
        <v>6.2924663686910876</v>
      </c>
      <c r="L24" s="207">
        <f>IFERROR('HEIS - 2022, Table 1'!C22/'HEIS - 2022, Table 2'!C24,"")</f>
        <v>3.7978843601725392</v>
      </c>
      <c r="M24" s="208"/>
      <c r="N24" s="207">
        <f>IFERROR('HEIS - 2022, Table 1'!E22/'HEIS - 2022, Table 2'!E24,"")</f>
        <v>4.5998831773701285</v>
      </c>
      <c r="O24" s="207">
        <f>IFERROR('HEIS - 2022, Table 1'!F22/'HEIS - 2022, Table 2'!F24,"")</f>
        <v>1</v>
      </c>
      <c r="P24" s="181"/>
      <c r="Q24" s="181"/>
      <c r="R24" s="181"/>
      <c r="S24" s="181"/>
      <c r="T24" s="181"/>
    </row>
    <row r="25" spans="1:20" ht="15" customHeight="1" outlineLevel="1">
      <c r="A25" s="187" t="s">
        <v>348</v>
      </c>
      <c r="B25" s="185">
        <v>5202.3010714573302</v>
      </c>
      <c r="C25" s="185">
        <v>3149.2411174150466</v>
      </c>
      <c r="D25" s="185">
        <v>3466.2920127470265</v>
      </c>
      <c r="E25" s="185">
        <v>995.5202989518275</v>
      </c>
      <c r="F25" s="185">
        <v>715.70595833333334</v>
      </c>
      <c r="G25" s="185">
        <v>2298.5650670759942</v>
      </c>
      <c r="H25" s="188" t="s">
        <v>349</v>
      </c>
      <c r="I25" s="181"/>
      <c r="J25" s="181"/>
      <c r="K25" s="207">
        <f>IFERROR('HEIS - 2022, Table 1'!B23/'HEIS - 2022, Table 2'!B25,"")</f>
        <v>6.2924663686910884</v>
      </c>
      <c r="L25" s="207">
        <f>IFERROR('HEIS - 2022, Table 1'!C23/'HEIS - 2022, Table 2'!C25,"")</f>
        <v>3.7978843601725392</v>
      </c>
      <c r="M25" s="208"/>
      <c r="N25" s="207">
        <f>IFERROR('HEIS - 2022, Table 1'!E23/'HEIS - 2022, Table 2'!E25,"")</f>
        <v>4.5998831773701285</v>
      </c>
      <c r="O25" s="207">
        <f>IFERROR('HEIS - 2022, Table 1'!F23/'HEIS - 2022, Table 2'!F25,"")</f>
        <v>1</v>
      </c>
      <c r="P25" s="181"/>
      <c r="Q25" s="181"/>
      <c r="R25" s="181"/>
      <c r="S25" s="181"/>
      <c r="T25" s="181"/>
    </row>
    <row r="26" spans="1:20" ht="15" customHeight="1" outlineLevel="1">
      <c r="A26" s="183" t="s">
        <v>350</v>
      </c>
      <c r="B26" s="185">
        <f>B27</f>
        <v>20637.457667153751</v>
      </c>
      <c r="C26" s="185">
        <f t="shared" ref="C26:G26" si="2">C27</f>
        <v>6251.3168340195207</v>
      </c>
      <c r="D26" s="185">
        <f t="shared" si="2"/>
        <v>8472.9464666742806</v>
      </c>
      <c r="E26" s="185">
        <f t="shared" si="2"/>
        <v>2193.2886402052013</v>
      </c>
      <c r="F26" s="185">
        <f t="shared" si="2"/>
        <v>3812.1</v>
      </c>
      <c r="G26" s="185">
        <f t="shared" si="2"/>
        <v>6084.7257441939819</v>
      </c>
      <c r="H26" s="180" t="s">
        <v>351</v>
      </c>
      <c r="I26" s="181"/>
      <c r="J26" s="181"/>
      <c r="K26" s="207">
        <f>IFERROR('HEIS - 2022, Table 1'!B24/'HEIS - 2022, Table 2'!B26,"")</f>
        <v>6.2924663686910884</v>
      </c>
      <c r="L26" s="207">
        <f>IFERROR('HEIS - 2022, Table 1'!C24/'HEIS - 2022, Table 2'!C26,"")</f>
        <v>3.7978843601725392</v>
      </c>
      <c r="M26" s="208"/>
      <c r="N26" s="207">
        <f>IFERROR('HEIS - 2022, Table 1'!E24/'HEIS - 2022, Table 2'!E26,"")</f>
        <v>4.5998831773701294</v>
      </c>
      <c r="O26" s="207">
        <f>IFERROR('HEIS - 2022, Table 1'!F24/'HEIS - 2022, Table 2'!F26,"")</f>
        <v>1</v>
      </c>
      <c r="P26" s="181"/>
      <c r="Q26" s="181"/>
      <c r="R26" s="181"/>
      <c r="S26" s="181"/>
      <c r="T26" s="181"/>
    </row>
    <row r="27" spans="1:20" ht="15" customHeight="1" outlineLevel="1">
      <c r="A27" s="187" t="s">
        <v>352</v>
      </c>
      <c r="B27" s="185">
        <v>20637.457667153751</v>
      </c>
      <c r="C27" s="185">
        <v>6251.3168340195207</v>
      </c>
      <c r="D27" s="185">
        <v>8472.9464666742806</v>
      </c>
      <c r="E27" s="185">
        <v>2193.2886402052013</v>
      </c>
      <c r="F27" s="185">
        <v>3812.1</v>
      </c>
      <c r="G27" s="185">
        <v>6084.7257441939819</v>
      </c>
      <c r="H27" s="188" t="s">
        <v>353</v>
      </c>
      <c r="I27" s="181"/>
      <c r="J27" s="181"/>
      <c r="K27" s="207">
        <f>IFERROR('HEIS - 2022, Table 1'!B25/'HEIS - 2022, Table 2'!B27,"")</f>
        <v>6.2924663686910884</v>
      </c>
      <c r="L27" s="207">
        <f>IFERROR('HEIS - 2022, Table 1'!C25/'HEIS - 2022, Table 2'!C27,"")</f>
        <v>3.7978843601725392</v>
      </c>
      <c r="M27" s="208"/>
      <c r="N27" s="207">
        <f>IFERROR('HEIS - 2022, Table 1'!E25/'HEIS - 2022, Table 2'!E27,"")</f>
        <v>4.5998831773701294</v>
      </c>
      <c r="O27" s="207">
        <f>IFERROR('HEIS - 2022, Table 1'!F25/'HEIS - 2022, Table 2'!F27,"")</f>
        <v>1</v>
      </c>
      <c r="P27" s="181"/>
      <c r="Q27" s="181"/>
      <c r="R27" s="181"/>
      <c r="S27" s="181"/>
      <c r="T27" s="181"/>
    </row>
    <row r="28" spans="1:20" ht="15" customHeight="1" outlineLevel="1">
      <c r="A28" s="183" t="s">
        <v>354</v>
      </c>
      <c r="B28" s="185">
        <f>B15+B26</f>
        <v>64341.878665264434</v>
      </c>
      <c r="C28" s="185">
        <f t="shared" ref="C28:G28" si="3">C15+C26</f>
        <v>44168.083497432548</v>
      </c>
      <c r="D28" s="185">
        <f t="shared" si="3"/>
        <v>47283.491699522165</v>
      </c>
      <c r="E28" s="185">
        <f t="shared" si="3"/>
        <v>13150.65841001636</v>
      </c>
      <c r="F28" s="185">
        <f t="shared" si="3"/>
        <v>11750.757708333333</v>
      </c>
      <c r="G28" s="185">
        <f t="shared" si="3"/>
        <v>31765.15436089829</v>
      </c>
      <c r="H28" s="180" t="s">
        <v>355</v>
      </c>
      <c r="I28" s="181"/>
      <c r="J28" s="181"/>
      <c r="K28" s="207">
        <f>IFERROR('HEIS - 2022, Table 1'!B26/'HEIS - 2022, Table 2'!B28,"")</f>
        <v>6.2924663686910876</v>
      </c>
      <c r="L28" s="207">
        <f>IFERROR('HEIS - 2022, Table 1'!C26/'HEIS - 2022, Table 2'!C28,"")</f>
        <v>3.7978843601725396</v>
      </c>
      <c r="M28" s="208"/>
      <c r="N28" s="207">
        <f>IFERROR('HEIS - 2022, Table 1'!E26/'HEIS - 2022, Table 2'!E28,"")</f>
        <v>4.5998831773701294</v>
      </c>
      <c r="O28" s="207">
        <f>IFERROR('HEIS - 2022, Table 1'!F26/'HEIS - 2022, Table 2'!F28,"")</f>
        <v>1</v>
      </c>
      <c r="P28" s="181"/>
      <c r="Q28" s="181"/>
      <c r="R28" s="181"/>
      <c r="S28" s="181"/>
      <c r="T28" s="181"/>
    </row>
    <row r="29" spans="1:20" ht="15" customHeight="1" outlineLevel="1">
      <c r="A29" s="183" t="s">
        <v>356</v>
      </c>
      <c r="B29" s="179">
        <f>B14+B28</f>
        <v>73798.602687863546</v>
      </c>
      <c r="C29" s="179">
        <f t="shared" ref="C29:G29" si="4">C14+C28</f>
        <v>49555.980534548733</v>
      </c>
      <c r="D29" s="179">
        <f t="shared" si="4"/>
        <v>53299.731438544513</v>
      </c>
      <c r="E29" s="179">
        <f t="shared" si="4"/>
        <v>16063.560876937645</v>
      </c>
      <c r="F29" s="179">
        <f t="shared" si="4"/>
        <v>14359.646708333334</v>
      </c>
      <c r="G29" s="179">
        <f t="shared" si="4"/>
        <v>36326.508090941992</v>
      </c>
      <c r="H29" s="188" t="s">
        <v>357</v>
      </c>
      <c r="I29" s="181"/>
      <c r="J29" s="181"/>
      <c r="K29" s="207">
        <f>IFERROR('HEIS - 2022, Table 1'!B27/'HEIS - 2022, Table 2'!B29,"")</f>
        <v>6.2924663686910778</v>
      </c>
      <c r="L29" s="207">
        <f>IFERROR('HEIS - 2022, Table 1'!C27/'HEIS - 2022, Table 2'!C29,"")</f>
        <v>3.7978843601725294</v>
      </c>
      <c r="M29" s="208"/>
      <c r="N29" s="207">
        <f>IFERROR('HEIS - 2022, Table 1'!E27/'HEIS - 2022, Table 2'!E29,"")</f>
        <v>4.5998831773701232</v>
      </c>
      <c r="O29" s="207">
        <f>IFERROR('HEIS - 2022, Table 1'!F27/'HEIS - 2022, Table 2'!F29,"")</f>
        <v>1.0000000000000002</v>
      </c>
      <c r="P29" s="181"/>
      <c r="Q29" s="181"/>
      <c r="R29" s="181"/>
      <c r="S29" s="181"/>
      <c r="T29" s="181"/>
    </row>
    <row r="30" spans="1:20" ht="15" customHeight="1" outlineLevel="1">
      <c r="A30" s="183" t="s">
        <v>358</v>
      </c>
      <c r="B30" s="185">
        <v>1163.6293477187251</v>
      </c>
      <c r="C30" s="185">
        <v>4635.1101065280172</v>
      </c>
      <c r="D30" s="185">
        <v>4099.0146649208809</v>
      </c>
      <c r="E30" s="185">
        <v>7453.6942176232205</v>
      </c>
      <c r="F30" s="185">
        <v>9922.3958333333339</v>
      </c>
      <c r="G30" s="185">
        <v>6204.134367605322</v>
      </c>
      <c r="H30" s="191" t="s">
        <v>359</v>
      </c>
      <c r="I30" s="181"/>
      <c r="J30" s="181"/>
      <c r="K30" s="207">
        <f>IFERROR('HEIS - 2022, Table 1'!B28/'HEIS - 2022, Table 2'!B30,"")</f>
        <v>6.2924663686910884</v>
      </c>
      <c r="L30" s="207">
        <f>IFERROR('HEIS - 2022, Table 1'!C28/'HEIS - 2022, Table 2'!C30,"")</f>
        <v>3.7978843601725392</v>
      </c>
      <c r="M30" s="208"/>
      <c r="N30" s="207">
        <f>IFERROR('HEIS - 2022, Table 1'!E28/'HEIS - 2022, Table 2'!E30,"")</f>
        <v>4.5998831773701285</v>
      </c>
      <c r="O30" s="207">
        <f>IFERROR('HEIS - 2022, Table 1'!F28/'HEIS - 2022, Table 2'!F30,"")</f>
        <v>1</v>
      </c>
      <c r="P30" s="181"/>
      <c r="Q30" s="181"/>
      <c r="R30" s="181"/>
      <c r="S30" s="181"/>
      <c r="T30" s="181"/>
    </row>
    <row r="31" spans="1:20" ht="15" customHeight="1" outlineLevel="1">
      <c r="A31" s="183" t="s">
        <v>360</v>
      </c>
      <c r="B31" s="185">
        <f>B29-B13-B26+B30</f>
        <v>54318.576539567235</v>
      </c>
      <c r="C31" s="185">
        <f>C29-C26+C30</f>
        <v>47939.77380705723</v>
      </c>
      <c r="D31" s="185">
        <f t="shared" ref="D31:G31" si="5">D29-D13-D26+D30</f>
        <v>48924.842515599543</v>
      </c>
      <c r="E31" s="185">
        <f t="shared" ref="E31" si="6">E29-E26+E30</f>
        <v>21323.966454355665</v>
      </c>
      <c r="F31" s="185">
        <f>F29-F26+F30</f>
        <v>20469.942541666667</v>
      </c>
      <c r="G31" s="185">
        <f t="shared" si="5"/>
        <v>36445.384978250913</v>
      </c>
      <c r="H31" s="191" t="s">
        <v>361</v>
      </c>
      <c r="I31" s="181"/>
      <c r="J31" s="181"/>
      <c r="K31" s="207">
        <f>IFERROR('HEIS - 2022, Table 1'!B29/'HEIS - 2022, Table 2'!B31,"")</f>
        <v>6.2924663686910733</v>
      </c>
      <c r="L31" s="207">
        <f>IFERROR('HEIS - 2022, Table 1'!C29/'HEIS - 2022, Table 2'!C31,"")</f>
        <v>3.7978843601725285</v>
      </c>
      <c r="M31" s="208"/>
      <c r="N31" s="207">
        <f>IFERROR('HEIS - 2022, Table 1'!E29/'HEIS - 2022, Table 2'!E31,"")</f>
        <v>4.599883177370125</v>
      </c>
      <c r="O31" s="207">
        <f>IFERROR('HEIS - 2022, Table 1'!F29/'HEIS - 2022, Table 2'!F31,"")</f>
        <v>1.0000000000000002</v>
      </c>
      <c r="P31" s="181"/>
      <c r="Q31" s="181"/>
      <c r="R31" s="181"/>
      <c r="S31" s="181"/>
      <c r="T31" s="181"/>
    </row>
    <row r="32" spans="1:20" s="196" customFormat="1" ht="20" customHeight="1" outlineLevel="1">
      <c r="A32" s="192" t="s">
        <v>362</v>
      </c>
      <c r="B32" s="193">
        <f>B14+B15+B26+B30</f>
        <v>74962.232035582274</v>
      </c>
      <c r="C32" s="193">
        <f t="shared" ref="C32:G32" si="7">C14+C15+C26+C30</f>
        <v>54191.090641076749</v>
      </c>
      <c r="D32" s="193">
        <f t="shared" si="7"/>
        <v>57398.746103465397</v>
      </c>
      <c r="E32" s="193">
        <f>E14+E15+E26+E30</f>
        <v>23517.255094560867</v>
      </c>
      <c r="F32" s="193">
        <f t="shared" si="7"/>
        <v>24282.042541666669</v>
      </c>
      <c r="G32" s="193">
        <f t="shared" si="7"/>
        <v>42530.642458547314</v>
      </c>
      <c r="H32" s="194" t="s">
        <v>363</v>
      </c>
      <c r="I32" s="195"/>
      <c r="J32" s="195"/>
      <c r="K32" s="208"/>
      <c r="L32" s="208"/>
      <c r="M32" s="208"/>
      <c r="N32" s="202"/>
      <c r="O32" s="208"/>
      <c r="P32" s="195"/>
      <c r="Q32" s="195"/>
      <c r="R32" s="195"/>
      <c r="S32" s="195"/>
      <c r="T32" s="195"/>
    </row>
    <row r="33" spans="1:20" s="196" customFormat="1" ht="10" customHeight="1" outlineLevel="1">
      <c r="A33" s="197"/>
      <c r="B33" s="198"/>
      <c r="C33" s="198"/>
      <c r="D33" s="198"/>
      <c r="E33" s="198"/>
      <c r="F33" s="198"/>
      <c r="G33" s="198"/>
      <c r="H33" s="199"/>
      <c r="I33" s="195"/>
      <c r="J33" s="195"/>
      <c r="K33" s="208"/>
      <c r="L33" s="208"/>
      <c r="M33" s="208"/>
      <c r="N33" s="202"/>
      <c r="O33" s="208"/>
      <c r="P33" s="195"/>
      <c r="Q33" s="195"/>
      <c r="R33" s="195"/>
      <c r="S33" s="195"/>
      <c r="T33" s="195"/>
    </row>
    <row r="34" spans="1:20" s="196" customFormat="1" ht="10" customHeight="1" outlineLevel="1">
      <c r="A34" s="178" t="s">
        <v>364</v>
      </c>
      <c r="B34" s="198"/>
      <c r="C34" s="198"/>
      <c r="D34" s="198"/>
      <c r="E34" s="198"/>
      <c r="F34" s="198"/>
      <c r="G34" s="198"/>
      <c r="H34" s="200" t="s">
        <v>365</v>
      </c>
      <c r="I34" s="195"/>
      <c r="J34" s="195"/>
      <c r="K34" s="208"/>
      <c r="L34" s="208"/>
      <c r="M34" s="208"/>
      <c r="N34" s="202"/>
      <c r="O34" s="208"/>
      <c r="P34" s="195"/>
      <c r="Q34" s="195"/>
      <c r="R34" s="195"/>
      <c r="S34" s="195"/>
      <c r="T34" s="195"/>
    </row>
    <row r="35" spans="1:20" ht="10" customHeight="1" outlineLevel="1">
      <c r="K35" s="202"/>
      <c r="L35" s="202"/>
      <c r="M35" s="202"/>
      <c r="N35" s="202"/>
      <c r="O35" s="202" t="s">
        <v>380</v>
      </c>
    </row>
    <row r="36" spans="1:20" ht="15" customHeight="1" outlineLevel="1"/>
    <row r="37" spans="1:20" ht="15" customHeight="1" outlineLevel="1"/>
    <row r="38" spans="1:20" ht="15" customHeight="1" outlineLevel="1"/>
    <row r="39" spans="1:20" ht="15" customHeight="1" outlineLevel="1">
      <c r="A39" s="202" t="s">
        <v>381</v>
      </c>
      <c r="B39" s="202"/>
      <c r="C39" s="202"/>
      <c r="D39" s="202"/>
      <c r="E39" s="202"/>
      <c r="F39" s="202"/>
      <c r="G39" s="202"/>
      <c r="H39" s="202"/>
    </row>
    <row r="40" spans="1:20" ht="15" customHeight="1" outlineLevel="1">
      <c r="A40" s="202"/>
      <c r="B40" s="202"/>
      <c r="C40" s="202"/>
      <c r="D40" s="202"/>
      <c r="E40" s="202"/>
      <c r="F40" s="202"/>
      <c r="G40" s="202"/>
      <c r="H40" s="202"/>
    </row>
    <row r="41" spans="1:20" ht="15" customHeight="1" outlineLevel="1">
      <c r="A41" s="202"/>
      <c r="B41" s="202" t="s">
        <v>382</v>
      </c>
      <c r="C41" s="202" t="s">
        <v>383</v>
      </c>
      <c r="D41" s="202"/>
      <c r="E41" s="202" t="s">
        <v>384</v>
      </c>
      <c r="F41" s="202" t="s">
        <v>181</v>
      </c>
      <c r="G41" s="202"/>
      <c r="H41" s="202"/>
    </row>
    <row r="42" spans="1:20" ht="15" customHeight="1" outlineLevel="1">
      <c r="A42" s="202"/>
      <c r="B42" s="202"/>
      <c r="C42" s="202"/>
      <c r="D42" s="202"/>
      <c r="E42" s="202"/>
      <c r="F42" s="202"/>
      <c r="G42" s="202"/>
      <c r="H42" s="202"/>
    </row>
    <row r="43" spans="1:20" ht="15" customHeight="1" outlineLevel="1">
      <c r="A43" s="202"/>
      <c r="B43" s="203">
        <f>IFERROR(B11/B$32,0)</f>
        <v>0.12494434399614916</v>
      </c>
      <c r="C43" s="203">
        <f>IFERROR(C11/C$32,0)</f>
        <v>9.6473503030864702E-2</v>
      </c>
      <c r="D43" s="202"/>
      <c r="E43" s="203">
        <f>IFERROR(E11/E$32,0)</f>
        <v>0.11831603702108612</v>
      </c>
      <c r="F43" s="203">
        <f>IFERROR(F11/F$32,0)</f>
        <v>0.10211006737779224</v>
      </c>
      <c r="G43" s="202"/>
      <c r="H43" s="204" t="s">
        <v>322</v>
      </c>
    </row>
    <row r="44" spans="1:20" ht="15" customHeight="1" outlineLevel="1">
      <c r="A44" s="202"/>
      <c r="B44" s="203">
        <f t="shared" ref="B44:C63" si="8">IFERROR(B12/B$32,0)</f>
        <v>1.1261576032688652E-3</v>
      </c>
      <c r="C44" s="203">
        <f t="shared" si="8"/>
        <v>2.950534636171401E-3</v>
      </c>
      <c r="D44" s="202"/>
      <c r="E44" s="203">
        <f t="shared" ref="E44:F44" si="9">IFERROR(E12/E$32,0)</f>
        <v>5.5463123563711265E-3</v>
      </c>
      <c r="F44" s="203">
        <f t="shared" si="9"/>
        <v>5.3310177584062072E-3</v>
      </c>
      <c r="G44" s="202"/>
      <c r="H44" s="204" t="s">
        <v>324</v>
      </c>
    </row>
    <row r="45" spans="1:20" ht="15" customHeight="1" outlineLevel="1">
      <c r="A45" s="202"/>
      <c r="B45" s="203">
        <f t="shared" si="8"/>
        <v>8.2679353228735391E-5</v>
      </c>
      <c r="C45" s="203">
        <f t="shared" si="8"/>
        <v>0</v>
      </c>
      <c r="D45" s="202"/>
      <c r="E45" s="203">
        <f t="shared" ref="E45:F45" si="10">IFERROR(E13/E$32,0)</f>
        <v>0</v>
      </c>
      <c r="F45" s="203">
        <f t="shared" si="10"/>
        <v>0</v>
      </c>
      <c r="G45" s="202"/>
      <c r="H45" s="204" t="s">
        <v>326</v>
      </c>
    </row>
    <row r="46" spans="1:20" ht="15" customHeight="1" outlineLevel="1">
      <c r="A46" s="202"/>
      <c r="B46" s="203">
        <f t="shared" si="8"/>
        <v>0.12615318095264677</v>
      </c>
      <c r="C46" s="203">
        <f t="shared" si="8"/>
        <v>9.94240376670361E-2</v>
      </c>
      <c r="D46" s="202"/>
      <c r="E46" s="203">
        <f t="shared" ref="E46:F46" si="11">IFERROR(E14/E$32,0)</f>
        <v>0.12386234937745724</v>
      </c>
      <c r="F46" s="203">
        <f t="shared" si="11"/>
        <v>0.10744108513619845</v>
      </c>
      <c r="G46" s="202"/>
      <c r="H46" s="204" t="s">
        <v>328</v>
      </c>
    </row>
    <row r="47" spans="1:20" ht="15" customHeight="1" outlineLevel="1">
      <c r="A47" s="202"/>
      <c r="B47" s="203">
        <f t="shared" si="8"/>
        <v>0.58301920595648127</v>
      </c>
      <c r="C47" s="203">
        <f t="shared" si="8"/>
        <v>0.69968635461771256</v>
      </c>
      <c r="D47" s="202"/>
      <c r="E47" s="203">
        <f t="shared" ref="E47:F47" si="12">IFERROR(E15/E$32,0)</f>
        <v>0.46592894135614527</v>
      </c>
      <c r="F47" s="203">
        <f t="shared" si="12"/>
        <v>0.32693533481423676</v>
      </c>
      <c r="G47" s="202"/>
      <c r="H47" s="204" t="s">
        <v>372</v>
      </c>
    </row>
    <row r="48" spans="1:20" ht="15" customHeight="1" outlineLevel="1">
      <c r="A48" s="202"/>
      <c r="B48" s="203">
        <f t="shared" si="8"/>
        <v>6.5926285931295819E-2</v>
      </c>
      <c r="C48" s="203">
        <f t="shared" si="8"/>
        <v>4.7252507499167443E-2</v>
      </c>
      <c r="D48" s="202"/>
      <c r="E48" s="203">
        <f t="shared" ref="E48:F48" si="13">IFERROR(E16/E$32,0)</f>
        <v>1.793930197646133E-2</v>
      </c>
      <c r="F48" s="203">
        <f t="shared" si="13"/>
        <v>1.740294290625994E-2</v>
      </c>
      <c r="G48" s="202"/>
      <c r="H48" s="205" t="s">
        <v>332</v>
      </c>
    </row>
    <row r="49" spans="1:11" ht="15" customHeight="1" outlineLevel="1">
      <c r="A49" s="202"/>
      <c r="B49" s="203">
        <f t="shared" si="8"/>
        <v>6.3442229678741163E-2</v>
      </c>
      <c r="C49" s="203">
        <f t="shared" si="8"/>
        <v>0.26238187744211477</v>
      </c>
      <c r="D49" s="202"/>
      <c r="E49" s="203">
        <f t="shared" ref="E49:F49" si="14">IFERROR(E17/E$32,0)</f>
        <v>0.20866467533716643</v>
      </c>
      <c r="F49" s="203">
        <f t="shared" si="14"/>
        <v>7.5320364360960082E-2</v>
      </c>
      <c r="G49" s="202"/>
      <c r="H49" s="205" t="s">
        <v>334</v>
      </c>
    </row>
    <row r="50" spans="1:11" ht="15" customHeight="1" outlineLevel="1">
      <c r="A50" s="202"/>
      <c r="B50" s="203">
        <f t="shared" si="8"/>
        <v>8.4836452300613957E-2</v>
      </c>
      <c r="C50" s="203">
        <f t="shared" si="8"/>
        <v>2.1940742027505768E-2</v>
      </c>
      <c r="D50" s="202"/>
      <c r="E50" s="203">
        <f t="shared" ref="E50:F50" si="15">IFERROR(E18/E$32,0)</f>
        <v>7.4271623882805008E-3</v>
      </c>
      <c r="F50" s="203">
        <f t="shared" si="15"/>
        <v>6.4463292739097037E-3</v>
      </c>
      <c r="G50" s="202"/>
      <c r="H50" s="205" t="s">
        <v>336</v>
      </c>
    </row>
    <row r="51" spans="1:11" ht="15" customHeight="1" outlineLevel="1">
      <c r="A51" s="202"/>
      <c r="B51" s="203">
        <f t="shared" si="8"/>
        <v>9.1849208381890451E-3</v>
      </c>
      <c r="C51" s="203">
        <f t="shared" si="8"/>
        <v>8.6646543064508308E-3</v>
      </c>
      <c r="D51" s="202"/>
      <c r="E51" s="203">
        <f t="shared" ref="E51:F51" si="16">IFERROR(E19/E$32,0)</f>
        <v>2.6590929531409048E-3</v>
      </c>
      <c r="F51" s="203">
        <f t="shared" si="16"/>
        <v>1.3369893936074544E-3</v>
      </c>
      <c r="G51" s="202"/>
      <c r="H51" s="205" t="s">
        <v>338</v>
      </c>
    </row>
    <row r="52" spans="1:11" ht="15" customHeight="1" outlineLevel="1">
      <c r="A52" s="202"/>
      <c r="B52" s="203">
        <f t="shared" si="8"/>
        <v>0.1016183789326168</v>
      </c>
      <c r="C52" s="203">
        <f t="shared" si="8"/>
        <v>8.2349385835150057E-2</v>
      </c>
      <c r="D52" s="202"/>
      <c r="E52" s="203">
        <f t="shared" ref="E52:F52" si="17">IFERROR(E20/E$32,0)</f>
        <v>6.0390519745219015E-2</v>
      </c>
      <c r="F52" s="203">
        <f t="shared" si="17"/>
        <v>2.5058490540457189E-2</v>
      </c>
      <c r="G52" s="202"/>
      <c r="H52" s="205" t="s">
        <v>340</v>
      </c>
    </row>
    <row r="53" spans="1:11" ht="15" customHeight="1" outlineLevel="1">
      <c r="A53" s="202"/>
      <c r="B53" s="203">
        <f t="shared" si="8"/>
        <v>5.1908398598161119E-2</v>
      </c>
      <c r="C53" s="203">
        <f t="shared" si="8"/>
        <v>4.7968744824492267E-2</v>
      </c>
      <c r="D53" s="202"/>
      <c r="E53" s="203">
        <f t="shared" ref="E53:F53" si="18">IFERROR(E21/E$32,0)</f>
        <v>5.1511956819321511E-2</v>
      </c>
      <c r="F53" s="203">
        <f t="shared" si="18"/>
        <v>3.4668246375436619E-2</v>
      </c>
      <c r="G53" s="202"/>
      <c r="H53" s="205" t="s">
        <v>342</v>
      </c>
    </row>
    <row r="54" spans="1:11" ht="15" customHeight="1" outlineLevel="1">
      <c r="A54" s="202"/>
      <c r="B54" s="203">
        <f t="shared" si="8"/>
        <v>3.7927023086889548E-2</v>
      </c>
      <c r="C54" s="203">
        <f t="shared" si="8"/>
        <v>2.5754693905583013E-2</v>
      </c>
      <c r="D54" s="202"/>
      <c r="E54" s="203">
        <f t="shared" ref="E54:F54" si="19">IFERROR(E22/E$32,0)</f>
        <v>4.9758866211880391E-3</v>
      </c>
      <c r="F54" s="203">
        <f t="shared" si="19"/>
        <v>9.8175088136677057E-4</v>
      </c>
      <c r="G54" s="202"/>
      <c r="H54" s="205" t="s">
        <v>344</v>
      </c>
    </row>
    <row r="55" spans="1:11" ht="15" customHeight="1" outlineLevel="1">
      <c r="A55" s="202"/>
      <c r="B55" s="203">
        <f t="shared" si="8"/>
        <v>5.1686448013260437E-2</v>
      </c>
      <c r="C55" s="203">
        <f t="shared" si="8"/>
        <v>9.1145031033064927E-2</v>
      </c>
      <c r="D55" s="202"/>
      <c r="E55" s="203">
        <f t="shared" ref="E55:F55" si="20">IFERROR(E23/E$32,0)</f>
        <v>6.7336816124473364E-4</v>
      </c>
      <c r="F55" s="203">
        <f t="shared" si="20"/>
        <v>0</v>
      </c>
      <c r="G55" s="202"/>
      <c r="H55" s="205" t="s">
        <v>103</v>
      </c>
    </row>
    <row r="56" spans="1:11" ht="15" customHeight="1" outlineLevel="1">
      <c r="A56" s="202"/>
      <c r="B56" s="203">
        <f t="shared" si="8"/>
        <v>4.709010685705755E-2</v>
      </c>
      <c r="C56" s="203">
        <f t="shared" si="8"/>
        <v>5.4115085407949758E-2</v>
      </c>
      <c r="D56" s="202"/>
      <c r="E56" s="203">
        <f t="shared" ref="E56:F56" si="21">IFERROR(E24/E$32,0)</f>
        <v>6.9355493728634782E-2</v>
      </c>
      <c r="F56" s="203">
        <f t="shared" si="21"/>
        <v>0.13624551947485897</v>
      </c>
      <c r="G56" s="202"/>
      <c r="H56" s="205" t="s">
        <v>347</v>
      </c>
    </row>
    <row r="57" spans="1:11" ht="15" customHeight="1" outlineLevel="1">
      <c r="A57" s="202"/>
      <c r="B57" s="203">
        <f t="shared" si="8"/>
        <v>6.9398961719655802E-2</v>
      </c>
      <c r="C57" s="203">
        <f t="shared" si="8"/>
        <v>5.811363233623365E-2</v>
      </c>
      <c r="D57" s="202"/>
      <c r="E57" s="203">
        <f t="shared" ref="E57:F57" si="22">IFERROR(E25/E$32,0)</f>
        <v>4.2331483625487998E-2</v>
      </c>
      <c r="F57" s="203">
        <f t="shared" si="22"/>
        <v>2.9474701607380051E-2</v>
      </c>
      <c r="G57" s="202"/>
      <c r="H57" s="205" t="s">
        <v>349</v>
      </c>
    </row>
    <row r="58" spans="1:11" ht="15" customHeight="1" outlineLevel="1">
      <c r="A58" s="202"/>
      <c r="B58" s="203">
        <f t="shared" si="8"/>
        <v>0.27530473822281309</v>
      </c>
      <c r="C58" s="203">
        <f t="shared" si="8"/>
        <v>0.11535691125730978</v>
      </c>
      <c r="D58" s="202"/>
      <c r="E58" s="203">
        <f t="shared" ref="E58:F58" si="23">IFERROR(E26/E$32,0)</f>
        <v>9.3262952304007232E-2</v>
      </c>
      <c r="F58" s="203">
        <f t="shared" si="23"/>
        <v>0.15699255914977675</v>
      </c>
      <c r="G58" s="202"/>
      <c r="H58" s="204" t="s">
        <v>351</v>
      </c>
    </row>
    <row r="59" spans="1:11" ht="15" customHeight="1" outlineLevel="1">
      <c r="A59" s="202"/>
      <c r="B59" s="203">
        <f t="shared" si="8"/>
        <v>0.27530473822281309</v>
      </c>
      <c r="C59" s="203">
        <f t="shared" si="8"/>
        <v>0.11535691125730978</v>
      </c>
      <c r="D59" s="202"/>
      <c r="E59" s="203">
        <f t="shared" ref="E59:F59" si="24">IFERROR(E27/E$32,0)</f>
        <v>9.3262952304007232E-2</v>
      </c>
      <c r="F59" s="203">
        <f t="shared" si="24"/>
        <v>0.15699255914977675</v>
      </c>
      <c r="G59" s="202"/>
      <c r="H59" s="205" t="s">
        <v>353</v>
      </c>
    </row>
    <row r="60" spans="1:11" ht="15" customHeight="1" outlineLevel="1">
      <c r="A60" s="202"/>
      <c r="B60" s="203">
        <f t="shared" si="8"/>
        <v>0.85832394417929436</v>
      </c>
      <c r="C60" s="203">
        <f t="shared" si="8"/>
        <v>0.81504326587502229</v>
      </c>
      <c r="D60" s="202"/>
      <c r="E60" s="203">
        <f t="shared" ref="E60:F60" si="25">IFERROR(E28/E$32,0)</f>
        <v>0.55919189366015254</v>
      </c>
      <c r="F60" s="203">
        <f t="shared" si="25"/>
        <v>0.48392789396401348</v>
      </c>
      <c r="G60" s="202"/>
      <c r="H60" s="204" t="s">
        <v>355</v>
      </c>
    </row>
    <row r="61" spans="1:11" ht="15" customHeight="1" outlineLevel="1">
      <c r="A61" s="202"/>
      <c r="B61" s="203">
        <f t="shared" si="8"/>
        <v>0.9844771251319413</v>
      </c>
      <c r="C61" s="203">
        <f t="shared" si="8"/>
        <v>0.91446730354205841</v>
      </c>
      <c r="D61" s="202"/>
      <c r="E61" s="203">
        <f t="shared" ref="E61:F61" si="26">IFERROR(E29/E$32,0)</f>
        <v>0.68305424303760975</v>
      </c>
      <c r="F61" s="203">
        <f t="shared" si="26"/>
        <v>0.59136897910021191</v>
      </c>
      <c r="G61" s="202"/>
      <c r="H61" s="205" t="s">
        <v>357</v>
      </c>
    </row>
    <row r="62" spans="1:11" ht="15" customHeight="1" outlineLevel="1">
      <c r="A62" s="202"/>
      <c r="B62" s="203">
        <f t="shared" si="8"/>
        <v>1.5522874868058702E-2</v>
      </c>
      <c r="C62" s="203">
        <f t="shared" si="8"/>
        <v>8.5532696457941593E-2</v>
      </c>
      <c r="D62" s="202"/>
      <c r="E62" s="203">
        <f t="shared" ref="E62:F62" si="27">IFERROR(E30/E$32,0)</f>
        <v>0.31694575696239019</v>
      </c>
      <c r="F62" s="203">
        <f t="shared" si="27"/>
        <v>0.40863102089978798</v>
      </c>
      <c r="G62" s="202"/>
      <c r="H62" s="206" t="s">
        <v>359</v>
      </c>
      <c r="K62" s="163" t="s">
        <v>385</v>
      </c>
    </row>
    <row r="63" spans="1:11" ht="15" customHeight="1" outlineLevel="1">
      <c r="A63" s="202"/>
      <c r="B63" s="203">
        <f t="shared" si="8"/>
        <v>0.7246125824239581</v>
      </c>
      <c r="C63" s="203">
        <f t="shared" si="8"/>
        <v>0.88464308874269026</v>
      </c>
      <c r="D63" s="202"/>
      <c r="E63" s="203">
        <f t="shared" ref="E63:F63" si="28">IFERROR(E31/E$32,0)</f>
        <v>0.90673704769599273</v>
      </c>
      <c r="F63" s="203">
        <f t="shared" si="28"/>
        <v>0.84300744085022317</v>
      </c>
      <c r="G63" s="202"/>
      <c r="H63" s="206" t="s">
        <v>361</v>
      </c>
    </row>
    <row r="64" spans="1:11" ht="15" customHeight="1" outlineLevel="1"/>
    <row r="67" spans="1:10" s="209" customFormat="1" ht="20" thickBot="1">
      <c r="A67" s="163"/>
      <c r="B67" s="209" t="s">
        <v>387</v>
      </c>
    </row>
    <row r="68" spans="1:10" ht="15" customHeight="1" thickTop="1"/>
    <row r="69" spans="1:10" ht="15" customHeight="1" outlineLevel="1"/>
    <row r="70" spans="1:10" ht="15" customHeight="1" outlineLevel="1">
      <c r="B70" s="163" t="s">
        <v>382</v>
      </c>
      <c r="C70" s="163" t="s">
        <v>383</v>
      </c>
      <c r="D70" s="163" t="s">
        <v>384</v>
      </c>
      <c r="E70" s="163" t="s">
        <v>181</v>
      </c>
    </row>
    <row r="71" spans="1:10" ht="15" customHeight="1" outlineLevel="1">
      <c r="B71" s="210">
        <f>B11+B13+B12</f>
        <v>9456.7240225991045</v>
      </c>
      <c r="C71" s="210">
        <f>C11+C12</f>
        <v>5387.8970371161822</v>
      </c>
      <c r="D71" s="210">
        <f>E11+E12</f>
        <v>2912.9024669212845</v>
      </c>
      <c r="E71" s="210">
        <f>F11+F12</f>
        <v>2608.889000000001</v>
      </c>
      <c r="G71" s="181" t="s">
        <v>416</v>
      </c>
      <c r="J71" s="163" t="s">
        <v>415</v>
      </c>
    </row>
    <row r="72" spans="1:10" ht="15" customHeight="1" outlineLevel="1">
      <c r="B72" s="210">
        <f t="shared" ref="B72:C81" si="29">IF(ISNUMBER(B16),B16,0)</f>
        <v>4941.9815432259402</v>
      </c>
      <c r="C72" s="210">
        <f t="shared" si="29"/>
        <v>2560.6649169055418</v>
      </c>
      <c r="D72" s="210">
        <f t="shared" ref="D72:E81" si="30">IF(ISNUMBER(E16),E16,0)</f>
        <v>421.88314079880104</v>
      </c>
      <c r="E72" s="210">
        <f t="shared" si="30"/>
        <v>422.57900000000006</v>
      </c>
      <c r="G72" s="163" t="s">
        <v>332</v>
      </c>
    </row>
    <row r="73" spans="1:10" ht="15" customHeight="1" outlineLevel="1">
      <c r="B73" s="210">
        <f t="shared" si="29"/>
        <v>4755.7711420324995</v>
      </c>
      <c r="C73" s="210">
        <f t="shared" si="29"/>
        <v>14218.760103041534</v>
      </c>
      <c r="D73" s="210">
        <f t="shared" si="30"/>
        <v>4907.2203991278666</v>
      </c>
      <c r="E73" s="210">
        <f t="shared" si="30"/>
        <v>1828.9322916666667</v>
      </c>
      <c r="G73" s="163" t="s">
        <v>334</v>
      </c>
    </row>
    <row r="74" spans="1:10" ht="15" customHeight="1" outlineLevel="1">
      <c r="B74" s="210">
        <f t="shared" si="29"/>
        <v>6359.5298224342314</v>
      </c>
      <c r="C74" s="210">
        <f t="shared" si="29"/>
        <v>1188.9927399450471</v>
      </c>
      <c r="D74" s="210">
        <f t="shared" si="30"/>
        <v>174.66647251392047</v>
      </c>
      <c r="E74" s="210">
        <f t="shared" si="30"/>
        <v>156.53004166666665</v>
      </c>
      <c r="G74" s="163" t="s">
        <v>336</v>
      </c>
    </row>
    <row r="75" spans="1:10" ht="15" customHeight="1" outlineLevel="1">
      <c r="B75" s="210">
        <f t="shared" si="29"/>
        <v>688.52216710078199</v>
      </c>
      <c r="C75" s="210">
        <f t="shared" si="29"/>
        <v>469.54706689447295</v>
      </c>
      <c r="D75" s="210">
        <f t="shared" si="30"/>
        <v>62.534567299163847</v>
      </c>
      <c r="E75" s="210">
        <f t="shared" si="30"/>
        <v>32.464833333333331</v>
      </c>
      <c r="G75" s="163" t="s">
        <v>338</v>
      </c>
    </row>
    <row r="76" spans="1:10" ht="15" customHeight="1" outlineLevel="1">
      <c r="B76" s="210">
        <f t="shared" si="29"/>
        <v>7617.5405006265455</v>
      </c>
      <c r="C76" s="210">
        <f t="shared" si="29"/>
        <v>4462.6030320296186</v>
      </c>
      <c r="D76" s="210">
        <f t="shared" si="30"/>
        <v>1420.2192581414306</v>
      </c>
      <c r="E76" s="210">
        <f t="shared" si="30"/>
        <v>608.47133333333329</v>
      </c>
      <c r="G76" s="163" t="s">
        <v>340</v>
      </c>
    </row>
    <row r="77" spans="1:10" ht="15" customHeight="1" outlineLevel="1">
      <c r="B77" s="210">
        <f t="shared" si="29"/>
        <v>3891.1694203108473</v>
      </c>
      <c r="C77" s="210">
        <f t="shared" si="29"/>
        <v>2599.4785987227415</v>
      </c>
      <c r="D77" s="210">
        <f t="shared" si="30"/>
        <v>1211.4198289399883</v>
      </c>
      <c r="E77" s="210">
        <f t="shared" si="30"/>
        <v>841.81583333333333</v>
      </c>
      <c r="G77" s="163" t="s">
        <v>342</v>
      </c>
    </row>
    <row r="78" spans="1:10" ht="15" customHeight="1" outlineLevel="1">
      <c r="B78" s="210">
        <f t="shared" si="29"/>
        <v>2843.0943050583001</v>
      </c>
      <c r="C78" s="210">
        <f t="shared" si="29"/>
        <v>1395.6749518706361</v>
      </c>
      <c r="D78" s="210">
        <f t="shared" si="30"/>
        <v>117.01919499209167</v>
      </c>
      <c r="E78" s="210">
        <f t="shared" si="30"/>
        <v>23.83891666666667</v>
      </c>
      <c r="G78" s="163" t="s">
        <v>344</v>
      </c>
    </row>
    <row r="79" spans="1:10" ht="15" customHeight="1" outlineLevel="1">
      <c r="B79" s="210">
        <f t="shared" si="29"/>
        <v>3874.5315090650893</v>
      </c>
      <c r="C79" s="210">
        <f t="shared" si="29"/>
        <v>4939.2486381965746</v>
      </c>
      <c r="D79" s="210">
        <f t="shared" si="30"/>
        <v>15.835770820547797</v>
      </c>
      <c r="E79" s="210">
        <f t="shared" si="30"/>
        <v>0</v>
      </c>
      <c r="G79" s="163" t="s">
        <v>103</v>
      </c>
    </row>
    <row r="80" spans="1:10" ht="15" customHeight="1" outlineLevel="1">
      <c r="B80" s="210">
        <f t="shared" si="29"/>
        <v>3529.9795167991119</v>
      </c>
      <c r="C80" s="210">
        <f t="shared" si="29"/>
        <v>2932.555498391815</v>
      </c>
      <c r="D80" s="210">
        <f t="shared" si="30"/>
        <v>1631.0508382255205</v>
      </c>
      <c r="E80" s="210">
        <f t="shared" si="30"/>
        <v>3308.3195000000001</v>
      </c>
      <c r="G80" s="163" t="s">
        <v>347</v>
      </c>
    </row>
    <row r="81" spans="1:10" ht="15" customHeight="1" outlineLevel="1">
      <c r="B81" s="210">
        <f t="shared" si="29"/>
        <v>5202.3010714573302</v>
      </c>
      <c r="C81" s="210">
        <f t="shared" si="29"/>
        <v>3149.2411174150466</v>
      </c>
      <c r="D81" s="210">
        <f t="shared" si="30"/>
        <v>995.5202989518275</v>
      </c>
      <c r="E81" s="210">
        <f t="shared" si="30"/>
        <v>715.70595833333334</v>
      </c>
      <c r="G81" s="163" t="s">
        <v>349</v>
      </c>
    </row>
    <row r="82" spans="1:10" ht="15" customHeight="1" outlineLevel="1">
      <c r="B82" s="210">
        <f>IF(ISNUMBER(B27),B27,0)</f>
        <v>20637.457667153751</v>
      </c>
      <c r="C82" s="210">
        <f>IF(ISNUMBER(C27),C27,0)</f>
        <v>6251.3168340195207</v>
      </c>
      <c r="D82" s="210">
        <f>IF(ISNUMBER(E27),E27,0)</f>
        <v>2193.2886402052013</v>
      </c>
      <c r="E82" s="210">
        <f>IF(ISNUMBER(F27),F27,0)</f>
        <v>3812.1</v>
      </c>
      <c r="G82" s="163" t="s">
        <v>353</v>
      </c>
      <c r="J82" s="163" t="s">
        <v>388</v>
      </c>
    </row>
    <row r="83" spans="1:10" ht="15" customHeight="1" outlineLevel="1">
      <c r="B83" s="210">
        <f>IF(ISNUMBER(B30),B30,0)</f>
        <v>1163.6293477187251</v>
      </c>
      <c r="C83" s="210">
        <f>IF(ISNUMBER(C30),C30,0)</f>
        <v>4635.1101065280172</v>
      </c>
      <c r="D83" s="210">
        <f>IF(ISNUMBER(E30),E30,0)</f>
        <v>7453.6942176232205</v>
      </c>
      <c r="E83" s="210">
        <f>IF(ISNUMBER(F30),F30,0)</f>
        <v>9922.3958333333339</v>
      </c>
      <c r="G83" s="163" t="s">
        <v>389</v>
      </c>
    </row>
    <row r="84" spans="1:10" ht="15" customHeight="1" outlineLevel="1"/>
    <row r="85" spans="1:10" ht="15" customHeight="1" outlineLevel="1">
      <c r="B85" s="210">
        <f>SUM(B71:B83)-B32</f>
        <v>0</v>
      </c>
      <c r="C85" s="210">
        <f>SUM(C71:C83)-C32</f>
        <v>0</v>
      </c>
      <c r="D85" s="210">
        <f>SUM(D71:D83)-E32</f>
        <v>0</v>
      </c>
      <c r="E85" s="210">
        <f>SUM(E71:E83)-F32</f>
        <v>0</v>
      </c>
      <c r="G85" s="163" t="s">
        <v>145</v>
      </c>
    </row>
    <row r="87" spans="1:10" s="209" customFormat="1" ht="20" thickBot="1">
      <c r="A87" s="163"/>
      <c r="B87" s="209" t="s">
        <v>390</v>
      </c>
    </row>
    <row r="88" spans="1:10" ht="15" customHeight="1" thickTop="1"/>
    <row r="90" spans="1:10" ht="15" customHeight="1">
      <c r="B90" s="163" t="s">
        <v>382</v>
      </c>
      <c r="C90" s="163" t="s">
        <v>383</v>
      </c>
      <c r="D90" s="163" t="s">
        <v>384</v>
      </c>
      <c r="E90" s="163" t="s">
        <v>181</v>
      </c>
    </row>
    <row r="91" spans="1:10" ht="15" customHeight="1">
      <c r="B91" s="201">
        <f t="shared" ref="B91:C103" si="31">B71/SUM(B$71:B$83)</f>
        <v>0.12615318095264677</v>
      </c>
      <c r="C91" s="201">
        <f t="shared" si="31"/>
        <v>9.9424037667036114E-2</v>
      </c>
      <c r="D91" s="201">
        <f t="shared" ref="D91:E103" si="32">D71/SUM(D$71:D$83)</f>
        <v>0.12386234937745724</v>
      </c>
      <c r="E91" s="201">
        <f t="shared" si="32"/>
        <v>0.10744108513619845</v>
      </c>
      <c r="G91" s="181" t="s">
        <v>416</v>
      </c>
    </row>
    <row r="92" spans="1:10" ht="15" customHeight="1">
      <c r="B92" s="201">
        <f t="shared" si="31"/>
        <v>6.5926285931295819E-2</v>
      </c>
      <c r="C92" s="201">
        <f t="shared" si="31"/>
        <v>4.725250749916745E-2</v>
      </c>
      <c r="D92" s="201">
        <f t="shared" si="32"/>
        <v>1.793930197646133E-2</v>
      </c>
      <c r="E92" s="201">
        <f t="shared" si="32"/>
        <v>1.740294290625994E-2</v>
      </c>
      <c r="G92" s="163" t="s">
        <v>332</v>
      </c>
    </row>
    <row r="93" spans="1:10" ht="15" customHeight="1">
      <c r="B93" s="201">
        <f t="shared" si="31"/>
        <v>6.3442229678741163E-2</v>
      </c>
      <c r="C93" s="201">
        <f t="shared" si="31"/>
        <v>0.26238187744211483</v>
      </c>
      <c r="D93" s="201">
        <f t="shared" si="32"/>
        <v>0.20866467533716643</v>
      </c>
      <c r="E93" s="201">
        <f t="shared" si="32"/>
        <v>7.5320364360960082E-2</v>
      </c>
      <c r="G93" s="163" t="s">
        <v>334</v>
      </c>
    </row>
    <row r="94" spans="1:10" ht="15" customHeight="1">
      <c r="B94" s="201">
        <f t="shared" si="31"/>
        <v>8.4836452300613957E-2</v>
      </c>
      <c r="C94" s="201">
        <f t="shared" si="31"/>
        <v>2.1940742027505771E-2</v>
      </c>
      <c r="D94" s="201">
        <f t="shared" si="32"/>
        <v>7.4271623882805008E-3</v>
      </c>
      <c r="E94" s="201">
        <f t="shared" si="32"/>
        <v>6.4463292739097037E-3</v>
      </c>
      <c r="G94" s="163" t="s">
        <v>336</v>
      </c>
    </row>
    <row r="95" spans="1:10" ht="15" customHeight="1">
      <c r="B95" s="201">
        <f t="shared" si="31"/>
        <v>9.1849208381890451E-3</v>
      </c>
      <c r="C95" s="201">
        <f t="shared" si="31"/>
        <v>8.6646543064508308E-3</v>
      </c>
      <c r="D95" s="201">
        <f t="shared" si="32"/>
        <v>2.6590929531409048E-3</v>
      </c>
      <c r="E95" s="201">
        <f t="shared" si="32"/>
        <v>1.3369893936074544E-3</v>
      </c>
      <c r="G95" s="163" t="s">
        <v>338</v>
      </c>
    </row>
    <row r="96" spans="1:10" ht="15" customHeight="1">
      <c r="B96" s="201">
        <f t="shared" si="31"/>
        <v>0.1016183789326168</v>
      </c>
      <c r="C96" s="201">
        <f t="shared" si="31"/>
        <v>8.2349385835150071E-2</v>
      </c>
      <c r="D96" s="201">
        <f t="shared" si="32"/>
        <v>6.0390519745219015E-2</v>
      </c>
      <c r="E96" s="201">
        <f t="shared" si="32"/>
        <v>2.5058490540457189E-2</v>
      </c>
      <c r="G96" s="163" t="s">
        <v>340</v>
      </c>
    </row>
    <row r="97" spans="1:7" ht="15" customHeight="1">
      <c r="B97" s="201">
        <f t="shared" si="31"/>
        <v>5.1908398598161119E-2</v>
      </c>
      <c r="C97" s="201">
        <f t="shared" si="31"/>
        <v>4.7968744824492274E-2</v>
      </c>
      <c r="D97" s="201">
        <f t="shared" si="32"/>
        <v>5.1511956819321511E-2</v>
      </c>
      <c r="E97" s="201">
        <f t="shared" si="32"/>
        <v>3.4668246375436619E-2</v>
      </c>
      <c r="G97" s="163" t="s">
        <v>342</v>
      </c>
    </row>
    <row r="98" spans="1:7" ht="15" customHeight="1">
      <c r="B98" s="201">
        <f t="shared" si="31"/>
        <v>3.7927023086889548E-2</v>
      </c>
      <c r="C98" s="201">
        <f t="shared" si="31"/>
        <v>2.5754693905583017E-2</v>
      </c>
      <c r="D98" s="201">
        <f t="shared" si="32"/>
        <v>4.9758866211880391E-3</v>
      </c>
      <c r="E98" s="201">
        <f t="shared" si="32"/>
        <v>9.8175088136677057E-4</v>
      </c>
      <c r="G98" s="163" t="s">
        <v>344</v>
      </c>
    </row>
    <row r="99" spans="1:7" ht="15" customHeight="1">
      <c r="B99" s="201">
        <f t="shared" si="31"/>
        <v>5.1686448013260437E-2</v>
      </c>
      <c r="C99" s="201">
        <f t="shared" si="31"/>
        <v>9.1145031033064941E-2</v>
      </c>
      <c r="D99" s="201">
        <f t="shared" si="32"/>
        <v>6.7336816124473364E-4</v>
      </c>
      <c r="E99" s="201">
        <f t="shared" si="32"/>
        <v>0</v>
      </c>
      <c r="G99" s="163" t="s">
        <v>103</v>
      </c>
    </row>
    <row r="100" spans="1:7" ht="15" customHeight="1">
      <c r="B100" s="201">
        <f t="shared" si="31"/>
        <v>4.709010685705755E-2</v>
      </c>
      <c r="C100" s="201">
        <f t="shared" si="31"/>
        <v>5.4115085407949765E-2</v>
      </c>
      <c r="D100" s="201">
        <f t="shared" si="32"/>
        <v>6.9355493728634782E-2</v>
      </c>
      <c r="E100" s="201">
        <f t="shared" si="32"/>
        <v>0.13624551947485897</v>
      </c>
      <c r="G100" s="163" t="s">
        <v>347</v>
      </c>
    </row>
    <row r="101" spans="1:7" ht="15" customHeight="1">
      <c r="B101" s="201">
        <f t="shared" si="31"/>
        <v>6.9398961719655802E-2</v>
      </c>
      <c r="C101" s="201">
        <f t="shared" si="31"/>
        <v>5.8113632336233657E-2</v>
      </c>
      <c r="D101" s="201">
        <f t="shared" si="32"/>
        <v>4.2331483625487998E-2</v>
      </c>
      <c r="E101" s="201">
        <f t="shared" si="32"/>
        <v>2.9474701607380051E-2</v>
      </c>
      <c r="G101" s="163" t="s">
        <v>349</v>
      </c>
    </row>
    <row r="102" spans="1:7" ht="15" customHeight="1">
      <c r="B102" s="201">
        <f t="shared" si="31"/>
        <v>0.27530473822281309</v>
      </c>
      <c r="C102" s="201">
        <f t="shared" si="31"/>
        <v>0.11535691125730979</v>
      </c>
      <c r="D102" s="201">
        <f t="shared" si="32"/>
        <v>9.3262952304007232E-2</v>
      </c>
      <c r="E102" s="201">
        <f t="shared" si="32"/>
        <v>0.15699255914977675</v>
      </c>
      <c r="G102" s="163" t="s">
        <v>353</v>
      </c>
    </row>
    <row r="103" spans="1:7" ht="15" customHeight="1">
      <c r="B103" s="201">
        <f t="shared" si="31"/>
        <v>1.5522874868058702E-2</v>
      </c>
      <c r="C103" s="201">
        <f t="shared" si="31"/>
        <v>8.5532696457941607E-2</v>
      </c>
      <c r="D103" s="201">
        <f t="shared" si="32"/>
        <v>0.31694575696239019</v>
      </c>
      <c r="E103" s="201">
        <f t="shared" si="32"/>
        <v>0.40863102089978798</v>
      </c>
      <c r="G103" s="163" t="s">
        <v>389</v>
      </c>
    </row>
    <row r="105" spans="1:7" ht="15" customHeight="1">
      <c r="A105" s="163" t="s">
        <v>145</v>
      </c>
      <c r="B105" s="211">
        <f>1-SUM(B91:B103)</f>
        <v>0</v>
      </c>
      <c r="C105" s="211">
        <f>1-SUM(C91:C103)</f>
        <v>0</v>
      </c>
      <c r="D105" s="211">
        <f>1-SUM(D91:D103)</f>
        <v>0</v>
      </c>
      <c r="E105" s="211">
        <f>1-SUM(E91:E103)</f>
        <v>0</v>
      </c>
    </row>
  </sheetData>
  <mergeCells count="5">
    <mergeCell ref="A9:A10"/>
    <mergeCell ref="E9:E10"/>
    <mergeCell ref="F9:F10"/>
    <mergeCell ref="G9:G10"/>
    <mergeCell ref="H9:H10"/>
  </mergeCells>
  <conditionalFormatting sqref="B91:B10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1:C10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1:D10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1:E10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.5" bottom="0.5" header="0" footer="0"/>
  <pageSetup paperSize="9" orientation="landscape" r:id="rId1"/>
  <headerFooter scaleWithDoc="0"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1522-C71A-44A7-A1FF-F490710338BF}">
  <dimension ref="A2:S40"/>
  <sheetViews>
    <sheetView workbookViewId="0"/>
  </sheetViews>
  <sheetFormatPr defaultColWidth="8.81640625" defaultRowHeight="14.5"/>
  <cols>
    <col min="3" max="3" width="41.6328125" customWidth="1"/>
    <col min="4" max="18" width="18.6328125" customWidth="1"/>
  </cols>
  <sheetData>
    <row r="2" spans="1:19" s="1" customFormat="1" ht="20" thickBot="1">
      <c r="A2"/>
      <c r="B2" s="1" t="s">
        <v>393</v>
      </c>
    </row>
    <row r="3" spans="1:19" ht="15" thickTop="1"/>
    <row r="4" spans="1:19">
      <c r="D4" t="s">
        <v>392</v>
      </c>
    </row>
    <row r="6" spans="1:19">
      <c r="D6" t="s">
        <v>420</v>
      </c>
      <c r="E6" t="s">
        <v>332</v>
      </c>
      <c r="F6" t="s">
        <v>334</v>
      </c>
      <c r="G6" t="s">
        <v>336</v>
      </c>
      <c r="H6" t="s">
        <v>338</v>
      </c>
      <c r="I6" t="s">
        <v>340</v>
      </c>
      <c r="J6" t="s">
        <v>342</v>
      </c>
      <c r="K6" t="s">
        <v>344</v>
      </c>
      <c r="L6" t="s">
        <v>103</v>
      </c>
      <c r="M6" t="s">
        <v>347</v>
      </c>
      <c r="N6" t="s">
        <v>349</v>
      </c>
      <c r="O6" t="s">
        <v>353</v>
      </c>
      <c r="P6" t="s">
        <v>389</v>
      </c>
      <c r="R6" t="s">
        <v>422</v>
      </c>
      <c r="S6" t="s">
        <v>421</v>
      </c>
    </row>
    <row r="7" spans="1:19">
      <c r="A7" t="s">
        <v>391</v>
      </c>
      <c r="C7" t="s">
        <v>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R7">
        <f>MATCH(1,D7:P7,0)</f>
        <v>11</v>
      </c>
      <c r="S7" t="str">
        <f ca="1">OFFSET($C$6,0,MATCH(1,D7:P7,0))</f>
        <v>Miscellaneous Goods &amp; Services</v>
      </c>
    </row>
    <row r="8" spans="1:19">
      <c r="C8" t="s">
        <v>75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f t="shared" ref="R8:R40" si="0">MATCH(1,D8:P8,0)</f>
        <v>3</v>
      </c>
      <c r="S8" t="str">
        <f t="shared" ref="S8:S40" ca="1" si="1">OFFSET($C$6,0,MATCH(1,D8:P8,0))</f>
        <v>Housing, Water, Electricity, Gas, &amp; Fuels *</v>
      </c>
    </row>
    <row r="9" spans="1:19">
      <c r="C9" t="s">
        <v>76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f t="shared" si="0"/>
        <v>1</v>
      </c>
      <c r="S9" t="str">
        <f t="shared" ca="1" si="1"/>
        <v>Food and beverages + Tobacco</v>
      </c>
    </row>
    <row r="10" spans="1:19">
      <c r="C10" t="s">
        <v>77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f t="shared" si="0"/>
        <v>2</v>
      </c>
      <c r="S10" t="str">
        <f t="shared" ca="1" si="1"/>
        <v>Clothing and Footwear</v>
      </c>
    </row>
    <row r="11" spans="1:19">
      <c r="C11" t="s">
        <v>78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R11">
        <f t="shared" si="0"/>
        <v>2</v>
      </c>
      <c r="S11" t="str">
        <f t="shared" ca="1" si="1"/>
        <v>Clothing and Footwear</v>
      </c>
    </row>
    <row r="12" spans="1:19">
      <c r="C12" t="s">
        <v>79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f t="shared" si="0"/>
        <v>4</v>
      </c>
      <c r="S12" t="str">
        <f t="shared" ca="1" si="1"/>
        <v>Furnishings, household equipment and routine household maintenance</v>
      </c>
    </row>
    <row r="13" spans="1:19">
      <c r="C13" t="s">
        <v>80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>
        <f t="shared" si="0"/>
        <v>7</v>
      </c>
      <c r="S13" t="str">
        <f t="shared" ca="1" si="1"/>
        <v>Communication</v>
      </c>
    </row>
    <row r="14" spans="1:19">
      <c r="C14" t="s">
        <v>81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f t="shared" si="0"/>
        <v>3</v>
      </c>
      <c r="S14" t="str">
        <f t="shared" ca="1" si="1"/>
        <v>Housing, Water, Electricity, Gas, &amp; Fuels *</v>
      </c>
    </row>
    <row r="15" spans="1:19"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R15">
        <f t="shared" si="0"/>
        <v>11</v>
      </c>
      <c r="S15" t="str">
        <f t="shared" ca="1" si="1"/>
        <v>Miscellaneous Goods &amp; Services</v>
      </c>
    </row>
    <row r="16" spans="1:19"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R16">
        <f t="shared" si="0"/>
        <v>11</v>
      </c>
      <c r="S16" t="str">
        <f t="shared" ca="1" si="1"/>
        <v>Miscellaneous Goods &amp; Services</v>
      </c>
    </row>
    <row r="17" spans="3:19">
      <c r="C17" t="s">
        <v>84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R17">
        <f t="shared" si="0"/>
        <v>11</v>
      </c>
      <c r="S17" t="str">
        <f t="shared" ca="1" si="1"/>
        <v>Miscellaneous Goods &amp; Services</v>
      </c>
    </row>
    <row r="18" spans="3:19">
      <c r="C18" t="s">
        <v>85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R18">
        <f t="shared" si="0"/>
        <v>11</v>
      </c>
      <c r="S18" t="str">
        <f t="shared" ca="1" si="1"/>
        <v>Miscellaneous Goods &amp; Services</v>
      </c>
    </row>
    <row r="19" spans="3:19">
      <c r="C19" t="s">
        <v>86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R19">
        <f t="shared" si="0"/>
        <v>11</v>
      </c>
      <c r="S19" t="str">
        <f t="shared" ca="1" si="1"/>
        <v>Miscellaneous Goods &amp; Services</v>
      </c>
    </row>
    <row r="20" spans="3:19">
      <c r="C20" t="s">
        <v>87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R20">
        <f t="shared" si="0"/>
        <v>4</v>
      </c>
      <c r="S20" t="str">
        <f t="shared" ca="1" si="1"/>
        <v>Furnishings, household equipment and routine household maintenance</v>
      </c>
    </row>
    <row r="21" spans="3:19">
      <c r="C21" t="s">
        <v>88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R21">
        <f t="shared" si="0"/>
        <v>6</v>
      </c>
      <c r="S21" t="str">
        <f t="shared" ca="1" si="1"/>
        <v>Transport</v>
      </c>
    </row>
    <row r="22" spans="3:19">
      <c r="C22" t="s">
        <v>89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R22">
        <f t="shared" si="0"/>
        <v>4</v>
      </c>
      <c r="S22" t="str">
        <f t="shared" ca="1" si="1"/>
        <v>Furnishings, household equipment and routine household maintenance</v>
      </c>
    </row>
    <row r="23" spans="3:19">
      <c r="C23" t="s">
        <v>90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R23">
        <f t="shared" si="0"/>
        <v>3</v>
      </c>
      <c r="S23" t="str">
        <f t="shared" ca="1" si="1"/>
        <v>Housing, Water, Electricity, Gas, &amp; Fuels *</v>
      </c>
    </row>
    <row r="24" spans="3:19">
      <c r="C24" t="s">
        <v>91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R24">
        <f t="shared" si="0"/>
        <v>4</v>
      </c>
      <c r="S24" t="str">
        <f t="shared" ca="1" si="1"/>
        <v>Furnishings, household equipment and routine household maintenance</v>
      </c>
    </row>
    <row r="25" spans="3:19">
      <c r="C25" t="s">
        <v>92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>
        <f t="shared" si="0"/>
        <v>4</v>
      </c>
      <c r="S25" t="str">
        <f t="shared" ca="1" si="1"/>
        <v>Furnishings, household equipment and routine household maintenance</v>
      </c>
    </row>
    <row r="26" spans="3:19">
      <c r="C26" t="s">
        <v>93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R26">
        <f t="shared" si="0"/>
        <v>10</v>
      </c>
      <c r="S26" t="str">
        <f t="shared" ca="1" si="1"/>
        <v>Restaurants and Hotels</v>
      </c>
    </row>
    <row r="27" spans="3:19">
      <c r="C27" t="s">
        <v>94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>
        <f t="shared" si="0"/>
        <v>6</v>
      </c>
      <c r="S27" t="str">
        <f t="shared" ca="1" si="1"/>
        <v>Transport</v>
      </c>
    </row>
    <row r="28" spans="3:19">
      <c r="C28" t="s">
        <v>95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>
        <f t="shared" si="0"/>
        <v>6</v>
      </c>
      <c r="S28" t="str">
        <f t="shared" ca="1" si="1"/>
        <v>Transport</v>
      </c>
    </row>
    <row r="29" spans="3:19">
      <c r="C29" t="s">
        <v>96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R29">
        <f t="shared" si="0"/>
        <v>6</v>
      </c>
      <c r="S29" t="str">
        <f t="shared" ca="1" si="1"/>
        <v>Transport</v>
      </c>
    </row>
    <row r="30" spans="3:19">
      <c r="C30" t="s">
        <v>97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R30">
        <f t="shared" si="0"/>
        <v>6</v>
      </c>
      <c r="S30" t="str">
        <f t="shared" ca="1" si="1"/>
        <v>Transport</v>
      </c>
    </row>
    <row r="31" spans="3:19">
      <c r="C31" t="s">
        <v>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R31">
        <f t="shared" si="0"/>
        <v>7</v>
      </c>
      <c r="S31" t="str">
        <f t="shared" ca="1" si="1"/>
        <v>Communication</v>
      </c>
    </row>
    <row r="32" spans="3:19">
      <c r="C32" t="s">
        <v>99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R32">
        <f t="shared" si="0"/>
        <v>11</v>
      </c>
      <c r="S32" t="str">
        <f t="shared" ca="1" si="1"/>
        <v>Miscellaneous Goods &amp; Services</v>
      </c>
    </row>
    <row r="33" spans="3:19">
      <c r="C33" t="s">
        <v>100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R33">
        <f t="shared" si="0"/>
        <v>12</v>
      </c>
      <c r="S33" t="str">
        <f t="shared" ca="1" si="1"/>
        <v>Imputed rent</v>
      </c>
    </row>
    <row r="34" spans="3:19">
      <c r="C34" t="s">
        <v>101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R34">
        <f t="shared" si="0"/>
        <v>11</v>
      </c>
      <c r="S34" t="str">
        <f t="shared" ca="1" si="1"/>
        <v>Miscellaneous Goods &amp; Services</v>
      </c>
    </row>
    <row r="35" spans="3:19">
      <c r="C35" t="s">
        <v>102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R35">
        <f t="shared" si="0"/>
        <v>11</v>
      </c>
      <c r="S35" t="str">
        <f t="shared" ca="1" si="1"/>
        <v>Miscellaneous Goods &amp; Services</v>
      </c>
    </row>
    <row r="36" spans="3:19">
      <c r="C36" t="s">
        <v>103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R36">
        <f t="shared" si="0"/>
        <v>9</v>
      </c>
      <c r="S36" t="str">
        <f t="shared" ca="1" si="1"/>
        <v>Education</v>
      </c>
    </row>
    <row r="37" spans="3:19">
      <c r="C37" t="s">
        <v>104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>
        <f t="shared" si="0"/>
        <v>5</v>
      </c>
      <c r="S37" t="str">
        <f t="shared" ca="1" si="1"/>
        <v>Health</v>
      </c>
    </row>
    <row r="38" spans="3:19">
      <c r="C38" t="s">
        <v>105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R38">
        <f t="shared" si="0"/>
        <v>8</v>
      </c>
      <c r="S38" t="str">
        <f t="shared" ca="1" si="1"/>
        <v>Recreations and Culture</v>
      </c>
    </row>
    <row r="39" spans="3:19">
      <c r="C39" t="s">
        <v>106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R39">
        <f t="shared" si="0"/>
        <v>4</v>
      </c>
      <c r="S39" t="str">
        <f t="shared" ca="1" si="1"/>
        <v>Furnishings, household equipment and routine household maintenance</v>
      </c>
    </row>
    <row r="40" spans="3:19">
      <c r="C40" t="s">
        <v>389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R40">
        <f t="shared" si="0"/>
        <v>13</v>
      </c>
      <c r="S40" t="str">
        <f t="shared" ca="1" si="1"/>
        <v>Cash transfers</v>
      </c>
    </row>
  </sheetData>
  <conditionalFormatting sqref="S7:S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33FF-B5E8-43A5-810F-213732FBB9E5}">
  <dimension ref="A3:X42"/>
  <sheetViews>
    <sheetView showGridLines="0" topLeftCell="A4" zoomScale="70" zoomScaleNormal="70" zoomScaleSheetLayoutView="85" workbookViewId="0">
      <selection activeCell="A16" sqref="A16"/>
    </sheetView>
  </sheetViews>
  <sheetFormatPr defaultColWidth="9.08984375" defaultRowHeight="14.5"/>
  <cols>
    <col min="1" max="1" width="51.36328125" style="232" customWidth="1"/>
    <col min="2" max="16" width="14.36328125" style="232" customWidth="1"/>
    <col min="17" max="17" width="13.453125" style="232" bestFit="1" customWidth="1"/>
    <col min="18" max="18" width="14.36328125" style="232" customWidth="1"/>
    <col min="19" max="19" width="40.90625" style="232" customWidth="1"/>
    <col min="20" max="20" width="11.6328125" style="232" bestFit="1" customWidth="1"/>
    <col min="21" max="16384" width="9.08984375" style="232"/>
  </cols>
  <sheetData>
    <row r="3" spans="1:24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</row>
    <row r="4" spans="1:24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</row>
    <row r="5" spans="1:24">
      <c r="A5" s="231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</row>
    <row r="6" spans="1:24">
      <c r="A6" s="231"/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</row>
    <row r="7" spans="1:24" ht="18.75" customHeight="1">
      <c r="A7" s="299" t="s">
        <v>531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33"/>
      <c r="R7" s="233"/>
      <c r="S7" s="234"/>
      <c r="T7" s="234"/>
      <c r="U7" s="234"/>
      <c r="V7" s="234"/>
      <c r="W7" s="234"/>
      <c r="X7" s="235"/>
    </row>
    <row r="8" spans="1:24" ht="16.5" customHeight="1">
      <c r="A8" s="299" t="s">
        <v>532</v>
      </c>
      <c r="B8" s="299"/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33"/>
      <c r="R8" s="233"/>
      <c r="S8" s="234"/>
      <c r="T8" s="234"/>
      <c r="U8" s="234"/>
      <c r="V8" s="234"/>
      <c r="W8" s="234"/>
      <c r="X8" s="235"/>
    </row>
    <row r="9" spans="1:24" ht="18">
      <c r="A9" s="300"/>
      <c r="B9" s="300"/>
      <c r="C9" s="300"/>
      <c r="D9" s="300"/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236"/>
      <c r="R9" s="236"/>
      <c r="S9" s="237"/>
      <c r="T9" s="237"/>
      <c r="U9" s="238"/>
      <c r="V9" s="235"/>
      <c r="W9" s="235"/>
      <c r="X9" s="235"/>
    </row>
    <row r="10" spans="1:24">
      <c r="A10" s="239"/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40"/>
      <c r="Q10" s="240"/>
      <c r="R10" s="240"/>
      <c r="S10" s="231"/>
      <c r="T10" s="231"/>
      <c r="U10" s="241"/>
      <c r="V10" s="231"/>
      <c r="W10" s="231"/>
      <c r="X10" s="241"/>
    </row>
    <row r="11" spans="1:24" ht="29.25" customHeight="1">
      <c r="A11" s="301" t="s">
        <v>533</v>
      </c>
      <c r="B11" s="303">
        <v>2006</v>
      </c>
      <c r="C11" s="303">
        <v>2007</v>
      </c>
      <c r="D11" s="303">
        <v>2008</v>
      </c>
      <c r="E11" s="303">
        <v>2009</v>
      </c>
      <c r="F11" s="303">
        <v>2010</v>
      </c>
      <c r="G11" s="303">
        <v>2011</v>
      </c>
      <c r="H11" s="303">
        <v>2012</v>
      </c>
      <c r="I11" s="303">
        <v>2013</v>
      </c>
      <c r="J11" s="303">
        <v>2014</v>
      </c>
      <c r="K11" s="303">
        <v>2015</v>
      </c>
      <c r="L11" s="303">
        <v>2016</v>
      </c>
      <c r="M11" s="303">
        <v>2017</v>
      </c>
      <c r="N11" s="303">
        <v>2018</v>
      </c>
      <c r="O11" s="303">
        <v>2019</v>
      </c>
      <c r="P11" s="307">
        <v>2020</v>
      </c>
      <c r="Q11" s="307" t="s">
        <v>534</v>
      </c>
      <c r="R11" s="307" t="s">
        <v>535</v>
      </c>
      <c r="S11" s="305" t="s">
        <v>536</v>
      </c>
      <c r="T11" s="242"/>
      <c r="U11" s="242"/>
      <c r="V11" s="242"/>
      <c r="W11" s="242"/>
      <c r="X11" s="242"/>
    </row>
    <row r="12" spans="1:24" ht="29.25" customHeight="1">
      <c r="A12" s="302"/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8"/>
      <c r="Q12" s="308"/>
      <c r="R12" s="308"/>
      <c r="S12" s="306"/>
      <c r="T12" s="242"/>
      <c r="U12" s="242"/>
      <c r="V12" s="242"/>
      <c r="W12" s="242"/>
      <c r="X12" s="242"/>
    </row>
    <row r="13" spans="1:24" ht="30" customHeight="1">
      <c r="A13" s="243" t="s">
        <v>537</v>
      </c>
      <c r="B13" s="244">
        <v>3141.1766028360435</v>
      </c>
      <c r="C13" s="244">
        <v>3950.2675459907819</v>
      </c>
      <c r="D13" s="244">
        <v>4885.5849534228582</v>
      </c>
      <c r="E13" s="244">
        <v>4533.8062824860153</v>
      </c>
      <c r="F13" s="244">
        <v>5156.6614586741898</v>
      </c>
      <c r="G13" s="244">
        <v>5301.5114996481843</v>
      </c>
      <c r="H13" s="244">
        <v>5924.7737621525966</v>
      </c>
      <c r="I13" s="244">
        <v>6330.0497616367802</v>
      </c>
      <c r="J13" s="244">
        <v>6759.7682566918147</v>
      </c>
      <c r="K13" s="244">
        <v>6978.8611557131071</v>
      </c>
      <c r="L13" s="244">
        <v>7247.9523758544537</v>
      </c>
      <c r="M13" s="244">
        <v>7413</v>
      </c>
      <c r="N13" s="244">
        <v>7324</v>
      </c>
      <c r="O13" s="244">
        <v>7430</v>
      </c>
      <c r="P13" s="244">
        <v>7324</v>
      </c>
      <c r="Q13" s="244">
        <v>7695</v>
      </c>
      <c r="R13" s="244">
        <v>8286.8024767351744</v>
      </c>
      <c r="S13" s="245" t="s">
        <v>126</v>
      </c>
      <c r="T13" s="246"/>
      <c r="U13" s="246"/>
      <c r="V13" s="246"/>
      <c r="W13" s="246"/>
      <c r="X13" s="247"/>
    </row>
    <row r="14" spans="1:24" ht="30" customHeight="1">
      <c r="A14" s="243" t="s">
        <v>538</v>
      </c>
      <c r="B14" s="244">
        <v>3438.6882877470516</v>
      </c>
      <c r="C14" s="244">
        <v>3466.5319176073517</v>
      </c>
      <c r="D14" s="244">
        <v>3679.9997465363185</v>
      </c>
      <c r="E14" s="244">
        <v>3799.6851142928681</v>
      </c>
      <c r="F14" s="244">
        <v>3979.9197258790286</v>
      </c>
      <c r="G14" s="244">
        <v>4105.4742534713341</v>
      </c>
      <c r="H14" s="244">
        <v>4388.5056485056484</v>
      </c>
      <c r="I14" s="244">
        <v>4395</v>
      </c>
      <c r="J14" s="244">
        <v>4710.2403219327798</v>
      </c>
      <c r="K14" s="244">
        <v>4657.3029400471396</v>
      </c>
      <c r="L14" s="244">
        <v>4941.9418344803989</v>
      </c>
      <c r="M14" s="244">
        <v>5588</v>
      </c>
      <c r="N14" s="244">
        <v>5395</v>
      </c>
      <c r="O14" s="244">
        <v>5593</v>
      </c>
      <c r="P14" s="244">
        <v>5168</v>
      </c>
      <c r="Q14" s="244">
        <v>5521</v>
      </c>
      <c r="R14" s="244">
        <v>5700.8328767123312</v>
      </c>
      <c r="S14" s="245" t="s">
        <v>75</v>
      </c>
      <c r="T14" s="246"/>
      <c r="U14" s="246"/>
      <c r="V14" s="246"/>
      <c r="W14" s="246"/>
      <c r="X14" s="246"/>
    </row>
    <row r="15" spans="1:24" ht="30" customHeight="1">
      <c r="A15" s="243" t="s">
        <v>539</v>
      </c>
      <c r="B15" s="244">
        <v>130823.85720037669</v>
      </c>
      <c r="C15" s="244">
        <v>166251.13791176619</v>
      </c>
      <c r="D15" s="244">
        <v>179698.09653558343</v>
      </c>
      <c r="E15" s="244">
        <v>186320.18865619847</v>
      </c>
      <c r="F15" s="244">
        <v>214254.6401923339</v>
      </c>
      <c r="G15" s="244">
        <v>227970.32749618881</v>
      </c>
      <c r="H15" s="244">
        <v>239073.91429877383</v>
      </c>
      <c r="I15" s="244">
        <v>248595.99999912424</v>
      </c>
      <c r="J15" s="244">
        <v>247895.4891845028</v>
      </c>
      <c r="K15" s="244">
        <v>250853.81944444444</v>
      </c>
      <c r="L15" s="244">
        <v>263653</v>
      </c>
      <c r="M15" s="244">
        <v>262959</v>
      </c>
      <c r="N15" s="244">
        <v>260160</v>
      </c>
      <c r="O15" s="244">
        <v>262000</v>
      </c>
      <c r="P15" s="244">
        <v>257938</v>
      </c>
      <c r="Q15" s="244">
        <v>273407</v>
      </c>
      <c r="R15" s="244">
        <v>305350.04657534254</v>
      </c>
      <c r="S15" s="245" t="s">
        <v>127</v>
      </c>
      <c r="T15" s="248"/>
      <c r="U15" s="246"/>
      <c r="V15" s="246"/>
      <c r="W15" s="246"/>
      <c r="X15" s="246"/>
    </row>
    <row r="16" spans="1:24" ht="30" customHeight="1">
      <c r="A16" s="243" t="s">
        <v>540</v>
      </c>
      <c r="B16" s="244">
        <v>6622.401444164243</v>
      </c>
      <c r="C16" s="244">
        <v>7979.573431932411</v>
      </c>
      <c r="D16" s="244">
        <v>8877.1299009721697</v>
      </c>
      <c r="E16" s="244">
        <v>9460.7204949062652</v>
      </c>
      <c r="F16" s="244">
        <v>9974.989252897396</v>
      </c>
      <c r="G16" s="244">
        <v>10351.790579276747</v>
      </c>
      <c r="H16" s="244">
        <v>10794.307141908308</v>
      </c>
      <c r="I16" s="244">
        <v>11303</v>
      </c>
      <c r="J16" s="244">
        <v>11453.538998875578</v>
      </c>
      <c r="K16" s="244">
        <v>11814.333284827037</v>
      </c>
      <c r="L16" s="244">
        <v>13277</v>
      </c>
      <c r="M16" s="244">
        <v>14262</v>
      </c>
      <c r="N16" s="244">
        <v>14297</v>
      </c>
      <c r="O16" s="244">
        <v>15333</v>
      </c>
      <c r="P16" s="244">
        <v>15754</v>
      </c>
      <c r="Q16" s="244">
        <v>18091</v>
      </c>
      <c r="R16" s="244">
        <v>17761.545205479451</v>
      </c>
      <c r="S16" s="245" t="s">
        <v>128</v>
      </c>
      <c r="T16" s="248"/>
      <c r="U16" s="246"/>
      <c r="V16" s="246"/>
      <c r="W16" s="246"/>
      <c r="X16" s="246"/>
    </row>
    <row r="17" spans="1:24" ht="30" customHeight="1">
      <c r="A17" s="243" t="s">
        <v>541</v>
      </c>
      <c r="B17" s="244">
        <v>393436.57447645772</v>
      </c>
      <c r="C17" s="244">
        <v>477154.87672513735</v>
      </c>
      <c r="D17" s="244">
        <v>583221.40000714886</v>
      </c>
      <c r="E17" s="244">
        <v>512026.26433650905</v>
      </c>
      <c r="F17" s="244">
        <v>507459.13214718446</v>
      </c>
      <c r="G17" s="244">
        <v>497807.75726150227</v>
      </c>
      <c r="H17" s="244">
        <v>492728.08626903797</v>
      </c>
      <c r="I17" s="244">
        <v>507967.09924643091</v>
      </c>
      <c r="J17" s="244">
        <v>509005.66666666674</v>
      </c>
      <c r="K17" s="244">
        <v>542942</v>
      </c>
      <c r="L17" s="244">
        <v>556195</v>
      </c>
      <c r="M17" s="244">
        <v>598773</v>
      </c>
      <c r="N17" s="244">
        <v>645411</v>
      </c>
      <c r="O17" s="244">
        <v>656252</v>
      </c>
      <c r="P17" s="244">
        <v>613873</v>
      </c>
      <c r="Q17" s="244">
        <v>623442</v>
      </c>
      <c r="R17" s="244">
        <v>702337.85479451809</v>
      </c>
      <c r="S17" s="245" t="s">
        <v>91</v>
      </c>
      <c r="T17" s="248"/>
      <c r="U17" s="246"/>
      <c r="V17" s="246"/>
      <c r="W17" s="246"/>
      <c r="X17" s="246"/>
    </row>
    <row r="18" spans="1:24" ht="30" customHeight="1">
      <c r="A18" s="243" t="s">
        <v>542</v>
      </c>
      <c r="B18" s="244">
        <v>319058.7729014692</v>
      </c>
      <c r="C18" s="244">
        <v>384212.26037641114</v>
      </c>
      <c r="D18" s="244">
        <v>413397.24627212255</v>
      </c>
      <c r="E18" s="244">
        <v>438722.90376586717</v>
      </c>
      <c r="F18" s="244">
        <v>521097.15968558216</v>
      </c>
      <c r="G18" s="244">
        <v>543276.24194461748</v>
      </c>
      <c r="H18" s="244">
        <v>548709.00436406361</v>
      </c>
      <c r="I18" s="244">
        <v>545842.84450000059</v>
      </c>
      <c r="J18" s="244">
        <v>561620.92727272725</v>
      </c>
      <c r="K18" s="244">
        <v>577244.0000000007</v>
      </c>
      <c r="L18" s="244">
        <v>570257</v>
      </c>
      <c r="M18" s="244">
        <v>584105</v>
      </c>
      <c r="N18" s="244">
        <v>603223</v>
      </c>
      <c r="O18" s="244">
        <v>617805</v>
      </c>
      <c r="P18" s="244">
        <v>602770</v>
      </c>
      <c r="Q18" s="244">
        <v>706277</v>
      </c>
      <c r="R18" s="244">
        <v>742303.04657534091</v>
      </c>
      <c r="S18" s="245" t="s">
        <v>129</v>
      </c>
      <c r="T18" s="248"/>
      <c r="U18" s="246"/>
      <c r="V18" s="246"/>
      <c r="W18" s="246"/>
      <c r="X18" s="246"/>
    </row>
    <row r="19" spans="1:24" ht="30" customHeight="1">
      <c r="A19" s="243" t="s">
        <v>543</v>
      </c>
      <c r="B19" s="244">
        <v>173900.44153103401</v>
      </c>
      <c r="C19" s="244">
        <v>180104.64827279438</v>
      </c>
      <c r="D19" s="244">
        <v>194247.43733748142</v>
      </c>
      <c r="E19" s="244">
        <v>207819.38717242956</v>
      </c>
      <c r="F19" s="244">
        <v>217992.885075653</v>
      </c>
      <c r="G19" s="244">
        <v>231850.25452547101</v>
      </c>
      <c r="H19" s="244">
        <v>233665.69193297712</v>
      </c>
      <c r="I19" s="244">
        <v>240807.58349791</v>
      </c>
      <c r="J19" s="244">
        <v>256264</v>
      </c>
      <c r="K19" s="244">
        <v>261556.17391304346</v>
      </c>
      <c r="L19" s="244">
        <v>272883.90356394748</v>
      </c>
      <c r="M19" s="244">
        <v>283843</v>
      </c>
      <c r="N19" s="244">
        <v>300429</v>
      </c>
      <c r="O19" s="244">
        <v>306455</v>
      </c>
      <c r="P19" s="244">
        <v>286027.75</v>
      </c>
      <c r="Q19" s="244">
        <v>309322</v>
      </c>
      <c r="R19" s="244">
        <v>345488.79215783864</v>
      </c>
      <c r="S19" s="245" t="s">
        <v>130</v>
      </c>
      <c r="T19" s="249"/>
    </row>
    <row r="20" spans="1:24" ht="30" customHeight="1">
      <c r="A20" s="243" t="s">
        <v>544</v>
      </c>
      <c r="B20" s="244">
        <v>86184.287925017605</v>
      </c>
      <c r="C20" s="244">
        <v>96188.69693402297</v>
      </c>
      <c r="D20" s="244">
        <v>106432.94374218925</v>
      </c>
      <c r="E20" s="244">
        <v>95615.634630802291</v>
      </c>
      <c r="F20" s="244">
        <v>99778.224761005156</v>
      </c>
      <c r="G20" s="244">
        <v>121207.30863402672</v>
      </c>
      <c r="H20" s="244">
        <v>139141.12286605837</v>
      </c>
      <c r="I20" s="244">
        <v>172830.51315578984</v>
      </c>
      <c r="J20" s="244">
        <v>185302</v>
      </c>
      <c r="K20" s="244">
        <v>190503</v>
      </c>
      <c r="L20" s="244">
        <v>205460.00000000003</v>
      </c>
      <c r="M20" s="244">
        <v>211651</v>
      </c>
      <c r="N20" s="244">
        <v>224573</v>
      </c>
      <c r="O20" s="244">
        <v>233438</v>
      </c>
      <c r="P20" s="244">
        <v>218887</v>
      </c>
      <c r="Q20" s="244">
        <v>251259</v>
      </c>
      <c r="R20" s="244">
        <v>269362.79999999941</v>
      </c>
      <c r="S20" s="245" t="s">
        <v>131</v>
      </c>
      <c r="T20" s="249"/>
    </row>
    <row r="21" spans="1:24" ht="30" customHeight="1">
      <c r="A21" s="243" t="s">
        <v>545</v>
      </c>
      <c r="B21" s="244">
        <v>22481.489557356384</v>
      </c>
      <c r="C21" s="244">
        <v>24867.927956846583</v>
      </c>
      <c r="D21" s="244">
        <v>28598.117150373568</v>
      </c>
      <c r="E21" s="244">
        <v>24135.424022360352</v>
      </c>
      <c r="F21" s="244">
        <v>22637.615724318017</v>
      </c>
      <c r="G21" s="244">
        <v>24762.39551508427</v>
      </c>
      <c r="H21" s="244">
        <v>26916.770417904088</v>
      </c>
      <c r="I21" s="244">
        <v>28616.941176470595</v>
      </c>
      <c r="J21" s="244">
        <v>30154.527559055114</v>
      </c>
      <c r="K21" s="244">
        <v>32340.750922602503</v>
      </c>
      <c r="L21" s="244">
        <v>33231.999999999978</v>
      </c>
      <c r="M21" s="244">
        <v>36715</v>
      </c>
      <c r="N21" s="244">
        <v>39998</v>
      </c>
      <c r="O21" s="244">
        <v>44263</v>
      </c>
      <c r="P21" s="244">
        <v>49899</v>
      </c>
      <c r="Q21" s="244">
        <v>69253</v>
      </c>
      <c r="R21" s="244">
        <v>78846.994520548003</v>
      </c>
      <c r="S21" s="245" t="s">
        <v>132</v>
      </c>
      <c r="T21" s="249"/>
    </row>
    <row r="22" spans="1:24" ht="30" customHeight="1">
      <c r="A22" s="243" t="s">
        <v>546</v>
      </c>
      <c r="B22" s="244">
        <v>32300.136958973348</v>
      </c>
      <c r="C22" s="244">
        <v>43535.357149105737</v>
      </c>
      <c r="D22" s="244">
        <v>45394.440795574214</v>
      </c>
      <c r="E22" s="244">
        <v>44703.850798712381</v>
      </c>
      <c r="F22" s="244">
        <v>44015.765293821183</v>
      </c>
      <c r="G22" s="244">
        <v>45461.176132888744</v>
      </c>
      <c r="H22" s="244">
        <v>44385.657677991338</v>
      </c>
      <c r="I22" s="244">
        <v>46694.689279135011</v>
      </c>
      <c r="J22" s="244">
        <v>46171</v>
      </c>
      <c r="K22" s="244">
        <v>47386</v>
      </c>
      <c r="L22" s="244">
        <v>46607.487156651354</v>
      </c>
      <c r="M22" s="244">
        <v>46283</v>
      </c>
      <c r="N22" s="244">
        <v>40026</v>
      </c>
      <c r="O22" s="244">
        <v>41049</v>
      </c>
      <c r="P22" s="244">
        <v>38742</v>
      </c>
      <c r="Q22" s="244">
        <v>39379</v>
      </c>
      <c r="R22" s="244">
        <v>43604</v>
      </c>
      <c r="S22" s="245" t="s">
        <v>133</v>
      </c>
      <c r="T22" s="249"/>
    </row>
    <row r="23" spans="1:24" ht="30" customHeight="1">
      <c r="A23" s="243" t="s">
        <v>547</v>
      </c>
      <c r="B23" s="244">
        <v>40554.24454126718</v>
      </c>
      <c r="C23" s="244">
        <v>43322.535148130708</v>
      </c>
      <c r="D23" s="244">
        <v>49121.173472694987</v>
      </c>
      <c r="E23" s="244">
        <v>37854.94604304916</v>
      </c>
      <c r="F23" s="244">
        <v>36192.666303191501</v>
      </c>
      <c r="G23" s="244">
        <v>34427.438202495017</v>
      </c>
      <c r="H23" s="244">
        <v>38563.311186434468</v>
      </c>
      <c r="I23" s="244">
        <v>43051.999999999978</v>
      </c>
      <c r="J23" s="244">
        <v>44844.000000000007</v>
      </c>
      <c r="K23" s="244">
        <v>45697</v>
      </c>
      <c r="L23" s="244">
        <v>46995</v>
      </c>
      <c r="M23" s="244">
        <v>46344</v>
      </c>
      <c r="N23" s="244">
        <v>37015</v>
      </c>
      <c r="O23" s="244">
        <v>35199</v>
      </c>
      <c r="P23" s="244">
        <v>30692</v>
      </c>
      <c r="Q23" s="244">
        <v>42437</v>
      </c>
      <c r="R23" s="244">
        <v>52342.035616438312</v>
      </c>
      <c r="S23" s="245" t="s">
        <v>100</v>
      </c>
      <c r="T23" s="249"/>
    </row>
    <row r="24" spans="1:24" ht="30" customHeight="1">
      <c r="A24" s="243" t="s">
        <v>548</v>
      </c>
      <c r="B24" s="244">
        <v>60026.598919144802</v>
      </c>
      <c r="C24" s="244">
        <v>62787.714395930001</v>
      </c>
      <c r="D24" s="244">
        <v>64304.557760497097</v>
      </c>
      <c r="E24" s="244">
        <v>59510.5855639371</v>
      </c>
      <c r="F24" s="244">
        <v>60470.196684129412</v>
      </c>
      <c r="G24" s="244">
        <v>61598.360681205602</v>
      </c>
      <c r="H24" s="244">
        <v>70857.743410508003</v>
      </c>
      <c r="I24" s="244">
        <v>87056.704384649784</v>
      </c>
      <c r="J24" s="244">
        <v>89264</v>
      </c>
      <c r="K24" s="244">
        <v>92657</v>
      </c>
      <c r="L24" s="244">
        <v>89401</v>
      </c>
      <c r="M24" s="244">
        <v>94312</v>
      </c>
      <c r="N24" s="244">
        <v>103424</v>
      </c>
      <c r="O24" s="244">
        <v>116288</v>
      </c>
      <c r="P24" s="244">
        <v>117255</v>
      </c>
      <c r="Q24" s="244">
        <v>157865</v>
      </c>
      <c r="R24" s="244">
        <v>204338.9123287666</v>
      </c>
      <c r="S24" s="245" t="s">
        <v>134</v>
      </c>
      <c r="T24" s="249"/>
    </row>
    <row r="25" spans="1:24" ht="30" customHeight="1">
      <c r="A25" s="243" t="s">
        <v>549</v>
      </c>
      <c r="B25" s="244">
        <v>85270.651208200041</v>
      </c>
      <c r="C25" s="244">
        <v>109061.49433625034</v>
      </c>
      <c r="D25" s="244">
        <v>126534.49944692128</v>
      </c>
      <c r="E25" s="244">
        <v>120386.21030775721</v>
      </c>
      <c r="F25" s="244">
        <v>118054.47960203816</v>
      </c>
      <c r="G25" s="244">
        <v>158803.64956304885</v>
      </c>
      <c r="H25" s="244">
        <v>172607.63924039796</v>
      </c>
      <c r="I25" s="244">
        <v>190508.40067559705</v>
      </c>
      <c r="J25" s="244">
        <v>197930</v>
      </c>
      <c r="K25" s="244">
        <v>203322</v>
      </c>
      <c r="L25" s="244">
        <v>218062</v>
      </c>
      <c r="M25" s="244">
        <v>254232</v>
      </c>
      <c r="N25" s="244">
        <v>297532</v>
      </c>
      <c r="O25" s="244">
        <v>341449</v>
      </c>
      <c r="P25" s="244">
        <v>328152</v>
      </c>
      <c r="Q25" s="244">
        <v>386586</v>
      </c>
      <c r="R25" s="244">
        <v>427604.71780821914</v>
      </c>
      <c r="S25" s="245" t="s">
        <v>550</v>
      </c>
      <c r="T25" s="249"/>
    </row>
    <row r="26" spans="1:24" ht="30" customHeight="1">
      <c r="A26" s="243" t="s">
        <v>551</v>
      </c>
      <c r="B26" s="244">
        <v>67961.78257474913</v>
      </c>
      <c r="C26" s="244">
        <v>74066.498036178251</v>
      </c>
      <c r="D26" s="244">
        <v>79710.575763784756</v>
      </c>
      <c r="E26" s="244">
        <v>81535.916058470786</v>
      </c>
      <c r="F26" s="244">
        <v>82782.168916351264</v>
      </c>
      <c r="G26" s="244">
        <v>89639.090611253327</v>
      </c>
      <c r="H26" s="244">
        <v>91077.57902670253</v>
      </c>
      <c r="I26" s="244">
        <v>93398.052694212543</v>
      </c>
      <c r="J26" s="244">
        <v>95379.808233835298</v>
      </c>
      <c r="K26" s="244">
        <v>99362.307975783187</v>
      </c>
      <c r="L26" s="244">
        <v>102738.16561250058</v>
      </c>
      <c r="M26" s="244">
        <v>101014</v>
      </c>
      <c r="N26" s="244">
        <v>102040</v>
      </c>
      <c r="O26" s="244">
        <v>101973</v>
      </c>
      <c r="P26" s="244">
        <v>103337</v>
      </c>
      <c r="Q26" s="244">
        <v>99257</v>
      </c>
      <c r="R26" s="244">
        <v>97094.938417445315</v>
      </c>
      <c r="S26" s="245" t="s">
        <v>135</v>
      </c>
      <c r="T26" s="249"/>
    </row>
    <row r="27" spans="1:24" ht="30" customHeight="1">
      <c r="A27" s="243" t="s">
        <v>552</v>
      </c>
      <c r="B27" s="244">
        <v>12392.065359494223</v>
      </c>
      <c r="C27" s="244">
        <v>14770.824408757126</v>
      </c>
      <c r="D27" s="244">
        <v>14700.232205006325</v>
      </c>
      <c r="E27" s="244">
        <v>16113.703330738465</v>
      </c>
      <c r="F27" s="244">
        <v>18624.729547921121</v>
      </c>
      <c r="G27" s="244">
        <v>21634.599220435157</v>
      </c>
      <c r="H27" s="244">
        <v>25130.882154532948</v>
      </c>
      <c r="I27" s="244">
        <v>25850.37921988207</v>
      </c>
      <c r="J27" s="244">
        <v>26256.089628108854</v>
      </c>
      <c r="K27" s="244">
        <v>26716.437254635508</v>
      </c>
      <c r="L27" s="244">
        <v>28740.339319743875</v>
      </c>
      <c r="M27" s="244">
        <v>33102.879424955812</v>
      </c>
      <c r="N27" s="244">
        <v>33230</v>
      </c>
      <c r="O27" s="244">
        <v>35112</v>
      </c>
      <c r="P27" s="244">
        <v>34409</v>
      </c>
      <c r="Q27" s="244">
        <v>41964</v>
      </c>
      <c r="R27" s="244">
        <v>53468.002739726049</v>
      </c>
      <c r="S27" s="245" t="s">
        <v>136</v>
      </c>
      <c r="T27" s="249"/>
    </row>
    <row r="28" spans="1:24" ht="30" customHeight="1">
      <c r="A28" s="243" t="s">
        <v>553</v>
      </c>
      <c r="B28" s="244">
        <v>17084.109699386681</v>
      </c>
      <c r="C28" s="244">
        <v>18787.323069838058</v>
      </c>
      <c r="D28" s="244">
        <v>16160.536252029247</v>
      </c>
      <c r="E28" s="244">
        <v>19573.626582018271</v>
      </c>
      <c r="F28" s="244">
        <v>19270.413610054828</v>
      </c>
      <c r="G28" s="244">
        <v>22510.936651247401</v>
      </c>
      <c r="H28" s="244">
        <v>23633.085053375773</v>
      </c>
      <c r="I28" s="244">
        <v>26790.293562451912</v>
      </c>
      <c r="J28" s="244">
        <v>26420.82857142857</v>
      </c>
      <c r="K28" s="244">
        <v>26835.82857142857</v>
      </c>
      <c r="L28" s="244">
        <v>22071</v>
      </c>
      <c r="M28" s="244">
        <v>23262</v>
      </c>
      <c r="N28" s="244">
        <v>24594</v>
      </c>
      <c r="O28" s="244">
        <v>25770</v>
      </c>
      <c r="P28" s="244">
        <v>26150</v>
      </c>
      <c r="Q28" s="244">
        <v>37885</v>
      </c>
      <c r="R28" s="244">
        <v>40674.726027397257</v>
      </c>
      <c r="S28" s="245" t="s">
        <v>137</v>
      </c>
      <c r="T28" s="249"/>
    </row>
    <row r="29" spans="1:24" ht="30" customHeight="1">
      <c r="A29" s="243" t="s">
        <v>554</v>
      </c>
      <c r="B29" s="244">
        <v>3223.7609048315385</v>
      </c>
      <c r="C29" s="244">
        <v>3597.9801902218851</v>
      </c>
      <c r="D29" s="244">
        <v>3981.170713166674</v>
      </c>
      <c r="E29" s="244">
        <v>3576.5445446577792</v>
      </c>
      <c r="F29" s="244">
        <v>3732.2480452339</v>
      </c>
      <c r="G29" s="244">
        <v>4533.8122801940599</v>
      </c>
      <c r="H29" s="244">
        <v>5204.6344287280817</v>
      </c>
      <c r="I29" s="244">
        <v>6464.8007761966346</v>
      </c>
      <c r="J29" s="244">
        <v>10992</v>
      </c>
      <c r="K29" s="244">
        <v>11917.000000000002</v>
      </c>
      <c r="L29" s="244">
        <v>13066</v>
      </c>
      <c r="M29" s="244">
        <v>16183</v>
      </c>
      <c r="N29" s="244">
        <v>18735</v>
      </c>
      <c r="O29" s="244">
        <v>21835</v>
      </c>
      <c r="P29" s="244">
        <v>22081</v>
      </c>
      <c r="Q29" s="244">
        <v>26178</v>
      </c>
      <c r="R29" s="244">
        <v>29513.778082191777</v>
      </c>
      <c r="S29" s="245" t="s">
        <v>138</v>
      </c>
      <c r="T29" s="249"/>
    </row>
    <row r="30" spans="1:24" ht="30" customHeight="1">
      <c r="A30" s="243" t="s">
        <v>555</v>
      </c>
      <c r="B30" s="244">
        <v>17360.339197186691</v>
      </c>
      <c r="C30" s="244">
        <v>20565.053913413849</v>
      </c>
      <c r="D30" s="244">
        <v>23222.010203307887</v>
      </c>
      <c r="E30" s="244">
        <v>21086.712776289125</v>
      </c>
      <c r="F30" s="244">
        <v>22344.451140901005</v>
      </c>
      <c r="G30" s="244">
        <v>25078.334599841059</v>
      </c>
      <c r="H30" s="244">
        <v>25797.003529443351</v>
      </c>
      <c r="I30" s="244">
        <v>27793.999999999964</v>
      </c>
      <c r="J30" s="244">
        <v>28373.000000000004</v>
      </c>
      <c r="K30" s="244">
        <v>29410</v>
      </c>
      <c r="L30" s="244">
        <v>30586</v>
      </c>
      <c r="M30" s="244">
        <v>30641</v>
      </c>
      <c r="N30" s="244">
        <v>33284</v>
      </c>
      <c r="O30" s="244">
        <v>32015</v>
      </c>
      <c r="P30" s="244">
        <v>31754</v>
      </c>
      <c r="Q30" s="244">
        <v>40545</v>
      </c>
      <c r="R30" s="244">
        <v>46508.868493150687</v>
      </c>
      <c r="S30" s="245" t="s">
        <v>556</v>
      </c>
      <c r="T30" s="249"/>
    </row>
    <row r="31" spans="1:24" ht="64.5" customHeight="1">
      <c r="A31" s="243" t="s">
        <v>557</v>
      </c>
      <c r="B31" s="244">
        <v>88232.97821606115</v>
      </c>
      <c r="C31" s="244">
        <v>91698.167583131202</v>
      </c>
      <c r="D31" s="244">
        <v>92523.547884378466</v>
      </c>
      <c r="E31" s="244">
        <v>95269.52</v>
      </c>
      <c r="F31" s="244">
        <v>98216</v>
      </c>
      <c r="G31" s="244">
        <v>103507</v>
      </c>
      <c r="H31" s="244">
        <v>108673</v>
      </c>
      <c r="I31" s="244">
        <v>113207</v>
      </c>
      <c r="J31" s="244">
        <v>118800</v>
      </c>
      <c r="K31" s="244">
        <v>123034</v>
      </c>
      <c r="L31" s="244">
        <v>127671.40578905091</v>
      </c>
      <c r="M31" s="244">
        <v>132199</v>
      </c>
      <c r="N31" s="244">
        <v>136165</v>
      </c>
      <c r="O31" s="244">
        <v>140395</v>
      </c>
      <c r="P31" s="244">
        <v>141191</v>
      </c>
      <c r="Q31" s="244">
        <v>125511</v>
      </c>
      <c r="R31" s="244">
        <v>124883.44499999999</v>
      </c>
      <c r="S31" s="245" t="s">
        <v>139</v>
      </c>
    </row>
    <row r="32" spans="1:24" ht="30.75" customHeight="1">
      <c r="A32" s="250" t="s">
        <v>558</v>
      </c>
      <c r="B32" s="251">
        <f t="shared" ref="B32:O32" si="0">SUM(B13:B31)</f>
        <v>1563494.3575057534</v>
      </c>
      <c r="C32" s="251">
        <f t="shared" si="0"/>
        <v>1826368.8693034663</v>
      </c>
      <c r="D32" s="251">
        <f t="shared" si="0"/>
        <v>2038690.7001431915</v>
      </c>
      <c r="E32" s="251">
        <f t="shared" si="0"/>
        <v>1982045.6304814823</v>
      </c>
      <c r="F32" s="251">
        <f t="shared" si="0"/>
        <v>2106034.3471671697</v>
      </c>
      <c r="G32" s="251">
        <f t="shared" si="0"/>
        <v>2233827.4596518958</v>
      </c>
      <c r="H32" s="251">
        <f t="shared" si="0"/>
        <v>2307272.7124094958</v>
      </c>
      <c r="I32" s="251">
        <f t="shared" si="0"/>
        <v>2427505.3519294881</v>
      </c>
      <c r="J32" s="251">
        <f t="shared" si="0"/>
        <v>2497596.8846938247</v>
      </c>
      <c r="K32" s="251">
        <f t="shared" si="0"/>
        <v>2585227.8154625259</v>
      </c>
      <c r="L32" s="251">
        <f t="shared" si="0"/>
        <v>2653086.1956522288</v>
      </c>
      <c r="M32" s="251">
        <f t="shared" si="0"/>
        <v>2782881.8794249557</v>
      </c>
      <c r="N32" s="251">
        <f t="shared" si="0"/>
        <v>2926855</v>
      </c>
      <c r="O32" s="251">
        <f t="shared" si="0"/>
        <v>3039654</v>
      </c>
      <c r="P32" s="251">
        <f>SUM(P13:P31)</f>
        <v>2931403.75</v>
      </c>
      <c r="Q32" s="251">
        <f>SUM(Q13:Q31)</f>
        <v>3261874</v>
      </c>
      <c r="R32" s="251">
        <f>SUM(R13:R31)</f>
        <v>3595472.1396958497</v>
      </c>
      <c r="S32" s="252" t="s">
        <v>162</v>
      </c>
    </row>
    <row r="33" spans="1:19" s="254" customFormat="1" ht="12.5">
      <c r="A33" s="253" t="s">
        <v>559</v>
      </c>
      <c r="P33" s="255"/>
      <c r="Q33" s="255"/>
      <c r="R33" s="255"/>
      <c r="S33" s="256" t="s">
        <v>560</v>
      </c>
    </row>
    <row r="34" spans="1:19" s="254" customFormat="1" ht="12.5">
      <c r="A34" s="253" t="s">
        <v>561</v>
      </c>
      <c r="S34" s="256" t="s">
        <v>562</v>
      </c>
    </row>
    <row r="35" spans="1:19" s="254" customFormat="1" ht="12.5">
      <c r="A35" s="253"/>
      <c r="S35" s="256"/>
    </row>
    <row r="36" spans="1:19">
      <c r="A36" s="231"/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</row>
    <row r="38" spans="1:19">
      <c r="S38" s="231"/>
    </row>
    <row r="39" spans="1:19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</row>
    <row r="40" spans="1:19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</row>
    <row r="41" spans="1:19">
      <c r="A41" s="231"/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</row>
    <row r="42" spans="1:19">
      <c r="A42" s="231"/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</row>
  </sheetData>
  <mergeCells count="22">
    <mergeCell ref="S11:S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A7:P7"/>
    <mergeCell ref="A8:P8"/>
    <mergeCell ref="A9:P9"/>
    <mergeCell ref="A11:A12"/>
    <mergeCell ref="B11:B12"/>
    <mergeCell ref="C11:C12"/>
    <mergeCell ref="D11:D12"/>
    <mergeCell ref="E11:E12"/>
    <mergeCell ref="F11:F12"/>
    <mergeCell ref="G11:G12"/>
  </mergeCells>
  <printOptions horizontalCentered="1"/>
  <pageMargins left="0" right="0" top="1.135" bottom="0.75" header="0.3" footer="0.3"/>
  <pageSetup paperSize="12" scale="47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6</vt:i4>
      </vt:variant>
    </vt:vector>
  </HeadingPairs>
  <TitlesOfParts>
    <vt:vector size="23" baseType="lpstr">
      <vt:lpstr>HEADERS</vt:lpstr>
      <vt:lpstr>MAP</vt:lpstr>
      <vt:lpstr>Calculations 2</vt:lpstr>
      <vt:lpstr>Calculations</vt:lpstr>
      <vt:lpstr>Input data -&gt;</vt:lpstr>
      <vt:lpstr>2022 SAM</vt:lpstr>
      <vt:lpstr>Household characteristics</vt:lpstr>
      <vt:lpstr>Labour force absolute size</vt:lpstr>
      <vt:lpstr>Emirati workforce distribution</vt:lpstr>
      <vt:lpstr>Estimating non em split</vt:lpstr>
      <vt:lpstr>ILO occupation by income</vt:lpstr>
      <vt:lpstr>HES - 2014</vt:lpstr>
      <vt:lpstr>GTAP data</vt:lpstr>
      <vt:lpstr>HEIS - 2022, Table 1</vt:lpstr>
      <vt:lpstr>HEIS - 2022, Table 2</vt:lpstr>
      <vt:lpstr>HEIS to SAM concordance</vt:lpstr>
      <vt:lpstr>Employees by activity</vt:lpstr>
      <vt:lpstr>adjFactor</vt:lpstr>
      <vt:lpstr>commuting</vt:lpstr>
      <vt:lpstr>lowskillWage</vt:lpstr>
      <vt:lpstr>'Employees by activity'!Print_Area</vt:lpstr>
      <vt:lpstr>'HEIS - 2022, Table 1'!Print_Area</vt:lpstr>
      <vt:lpstr>'HEIS - 2022, Table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Scealy</dc:creator>
  <cp:lastModifiedBy>Bob Scealy</cp:lastModifiedBy>
  <dcterms:created xsi:type="dcterms:W3CDTF">2025-08-08T11:21:20Z</dcterms:created>
  <dcterms:modified xsi:type="dcterms:W3CDTF">2025-10-09T00:49:09Z</dcterms:modified>
</cp:coreProperties>
</file>